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4" l="1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J1157" i="4"/>
  <c r="J1158" i="4"/>
  <c r="J1159" i="4"/>
  <c r="J1160" i="4"/>
  <c r="J1161" i="4"/>
  <c r="J116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09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J1402" i="4"/>
  <c r="J1403" i="4"/>
  <c r="J1404" i="4"/>
  <c r="J1405" i="4"/>
  <c r="J1406" i="4"/>
  <c r="J1407" i="4"/>
  <c r="J1408" i="4"/>
  <c r="J1409" i="4"/>
  <c r="J1410" i="4"/>
  <c r="J1411" i="4"/>
  <c r="J1412" i="4"/>
  <c r="J1413" i="4"/>
  <c r="J1414" i="4"/>
  <c r="J1415" i="4"/>
  <c r="J1416" i="4"/>
  <c r="J1417" i="4"/>
  <c r="J1418" i="4"/>
  <c r="J1419" i="4"/>
  <c r="J1420" i="4"/>
  <c r="J1421" i="4"/>
  <c r="J1422" i="4"/>
  <c r="J1423" i="4"/>
  <c r="J1424" i="4"/>
  <c r="J1425" i="4"/>
  <c r="J1426" i="4"/>
  <c r="J1427" i="4"/>
  <c r="J1428" i="4"/>
  <c r="J1429" i="4"/>
  <c r="J1430" i="4"/>
  <c r="J1431" i="4"/>
  <c r="J1432" i="4"/>
  <c r="J1433" i="4"/>
  <c r="J1434" i="4"/>
  <c r="J1435" i="4"/>
  <c r="J1436" i="4"/>
  <c r="J1437" i="4"/>
  <c r="J1438" i="4"/>
  <c r="J1439" i="4"/>
  <c r="J1440" i="4"/>
  <c r="J1441" i="4"/>
  <c r="J1442" i="4"/>
  <c r="J1443" i="4"/>
  <c r="J1444" i="4"/>
  <c r="J1445" i="4"/>
  <c r="J1446" i="4"/>
  <c r="J1447" i="4"/>
  <c r="J1448" i="4"/>
  <c r="J1449" i="4"/>
  <c r="J1450" i="4"/>
  <c r="J1451" i="4"/>
  <c r="J1452" i="4"/>
  <c r="J1453" i="4"/>
  <c r="J1454" i="4"/>
  <c r="J1455" i="4"/>
  <c r="J1456" i="4"/>
  <c r="J1457" i="4"/>
  <c r="J1458" i="4"/>
  <c r="J1459" i="4"/>
  <c r="J1460" i="4"/>
  <c r="J1461" i="4"/>
  <c r="J1462" i="4"/>
  <c r="J1463" i="4"/>
  <c r="J1464" i="4"/>
  <c r="J1465" i="4"/>
  <c r="J1466" i="4"/>
  <c r="J1467" i="4"/>
  <c r="J1468" i="4"/>
  <c r="J1469" i="4"/>
  <c r="J1470" i="4"/>
  <c r="J1471" i="4"/>
  <c r="J1472" i="4"/>
  <c r="J1473" i="4"/>
  <c r="J1474" i="4"/>
  <c r="J1475" i="4"/>
  <c r="J1476" i="4"/>
  <c r="J1477" i="4"/>
  <c r="J1478" i="4"/>
  <c r="J1479" i="4"/>
  <c r="J1480" i="4"/>
  <c r="J1481" i="4"/>
  <c r="J1482" i="4"/>
  <c r="J1483" i="4"/>
  <c r="J1484" i="4"/>
  <c r="J1485" i="4"/>
  <c r="J1486" i="4"/>
  <c r="J1487" i="4"/>
  <c r="J1488" i="4"/>
  <c r="J1489" i="4"/>
  <c r="J1490" i="4"/>
  <c r="J1491" i="4"/>
  <c r="J1492" i="4"/>
  <c r="J1493" i="4"/>
  <c r="J1494" i="4"/>
  <c r="J1495" i="4"/>
  <c r="J1496" i="4"/>
  <c r="J1497" i="4"/>
  <c r="J1498" i="4"/>
  <c r="J1499" i="4"/>
  <c r="J1500" i="4"/>
  <c r="J1501" i="4"/>
  <c r="J1502" i="4"/>
  <c r="J1503" i="4"/>
  <c r="J1504" i="4"/>
  <c r="J1505" i="4"/>
  <c r="J1506" i="4"/>
  <c r="J1507" i="4"/>
  <c r="J1508" i="4"/>
  <c r="J1509" i="4"/>
  <c r="J1510" i="4"/>
  <c r="J1511" i="4"/>
  <c r="J1512" i="4"/>
  <c r="J1513" i="4"/>
  <c r="J1514" i="4"/>
  <c r="J1515" i="4"/>
  <c r="J1516" i="4"/>
  <c r="J1517" i="4"/>
  <c r="J1518" i="4"/>
  <c r="J1519" i="4"/>
  <c r="J1520" i="4"/>
  <c r="J1521" i="4"/>
  <c r="J1522" i="4"/>
  <c r="J1523" i="4"/>
  <c r="J1524" i="4"/>
  <c r="J1525" i="4"/>
  <c r="J1526" i="4"/>
  <c r="J1527" i="4"/>
  <c r="J1528" i="4"/>
  <c r="J1529" i="4"/>
  <c r="J1530" i="4"/>
  <c r="J1531" i="4"/>
  <c r="J1532" i="4"/>
  <c r="J1533" i="4"/>
  <c r="J1534" i="4"/>
  <c r="J1535" i="4"/>
  <c r="J1536" i="4"/>
  <c r="J1537" i="4"/>
  <c r="J1538" i="4"/>
  <c r="J1539" i="4"/>
  <c r="J1540" i="4"/>
  <c r="J1541" i="4"/>
  <c r="J1542" i="4"/>
  <c r="J1543" i="4"/>
  <c r="J1544" i="4"/>
  <c r="J1545" i="4"/>
  <c r="J1546" i="4"/>
  <c r="J1547" i="4"/>
  <c r="J1548" i="4"/>
  <c r="J1549" i="4"/>
  <c r="J1550" i="4"/>
  <c r="J1551" i="4"/>
  <c r="J1552" i="4"/>
  <c r="J1553" i="4"/>
  <c r="J1554" i="4"/>
  <c r="J1555" i="4"/>
  <c r="J1556" i="4"/>
  <c r="J1557" i="4"/>
  <c r="J1558" i="4"/>
  <c r="J1559" i="4"/>
  <c r="J1560" i="4"/>
  <c r="J1561" i="4"/>
  <c r="J1562" i="4"/>
  <c r="J1563" i="4"/>
  <c r="J1564" i="4"/>
  <c r="J1565" i="4"/>
  <c r="J1566" i="4"/>
  <c r="J1567" i="4"/>
  <c r="J1568" i="4"/>
  <c r="J1569" i="4"/>
  <c r="J1570" i="4"/>
  <c r="J1571" i="4"/>
  <c r="J1572" i="4"/>
  <c r="J1573" i="4"/>
  <c r="J1574" i="4"/>
  <c r="J1575" i="4"/>
  <c r="J1576" i="4"/>
  <c r="J1577" i="4"/>
  <c r="J1578" i="4"/>
  <c r="J1579" i="4"/>
  <c r="J1580" i="4"/>
  <c r="J1581" i="4"/>
  <c r="J1582" i="4"/>
  <c r="J1583" i="4"/>
  <c r="J1584" i="4"/>
  <c r="J1585" i="4"/>
  <c r="J1586" i="4"/>
  <c r="J1587" i="4"/>
  <c r="J1588" i="4"/>
  <c r="J1589" i="4"/>
  <c r="J1590" i="4"/>
  <c r="J1591" i="4"/>
  <c r="J1592" i="4"/>
  <c r="J1593" i="4"/>
  <c r="J1594" i="4"/>
  <c r="J1595" i="4"/>
  <c r="J1596" i="4"/>
  <c r="J1597" i="4"/>
  <c r="J1598" i="4"/>
  <c r="J1599" i="4"/>
  <c r="J1600" i="4"/>
  <c r="J1601" i="4"/>
  <c r="J1602" i="4"/>
  <c r="J1603" i="4"/>
  <c r="J1604" i="4"/>
  <c r="J1605" i="4"/>
  <c r="J1606" i="4"/>
  <c r="J1607" i="4"/>
  <c r="J1608" i="4"/>
  <c r="J1609" i="4"/>
  <c r="J1610" i="4"/>
  <c r="J1611" i="4"/>
  <c r="J1612" i="4"/>
  <c r="J1613" i="4"/>
  <c r="J1614" i="4"/>
  <c r="J1615" i="4"/>
  <c r="J1616" i="4"/>
  <c r="J1617" i="4"/>
  <c r="J1618" i="4"/>
  <c r="J1619" i="4"/>
  <c r="J1620" i="4"/>
  <c r="J1621" i="4"/>
  <c r="J1622" i="4"/>
  <c r="J1623" i="4"/>
  <c r="J1624" i="4"/>
  <c r="J1625" i="4"/>
  <c r="J1626" i="4"/>
  <c r="J1627" i="4"/>
  <c r="J1628" i="4"/>
  <c r="J1629" i="4"/>
  <c r="J1630" i="4"/>
  <c r="J1631" i="4"/>
  <c r="J1632" i="4"/>
  <c r="J1633" i="4"/>
  <c r="J1634" i="4"/>
  <c r="J1635" i="4"/>
  <c r="J1636" i="4"/>
  <c r="J1637" i="4"/>
  <c r="J1638" i="4"/>
  <c r="J1639" i="4"/>
  <c r="J1640" i="4"/>
  <c r="J1641" i="4"/>
  <c r="J1642" i="4"/>
  <c r="J1643" i="4"/>
  <c r="J1644" i="4"/>
  <c r="J1645" i="4"/>
  <c r="J1646" i="4"/>
  <c r="J1647" i="4"/>
  <c r="J1648" i="4"/>
  <c r="J1649" i="4"/>
  <c r="J1650" i="4"/>
  <c r="J1651" i="4"/>
  <c r="J1652" i="4"/>
  <c r="J1653" i="4"/>
  <c r="J1654" i="4"/>
  <c r="J1655" i="4"/>
  <c r="J1656" i="4"/>
  <c r="J1657" i="4"/>
  <c r="J1658" i="4"/>
  <c r="J1659" i="4"/>
  <c r="J1660" i="4"/>
  <c r="J1661" i="4"/>
  <c r="J1662" i="4"/>
  <c r="J1663" i="4"/>
  <c r="J1664" i="4"/>
  <c r="J1665" i="4"/>
  <c r="J1666" i="4"/>
  <c r="J1667" i="4"/>
  <c r="J1668" i="4"/>
  <c r="J1669" i="4"/>
  <c r="J1670" i="4"/>
  <c r="J1671" i="4"/>
  <c r="J1672" i="4"/>
  <c r="J1673" i="4"/>
  <c r="J1674" i="4"/>
  <c r="J1675" i="4"/>
  <c r="J1676" i="4"/>
  <c r="J1677" i="4"/>
  <c r="J1678" i="4"/>
  <c r="J1679" i="4"/>
  <c r="J1680" i="4"/>
  <c r="J1681" i="4"/>
  <c r="J1682" i="4"/>
  <c r="J1683" i="4"/>
  <c r="J1684" i="4"/>
  <c r="J1685" i="4"/>
  <c r="J1686" i="4"/>
  <c r="J1687" i="4"/>
  <c r="J1688" i="4"/>
  <c r="J1689" i="4"/>
  <c r="J1690" i="4"/>
  <c r="J1691" i="4"/>
  <c r="J1692" i="4"/>
  <c r="J1693" i="4"/>
  <c r="J1694" i="4"/>
  <c r="J1695" i="4"/>
  <c r="J1696" i="4"/>
  <c r="J1697" i="4"/>
  <c r="J1698" i="4"/>
  <c r="J1699" i="4"/>
  <c r="J1700" i="4"/>
  <c r="J1701" i="4"/>
  <c r="J1702" i="4"/>
  <c r="J1703" i="4"/>
  <c r="J1704" i="4"/>
  <c r="J1705" i="4"/>
  <c r="J1706" i="4"/>
  <c r="J1707" i="4"/>
  <c r="J1708" i="4"/>
  <c r="J1709" i="4"/>
  <c r="J1710" i="4"/>
  <c r="J1711" i="4"/>
  <c r="J1712" i="4"/>
  <c r="J1713" i="4"/>
  <c r="J1714" i="4"/>
  <c r="J1715" i="4"/>
  <c r="J1716" i="4"/>
  <c r="J1717" i="4"/>
  <c r="J1718" i="4"/>
  <c r="J1719" i="4"/>
  <c r="J1720" i="4"/>
  <c r="J1721" i="4"/>
  <c r="J1722" i="4"/>
  <c r="J1723" i="4"/>
  <c r="J1724" i="4"/>
  <c r="J1725" i="4"/>
  <c r="J1726" i="4"/>
  <c r="J1727" i="4"/>
  <c r="J1728" i="4"/>
  <c r="J1729" i="4"/>
  <c r="J1730" i="4"/>
  <c r="J1731" i="4"/>
  <c r="J1732" i="4"/>
  <c r="J1733" i="4"/>
  <c r="J1734" i="4"/>
  <c r="J1735" i="4"/>
  <c r="J1736" i="4"/>
  <c r="J1737" i="4"/>
  <c r="J1738" i="4"/>
  <c r="J1739" i="4"/>
  <c r="J1740" i="4"/>
  <c r="J1741" i="4"/>
  <c r="J1742" i="4"/>
  <c r="J1743" i="4"/>
  <c r="J1744" i="4"/>
  <c r="J1745" i="4"/>
  <c r="J1746" i="4"/>
  <c r="J1747" i="4"/>
  <c r="J1748" i="4"/>
  <c r="J1749" i="4"/>
  <c r="J1750" i="4"/>
  <c r="J1751" i="4"/>
  <c r="J1752" i="4"/>
  <c r="J1753" i="4"/>
  <c r="J1754" i="4"/>
  <c r="J1755" i="4"/>
  <c r="J1756" i="4"/>
  <c r="J1757" i="4"/>
  <c r="J1758" i="4"/>
  <c r="J1759" i="4"/>
  <c r="J1760" i="4"/>
  <c r="J1761" i="4"/>
  <c r="J1762" i="4"/>
  <c r="J1763" i="4"/>
  <c r="J1764" i="4"/>
  <c r="J1765" i="4"/>
  <c r="J1766" i="4"/>
  <c r="J1767" i="4"/>
  <c r="J1768" i="4"/>
  <c r="J1769" i="4"/>
  <c r="J1770" i="4"/>
  <c r="J1771" i="4"/>
  <c r="J1772" i="4"/>
  <c r="J1773" i="4"/>
  <c r="J1774" i="4"/>
  <c r="J1775" i="4"/>
  <c r="J1776" i="4"/>
  <c r="J1777" i="4"/>
  <c r="J1778" i="4"/>
  <c r="J1779" i="4"/>
  <c r="J1780" i="4"/>
  <c r="J1781" i="4"/>
  <c r="J1782" i="4"/>
  <c r="J1783" i="4"/>
  <c r="J1784" i="4"/>
  <c r="J1785" i="4"/>
  <c r="J1786" i="4"/>
  <c r="J1787" i="4"/>
  <c r="J1788" i="4"/>
  <c r="J1789" i="4"/>
  <c r="J1790" i="4"/>
  <c r="J1791" i="4"/>
  <c r="J1792" i="4"/>
  <c r="J1793" i="4"/>
  <c r="J1794" i="4"/>
  <c r="J1795" i="4"/>
  <c r="J1796" i="4"/>
  <c r="J1797" i="4"/>
  <c r="J1798" i="4"/>
  <c r="J1799" i="4"/>
  <c r="J1800" i="4"/>
  <c r="J1801" i="4"/>
  <c r="J1802" i="4"/>
  <c r="J1803" i="4"/>
  <c r="J1804" i="4"/>
  <c r="J1805" i="4"/>
  <c r="J1806" i="4"/>
  <c r="J1807" i="4"/>
  <c r="J1808" i="4"/>
  <c r="J1809" i="4"/>
  <c r="J1810" i="4"/>
  <c r="J1811" i="4"/>
  <c r="J1812" i="4"/>
  <c r="J1813" i="4"/>
  <c r="J1814" i="4"/>
  <c r="J1815" i="4"/>
  <c r="J1816" i="4"/>
  <c r="J1817" i="4"/>
  <c r="J1818" i="4"/>
  <c r="J1819" i="4"/>
  <c r="J1820" i="4"/>
  <c r="J1821" i="4"/>
  <c r="J1822" i="4"/>
  <c r="J1823" i="4"/>
  <c r="J1824" i="4"/>
  <c r="J1825" i="4"/>
  <c r="J1826" i="4"/>
  <c r="J1827" i="4"/>
  <c r="J1828" i="4"/>
  <c r="J1829" i="4"/>
  <c r="J1830" i="4"/>
  <c r="J1831" i="4"/>
  <c r="J1832" i="4"/>
  <c r="J1833" i="4"/>
  <c r="J1834" i="4"/>
  <c r="J1835" i="4"/>
  <c r="J1836" i="4"/>
  <c r="J1837" i="4"/>
  <c r="J1838" i="4"/>
  <c r="J1839" i="4"/>
  <c r="J1840" i="4"/>
  <c r="J1841" i="4"/>
  <c r="J1842" i="4"/>
  <c r="J1843" i="4"/>
  <c r="J1844" i="4"/>
  <c r="J1845" i="4"/>
  <c r="J1846" i="4"/>
  <c r="J1847" i="4"/>
  <c r="J1848" i="4"/>
  <c r="J1849" i="4"/>
  <c r="J1850" i="4"/>
  <c r="J1851" i="4"/>
  <c r="J1852" i="4"/>
  <c r="J1853" i="4"/>
  <c r="J1854" i="4"/>
  <c r="J1855" i="4"/>
  <c r="J1856" i="4"/>
  <c r="J1857" i="4"/>
  <c r="J1858" i="4"/>
  <c r="J1859" i="4"/>
  <c r="J1860" i="4"/>
  <c r="J1861" i="4"/>
  <c r="J1862" i="4"/>
  <c r="J1863" i="4"/>
  <c r="J1864" i="4"/>
  <c r="J1865" i="4"/>
  <c r="J1866" i="4"/>
  <c r="J1867" i="4"/>
  <c r="J1868" i="4"/>
  <c r="J1869" i="4"/>
  <c r="J1870" i="4"/>
  <c r="J1871" i="4"/>
  <c r="J1872" i="4"/>
  <c r="J1873" i="4"/>
  <c r="J1874" i="4"/>
  <c r="J1875" i="4"/>
  <c r="J1876" i="4"/>
  <c r="J1877" i="4"/>
  <c r="J1878" i="4"/>
  <c r="J1879" i="4"/>
  <c r="J1880" i="4"/>
  <c r="J1881" i="4"/>
  <c r="J1882" i="4"/>
  <c r="J1883" i="4"/>
  <c r="J1884" i="4"/>
  <c r="J1885" i="4"/>
  <c r="J1886" i="4"/>
  <c r="J1887" i="4"/>
  <c r="J1888" i="4"/>
  <c r="J1889" i="4"/>
  <c r="J1890" i="4"/>
  <c r="J1891" i="4"/>
  <c r="J1892" i="4"/>
  <c r="J1893" i="4"/>
  <c r="J1894" i="4"/>
  <c r="J1895" i="4"/>
  <c r="J1896" i="4"/>
  <c r="J1897" i="4"/>
  <c r="J1898" i="4"/>
  <c r="J1899" i="4"/>
  <c r="J1900" i="4"/>
  <c r="J1901" i="4"/>
  <c r="J1902" i="4"/>
  <c r="J1903" i="4"/>
  <c r="J1904" i="4"/>
  <c r="J1905" i="4"/>
  <c r="J1906" i="4"/>
  <c r="J1907" i="4"/>
  <c r="J1908" i="4"/>
  <c r="J1909" i="4"/>
  <c r="J1910" i="4"/>
  <c r="J1911" i="4"/>
  <c r="J1912" i="4"/>
  <c r="J1913" i="4"/>
  <c r="J1914" i="4"/>
  <c r="J1915" i="4"/>
  <c r="J1916" i="4"/>
  <c r="J1917" i="4"/>
  <c r="J1918" i="4"/>
  <c r="J1919" i="4"/>
  <c r="J1920" i="4"/>
  <c r="J1921" i="4"/>
  <c r="J1922" i="4"/>
  <c r="J1923" i="4"/>
  <c r="J1924" i="4"/>
  <c r="J1925" i="4"/>
  <c r="J1926" i="4"/>
  <c r="J1927" i="4"/>
  <c r="J1928" i="4"/>
  <c r="J1929" i="4"/>
  <c r="J1930" i="4"/>
  <c r="J1931" i="4"/>
  <c r="J1932" i="4"/>
  <c r="J1933" i="4"/>
  <c r="J1934" i="4"/>
  <c r="J1935" i="4"/>
  <c r="J1936" i="4"/>
  <c r="J1937" i="4"/>
  <c r="J1938" i="4"/>
  <c r="J1939" i="4"/>
  <c r="J1940" i="4"/>
  <c r="J1941" i="4"/>
  <c r="J1942" i="4"/>
  <c r="J1943" i="4"/>
  <c r="J1944" i="4"/>
  <c r="J1945" i="4"/>
  <c r="J1946" i="4"/>
  <c r="J1947" i="4"/>
  <c r="J1948" i="4"/>
  <c r="J1949" i="4"/>
  <c r="J1950" i="4"/>
  <c r="J1951" i="4"/>
  <c r="J1952" i="4"/>
  <c r="J1953" i="4"/>
  <c r="J1954" i="4"/>
  <c r="J1955" i="4"/>
  <c r="J1956" i="4"/>
  <c r="J1957" i="4"/>
  <c r="J1958" i="4"/>
  <c r="J1959" i="4"/>
  <c r="J1960" i="4"/>
  <c r="J1961" i="4"/>
  <c r="J1962" i="4"/>
  <c r="J1963" i="4"/>
  <c r="J1964" i="4"/>
  <c r="J1965" i="4"/>
  <c r="J1966" i="4"/>
  <c r="J1967" i="4"/>
  <c r="J1968" i="4"/>
  <c r="J1969" i="4"/>
  <c r="J1970" i="4"/>
  <c r="J1971" i="4"/>
  <c r="J1972" i="4"/>
  <c r="J1973" i="4"/>
  <c r="J1974" i="4"/>
  <c r="J1975" i="4"/>
  <c r="J1976" i="4"/>
  <c r="J1977" i="4"/>
  <c r="J1978" i="4"/>
  <c r="J1979" i="4"/>
  <c r="J1980" i="4"/>
  <c r="J1981" i="4"/>
  <c r="J1982" i="4"/>
  <c r="J1983" i="4"/>
  <c r="J1984" i="4"/>
  <c r="J1985" i="4"/>
  <c r="J1986" i="4"/>
  <c r="J1987" i="4"/>
  <c r="J1988" i="4"/>
  <c r="J1989" i="4"/>
  <c r="J1990" i="4"/>
  <c r="J1991" i="4"/>
  <c r="J1992" i="4"/>
  <c r="J1993" i="4"/>
  <c r="J1994" i="4"/>
  <c r="J1995" i="4"/>
  <c r="J1996" i="4"/>
  <c r="J1997" i="4"/>
  <c r="J1998" i="4"/>
  <c r="J1999" i="4"/>
  <c r="J2000" i="4"/>
  <c r="J2001" i="4"/>
  <c r="J2002" i="4"/>
  <c r="J2003" i="4"/>
  <c r="J2004" i="4"/>
  <c r="J2005" i="4"/>
  <c r="J2006" i="4"/>
  <c r="J2007" i="4"/>
  <c r="J2008" i="4"/>
  <c r="J2009" i="4"/>
  <c r="J2010" i="4"/>
  <c r="J2011" i="4"/>
  <c r="J2" i="4"/>
  <c r="K2" i="4"/>
  <c r="I2" i="4"/>
  <c r="G2" i="4"/>
  <c r="F2" i="4"/>
  <c r="D2" i="4"/>
  <c r="C2" i="4"/>
  <c r="I3" i="4"/>
  <c r="I4" i="4"/>
  <c r="E2" i="4"/>
  <c r="D3" i="4"/>
  <c r="E3" i="4"/>
  <c r="F3" i="4"/>
  <c r="G3" i="4"/>
  <c r="C4" i="4"/>
  <c r="D4" i="4"/>
  <c r="E4" i="4"/>
  <c r="F4" i="4"/>
  <c r="G4" i="4"/>
  <c r="C6" i="4"/>
  <c r="K4" i="4"/>
  <c r="K8" i="4"/>
  <c r="K12" i="4"/>
  <c r="K16" i="4"/>
  <c r="K20" i="4"/>
  <c r="K24" i="4"/>
  <c r="K28" i="4"/>
  <c r="K32" i="4"/>
  <c r="K36" i="4"/>
  <c r="K40" i="4"/>
  <c r="K44" i="4"/>
  <c r="K48" i="4"/>
  <c r="K52" i="4"/>
  <c r="K56" i="4"/>
  <c r="K60" i="4"/>
  <c r="K64" i="4"/>
  <c r="K68" i="4"/>
  <c r="K72" i="4"/>
  <c r="K76" i="4"/>
  <c r="K80" i="4"/>
  <c r="K84" i="4"/>
  <c r="K88" i="4"/>
  <c r="K92" i="4"/>
  <c r="K96" i="4"/>
  <c r="K100" i="4"/>
  <c r="K104" i="4"/>
  <c r="K108" i="4"/>
  <c r="K112" i="4"/>
  <c r="K116" i="4"/>
  <c r="K120" i="4"/>
  <c r="K124" i="4"/>
  <c r="K128" i="4"/>
  <c r="K132" i="4"/>
  <c r="K136" i="4"/>
  <c r="K140" i="4"/>
  <c r="K144" i="4"/>
  <c r="K148" i="4"/>
  <c r="K152" i="4"/>
  <c r="K156" i="4"/>
  <c r="K160" i="4"/>
  <c r="K164" i="4"/>
  <c r="K168" i="4"/>
  <c r="K172" i="4"/>
  <c r="K176" i="4"/>
  <c r="K180" i="4"/>
  <c r="K184" i="4"/>
  <c r="K188" i="4"/>
  <c r="K192" i="4"/>
  <c r="K196" i="4"/>
  <c r="K200" i="4"/>
  <c r="K204" i="4"/>
  <c r="K208" i="4"/>
  <c r="K212" i="4"/>
  <c r="K216" i="4"/>
  <c r="K220" i="4"/>
  <c r="K224" i="4"/>
  <c r="K228" i="4"/>
  <c r="K232" i="4"/>
  <c r="K236" i="4"/>
  <c r="K240" i="4"/>
  <c r="K244" i="4"/>
  <c r="K248" i="4"/>
  <c r="K252" i="4"/>
  <c r="K256" i="4"/>
  <c r="K260" i="4"/>
  <c r="K264" i="4"/>
  <c r="K268" i="4"/>
  <c r="K272" i="4"/>
  <c r="K276" i="4"/>
  <c r="K280" i="4"/>
  <c r="K284" i="4"/>
  <c r="K288" i="4"/>
  <c r="K292" i="4"/>
  <c r="K296" i="4"/>
  <c r="K300" i="4"/>
  <c r="K304" i="4"/>
  <c r="K308" i="4"/>
  <c r="K312" i="4"/>
  <c r="K316" i="4"/>
  <c r="K320" i="4"/>
  <c r="K324" i="4"/>
  <c r="K328" i="4"/>
  <c r="K332" i="4"/>
  <c r="K336" i="4"/>
  <c r="K340" i="4"/>
  <c r="K344" i="4"/>
  <c r="K348" i="4"/>
  <c r="K352" i="4"/>
  <c r="K356" i="4"/>
  <c r="K360" i="4"/>
  <c r="K364" i="4"/>
  <c r="K368" i="4"/>
  <c r="K372" i="4"/>
  <c r="K376" i="4"/>
  <c r="K380" i="4"/>
  <c r="K384" i="4"/>
  <c r="K388" i="4"/>
  <c r="K392" i="4"/>
  <c r="K396" i="4"/>
  <c r="K400" i="4"/>
  <c r="K404" i="4"/>
  <c r="K408" i="4"/>
  <c r="K412" i="4"/>
  <c r="K416" i="4"/>
  <c r="K420" i="4"/>
  <c r="K424" i="4"/>
  <c r="K428" i="4"/>
  <c r="K432" i="4"/>
  <c r="K436" i="4"/>
  <c r="K440" i="4"/>
  <c r="K444" i="4"/>
  <c r="K448" i="4"/>
  <c r="K452" i="4"/>
  <c r="K456" i="4"/>
  <c r="K460" i="4"/>
  <c r="K464" i="4"/>
  <c r="K468" i="4"/>
  <c r="K472" i="4"/>
  <c r="K476" i="4"/>
  <c r="K480" i="4"/>
  <c r="K484" i="4"/>
  <c r="K488" i="4"/>
  <c r="K492" i="4"/>
  <c r="K496" i="4"/>
  <c r="K500" i="4"/>
  <c r="K504" i="4"/>
  <c r="K508" i="4"/>
  <c r="K6" i="4"/>
  <c r="K10" i="4"/>
  <c r="K14" i="4"/>
  <c r="K18" i="4"/>
  <c r="K22" i="4"/>
  <c r="K26" i="4"/>
  <c r="K30" i="4"/>
  <c r="K34" i="4"/>
  <c r="K38" i="4"/>
  <c r="K42" i="4"/>
  <c r="K46" i="4"/>
  <c r="K50" i="4"/>
  <c r="K54" i="4"/>
  <c r="K58" i="4"/>
  <c r="K62" i="4"/>
  <c r="K66" i="4"/>
  <c r="K70" i="4"/>
  <c r="K74" i="4"/>
  <c r="K78" i="4"/>
  <c r="K82" i="4"/>
  <c r="K86" i="4"/>
  <c r="K90" i="4"/>
  <c r="K94" i="4"/>
  <c r="K98" i="4"/>
  <c r="K102" i="4"/>
  <c r="K106" i="4"/>
  <c r="K110" i="4"/>
  <c r="K114" i="4"/>
  <c r="K118" i="4"/>
  <c r="K122" i="4"/>
  <c r="K126" i="4"/>
  <c r="K130" i="4"/>
  <c r="K134" i="4"/>
  <c r="K138" i="4"/>
  <c r="K142" i="4"/>
  <c r="K146" i="4"/>
  <c r="K150" i="4"/>
  <c r="K154" i="4"/>
  <c r="K158" i="4"/>
  <c r="K162" i="4"/>
  <c r="K166" i="4"/>
  <c r="K170" i="4"/>
  <c r="K174" i="4"/>
  <c r="K178" i="4"/>
  <c r="K182" i="4"/>
  <c r="K186" i="4"/>
  <c r="K190" i="4"/>
  <c r="K194" i="4"/>
  <c r="K198" i="4"/>
  <c r="K202" i="4"/>
  <c r="K206" i="4"/>
  <c r="K210" i="4"/>
  <c r="K214" i="4"/>
  <c r="K218" i="4"/>
  <c r="K222" i="4"/>
  <c r="K226" i="4"/>
  <c r="K230" i="4"/>
  <c r="K234" i="4"/>
  <c r="K238" i="4"/>
  <c r="K242" i="4"/>
  <c r="K246" i="4"/>
  <c r="K250" i="4"/>
  <c r="K254" i="4"/>
  <c r="K258" i="4"/>
  <c r="K262" i="4"/>
  <c r="K266" i="4"/>
  <c r="K270" i="4"/>
  <c r="K274" i="4"/>
  <c r="K278" i="4"/>
  <c r="K282" i="4"/>
  <c r="K286" i="4"/>
  <c r="K290" i="4"/>
  <c r="K294" i="4"/>
  <c r="K298" i="4"/>
  <c r="K302" i="4"/>
  <c r="K306" i="4"/>
  <c r="K310" i="4"/>
  <c r="K314" i="4"/>
  <c r="K318" i="4"/>
  <c r="K322" i="4"/>
  <c r="K326" i="4"/>
  <c r="K330" i="4"/>
  <c r="K334" i="4"/>
  <c r="K338" i="4"/>
  <c r="K342" i="4"/>
  <c r="K346" i="4"/>
  <c r="K350" i="4"/>
  <c r="K354" i="4"/>
  <c r="K358" i="4"/>
  <c r="K362" i="4"/>
  <c r="K366" i="4"/>
  <c r="K370" i="4"/>
  <c r="K374" i="4"/>
  <c r="K378" i="4"/>
  <c r="K382" i="4"/>
  <c r="K386" i="4"/>
  <c r="K390" i="4"/>
  <c r="K394" i="4"/>
  <c r="K398" i="4"/>
  <c r="K402" i="4"/>
  <c r="K406" i="4"/>
  <c r="K410" i="4"/>
  <c r="K414" i="4"/>
  <c r="K418" i="4"/>
  <c r="K422" i="4"/>
  <c r="K426" i="4"/>
  <c r="K430" i="4"/>
  <c r="K434" i="4"/>
  <c r="K438" i="4"/>
  <c r="K442" i="4"/>
  <c r="K446" i="4"/>
  <c r="K450" i="4"/>
  <c r="K454" i="4"/>
  <c r="K458" i="4"/>
  <c r="K462" i="4"/>
  <c r="K466" i="4"/>
  <c r="K470" i="4"/>
  <c r="K474" i="4"/>
  <c r="K478" i="4"/>
  <c r="K482" i="4"/>
  <c r="K486" i="4"/>
  <c r="K490" i="4"/>
  <c r="K494" i="4"/>
  <c r="K498" i="4"/>
  <c r="K502" i="4"/>
  <c r="K506" i="4"/>
  <c r="K510" i="4"/>
  <c r="K5" i="4"/>
  <c r="K13" i="4"/>
  <c r="K21" i="4"/>
  <c r="K29" i="4"/>
  <c r="K37" i="4"/>
  <c r="K45" i="4"/>
  <c r="K53" i="4"/>
  <c r="K61" i="4"/>
  <c r="K69" i="4"/>
  <c r="K77" i="4"/>
  <c r="K85" i="4"/>
  <c r="K93" i="4"/>
  <c r="K101" i="4"/>
  <c r="K109" i="4"/>
  <c r="K117" i="4"/>
  <c r="K125" i="4"/>
  <c r="K133" i="4"/>
  <c r="K141" i="4"/>
  <c r="K149" i="4"/>
  <c r="K157" i="4"/>
  <c r="K165" i="4"/>
  <c r="K173" i="4"/>
  <c r="K181" i="4"/>
  <c r="K189" i="4"/>
  <c r="K197" i="4"/>
  <c r="K205" i="4"/>
  <c r="K213" i="4"/>
  <c r="K221" i="4"/>
  <c r="K229" i="4"/>
  <c r="K237" i="4"/>
  <c r="K245" i="4"/>
  <c r="K253" i="4"/>
  <c r="K261" i="4"/>
  <c r="K269" i="4"/>
  <c r="K277" i="4"/>
  <c r="K285" i="4"/>
  <c r="K293" i="4"/>
  <c r="K301" i="4"/>
  <c r="K309" i="4"/>
  <c r="K317" i="4"/>
  <c r="K325" i="4"/>
  <c r="K333" i="4"/>
  <c r="K341" i="4"/>
  <c r="K349" i="4"/>
  <c r="K357" i="4"/>
  <c r="K365" i="4"/>
  <c r="K373" i="4"/>
  <c r="K381" i="4"/>
  <c r="K389" i="4"/>
  <c r="K397" i="4"/>
  <c r="K405" i="4"/>
  <c r="K413" i="4"/>
  <c r="K421" i="4"/>
  <c r="K429" i="4"/>
  <c r="K437" i="4"/>
  <c r="K445" i="4"/>
  <c r="K453" i="4"/>
  <c r="K461" i="4"/>
  <c r="K469" i="4"/>
  <c r="K477" i="4"/>
  <c r="K485" i="4"/>
  <c r="K493" i="4"/>
  <c r="K501" i="4"/>
  <c r="K509" i="4"/>
  <c r="K514" i="4"/>
  <c r="K518" i="4"/>
  <c r="K522" i="4"/>
  <c r="K526" i="4"/>
  <c r="K530" i="4"/>
  <c r="K534" i="4"/>
  <c r="K538" i="4"/>
  <c r="K542" i="4"/>
  <c r="K546" i="4"/>
  <c r="K550" i="4"/>
  <c r="K554" i="4"/>
  <c r="K558" i="4"/>
  <c r="K562" i="4"/>
  <c r="K566" i="4"/>
  <c r="K570" i="4"/>
  <c r="K574" i="4"/>
  <c r="K578" i="4"/>
  <c r="K582" i="4"/>
  <c r="K586" i="4"/>
  <c r="K590" i="4"/>
  <c r="K594" i="4"/>
  <c r="K598" i="4"/>
  <c r="K602" i="4"/>
  <c r="K606" i="4"/>
  <c r="K610" i="4"/>
  <c r="K614" i="4"/>
  <c r="K618" i="4"/>
  <c r="K622" i="4"/>
  <c r="K626" i="4"/>
  <c r="K630" i="4"/>
  <c r="K634" i="4"/>
  <c r="K638" i="4"/>
  <c r="K642" i="4"/>
  <c r="K646" i="4"/>
  <c r="K650" i="4"/>
  <c r="K654" i="4"/>
  <c r="K658" i="4"/>
  <c r="K662" i="4"/>
  <c r="K666" i="4"/>
  <c r="K670" i="4"/>
  <c r="K674" i="4"/>
  <c r="K678" i="4"/>
  <c r="K682" i="4"/>
  <c r="K686" i="4"/>
  <c r="K690" i="4"/>
  <c r="K694" i="4"/>
  <c r="K698" i="4"/>
  <c r="K702" i="4"/>
  <c r="K706" i="4"/>
  <c r="K710" i="4"/>
  <c r="K714" i="4"/>
  <c r="K718" i="4"/>
  <c r="K722" i="4"/>
  <c r="K726" i="4"/>
  <c r="K730" i="4"/>
  <c r="K734" i="4"/>
  <c r="K738" i="4"/>
  <c r="K742" i="4"/>
  <c r="K746" i="4"/>
  <c r="K750" i="4"/>
  <c r="K754" i="4"/>
  <c r="K758" i="4"/>
  <c r="K762" i="4"/>
  <c r="K766" i="4"/>
  <c r="K9" i="4"/>
  <c r="K17" i="4"/>
  <c r="K25" i="4"/>
  <c r="K33" i="4"/>
  <c r="K41" i="4"/>
  <c r="K49" i="4"/>
  <c r="K57" i="4"/>
  <c r="K65" i="4"/>
  <c r="K73" i="4"/>
  <c r="K81" i="4"/>
  <c r="K89" i="4"/>
  <c r="K97" i="4"/>
  <c r="K105" i="4"/>
  <c r="K113" i="4"/>
  <c r="K121" i="4"/>
  <c r="K129" i="4"/>
  <c r="K137" i="4"/>
  <c r="K145" i="4"/>
  <c r="K153" i="4"/>
  <c r="K161" i="4"/>
  <c r="K169" i="4"/>
  <c r="K177" i="4"/>
  <c r="K185" i="4"/>
  <c r="K193" i="4"/>
  <c r="K201" i="4"/>
  <c r="K209" i="4"/>
  <c r="K217" i="4"/>
  <c r="K225" i="4"/>
  <c r="K233" i="4"/>
  <c r="K241" i="4"/>
  <c r="K249" i="4"/>
  <c r="K257" i="4"/>
  <c r="K265" i="4"/>
  <c r="K273" i="4"/>
  <c r="K281" i="4"/>
  <c r="K289" i="4"/>
  <c r="K297" i="4"/>
  <c r="K305" i="4"/>
  <c r="K313" i="4"/>
  <c r="K321" i="4"/>
  <c r="K329" i="4"/>
  <c r="K337" i="4"/>
  <c r="K345" i="4"/>
  <c r="K353" i="4"/>
  <c r="K361" i="4"/>
  <c r="K369" i="4"/>
  <c r="K377" i="4"/>
  <c r="K385" i="4"/>
  <c r="K393" i="4"/>
  <c r="K401" i="4"/>
  <c r="K409" i="4"/>
  <c r="K417" i="4"/>
  <c r="K425" i="4"/>
  <c r="K433" i="4"/>
  <c r="K441" i="4"/>
  <c r="K449" i="4"/>
  <c r="K457" i="4"/>
  <c r="K465" i="4"/>
  <c r="K473" i="4"/>
  <c r="K481" i="4"/>
  <c r="K489" i="4"/>
  <c r="K497" i="4"/>
  <c r="K505" i="4"/>
  <c r="K512" i="4"/>
  <c r="K516" i="4"/>
  <c r="K520" i="4"/>
  <c r="K524" i="4"/>
  <c r="K528" i="4"/>
  <c r="K532" i="4"/>
  <c r="K536" i="4"/>
  <c r="K540" i="4"/>
  <c r="K544" i="4"/>
  <c r="K548" i="4"/>
  <c r="K552" i="4"/>
  <c r="K556" i="4"/>
  <c r="K560" i="4"/>
  <c r="K564" i="4"/>
  <c r="K568" i="4"/>
  <c r="K572" i="4"/>
  <c r="K576" i="4"/>
  <c r="K580" i="4"/>
  <c r="K584" i="4"/>
  <c r="K588" i="4"/>
  <c r="K592" i="4"/>
  <c r="K596" i="4"/>
  <c r="K600" i="4"/>
  <c r="K604" i="4"/>
  <c r="K608" i="4"/>
  <c r="K612" i="4"/>
  <c r="K616" i="4"/>
  <c r="K620" i="4"/>
  <c r="K624" i="4"/>
  <c r="K628" i="4"/>
  <c r="K632" i="4"/>
  <c r="K636" i="4"/>
  <c r="K640" i="4"/>
  <c r="K648" i="4"/>
  <c r="K652" i="4"/>
  <c r="K656" i="4"/>
  <c r="K660" i="4"/>
  <c r="K664" i="4"/>
  <c r="K668" i="4"/>
  <c r="K672" i="4"/>
  <c r="K676" i="4"/>
  <c r="K680" i="4"/>
  <c r="K684" i="4"/>
  <c r="K688" i="4"/>
  <c r="K692" i="4"/>
  <c r="K696" i="4"/>
  <c r="K700" i="4"/>
  <c r="K704" i="4"/>
  <c r="K708" i="4"/>
  <c r="K712" i="4"/>
  <c r="K716" i="4"/>
  <c r="K720" i="4"/>
  <c r="K724" i="4"/>
  <c r="K728" i="4"/>
  <c r="K732" i="4"/>
  <c r="K736" i="4"/>
  <c r="K740" i="4"/>
  <c r="K744" i="4"/>
  <c r="K748" i="4"/>
  <c r="K752" i="4"/>
  <c r="K756" i="4"/>
  <c r="K760" i="4"/>
  <c r="K764" i="4"/>
  <c r="K3" i="4"/>
  <c r="K19" i="4"/>
  <c r="K35" i="4"/>
  <c r="K51" i="4"/>
  <c r="K67" i="4"/>
  <c r="K83" i="4"/>
  <c r="K99" i="4"/>
  <c r="K115" i="4"/>
  <c r="K131" i="4"/>
  <c r="K147" i="4"/>
  <c r="K163" i="4"/>
  <c r="K179" i="4"/>
  <c r="K195" i="4"/>
  <c r="K211" i="4"/>
  <c r="K227" i="4"/>
  <c r="K243" i="4"/>
  <c r="K259" i="4"/>
  <c r="K275" i="4"/>
  <c r="K291" i="4"/>
  <c r="K307" i="4"/>
  <c r="K323" i="4"/>
  <c r="K339" i="4"/>
  <c r="K355" i="4"/>
  <c r="K371" i="4"/>
  <c r="K387" i="4"/>
  <c r="K403" i="4"/>
  <c r="K419" i="4"/>
  <c r="K435" i="4"/>
  <c r="K451" i="4"/>
  <c r="K467" i="4"/>
  <c r="K483" i="4"/>
  <c r="K499" i="4"/>
  <c r="K513" i="4"/>
  <c r="K521" i="4"/>
  <c r="K529" i="4"/>
  <c r="K537" i="4"/>
  <c r="K545" i="4"/>
  <c r="K553" i="4"/>
  <c r="K561" i="4"/>
  <c r="K569" i="4"/>
  <c r="K577" i="4"/>
  <c r="K585" i="4"/>
  <c r="K593" i="4"/>
  <c r="K601" i="4"/>
  <c r="K609" i="4"/>
  <c r="K617" i="4"/>
  <c r="K625" i="4"/>
  <c r="K633" i="4"/>
  <c r="K641" i="4"/>
  <c r="K649" i="4"/>
  <c r="K657" i="4"/>
  <c r="K665" i="4"/>
  <c r="K673" i="4"/>
  <c r="K681" i="4"/>
  <c r="K689" i="4"/>
  <c r="K697" i="4"/>
  <c r="K705" i="4"/>
  <c r="K713" i="4"/>
  <c r="K721" i="4"/>
  <c r="K729" i="4"/>
  <c r="K737" i="4"/>
  <c r="K745" i="4"/>
  <c r="K753" i="4"/>
  <c r="K761" i="4"/>
  <c r="K768" i="4"/>
  <c r="K772" i="4"/>
  <c r="K776" i="4"/>
  <c r="K780" i="4"/>
  <c r="K784" i="4"/>
  <c r="K788" i="4"/>
  <c r="K792" i="4"/>
  <c r="K796" i="4"/>
  <c r="K800" i="4"/>
  <c r="K804" i="4"/>
  <c r="K808" i="4"/>
  <c r="K812" i="4"/>
  <c r="K816" i="4"/>
  <c r="K820" i="4"/>
  <c r="K824" i="4"/>
  <c r="K828" i="4"/>
  <c r="K832" i="4"/>
  <c r="K836" i="4"/>
  <c r="K840" i="4"/>
  <c r="K844" i="4"/>
  <c r="K848" i="4"/>
  <c r="K852" i="4"/>
  <c r="K856" i="4"/>
  <c r="K860" i="4"/>
  <c r="K864" i="4"/>
  <c r="K868" i="4"/>
  <c r="K872" i="4"/>
  <c r="K876" i="4"/>
  <c r="K880" i="4"/>
  <c r="K884" i="4"/>
  <c r="K888" i="4"/>
  <c r="K892" i="4"/>
  <c r="K896" i="4"/>
  <c r="K900" i="4"/>
  <c r="K904" i="4"/>
  <c r="K908" i="4"/>
  <c r="K912" i="4"/>
  <c r="K916" i="4"/>
  <c r="K920" i="4"/>
  <c r="K924" i="4"/>
  <c r="K928" i="4"/>
  <c r="K932" i="4"/>
  <c r="K936" i="4"/>
  <c r="K940" i="4"/>
  <c r="K944" i="4"/>
  <c r="K948" i="4"/>
  <c r="K952" i="4"/>
  <c r="K956" i="4"/>
  <c r="K960" i="4"/>
  <c r="K964" i="4"/>
  <c r="K968" i="4"/>
  <c r="K972" i="4"/>
  <c r="K976" i="4"/>
  <c r="K980" i="4"/>
  <c r="K984" i="4"/>
  <c r="K988" i="4"/>
  <c r="K992" i="4"/>
  <c r="K996" i="4"/>
  <c r="K1000" i="4"/>
  <c r="K1004" i="4"/>
  <c r="K1008" i="4"/>
  <c r="K1012" i="4"/>
  <c r="K1016" i="4"/>
  <c r="K7" i="4"/>
  <c r="K27" i="4"/>
  <c r="K47" i="4"/>
  <c r="K71" i="4"/>
  <c r="K91" i="4"/>
  <c r="K111" i="4"/>
  <c r="K135" i="4"/>
  <c r="K155" i="4"/>
  <c r="K175" i="4"/>
  <c r="K199" i="4"/>
  <c r="K219" i="4"/>
  <c r="K239" i="4"/>
  <c r="K263" i="4"/>
  <c r="K283" i="4"/>
  <c r="K303" i="4"/>
  <c r="K327" i="4"/>
  <c r="K347" i="4"/>
  <c r="K367" i="4"/>
  <c r="K391" i="4"/>
  <c r="K411" i="4"/>
  <c r="K431" i="4"/>
  <c r="K455" i="4"/>
  <c r="K475" i="4"/>
  <c r="K495" i="4"/>
  <c r="K515" i="4"/>
  <c r="K525" i="4"/>
  <c r="K535" i="4"/>
  <c r="K547" i="4"/>
  <c r="K557" i="4"/>
  <c r="K567" i="4"/>
  <c r="K579" i="4"/>
  <c r="K589" i="4"/>
  <c r="K599" i="4"/>
  <c r="K611" i="4"/>
  <c r="K621" i="4"/>
  <c r="K631" i="4"/>
  <c r="K643" i="4"/>
  <c r="K653" i="4"/>
  <c r="K663" i="4"/>
  <c r="K685" i="4"/>
  <c r="K695" i="4"/>
  <c r="K707" i="4"/>
  <c r="K717" i="4"/>
  <c r="K727" i="4"/>
  <c r="K739" i="4"/>
  <c r="K749" i="4"/>
  <c r="K759" i="4"/>
  <c r="K769" i="4"/>
  <c r="K774" i="4"/>
  <c r="K779" i="4"/>
  <c r="K785" i="4"/>
  <c r="K790" i="4"/>
  <c r="K795" i="4"/>
  <c r="K801" i="4"/>
  <c r="K806" i="4"/>
  <c r="K811" i="4"/>
  <c r="K817" i="4"/>
  <c r="K822" i="4"/>
  <c r="K827" i="4"/>
  <c r="K833" i="4"/>
  <c r="K838" i="4"/>
  <c r="K843" i="4"/>
  <c r="K849" i="4"/>
  <c r="K854" i="4"/>
  <c r="K859" i="4"/>
  <c r="K865" i="4"/>
  <c r="K870" i="4"/>
  <c r="K875" i="4"/>
  <c r="K881" i="4"/>
  <c r="K886" i="4"/>
  <c r="K891" i="4"/>
  <c r="K897" i="4"/>
  <c r="K902" i="4"/>
  <c r="K907" i="4"/>
  <c r="K913" i="4"/>
  <c r="K918" i="4"/>
  <c r="K923" i="4"/>
  <c r="K929" i="4"/>
  <c r="K934" i="4"/>
  <c r="K939" i="4"/>
  <c r="K945" i="4"/>
  <c r="K950" i="4"/>
  <c r="K955" i="4"/>
  <c r="K961" i="4"/>
  <c r="K966" i="4"/>
  <c r="K971" i="4"/>
  <c r="K977" i="4"/>
  <c r="K982" i="4"/>
  <c r="K987" i="4"/>
  <c r="K993" i="4"/>
  <c r="K998" i="4"/>
  <c r="K1003" i="4"/>
  <c r="K1009" i="4"/>
  <c r="K1014" i="4"/>
  <c r="K1019" i="4"/>
  <c r="K1023" i="4"/>
  <c r="K1027" i="4"/>
  <c r="K1031" i="4"/>
  <c r="K1035" i="4"/>
  <c r="K1039" i="4"/>
  <c r="K1043" i="4"/>
  <c r="K1047" i="4"/>
  <c r="K1051" i="4"/>
  <c r="K1055" i="4"/>
  <c r="K1059" i="4"/>
  <c r="K1063" i="4"/>
  <c r="K1067" i="4"/>
  <c r="K1071" i="4"/>
  <c r="K1075" i="4"/>
  <c r="K1079" i="4"/>
  <c r="K1083" i="4"/>
  <c r="K1087" i="4"/>
  <c r="K1091" i="4"/>
  <c r="K1095" i="4"/>
  <c r="K1099" i="4"/>
  <c r="K1103" i="4"/>
  <c r="K1107" i="4"/>
  <c r="K1111" i="4"/>
  <c r="K1115" i="4"/>
  <c r="K1119" i="4"/>
  <c r="K1123" i="4"/>
  <c r="K1127" i="4"/>
  <c r="K1131" i="4"/>
  <c r="K1135" i="4"/>
  <c r="K1139" i="4"/>
  <c r="K1143" i="4"/>
  <c r="K1147" i="4"/>
  <c r="K1151" i="4"/>
  <c r="K1155" i="4"/>
  <c r="K1159" i="4"/>
  <c r="K1163" i="4"/>
  <c r="K1167" i="4"/>
  <c r="K1171" i="4"/>
  <c r="K1175" i="4"/>
  <c r="K1179" i="4"/>
  <c r="K1183" i="4"/>
  <c r="K1187" i="4"/>
  <c r="K1191" i="4"/>
  <c r="K1195" i="4"/>
  <c r="K1199" i="4"/>
  <c r="K1203" i="4"/>
  <c r="K1207" i="4"/>
  <c r="K1211" i="4"/>
  <c r="K1215" i="4"/>
  <c r="K1219" i="4"/>
  <c r="K1223" i="4"/>
  <c r="K1227" i="4"/>
  <c r="K1231" i="4"/>
  <c r="K1235" i="4"/>
  <c r="K1239" i="4"/>
  <c r="K1243" i="4"/>
  <c r="K1247" i="4"/>
  <c r="K1251" i="4"/>
  <c r="K1255" i="4"/>
  <c r="K1259" i="4"/>
  <c r="K1263" i="4"/>
  <c r="K1267" i="4"/>
  <c r="K1271" i="4"/>
  <c r="K1275" i="4"/>
  <c r="K1279" i="4"/>
  <c r="K1283" i="4"/>
  <c r="K1287" i="4"/>
  <c r="K1291" i="4"/>
  <c r="K1295" i="4"/>
  <c r="K1299" i="4"/>
  <c r="K1303" i="4"/>
  <c r="K1307" i="4"/>
  <c r="K1311" i="4"/>
  <c r="K1315" i="4"/>
  <c r="K1319" i="4"/>
  <c r="K1323" i="4"/>
  <c r="K1327" i="4"/>
  <c r="K1331" i="4"/>
  <c r="K1335" i="4"/>
  <c r="K1339" i="4"/>
  <c r="K1343" i="4"/>
  <c r="K1347" i="4"/>
  <c r="K1351" i="4"/>
  <c r="K1355" i="4"/>
  <c r="K1359" i="4"/>
  <c r="K1363" i="4"/>
  <c r="K1367" i="4"/>
  <c r="K1371" i="4"/>
  <c r="K1375" i="4"/>
  <c r="K1379" i="4"/>
  <c r="K1383" i="4"/>
  <c r="K1387" i="4"/>
  <c r="K1391" i="4"/>
  <c r="K1395" i="4"/>
  <c r="K1399" i="4"/>
  <c r="K1403" i="4"/>
  <c r="K1407" i="4"/>
  <c r="K1411" i="4"/>
  <c r="K1415" i="4"/>
  <c r="K1419" i="4"/>
  <c r="K1423" i="4"/>
  <c r="K1427" i="4"/>
  <c r="K1431" i="4"/>
  <c r="K1435" i="4"/>
  <c r="K1439" i="4"/>
  <c r="K1443" i="4"/>
  <c r="K1447" i="4"/>
  <c r="K1451" i="4"/>
  <c r="K1455" i="4"/>
  <c r="K1459" i="4"/>
  <c r="K1463" i="4"/>
  <c r="K1467" i="4"/>
  <c r="K1471" i="4"/>
  <c r="K1475" i="4"/>
  <c r="K1479" i="4"/>
  <c r="K1483" i="4"/>
  <c r="K1487" i="4"/>
  <c r="K1491" i="4"/>
  <c r="K1495" i="4"/>
  <c r="K1499" i="4"/>
  <c r="K1503" i="4"/>
  <c r="K1507" i="4"/>
  <c r="K1511" i="4"/>
  <c r="K1515" i="4"/>
  <c r="K1519" i="4"/>
  <c r="K1523" i="4"/>
  <c r="K1527" i="4"/>
  <c r="K1531" i="4"/>
  <c r="K1535" i="4"/>
  <c r="K1539" i="4"/>
  <c r="K1543" i="4"/>
  <c r="K1547" i="4"/>
  <c r="K1551" i="4"/>
  <c r="K1555" i="4"/>
  <c r="K1559" i="4"/>
  <c r="K1563" i="4"/>
  <c r="K1567" i="4"/>
  <c r="K1571" i="4"/>
  <c r="K1575" i="4"/>
  <c r="K1579" i="4"/>
  <c r="K1583" i="4"/>
  <c r="K1587" i="4"/>
  <c r="K1591" i="4"/>
  <c r="K1595" i="4"/>
  <c r="K1599" i="4"/>
  <c r="K1603" i="4"/>
  <c r="K1607" i="4"/>
  <c r="K1611" i="4"/>
  <c r="K1615" i="4"/>
  <c r="K1619" i="4"/>
  <c r="K1623" i="4"/>
  <c r="K1627" i="4"/>
  <c r="K1631" i="4"/>
  <c r="K1635" i="4"/>
  <c r="K1639" i="4"/>
  <c r="K1643" i="4"/>
  <c r="K1647" i="4"/>
  <c r="K1651" i="4"/>
  <c r="K1655" i="4"/>
  <c r="K11" i="4"/>
  <c r="K31" i="4"/>
  <c r="K55" i="4"/>
  <c r="K75" i="4"/>
  <c r="K95" i="4"/>
  <c r="K119" i="4"/>
  <c r="K139" i="4"/>
  <c r="K159" i="4"/>
  <c r="K183" i="4"/>
  <c r="K203" i="4"/>
  <c r="K223" i="4"/>
  <c r="K247" i="4"/>
  <c r="K267" i="4"/>
  <c r="K287" i="4"/>
  <c r="K311" i="4"/>
  <c r="K331" i="4"/>
  <c r="K351" i="4"/>
  <c r="K375" i="4"/>
  <c r="K395" i="4"/>
  <c r="K415" i="4"/>
  <c r="K439" i="4"/>
  <c r="K459" i="4"/>
  <c r="K479" i="4"/>
  <c r="K503" i="4"/>
  <c r="K517" i="4"/>
  <c r="K527" i="4"/>
  <c r="K539" i="4"/>
  <c r="K549" i="4"/>
  <c r="K559" i="4"/>
  <c r="K571" i="4"/>
  <c r="K581" i="4"/>
  <c r="K591" i="4"/>
  <c r="K603" i="4"/>
  <c r="K613" i="4"/>
  <c r="K623" i="4"/>
  <c r="K635" i="4"/>
  <c r="K645" i="4"/>
  <c r="K655" i="4"/>
  <c r="K667" i="4"/>
  <c r="K677" i="4"/>
  <c r="K687" i="4"/>
  <c r="K699" i="4"/>
  <c r="K709" i="4"/>
  <c r="K719" i="4"/>
  <c r="K731" i="4"/>
  <c r="K741" i="4"/>
  <c r="K751" i="4"/>
  <c r="K763" i="4"/>
  <c r="K770" i="4"/>
  <c r="K775" i="4"/>
  <c r="K781" i="4"/>
  <c r="K786" i="4"/>
  <c r="K791" i="4"/>
  <c r="K797" i="4"/>
  <c r="K802" i="4"/>
  <c r="K807" i="4"/>
  <c r="K813" i="4"/>
  <c r="K818" i="4"/>
  <c r="K823" i="4"/>
  <c r="K829" i="4"/>
  <c r="K834" i="4"/>
  <c r="K839" i="4"/>
  <c r="K845" i="4"/>
  <c r="K850" i="4"/>
  <c r="K855" i="4"/>
  <c r="K861" i="4"/>
  <c r="K866" i="4"/>
  <c r="K871" i="4"/>
  <c r="K877" i="4"/>
  <c r="K882" i="4"/>
  <c r="K887" i="4"/>
  <c r="K893" i="4"/>
  <c r="K898" i="4"/>
  <c r="K903" i="4"/>
  <c r="K909" i="4"/>
  <c r="K914" i="4"/>
  <c r="K919" i="4"/>
  <c r="K925" i="4"/>
  <c r="K930" i="4"/>
  <c r="K935" i="4"/>
  <c r="K941" i="4"/>
  <c r="K946" i="4"/>
  <c r="K951" i="4"/>
  <c r="K957" i="4"/>
  <c r="K962" i="4"/>
  <c r="K967" i="4"/>
  <c r="K973" i="4"/>
  <c r="K978" i="4"/>
  <c r="K983" i="4"/>
  <c r="K989" i="4"/>
  <c r="K994" i="4"/>
  <c r="K999" i="4"/>
  <c r="K1005" i="4"/>
  <c r="K1010" i="4"/>
  <c r="K1015" i="4"/>
  <c r="K1020" i="4"/>
  <c r="K1024" i="4"/>
  <c r="K1028" i="4"/>
  <c r="K1032" i="4"/>
  <c r="K1036" i="4"/>
  <c r="K1040" i="4"/>
  <c r="K1044" i="4"/>
  <c r="K1048" i="4"/>
  <c r="K1052" i="4"/>
  <c r="K1056" i="4"/>
  <c r="K1060" i="4"/>
  <c r="K1064" i="4"/>
  <c r="K1068" i="4"/>
  <c r="K1072" i="4"/>
  <c r="K1076" i="4"/>
  <c r="K1080" i="4"/>
  <c r="K1084" i="4"/>
  <c r="K1088" i="4"/>
  <c r="K1092" i="4"/>
  <c r="K1096" i="4"/>
  <c r="K1100" i="4"/>
  <c r="K1104" i="4"/>
  <c r="K1108" i="4"/>
  <c r="K1112" i="4"/>
  <c r="K1116" i="4"/>
  <c r="K1120" i="4"/>
  <c r="K1124" i="4"/>
  <c r="K1128" i="4"/>
  <c r="K1132" i="4"/>
  <c r="K1136" i="4"/>
  <c r="K1140" i="4"/>
  <c r="K1144" i="4"/>
  <c r="K1148" i="4"/>
  <c r="K1152" i="4"/>
  <c r="K1156" i="4"/>
  <c r="K1160" i="4"/>
  <c r="K1164" i="4"/>
  <c r="K1168" i="4"/>
  <c r="K1172" i="4"/>
  <c r="K1176" i="4"/>
  <c r="K1180" i="4"/>
  <c r="K1184" i="4"/>
  <c r="K1188" i="4"/>
  <c r="K1192" i="4"/>
  <c r="K1196" i="4"/>
  <c r="K1200" i="4"/>
  <c r="K1204" i="4"/>
  <c r="K1208" i="4"/>
  <c r="K1212" i="4"/>
  <c r="K1216" i="4"/>
  <c r="K1220" i="4"/>
  <c r="K1224" i="4"/>
  <c r="K1228" i="4"/>
  <c r="K1232" i="4"/>
  <c r="K1236" i="4"/>
  <c r="K1240" i="4"/>
  <c r="K1244" i="4"/>
  <c r="K1248" i="4"/>
  <c r="K1252" i="4"/>
  <c r="K1256" i="4"/>
  <c r="K1260" i="4"/>
  <c r="K1264" i="4"/>
  <c r="K1268" i="4"/>
  <c r="K1272" i="4"/>
  <c r="K1276" i="4"/>
  <c r="K1280" i="4"/>
  <c r="K1284" i="4"/>
  <c r="K1288" i="4"/>
  <c r="K1292" i="4"/>
  <c r="K1296" i="4"/>
  <c r="K1300" i="4"/>
  <c r="K1304" i="4"/>
  <c r="K1308" i="4"/>
  <c r="K1312" i="4"/>
  <c r="K1316" i="4"/>
  <c r="K1320" i="4"/>
  <c r="K1324" i="4"/>
  <c r="K1328" i="4"/>
  <c r="K1332" i="4"/>
  <c r="K1336" i="4"/>
  <c r="K1340" i="4"/>
  <c r="K1344" i="4"/>
  <c r="K1348" i="4"/>
  <c r="K1352" i="4"/>
  <c r="K1356" i="4"/>
  <c r="K1360" i="4"/>
  <c r="K1364" i="4"/>
  <c r="K1368" i="4"/>
  <c r="K1372" i="4"/>
  <c r="K1376" i="4"/>
  <c r="K1380" i="4"/>
  <c r="K1384" i="4"/>
  <c r="K1388" i="4"/>
  <c r="K1392" i="4"/>
  <c r="K1396" i="4"/>
  <c r="K1400" i="4"/>
  <c r="K1404" i="4"/>
  <c r="K1408" i="4"/>
  <c r="K1412" i="4"/>
  <c r="K1416" i="4"/>
  <c r="K1420" i="4"/>
  <c r="K1424" i="4"/>
  <c r="K1428" i="4"/>
  <c r="K1432" i="4"/>
  <c r="K1436" i="4"/>
  <c r="K1440" i="4"/>
  <c r="K1444" i="4"/>
  <c r="K1448" i="4"/>
  <c r="K1452" i="4"/>
  <c r="K1456" i="4"/>
  <c r="K1460" i="4"/>
  <c r="K1464" i="4"/>
  <c r="K1468" i="4"/>
  <c r="K1472" i="4"/>
  <c r="K1476" i="4"/>
  <c r="K1480" i="4"/>
  <c r="K1484" i="4"/>
  <c r="K1488" i="4"/>
  <c r="K1492" i="4"/>
  <c r="K1496" i="4"/>
  <c r="K1500" i="4"/>
  <c r="K1504" i="4"/>
  <c r="K1508" i="4"/>
  <c r="K1512" i="4"/>
  <c r="K1516" i="4"/>
  <c r="K1520" i="4"/>
  <c r="K1524" i="4"/>
  <c r="K1528" i="4"/>
  <c r="K1532" i="4"/>
  <c r="K1536" i="4"/>
  <c r="K1540" i="4"/>
  <c r="K1544" i="4"/>
  <c r="K1548" i="4"/>
  <c r="K1552" i="4"/>
  <c r="K1556" i="4"/>
  <c r="K1560" i="4"/>
  <c r="K1564" i="4"/>
  <c r="K1568" i="4"/>
  <c r="K1572" i="4"/>
  <c r="K1576" i="4"/>
  <c r="K1580" i="4"/>
  <c r="K1584" i="4"/>
  <c r="K1588" i="4"/>
  <c r="K1592" i="4"/>
  <c r="K1596" i="4"/>
  <c r="K1600" i="4"/>
  <c r="K1604" i="4"/>
  <c r="K1608" i="4"/>
  <c r="K1612" i="4"/>
  <c r="K1616" i="4"/>
  <c r="K1620" i="4"/>
  <c r="K1624" i="4"/>
  <c r="K1628" i="4"/>
  <c r="K1632" i="4"/>
  <c r="K1636" i="4"/>
  <c r="K15" i="4"/>
  <c r="K59" i="4"/>
  <c r="K103" i="4"/>
  <c r="K143" i="4"/>
  <c r="K187" i="4"/>
  <c r="K231" i="4"/>
  <c r="K271" i="4"/>
  <c r="K315" i="4"/>
  <c r="K359" i="4"/>
  <c r="K399" i="4"/>
  <c r="K443" i="4"/>
  <c r="K487" i="4"/>
  <c r="K519" i="4"/>
  <c r="K541" i="4"/>
  <c r="K563" i="4"/>
  <c r="K583" i="4"/>
  <c r="K605" i="4"/>
  <c r="K627" i="4"/>
  <c r="K647" i="4"/>
  <c r="K669" i="4"/>
  <c r="K691" i="4"/>
  <c r="K711" i="4"/>
  <c r="K733" i="4"/>
  <c r="K755" i="4"/>
  <c r="K771" i="4"/>
  <c r="K782" i="4"/>
  <c r="K793" i="4"/>
  <c r="K803" i="4"/>
  <c r="K814" i="4"/>
  <c r="K825" i="4"/>
  <c r="K835" i="4"/>
  <c r="K846" i="4"/>
  <c r="K857" i="4"/>
  <c r="K867" i="4"/>
  <c r="K878" i="4"/>
  <c r="K889" i="4"/>
  <c r="K899" i="4"/>
  <c r="K910" i="4"/>
  <c r="K921" i="4"/>
  <c r="K931" i="4"/>
  <c r="K942" i="4"/>
  <c r="K953" i="4"/>
  <c r="K963" i="4"/>
  <c r="K974" i="4"/>
  <c r="K985" i="4"/>
  <c r="K995" i="4"/>
  <c r="K1006" i="4"/>
  <c r="K1017" i="4"/>
  <c r="K1025" i="4"/>
  <c r="K1033" i="4"/>
  <c r="K1041" i="4"/>
  <c r="K1049" i="4"/>
  <c r="K1057" i="4"/>
  <c r="K1065" i="4"/>
  <c r="K1073" i="4"/>
  <c r="K1081" i="4"/>
  <c r="K1089" i="4"/>
  <c r="K1097" i="4"/>
  <c r="K1105" i="4"/>
  <c r="K1113" i="4"/>
  <c r="K1121" i="4"/>
  <c r="K1129" i="4"/>
  <c r="K1137" i="4"/>
  <c r="K1145" i="4"/>
  <c r="K1153" i="4"/>
  <c r="K1161" i="4"/>
  <c r="K1169" i="4"/>
  <c r="K1177" i="4"/>
  <c r="K1185" i="4"/>
  <c r="K1193" i="4"/>
  <c r="K1201" i="4"/>
  <c r="K1209" i="4"/>
  <c r="K1217" i="4"/>
  <c r="K1225" i="4"/>
  <c r="K1233" i="4"/>
  <c r="K1241" i="4"/>
  <c r="K1249" i="4"/>
  <c r="K1257" i="4"/>
  <c r="K1265" i="4"/>
  <c r="K1273" i="4"/>
  <c r="K1281" i="4"/>
  <c r="K1289" i="4"/>
  <c r="K1297" i="4"/>
  <c r="K1305" i="4"/>
  <c r="K1313" i="4"/>
  <c r="K1321" i="4"/>
  <c r="K1329" i="4"/>
  <c r="K1337" i="4"/>
  <c r="K1345" i="4"/>
  <c r="K1353" i="4"/>
  <c r="K1361" i="4"/>
  <c r="K1369" i="4"/>
  <c r="K1377" i="4"/>
  <c r="K1385" i="4"/>
  <c r="K1393" i="4"/>
  <c r="K1401" i="4"/>
  <c r="K1409" i="4"/>
  <c r="K1417" i="4"/>
  <c r="K1425" i="4"/>
  <c r="K1433" i="4"/>
  <c r="K1441" i="4"/>
  <c r="K1449" i="4"/>
  <c r="K1457" i="4"/>
  <c r="K1465" i="4"/>
  <c r="K1473" i="4"/>
  <c r="K1481" i="4"/>
  <c r="K1489" i="4"/>
  <c r="K1497" i="4"/>
  <c r="K1505" i="4"/>
  <c r="K1513" i="4"/>
  <c r="K1521" i="4"/>
  <c r="K1529" i="4"/>
  <c r="K1537" i="4"/>
  <c r="K1545" i="4"/>
  <c r="K1553" i="4"/>
  <c r="K1561" i="4"/>
  <c r="K1569" i="4"/>
  <c r="K1577" i="4"/>
  <c r="K1585" i="4"/>
  <c r="K1593" i="4"/>
  <c r="K1601" i="4"/>
  <c r="K1609" i="4"/>
  <c r="K1617" i="4"/>
  <c r="K1625" i="4"/>
  <c r="K1633" i="4"/>
  <c r="K1640" i="4"/>
  <c r="K1645" i="4"/>
  <c r="K1650" i="4"/>
  <c r="K1656" i="4"/>
  <c r="K1660" i="4"/>
  <c r="K1664" i="4"/>
  <c r="K1668" i="4"/>
  <c r="K1672" i="4"/>
  <c r="K1676" i="4"/>
  <c r="K1680" i="4"/>
  <c r="K1684" i="4"/>
  <c r="K1688" i="4"/>
  <c r="K1692" i="4"/>
  <c r="K1696" i="4"/>
  <c r="K1700" i="4"/>
  <c r="K1704" i="4"/>
  <c r="K1708" i="4"/>
  <c r="K1712" i="4"/>
  <c r="K1716" i="4"/>
  <c r="K1720" i="4"/>
  <c r="K1724" i="4"/>
  <c r="K1728" i="4"/>
  <c r="K1732" i="4"/>
  <c r="K1736" i="4"/>
  <c r="K1740" i="4"/>
  <c r="K1744" i="4"/>
  <c r="K1748" i="4"/>
  <c r="K1752" i="4"/>
  <c r="K1756" i="4"/>
  <c r="K1760" i="4"/>
  <c r="K1764" i="4"/>
  <c r="K1768" i="4"/>
  <c r="K1772" i="4"/>
  <c r="K1776" i="4"/>
  <c r="K1780" i="4"/>
  <c r="K1784" i="4"/>
  <c r="K1788" i="4"/>
  <c r="K1792" i="4"/>
  <c r="K1796" i="4"/>
  <c r="K1800" i="4"/>
  <c r="K1804" i="4"/>
  <c r="K1808" i="4"/>
  <c r="K1812" i="4"/>
  <c r="K1816" i="4"/>
  <c r="K1820" i="4"/>
  <c r="K1824" i="4"/>
  <c r="K1828" i="4"/>
  <c r="K1832" i="4"/>
  <c r="K1836" i="4"/>
  <c r="K1840" i="4"/>
  <c r="K1844" i="4"/>
  <c r="K1848" i="4"/>
  <c r="K1852" i="4"/>
  <c r="K1856" i="4"/>
  <c r="K1860" i="4"/>
  <c r="K1864" i="4"/>
  <c r="K1868" i="4"/>
  <c r="K1872" i="4"/>
  <c r="K1876" i="4"/>
  <c r="K1880" i="4"/>
  <c r="K1884" i="4"/>
  <c r="K1888" i="4"/>
  <c r="K1892" i="4"/>
  <c r="K1896" i="4"/>
  <c r="K1900" i="4"/>
  <c r="K1904" i="4"/>
  <c r="K1908" i="4"/>
  <c r="K1912" i="4"/>
  <c r="K1916" i="4"/>
  <c r="K1920" i="4"/>
  <c r="K1924" i="4"/>
  <c r="K1928" i="4"/>
  <c r="K1932" i="4"/>
  <c r="K1936" i="4"/>
  <c r="K1940" i="4"/>
  <c r="K1944" i="4"/>
  <c r="K1948" i="4"/>
  <c r="K1952" i="4"/>
  <c r="K1956" i="4"/>
  <c r="K1960" i="4"/>
  <c r="K1964" i="4"/>
  <c r="K1968" i="4"/>
  <c r="K1972" i="4"/>
  <c r="K1976" i="4"/>
  <c r="K1980" i="4"/>
  <c r="K1984" i="4"/>
  <c r="K1988" i="4"/>
  <c r="K1992" i="4"/>
  <c r="K1996" i="4"/>
  <c r="K2000" i="4"/>
  <c r="K2004" i="4"/>
  <c r="K2008" i="4"/>
  <c r="K23" i="4"/>
  <c r="K63" i="4"/>
  <c r="K107" i="4"/>
  <c r="K151" i="4"/>
  <c r="K191" i="4"/>
  <c r="K235" i="4"/>
  <c r="K279" i="4"/>
  <c r="K319" i="4"/>
  <c r="K363" i="4"/>
  <c r="K407" i="4"/>
  <c r="K447" i="4"/>
  <c r="K491" i="4"/>
  <c r="K523" i="4"/>
  <c r="K543" i="4"/>
  <c r="K565" i="4"/>
  <c r="K587" i="4"/>
  <c r="K607" i="4"/>
  <c r="K629" i="4"/>
  <c r="K651" i="4"/>
  <c r="K671" i="4"/>
  <c r="K693" i="4"/>
  <c r="K715" i="4"/>
  <c r="K735" i="4"/>
  <c r="K757" i="4"/>
  <c r="K773" i="4"/>
  <c r="K783" i="4"/>
  <c r="K794" i="4"/>
  <c r="K805" i="4"/>
  <c r="K815" i="4"/>
  <c r="K826" i="4"/>
  <c r="K837" i="4"/>
  <c r="K847" i="4"/>
  <c r="K858" i="4"/>
  <c r="K869" i="4"/>
  <c r="K879" i="4"/>
  <c r="K890" i="4"/>
  <c r="K901" i="4"/>
  <c r="K911" i="4"/>
  <c r="K922" i="4"/>
  <c r="K933" i="4"/>
  <c r="K943" i="4"/>
  <c r="K954" i="4"/>
  <c r="K965" i="4"/>
  <c r="K975" i="4"/>
  <c r="K986" i="4"/>
  <c r="K997" i="4"/>
  <c r="K1007" i="4"/>
  <c r="K1018" i="4"/>
  <c r="K1026" i="4"/>
  <c r="K1034" i="4"/>
  <c r="K1042" i="4"/>
  <c r="K1050" i="4"/>
  <c r="K1058" i="4"/>
  <c r="K1066" i="4"/>
  <c r="K1074" i="4"/>
  <c r="K1082" i="4"/>
  <c r="K1090" i="4"/>
  <c r="K1098" i="4"/>
  <c r="K1106" i="4"/>
  <c r="K1114" i="4"/>
  <c r="K1122" i="4"/>
  <c r="K1130" i="4"/>
  <c r="K1138" i="4"/>
  <c r="K1146" i="4"/>
  <c r="K1154" i="4"/>
  <c r="K1162" i="4"/>
  <c r="K1170" i="4"/>
  <c r="K1178" i="4"/>
  <c r="K1186" i="4"/>
  <c r="K1194" i="4"/>
  <c r="K1202" i="4"/>
  <c r="K1210" i="4"/>
  <c r="K1218" i="4"/>
  <c r="K1226" i="4"/>
  <c r="K1234" i="4"/>
  <c r="K1242" i="4"/>
  <c r="K1250" i="4"/>
  <c r="K1258" i="4"/>
  <c r="K1266" i="4"/>
  <c r="K1274" i="4"/>
  <c r="K1282" i="4"/>
  <c r="K1290" i="4"/>
  <c r="K1298" i="4"/>
  <c r="K1306" i="4"/>
  <c r="K1314" i="4"/>
  <c r="K1322" i="4"/>
  <c r="K1330" i="4"/>
  <c r="K1338" i="4"/>
  <c r="K1346" i="4"/>
  <c r="K1354" i="4"/>
  <c r="K1362" i="4"/>
  <c r="K1370" i="4"/>
  <c r="K1378" i="4"/>
  <c r="K1386" i="4"/>
  <c r="K1394" i="4"/>
  <c r="K1402" i="4"/>
  <c r="K1410" i="4"/>
  <c r="K1418" i="4"/>
  <c r="K1426" i="4"/>
  <c r="K1434" i="4"/>
  <c r="K1442" i="4"/>
  <c r="K1450" i="4"/>
  <c r="K1458" i="4"/>
  <c r="K1466" i="4"/>
  <c r="K1474" i="4"/>
  <c r="K1482" i="4"/>
  <c r="K1490" i="4"/>
  <c r="K1498" i="4"/>
  <c r="K1506" i="4"/>
  <c r="K1514" i="4"/>
  <c r="K1522" i="4"/>
  <c r="K1530" i="4"/>
  <c r="K1538" i="4"/>
  <c r="K1546" i="4"/>
  <c r="K1554" i="4"/>
  <c r="K1562" i="4"/>
  <c r="K1570" i="4"/>
  <c r="K1578" i="4"/>
  <c r="K1586" i="4"/>
  <c r="K1594" i="4"/>
  <c r="K1602" i="4"/>
  <c r="K1610" i="4"/>
  <c r="K1618" i="4"/>
  <c r="K1626" i="4"/>
  <c r="K1634" i="4"/>
  <c r="K1641" i="4"/>
  <c r="K1646" i="4"/>
  <c r="K1652" i="4"/>
  <c r="K1657" i="4"/>
  <c r="K1661" i="4"/>
  <c r="K1665" i="4"/>
  <c r="K1669" i="4"/>
  <c r="K1673" i="4"/>
  <c r="K1677" i="4"/>
  <c r="K1681" i="4"/>
  <c r="K1685" i="4"/>
  <c r="K1689" i="4"/>
  <c r="K1693" i="4"/>
  <c r="K1697" i="4"/>
  <c r="K1701" i="4"/>
  <c r="K1705" i="4"/>
  <c r="K1709" i="4"/>
  <c r="K1713" i="4"/>
  <c r="K1717" i="4"/>
  <c r="K1721" i="4"/>
  <c r="K1725" i="4"/>
  <c r="K1729" i="4"/>
  <c r="K1733" i="4"/>
  <c r="K1737" i="4"/>
  <c r="K1741" i="4"/>
  <c r="K1745" i="4"/>
  <c r="K1749" i="4"/>
  <c r="K1753" i="4"/>
  <c r="K1757" i="4"/>
  <c r="K1761" i="4"/>
  <c r="K1765" i="4"/>
  <c r="K1769" i="4"/>
  <c r="K1773" i="4"/>
  <c r="K1777" i="4"/>
  <c r="K1781" i="4"/>
  <c r="K1785" i="4"/>
  <c r="K1789" i="4"/>
  <c r="K1793" i="4"/>
  <c r="K1797" i="4"/>
  <c r="K1801" i="4"/>
  <c r="K1805" i="4"/>
  <c r="K1809" i="4"/>
  <c r="K1813" i="4"/>
  <c r="K1817" i="4"/>
  <c r="K1821" i="4"/>
  <c r="K1825" i="4"/>
  <c r="K1829" i="4"/>
  <c r="K1833" i="4"/>
  <c r="K1837" i="4"/>
  <c r="K1841" i="4"/>
  <c r="K1845" i="4"/>
  <c r="K1849" i="4"/>
  <c r="K1853" i="4"/>
  <c r="K1857" i="4"/>
  <c r="K1861" i="4"/>
  <c r="K1865" i="4"/>
  <c r="K1869" i="4"/>
  <c r="K1873" i="4"/>
  <c r="K1877" i="4"/>
  <c r="K1881" i="4"/>
  <c r="K1885" i="4"/>
  <c r="K1889" i="4"/>
  <c r="K1893" i="4"/>
  <c r="K1897" i="4"/>
  <c r="K1901" i="4"/>
  <c r="K1905" i="4"/>
  <c r="K1909" i="4"/>
  <c r="K1913" i="4"/>
  <c r="K1917" i="4"/>
  <c r="K1921" i="4"/>
  <c r="K1925" i="4"/>
  <c r="K1929" i="4"/>
  <c r="K1933" i="4"/>
  <c r="K1937" i="4"/>
  <c r="K1941" i="4"/>
  <c r="K1945" i="4"/>
  <c r="K1949" i="4"/>
  <c r="K1953" i="4"/>
  <c r="K1957" i="4"/>
  <c r="K1961" i="4"/>
  <c r="K1965" i="4"/>
  <c r="K1969" i="4"/>
  <c r="K1973" i="4"/>
  <c r="K1977" i="4"/>
  <c r="K1981" i="4"/>
  <c r="K1985" i="4"/>
  <c r="K1989" i="4"/>
  <c r="K1993" i="4"/>
  <c r="K1997" i="4"/>
  <c r="K2001" i="4"/>
  <c r="K2005" i="4"/>
  <c r="K2009" i="4"/>
  <c r="K39" i="4"/>
  <c r="K79" i="4"/>
  <c r="K123" i="4"/>
  <c r="K167" i="4"/>
  <c r="K207" i="4"/>
  <c r="K251" i="4"/>
  <c r="K295" i="4"/>
  <c r="K335" i="4"/>
  <c r="K379" i="4"/>
  <c r="K423" i="4"/>
  <c r="K463" i="4"/>
  <c r="K507" i="4"/>
  <c r="K531" i="4"/>
  <c r="K551" i="4"/>
  <c r="K573" i="4"/>
  <c r="K595" i="4"/>
  <c r="K615" i="4"/>
  <c r="K659" i="4"/>
  <c r="K679" i="4"/>
  <c r="K701" i="4"/>
  <c r="K723" i="4"/>
  <c r="K743" i="4"/>
  <c r="K765" i="4"/>
  <c r="K777" i="4"/>
  <c r="K787" i="4"/>
  <c r="K798" i="4"/>
  <c r="K809" i="4"/>
  <c r="K819" i="4"/>
  <c r="K830" i="4"/>
  <c r="K841" i="4"/>
  <c r="K851" i="4"/>
  <c r="K862" i="4"/>
  <c r="K873" i="4"/>
  <c r="K883" i="4"/>
  <c r="K894" i="4"/>
  <c r="K905" i="4"/>
  <c r="K915" i="4"/>
  <c r="K926" i="4"/>
  <c r="K43" i="4"/>
  <c r="K215" i="4"/>
  <c r="K383" i="4"/>
  <c r="K533" i="4"/>
  <c r="K619" i="4"/>
  <c r="K683" i="4"/>
  <c r="K767" i="4"/>
  <c r="K810" i="4"/>
  <c r="K853" i="4"/>
  <c r="K895" i="4"/>
  <c r="K937" i="4"/>
  <c r="K958" i="4"/>
  <c r="K979" i="4"/>
  <c r="K1001" i="4"/>
  <c r="K1021" i="4"/>
  <c r="K1037" i="4"/>
  <c r="K1053" i="4"/>
  <c r="K1069" i="4"/>
  <c r="K1085" i="4"/>
  <c r="K1101" i="4"/>
  <c r="K1117" i="4"/>
  <c r="K1133" i="4"/>
  <c r="K1149" i="4"/>
  <c r="K1165" i="4"/>
  <c r="K1181" i="4"/>
  <c r="K1197" i="4"/>
  <c r="K1213" i="4"/>
  <c r="K1229" i="4"/>
  <c r="K1245" i="4"/>
  <c r="K1261" i="4"/>
  <c r="K1277" i="4"/>
  <c r="K1293" i="4"/>
  <c r="K1309" i="4"/>
  <c r="K1325" i="4"/>
  <c r="K1341" i="4"/>
  <c r="K1357" i="4"/>
  <c r="K1373" i="4"/>
  <c r="K1389" i="4"/>
  <c r="K1405" i="4"/>
  <c r="K1421" i="4"/>
  <c r="K1437" i="4"/>
  <c r="K1453" i="4"/>
  <c r="K1469" i="4"/>
  <c r="K1485" i="4"/>
  <c r="K1501" i="4"/>
  <c r="K1517" i="4"/>
  <c r="K1533" i="4"/>
  <c r="K1549" i="4"/>
  <c r="K1565" i="4"/>
  <c r="K1581" i="4"/>
  <c r="K1597" i="4"/>
  <c r="K1613" i="4"/>
  <c r="K1629" i="4"/>
  <c r="K1642" i="4"/>
  <c r="K1653" i="4"/>
  <c r="K1662" i="4"/>
  <c r="K1670" i="4"/>
  <c r="K1678" i="4"/>
  <c r="K1686" i="4"/>
  <c r="K1694" i="4"/>
  <c r="K1702" i="4"/>
  <c r="K1710" i="4"/>
  <c r="K1718" i="4"/>
  <c r="K1726" i="4"/>
  <c r="K1734" i="4"/>
  <c r="K1742" i="4"/>
  <c r="K1750" i="4"/>
  <c r="K1758" i="4"/>
  <c r="K1766" i="4"/>
  <c r="K1774" i="4"/>
  <c r="K1782" i="4"/>
  <c r="K1790" i="4"/>
  <c r="K1798" i="4"/>
  <c r="K1806" i="4"/>
  <c r="K1814" i="4"/>
  <c r="K1822" i="4"/>
  <c r="K1830" i="4"/>
  <c r="K1838" i="4"/>
  <c r="K1846" i="4"/>
  <c r="K1854" i="4"/>
  <c r="K1862" i="4"/>
  <c r="K1870" i="4"/>
  <c r="K1878" i="4"/>
  <c r="K1886" i="4"/>
  <c r="K1894" i="4"/>
  <c r="K1902" i="4"/>
  <c r="K1910" i="4"/>
  <c r="K1918" i="4"/>
  <c r="K1926" i="4"/>
  <c r="K1934" i="4"/>
  <c r="K1942" i="4"/>
  <c r="K1950" i="4"/>
  <c r="K1958" i="4"/>
  <c r="K1966" i="4"/>
  <c r="K1974" i="4"/>
  <c r="K1982" i="4"/>
  <c r="K1990" i="4"/>
  <c r="K1998" i="4"/>
  <c r="K2006" i="4"/>
  <c r="K1109" i="4"/>
  <c r="K1205" i="4"/>
  <c r="K1253" i="4"/>
  <c r="K1285" i="4"/>
  <c r="K1317" i="4"/>
  <c r="K1349" i="4"/>
  <c r="K1381" i="4"/>
  <c r="K1413" i="4"/>
  <c r="K1445" i="4"/>
  <c r="K1477" i="4"/>
  <c r="K1509" i="4"/>
  <c r="K1525" i="4"/>
  <c r="K1557" i="4"/>
  <c r="K1589" i="4"/>
  <c r="K1621" i="4"/>
  <c r="K1648" i="4"/>
  <c r="K1666" i="4"/>
  <c r="K1682" i="4"/>
  <c r="K1698" i="4"/>
  <c r="K1714" i="4"/>
  <c r="K1730" i="4"/>
  <c r="K1746" i="4"/>
  <c r="K1754" i="4"/>
  <c r="K1770" i="4"/>
  <c r="K1786" i="4"/>
  <c r="K1802" i="4"/>
  <c r="K1818" i="4"/>
  <c r="K1834" i="4"/>
  <c r="K1850" i="4"/>
  <c r="K1866" i="4"/>
  <c r="K1874" i="4"/>
  <c r="K1890" i="4"/>
  <c r="K1906" i="4"/>
  <c r="K1922" i="4"/>
  <c r="K1930" i="4"/>
  <c r="K1946" i="4"/>
  <c r="K1962" i="4"/>
  <c r="K1978" i="4"/>
  <c r="K1994" i="4"/>
  <c r="K2010" i="4"/>
  <c r="K171" i="4"/>
  <c r="K511" i="4"/>
  <c r="K597" i="4"/>
  <c r="K661" i="4"/>
  <c r="K747" i="4"/>
  <c r="K799" i="4"/>
  <c r="K842" i="4"/>
  <c r="K885" i="4"/>
  <c r="K927" i="4"/>
  <c r="K949" i="4"/>
  <c r="K970" i="4"/>
  <c r="K991" i="4"/>
  <c r="K1013" i="4"/>
  <c r="K1030" i="4"/>
  <c r="K1046" i="4"/>
  <c r="K1062" i="4"/>
  <c r="K1078" i="4"/>
  <c r="K1094" i="4"/>
  <c r="K1110" i="4"/>
  <c r="K1126" i="4"/>
  <c r="K1142" i="4"/>
  <c r="K1158" i="4"/>
  <c r="K1174" i="4"/>
  <c r="K1190" i="4"/>
  <c r="K1206" i="4"/>
  <c r="K1222" i="4"/>
  <c r="K1238" i="4"/>
  <c r="K1254" i="4"/>
  <c r="K1270" i="4"/>
  <c r="K1286" i="4"/>
  <c r="K1302" i="4"/>
  <c r="K1318" i="4"/>
  <c r="K1334" i="4"/>
  <c r="K1350" i="4"/>
  <c r="K1366" i="4"/>
  <c r="K1382" i="4"/>
  <c r="K1398" i="4"/>
  <c r="K1414" i="4"/>
  <c r="K1430" i="4"/>
  <c r="K1446" i="4"/>
  <c r="K1462" i="4"/>
  <c r="K1478" i="4"/>
  <c r="K1494" i="4"/>
  <c r="K1510" i="4"/>
  <c r="K1526" i="4"/>
  <c r="K1542" i="4"/>
  <c r="K1574" i="4"/>
  <c r="K1590" i="4"/>
  <c r="K1606" i="4"/>
  <c r="K1622" i="4"/>
  <c r="K1638" i="4"/>
  <c r="K1649" i="4"/>
  <c r="K1659" i="4"/>
  <c r="K1675" i="4"/>
  <c r="K1683" i="4"/>
  <c r="K1691" i="4"/>
  <c r="K1707" i="4"/>
  <c r="K1723" i="4"/>
  <c r="K1731" i="4"/>
  <c r="K1747" i="4"/>
  <c r="K1763" i="4"/>
  <c r="K1779" i="4"/>
  <c r="K1795" i="4"/>
  <c r="K1811" i="4"/>
  <c r="K1827" i="4"/>
  <c r="K1843" i="4"/>
  <c r="K1859" i="4"/>
  <c r="K1867" i="4"/>
  <c r="K1883" i="4"/>
  <c r="K1899" i="4"/>
  <c r="K1915" i="4"/>
  <c r="K1923" i="4"/>
  <c r="K1939" i="4"/>
  <c r="K1955" i="4"/>
  <c r="K1971" i="4"/>
  <c r="K1987" i="4"/>
  <c r="K2003" i="4"/>
  <c r="K87" i="4"/>
  <c r="K255" i="4"/>
  <c r="K427" i="4"/>
  <c r="K555" i="4"/>
  <c r="K637" i="4"/>
  <c r="K703" i="4"/>
  <c r="K778" i="4"/>
  <c r="K821" i="4"/>
  <c r="K863" i="4"/>
  <c r="K906" i="4"/>
  <c r="K938" i="4"/>
  <c r="K959" i="4"/>
  <c r="K981" i="4"/>
  <c r="K1002" i="4"/>
  <c r="K1022" i="4"/>
  <c r="K1038" i="4"/>
  <c r="K1054" i="4"/>
  <c r="K1070" i="4"/>
  <c r="K1086" i="4"/>
  <c r="K1102" i="4"/>
  <c r="K1118" i="4"/>
  <c r="K1134" i="4"/>
  <c r="K1150" i="4"/>
  <c r="K1166" i="4"/>
  <c r="K1182" i="4"/>
  <c r="K1198" i="4"/>
  <c r="K1214" i="4"/>
  <c r="K1230" i="4"/>
  <c r="K1246" i="4"/>
  <c r="K1262" i="4"/>
  <c r="K1278" i="4"/>
  <c r="K1294" i="4"/>
  <c r="K1310" i="4"/>
  <c r="K1326" i="4"/>
  <c r="K1342" i="4"/>
  <c r="K1358" i="4"/>
  <c r="K1374" i="4"/>
  <c r="K1390" i="4"/>
  <c r="K1406" i="4"/>
  <c r="K1422" i="4"/>
  <c r="K1438" i="4"/>
  <c r="K1454" i="4"/>
  <c r="K1470" i="4"/>
  <c r="K1486" i="4"/>
  <c r="K1502" i="4"/>
  <c r="K1518" i="4"/>
  <c r="K1534" i="4"/>
  <c r="K1550" i="4"/>
  <c r="K1566" i="4"/>
  <c r="K1582" i="4"/>
  <c r="K1598" i="4"/>
  <c r="K1614" i="4"/>
  <c r="K1630" i="4"/>
  <c r="K1644" i="4"/>
  <c r="K1654" i="4"/>
  <c r="K1663" i="4"/>
  <c r="K1671" i="4"/>
  <c r="K1679" i="4"/>
  <c r="K1687" i="4"/>
  <c r="K1695" i="4"/>
  <c r="K1703" i="4"/>
  <c r="K1711" i="4"/>
  <c r="K1719" i="4"/>
  <c r="K1727" i="4"/>
  <c r="K1735" i="4"/>
  <c r="K1743" i="4"/>
  <c r="K1751" i="4"/>
  <c r="K1759" i="4"/>
  <c r="K1767" i="4"/>
  <c r="K1775" i="4"/>
  <c r="K1783" i="4"/>
  <c r="K1791" i="4"/>
  <c r="K1799" i="4"/>
  <c r="K1807" i="4"/>
  <c r="K1815" i="4"/>
  <c r="K1823" i="4"/>
  <c r="K1831" i="4"/>
  <c r="K1839" i="4"/>
  <c r="K1847" i="4"/>
  <c r="K1855" i="4"/>
  <c r="K1863" i="4"/>
  <c r="K1871" i="4"/>
  <c r="K1879" i="4"/>
  <c r="K1887" i="4"/>
  <c r="K1895" i="4"/>
  <c r="K1903" i="4"/>
  <c r="K1911" i="4"/>
  <c r="K1919" i="4"/>
  <c r="K1927" i="4"/>
  <c r="K1935" i="4"/>
  <c r="K1943" i="4"/>
  <c r="K1951" i="4"/>
  <c r="K1959" i="4"/>
  <c r="K1967" i="4"/>
  <c r="K1975" i="4"/>
  <c r="K1983" i="4"/>
  <c r="K1991" i="4"/>
  <c r="K1999" i="4"/>
  <c r="K2007" i="4"/>
  <c r="K127" i="4"/>
  <c r="K299" i="4"/>
  <c r="K471" i="4"/>
  <c r="K575" i="4"/>
  <c r="K639" i="4"/>
  <c r="K725" i="4"/>
  <c r="K789" i="4"/>
  <c r="K831" i="4"/>
  <c r="K874" i="4"/>
  <c r="K917" i="4"/>
  <c r="K947" i="4"/>
  <c r="K969" i="4"/>
  <c r="K990" i="4"/>
  <c r="K1011" i="4"/>
  <c r="K1029" i="4"/>
  <c r="K1045" i="4"/>
  <c r="K1061" i="4"/>
  <c r="K1077" i="4"/>
  <c r="K1093" i="4"/>
  <c r="K1125" i="4"/>
  <c r="K1141" i="4"/>
  <c r="K1157" i="4"/>
  <c r="K1173" i="4"/>
  <c r="K1189" i="4"/>
  <c r="K1221" i="4"/>
  <c r="K1237" i="4"/>
  <c r="K1269" i="4"/>
  <c r="K1301" i="4"/>
  <c r="K1333" i="4"/>
  <c r="K1365" i="4"/>
  <c r="K1397" i="4"/>
  <c r="K1429" i="4"/>
  <c r="K1461" i="4"/>
  <c r="K1493" i="4"/>
  <c r="K1541" i="4"/>
  <c r="K1573" i="4"/>
  <c r="K1605" i="4"/>
  <c r="K1637" i="4"/>
  <c r="K1658" i="4"/>
  <c r="K1674" i="4"/>
  <c r="K1690" i="4"/>
  <c r="K1706" i="4"/>
  <c r="K1722" i="4"/>
  <c r="K1738" i="4"/>
  <c r="K1762" i="4"/>
  <c r="K1778" i="4"/>
  <c r="K1794" i="4"/>
  <c r="K1810" i="4"/>
  <c r="K1826" i="4"/>
  <c r="K1842" i="4"/>
  <c r="K1858" i="4"/>
  <c r="K1882" i="4"/>
  <c r="K1898" i="4"/>
  <c r="K1914" i="4"/>
  <c r="K1938" i="4"/>
  <c r="K1954" i="4"/>
  <c r="K1970" i="4"/>
  <c r="K1986" i="4"/>
  <c r="K2002" i="4"/>
  <c r="K343" i="4"/>
  <c r="K1558" i="4"/>
  <c r="K1667" i="4"/>
  <c r="K1699" i="4"/>
  <c r="K1715" i="4"/>
  <c r="K1739" i="4"/>
  <c r="K1755" i="4"/>
  <c r="K1771" i="4"/>
  <c r="K1787" i="4"/>
  <c r="K1803" i="4"/>
  <c r="K1819" i="4"/>
  <c r="K1835" i="4"/>
  <c r="K1851" i="4"/>
  <c r="K1875" i="4"/>
  <c r="K1891" i="4"/>
  <c r="K1907" i="4"/>
  <c r="K1931" i="4"/>
  <c r="K1947" i="4"/>
  <c r="K1963" i="4"/>
  <c r="K1979" i="4"/>
  <c r="K1995" i="4"/>
  <c r="K2011" i="4"/>
  <c r="O3" i="4"/>
  <c r="O7" i="4"/>
  <c r="O11" i="4"/>
  <c r="O15" i="4"/>
  <c r="O19" i="4"/>
  <c r="O23" i="4"/>
  <c r="O27" i="4"/>
  <c r="O31" i="4"/>
  <c r="O35" i="4"/>
  <c r="O39" i="4"/>
  <c r="O43" i="4"/>
  <c r="O47" i="4"/>
  <c r="O51" i="4"/>
  <c r="O55" i="4"/>
  <c r="O59" i="4"/>
  <c r="O63" i="4"/>
  <c r="O67" i="4"/>
  <c r="O71" i="4"/>
  <c r="O75" i="4"/>
  <c r="O79" i="4"/>
  <c r="O83" i="4"/>
  <c r="O87" i="4"/>
  <c r="O91" i="4"/>
  <c r="O95" i="4"/>
  <c r="O99" i="4"/>
  <c r="O103" i="4"/>
  <c r="O107" i="4"/>
  <c r="O111" i="4"/>
  <c r="O115" i="4"/>
  <c r="O119" i="4"/>
  <c r="O123" i="4"/>
  <c r="O127" i="4"/>
  <c r="O131" i="4"/>
  <c r="O135" i="4"/>
  <c r="O139" i="4"/>
  <c r="O143" i="4"/>
  <c r="O147" i="4"/>
  <c r="O151" i="4"/>
  <c r="O155" i="4"/>
  <c r="O159" i="4"/>
  <c r="O163" i="4"/>
  <c r="O167" i="4"/>
  <c r="O171" i="4"/>
  <c r="O175" i="4"/>
  <c r="O179" i="4"/>
  <c r="O183" i="4"/>
  <c r="O187" i="4"/>
  <c r="O191" i="4"/>
  <c r="O195" i="4"/>
  <c r="O199" i="4"/>
  <c r="O203" i="4"/>
  <c r="O207" i="4"/>
  <c r="O211" i="4"/>
  <c r="O215" i="4"/>
  <c r="O219" i="4"/>
  <c r="O223" i="4"/>
  <c r="O227" i="4"/>
  <c r="O231" i="4"/>
  <c r="O235" i="4"/>
  <c r="O239" i="4"/>
  <c r="O243" i="4"/>
  <c r="O247" i="4"/>
  <c r="O251" i="4"/>
  <c r="O255" i="4"/>
  <c r="O259" i="4"/>
  <c r="O263" i="4"/>
  <c r="O267" i="4"/>
  <c r="O271" i="4"/>
  <c r="O275" i="4"/>
  <c r="O279" i="4"/>
  <c r="O283" i="4"/>
  <c r="O287" i="4"/>
  <c r="O291" i="4"/>
  <c r="O295" i="4"/>
  <c r="O299" i="4"/>
  <c r="O303" i="4"/>
  <c r="O307" i="4"/>
  <c r="O311" i="4"/>
  <c r="O315" i="4"/>
  <c r="O319" i="4"/>
  <c r="O323" i="4"/>
  <c r="O327" i="4"/>
  <c r="O331" i="4"/>
  <c r="O335" i="4"/>
  <c r="O339" i="4"/>
  <c r="O343" i="4"/>
  <c r="O347" i="4"/>
  <c r="O351" i="4"/>
  <c r="O355" i="4"/>
  <c r="O359" i="4"/>
  <c r="O363" i="4"/>
  <c r="O367" i="4"/>
  <c r="O371" i="4"/>
  <c r="O375" i="4"/>
  <c r="O379" i="4"/>
  <c r="O383" i="4"/>
  <c r="O387" i="4"/>
  <c r="O391" i="4"/>
  <c r="O395" i="4"/>
  <c r="O399" i="4"/>
  <c r="O403" i="4"/>
  <c r="O407" i="4"/>
  <c r="O411" i="4"/>
  <c r="O415" i="4"/>
  <c r="O419" i="4"/>
  <c r="O423" i="4"/>
  <c r="O427" i="4"/>
  <c r="O431" i="4"/>
  <c r="O435" i="4"/>
  <c r="O439" i="4"/>
  <c r="O443" i="4"/>
  <c r="O447" i="4"/>
  <c r="O451" i="4"/>
  <c r="O455" i="4"/>
  <c r="O459" i="4"/>
  <c r="O463" i="4"/>
  <c r="O467" i="4"/>
  <c r="O471" i="4"/>
  <c r="O475" i="4"/>
  <c r="O479" i="4"/>
  <c r="O483" i="4"/>
  <c r="O487" i="4"/>
  <c r="O491" i="4"/>
  <c r="O495" i="4"/>
  <c r="O499" i="4"/>
  <c r="O503" i="4"/>
  <c r="O507" i="4"/>
  <c r="O4" i="4"/>
  <c r="O9" i="4"/>
  <c r="O14" i="4"/>
  <c r="O20" i="4"/>
  <c r="O25" i="4"/>
  <c r="O30" i="4"/>
  <c r="O36" i="4"/>
  <c r="O41" i="4"/>
  <c r="O46" i="4"/>
  <c r="O52" i="4"/>
  <c r="O57" i="4"/>
  <c r="O62" i="4"/>
  <c r="O68" i="4"/>
  <c r="O73" i="4"/>
  <c r="O78" i="4"/>
  <c r="O84" i="4"/>
  <c r="O89" i="4"/>
  <c r="O94" i="4"/>
  <c r="O100" i="4"/>
  <c r="O105" i="4"/>
  <c r="O110" i="4"/>
  <c r="O116" i="4"/>
  <c r="O121" i="4"/>
  <c r="O126" i="4"/>
  <c r="O132" i="4"/>
  <c r="O137" i="4"/>
  <c r="O142" i="4"/>
  <c r="O148" i="4"/>
  <c r="O153" i="4"/>
  <c r="O158" i="4"/>
  <c r="O164" i="4"/>
  <c r="O169" i="4"/>
  <c r="O174" i="4"/>
  <c r="O180" i="4"/>
  <c r="O185" i="4"/>
  <c r="O190" i="4"/>
  <c r="O196" i="4"/>
  <c r="O201" i="4"/>
  <c r="O206" i="4"/>
  <c r="O212" i="4"/>
  <c r="O217" i="4"/>
  <c r="O222" i="4"/>
  <c r="O228" i="4"/>
  <c r="O233" i="4"/>
  <c r="O238" i="4"/>
  <c r="O244" i="4"/>
  <c r="O249" i="4"/>
  <c r="O254" i="4"/>
  <c r="O260" i="4"/>
  <c r="O265" i="4"/>
  <c r="O270" i="4"/>
  <c r="O276" i="4"/>
  <c r="O281" i="4"/>
  <c r="O286" i="4"/>
  <c r="O292" i="4"/>
  <c r="O297" i="4"/>
  <c r="O302" i="4"/>
  <c r="O308" i="4"/>
  <c r="O313" i="4"/>
  <c r="O318" i="4"/>
  <c r="O324" i="4"/>
  <c r="O329" i="4"/>
  <c r="O334" i="4"/>
  <c r="O340" i="4"/>
  <c r="O345" i="4"/>
  <c r="O350" i="4"/>
  <c r="O356" i="4"/>
  <c r="O361" i="4"/>
  <c r="O366" i="4"/>
  <c r="O372" i="4"/>
  <c r="O377" i="4"/>
  <c r="O382" i="4"/>
  <c r="O388" i="4"/>
  <c r="O393" i="4"/>
  <c r="O398" i="4"/>
  <c r="O404" i="4"/>
  <c r="O409" i="4"/>
  <c r="O414" i="4"/>
  <c r="O420" i="4"/>
  <c r="O425" i="4"/>
  <c r="O430" i="4"/>
  <c r="O436" i="4"/>
  <c r="O441" i="4"/>
  <c r="O446" i="4"/>
  <c r="O452" i="4"/>
  <c r="O457" i="4"/>
  <c r="O462" i="4"/>
  <c r="O468" i="4"/>
  <c r="O473" i="4"/>
  <c r="O478" i="4"/>
  <c r="O484" i="4"/>
  <c r="O489" i="4"/>
  <c r="O494" i="4"/>
  <c r="O500" i="4"/>
  <c r="O505" i="4"/>
  <c r="O510" i="4"/>
  <c r="O514" i="4"/>
  <c r="O518" i="4"/>
  <c r="O522" i="4"/>
  <c r="O526" i="4"/>
  <c r="O530" i="4"/>
  <c r="O534" i="4"/>
  <c r="O538" i="4"/>
  <c r="O542" i="4"/>
  <c r="O546" i="4"/>
  <c r="O550" i="4"/>
  <c r="O554" i="4"/>
  <c r="O558" i="4"/>
  <c r="O562" i="4"/>
  <c r="O566" i="4"/>
  <c r="O570" i="4"/>
  <c r="O574" i="4"/>
  <c r="O578" i="4"/>
  <c r="O582" i="4"/>
  <c r="O586" i="4"/>
  <c r="O590" i="4"/>
  <c r="O594" i="4"/>
  <c r="O598" i="4"/>
  <c r="O602" i="4"/>
  <c r="O606" i="4"/>
  <c r="O610" i="4"/>
  <c r="O614" i="4"/>
  <c r="O618" i="4"/>
  <c r="O622" i="4"/>
  <c r="O626" i="4"/>
  <c r="O630" i="4"/>
  <c r="O634" i="4"/>
  <c r="O638" i="4"/>
  <c r="O642" i="4"/>
  <c r="O646" i="4"/>
  <c r="O650" i="4"/>
  <c r="O654" i="4"/>
  <c r="O658" i="4"/>
  <c r="O662" i="4"/>
  <c r="O666" i="4"/>
  <c r="O670" i="4"/>
  <c r="O674" i="4"/>
  <c r="O678" i="4"/>
  <c r="O682" i="4"/>
  <c r="O686" i="4"/>
  <c r="O690" i="4"/>
  <c r="O694" i="4"/>
  <c r="O698" i="4"/>
  <c r="O702" i="4"/>
  <c r="O706" i="4"/>
  <c r="O710" i="4"/>
  <c r="O714" i="4"/>
  <c r="O718" i="4"/>
  <c r="O722" i="4"/>
  <c r="O726" i="4"/>
  <c r="O730" i="4"/>
  <c r="O734" i="4"/>
  <c r="O738" i="4"/>
  <c r="O742" i="4"/>
  <c r="O746" i="4"/>
  <c r="O750" i="4"/>
  <c r="O754" i="4"/>
  <c r="O758" i="4"/>
  <c r="O762" i="4"/>
  <c r="O766" i="4"/>
  <c r="O770" i="4"/>
  <c r="O774" i="4"/>
  <c r="O778" i="4"/>
  <c r="O782" i="4"/>
  <c r="O786" i="4"/>
  <c r="O790" i="4"/>
  <c r="O794" i="4"/>
  <c r="O798" i="4"/>
  <c r="O802" i="4"/>
  <c r="O806" i="4"/>
  <c r="O810" i="4"/>
  <c r="O814" i="4"/>
  <c r="O818" i="4"/>
  <c r="O822" i="4"/>
  <c r="O826" i="4"/>
  <c r="O830" i="4"/>
  <c r="O834" i="4"/>
  <c r="O838" i="4"/>
  <c r="O842" i="4"/>
  <c r="O846" i="4"/>
  <c r="O850" i="4"/>
  <c r="O854" i="4"/>
  <c r="O858" i="4"/>
  <c r="O862" i="4"/>
  <c r="O866" i="4"/>
  <c r="O870" i="4"/>
  <c r="O874" i="4"/>
  <c r="O878" i="4"/>
  <c r="O882" i="4"/>
  <c r="O886" i="4"/>
  <c r="O890" i="4"/>
  <c r="O894" i="4"/>
  <c r="O898" i="4"/>
  <c r="O902" i="4"/>
  <c r="O906" i="4"/>
  <c r="O910" i="4"/>
  <c r="O914" i="4"/>
  <c r="O918" i="4"/>
  <c r="O922" i="4"/>
  <c r="O926" i="4"/>
  <c r="O930" i="4"/>
  <c r="O934" i="4"/>
  <c r="O938" i="4"/>
  <c r="O942" i="4"/>
  <c r="O946" i="4"/>
  <c r="O950" i="4"/>
  <c r="O954" i="4"/>
  <c r="O958" i="4"/>
  <c r="O962" i="4"/>
  <c r="O966" i="4"/>
  <c r="O970" i="4"/>
  <c r="O974" i="4"/>
  <c r="O978" i="4"/>
  <c r="O982" i="4"/>
  <c r="O986" i="4"/>
  <c r="O990" i="4"/>
  <c r="O994" i="4"/>
  <c r="O998" i="4"/>
  <c r="O1002" i="4"/>
  <c r="O1006" i="4"/>
  <c r="O1010" i="4"/>
  <c r="O1014" i="4"/>
  <c r="O1018" i="4"/>
  <c r="O1022" i="4"/>
  <c r="O1026" i="4"/>
  <c r="O1030" i="4"/>
  <c r="O1034" i="4"/>
  <c r="O1038" i="4"/>
  <c r="O1042" i="4"/>
  <c r="O1046" i="4"/>
  <c r="O1050" i="4"/>
  <c r="O1054" i="4"/>
  <c r="O1058" i="4"/>
  <c r="O1062" i="4"/>
  <c r="O1066" i="4"/>
  <c r="O1070" i="4"/>
  <c r="O1074" i="4"/>
  <c r="O1078" i="4"/>
  <c r="O1082" i="4"/>
  <c r="O1086" i="4"/>
  <c r="O1090" i="4"/>
  <c r="O1094" i="4"/>
  <c r="O1098" i="4"/>
  <c r="O1102" i="4"/>
  <c r="O1106" i="4"/>
  <c r="O1110" i="4"/>
  <c r="O1114" i="4"/>
  <c r="O1118" i="4"/>
  <c r="O1122" i="4"/>
  <c r="O1126" i="4"/>
  <c r="O1130" i="4"/>
  <c r="O1134" i="4"/>
  <c r="O1138" i="4"/>
  <c r="O1142" i="4"/>
  <c r="O1146" i="4"/>
  <c r="O5" i="4"/>
  <c r="O12" i="4"/>
  <c r="O18" i="4"/>
  <c r="O26" i="4"/>
  <c r="O33" i="4"/>
  <c r="O40" i="4"/>
  <c r="O48" i="4"/>
  <c r="O54" i="4"/>
  <c r="O61" i="4"/>
  <c r="O69" i="4"/>
  <c r="O76" i="4"/>
  <c r="O82" i="4"/>
  <c r="O90" i="4"/>
  <c r="O97" i="4"/>
  <c r="O104" i="4"/>
  <c r="O112" i="4"/>
  <c r="O118" i="4"/>
  <c r="O125" i="4"/>
  <c r="O133" i="4"/>
  <c r="O140" i="4"/>
  <c r="O146" i="4"/>
  <c r="O154" i="4"/>
  <c r="O161" i="4"/>
  <c r="O168" i="4"/>
  <c r="O176" i="4"/>
  <c r="O182" i="4"/>
  <c r="O189" i="4"/>
  <c r="O197" i="4"/>
  <c r="O204" i="4"/>
  <c r="O210" i="4"/>
  <c r="O218" i="4"/>
  <c r="O225" i="4"/>
  <c r="O232" i="4"/>
  <c r="O240" i="4"/>
  <c r="O246" i="4"/>
  <c r="O253" i="4"/>
  <c r="O261" i="4"/>
  <c r="O268" i="4"/>
  <c r="O274" i="4"/>
  <c r="O282" i="4"/>
  <c r="O289" i="4"/>
  <c r="O296" i="4"/>
  <c r="O304" i="4"/>
  <c r="O310" i="4"/>
  <c r="O317" i="4"/>
  <c r="O325" i="4"/>
  <c r="O332" i="4"/>
  <c r="O338" i="4"/>
  <c r="O346" i="4"/>
  <c r="O353" i="4"/>
  <c r="O360" i="4"/>
  <c r="O368" i="4"/>
  <c r="O374" i="4"/>
  <c r="O381" i="4"/>
  <c r="O389" i="4"/>
  <c r="O396" i="4"/>
  <c r="O402" i="4"/>
  <c r="O410" i="4"/>
  <c r="O417" i="4"/>
  <c r="O424" i="4"/>
  <c r="O432" i="4"/>
  <c r="O438" i="4"/>
  <c r="O445" i="4"/>
  <c r="O453" i="4"/>
  <c r="O460" i="4"/>
  <c r="O466" i="4"/>
  <c r="O474" i="4"/>
  <c r="O481" i="4"/>
  <c r="O488" i="4"/>
  <c r="O496" i="4"/>
  <c r="O502" i="4"/>
  <c r="O509" i="4"/>
  <c r="O515" i="4"/>
  <c r="O520" i="4"/>
  <c r="O525" i="4"/>
  <c r="O531" i="4"/>
  <c r="O536" i="4"/>
  <c r="O541" i="4"/>
  <c r="O547" i="4"/>
  <c r="O552" i="4"/>
  <c r="O557" i="4"/>
  <c r="O563" i="4"/>
  <c r="O568" i="4"/>
  <c r="O573" i="4"/>
  <c r="O579" i="4"/>
  <c r="O584" i="4"/>
  <c r="O589" i="4"/>
  <c r="O595" i="4"/>
  <c r="O600" i="4"/>
  <c r="O605" i="4"/>
  <c r="O611" i="4"/>
  <c r="O616" i="4"/>
  <c r="O621" i="4"/>
  <c r="O627" i="4"/>
  <c r="O632" i="4"/>
  <c r="O637" i="4"/>
  <c r="O643" i="4"/>
  <c r="O648" i="4"/>
  <c r="O653" i="4"/>
  <c r="O659" i="4"/>
  <c r="O664" i="4"/>
  <c r="O669" i="4"/>
  <c r="O675" i="4"/>
  <c r="O680" i="4"/>
  <c r="O685" i="4"/>
  <c r="O691" i="4"/>
  <c r="O696" i="4"/>
  <c r="O701" i="4"/>
  <c r="O707" i="4"/>
  <c r="O712" i="4"/>
  <c r="O717" i="4"/>
  <c r="O723" i="4"/>
  <c r="O728" i="4"/>
  <c r="O733" i="4"/>
  <c r="O739" i="4"/>
  <c r="O744" i="4"/>
  <c r="O749" i="4"/>
  <c r="O755" i="4"/>
  <c r="O760" i="4"/>
  <c r="O765" i="4"/>
  <c r="O771" i="4"/>
  <c r="O776" i="4"/>
  <c r="O781" i="4"/>
  <c r="O787" i="4"/>
  <c r="O792" i="4"/>
  <c r="O797" i="4"/>
  <c r="O803" i="4"/>
  <c r="O808" i="4"/>
  <c r="O813" i="4"/>
  <c r="O819" i="4"/>
  <c r="O824" i="4"/>
  <c r="O829" i="4"/>
  <c r="O835" i="4"/>
  <c r="O840" i="4"/>
  <c r="O845" i="4"/>
  <c r="O851" i="4"/>
  <c r="O856" i="4"/>
  <c r="O861" i="4"/>
  <c r="O867" i="4"/>
  <c r="O872" i="4"/>
  <c r="O877" i="4"/>
  <c r="O883" i="4"/>
  <c r="O888" i="4"/>
  <c r="O893" i="4"/>
  <c r="O899" i="4"/>
  <c r="O904" i="4"/>
  <c r="O909" i="4"/>
  <c r="O915" i="4"/>
  <c r="O920" i="4"/>
  <c r="O925" i="4"/>
  <c r="O931" i="4"/>
  <c r="O936" i="4"/>
  <c r="O941" i="4"/>
  <c r="O947" i="4"/>
  <c r="O952" i="4"/>
  <c r="O957" i="4"/>
  <c r="O963" i="4"/>
  <c r="O968" i="4"/>
  <c r="O973" i="4"/>
  <c r="O979" i="4"/>
  <c r="O984" i="4"/>
  <c r="O989" i="4"/>
  <c r="O995" i="4"/>
  <c r="O1000" i="4"/>
  <c r="O1005" i="4"/>
  <c r="O1011" i="4"/>
  <c r="O1016" i="4"/>
  <c r="O1021" i="4"/>
  <c r="O1027" i="4"/>
  <c r="O1032" i="4"/>
  <c r="O1037" i="4"/>
  <c r="O1043" i="4"/>
  <c r="O1048" i="4"/>
  <c r="O1053" i="4"/>
  <c r="O1059" i="4"/>
  <c r="O1064" i="4"/>
  <c r="O1069" i="4"/>
  <c r="O1075" i="4"/>
  <c r="O1080" i="4"/>
  <c r="O1085" i="4"/>
  <c r="O1091" i="4"/>
  <c r="O1096" i="4"/>
  <c r="O1101" i="4"/>
  <c r="O1107" i="4"/>
  <c r="O1112" i="4"/>
  <c r="O1117" i="4"/>
  <c r="O1123" i="4"/>
  <c r="O1128" i="4"/>
  <c r="O1133" i="4"/>
  <c r="O1139" i="4"/>
  <c r="O1144" i="4"/>
  <c r="O1149" i="4"/>
  <c r="O1153" i="4"/>
  <c r="O1157" i="4"/>
  <c r="O1161" i="4"/>
  <c r="O1165" i="4"/>
  <c r="O1169" i="4"/>
  <c r="O1173" i="4"/>
  <c r="O1177" i="4"/>
  <c r="O1181" i="4"/>
  <c r="O1185" i="4"/>
  <c r="O1189" i="4"/>
  <c r="O1193" i="4"/>
  <c r="O1197" i="4"/>
  <c r="O1201" i="4"/>
  <c r="O1205" i="4"/>
  <c r="O1209" i="4"/>
  <c r="O1213" i="4"/>
  <c r="O1217" i="4"/>
  <c r="O1221" i="4"/>
  <c r="O1225" i="4"/>
  <c r="O1229" i="4"/>
  <c r="O1233" i="4"/>
  <c r="O1237" i="4"/>
  <c r="O1241" i="4"/>
  <c r="O1245" i="4"/>
  <c r="O1249" i="4"/>
  <c r="O1253" i="4"/>
  <c r="O1257" i="4"/>
  <c r="O1261" i="4"/>
  <c r="O1265" i="4"/>
  <c r="O1269" i="4"/>
  <c r="O1273" i="4"/>
  <c r="O1277" i="4"/>
  <c r="O1281" i="4"/>
  <c r="O1285" i="4"/>
  <c r="O1289" i="4"/>
  <c r="O1293" i="4"/>
  <c r="O1297" i="4"/>
  <c r="O1301" i="4"/>
  <c r="O1305" i="4"/>
  <c r="O1309" i="4"/>
  <c r="O1313" i="4"/>
  <c r="O1317" i="4"/>
  <c r="O1321" i="4"/>
  <c r="O1325" i="4"/>
  <c r="O1329" i="4"/>
  <c r="O1333" i="4"/>
  <c r="O1337" i="4"/>
  <c r="O1341" i="4"/>
  <c r="O1345" i="4"/>
  <c r="O1349" i="4"/>
  <c r="O1353" i="4"/>
  <c r="O1357" i="4"/>
  <c r="O1361" i="4"/>
  <c r="O1365" i="4"/>
  <c r="O1369" i="4"/>
  <c r="O1373" i="4"/>
  <c r="O1377" i="4"/>
  <c r="O1381" i="4"/>
  <c r="O1385" i="4"/>
  <c r="O1389" i="4"/>
  <c r="O1393" i="4"/>
  <c r="O1397" i="4"/>
  <c r="O1401" i="4"/>
  <c r="O1405" i="4"/>
  <c r="O1409" i="4"/>
  <c r="O1413" i="4"/>
  <c r="O1417" i="4"/>
  <c r="O1421" i="4"/>
  <c r="O1425" i="4"/>
  <c r="O1429" i="4"/>
  <c r="O1433" i="4"/>
  <c r="O1437" i="4"/>
  <c r="O1441" i="4"/>
  <c r="O1445" i="4"/>
  <c r="O1449" i="4"/>
  <c r="O1453" i="4"/>
  <c r="O1457" i="4"/>
  <c r="O1461" i="4"/>
  <c r="O1465" i="4"/>
  <c r="O1469" i="4"/>
  <c r="O1473" i="4"/>
  <c r="O1477" i="4"/>
  <c r="O1481" i="4"/>
  <c r="O1485" i="4"/>
  <c r="O1489" i="4"/>
  <c r="O1493" i="4"/>
  <c r="O1497" i="4"/>
  <c r="O1501" i="4"/>
  <c r="O1505" i="4"/>
  <c r="O1509" i="4"/>
  <c r="O1513" i="4"/>
  <c r="O1517" i="4"/>
  <c r="O1521" i="4"/>
  <c r="O1525" i="4"/>
  <c r="O1529" i="4"/>
  <c r="O1533" i="4"/>
  <c r="O1537" i="4"/>
  <c r="O1541" i="4"/>
  <c r="O1545" i="4"/>
  <c r="O1549" i="4"/>
  <c r="O1553" i="4"/>
  <c r="O1557" i="4"/>
  <c r="O1561" i="4"/>
  <c r="O1565" i="4"/>
  <c r="O1569" i="4"/>
  <c r="O1573" i="4"/>
  <c r="O1577" i="4"/>
  <c r="O1581" i="4"/>
  <c r="O1585" i="4"/>
  <c r="O1589" i="4"/>
  <c r="O1593" i="4"/>
  <c r="O1597" i="4"/>
  <c r="O1601" i="4"/>
  <c r="O1605" i="4"/>
  <c r="O1609" i="4"/>
  <c r="O1613" i="4"/>
  <c r="O1617" i="4"/>
  <c r="O1621" i="4"/>
  <c r="O1625" i="4"/>
  <c r="O1629" i="4"/>
  <c r="O1633" i="4"/>
  <c r="O1637" i="4"/>
  <c r="O1641" i="4"/>
  <c r="O1645" i="4"/>
  <c r="O1649" i="4"/>
  <c r="O1653" i="4"/>
  <c r="O1657" i="4"/>
  <c r="O1661" i="4"/>
  <c r="O1665" i="4"/>
  <c r="O1669" i="4"/>
  <c r="O1673" i="4"/>
  <c r="O1677" i="4"/>
  <c r="O1681" i="4"/>
  <c r="O1685" i="4"/>
  <c r="O1689" i="4"/>
  <c r="O1693" i="4"/>
  <c r="O1697" i="4"/>
  <c r="O1701" i="4"/>
  <c r="O1705" i="4"/>
  <c r="O1709" i="4"/>
  <c r="O1713" i="4"/>
  <c r="O1717" i="4"/>
  <c r="O1721" i="4"/>
  <c r="O1725" i="4"/>
  <c r="O1729" i="4"/>
  <c r="O1733" i="4"/>
  <c r="O1737" i="4"/>
  <c r="O1741" i="4"/>
  <c r="O1745" i="4"/>
  <c r="O1749" i="4"/>
  <c r="O1753" i="4"/>
  <c r="O1757" i="4"/>
  <c r="O1761" i="4"/>
  <c r="O1765" i="4"/>
  <c r="O1769" i="4"/>
  <c r="O1773" i="4"/>
  <c r="O1777" i="4"/>
  <c r="O1781" i="4"/>
  <c r="O1785" i="4"/>
  <c r="O1789" i="4"/>
  <c r="O1793" i="4"/>
  <c r="O1797" i="4"/>
  <c r="O1801" i="4"/>
  <c r="O1805" i="4"/>
  <c r="O1809" i="4"/>
  <c r="O1813" i="4"/>
  <c r="O1817" i="4"/>
  <c r="O1821" i="4"/>
  <c r="O1825" i="4"/>
  <c r="O1829" i="4"/>
  <c r="O1833" i="4"/>
  <c r="O1837" i="4"/>
  <c r="O1841" i="4"/>
  <c r="O1845" i="4"/>
  <c r="O1849" i="4"/>
  <c r="O1853" i="4"/>
  <c r="O1857" i="4"/>
  <c r="O1861" i="4"/>
  <c r="O1865" i="4"/>
  <c r="O1869" i="4"/>
  <c r="O1873" i="4"/>
  <c r="O1877" i="4"/>
  <c r="O1881" i="4"/>
  <c r="O1885" i="4"/>
  <c r="O1889" i="4"/>
  <c r="O1893" i="4"/>
  <c r="O1897" i="4"/>
  <c r="O1901" i="4"/>
  <c r="O1905" i="4"/>
  <c r="O1909" i="4"/>
  <c r="O1913" i="4"/>
  <c r="O1917" i="4"/>
  <c r="O1921" i="4"/>
  <c r="O1925" i="4"/>
  <c r="O1929" i="4"/>
  <c r="O1933" i="4"/>
  <c r="O1937" i="4"/>
  <c r="O1941" i="4"/>
  <c r="O1945" i="4"/>
  <c r="O1949" i="4"/>
  <c r="O1953" i="4"/>
  <c r="O1957" i="4"/>
  <c r="O1961" i="4"/>
  <c r="O1965" i="4"/>
  <c r="O1969" i="4"/>
  <c r="O1973" i="4"/>
  <c r="O1977" i="4"/>
  <c r="O1981" i="4"/>
  <c r="O1985" i="4"/>
  <c r="O1989" i="4"/>
  <c r="O1993" i="4"/>
  <c r="O1997" i="4"/>
  <c r="O2001" i="4"/>
  <c r="O2005" i="4"/>
  <c r="O2009" i="4"/>
  <c r="O6" i="4"/>
  <c r="O13" i="4"/>
  <c r="O21" i="4"/>
  <c r="O28" i="4"/>
  <c r="O34" i="4"/>
  <c r="O42" i="4"/>
  <c r="O49" i="4"/>
  <c r="O56" i="4"/>
  <c r="O64" i="4"/>
  <c r="O70" i="4"/>
  <c r="O77" i="4"/>
  <c r="O85" i="4"/>
  <c r="O92" i="4"/>
  <c r="O98" i="4"/>
  <c r="O106" i="4"/>
  <c r="O113" i="4"/>
  <c r="O120" i="4"/>
  <c r="O128" i="4"/>
  <c r="O134" i="4"/>
  <c r="O141" i="4"/>
  <c r="O149" i="4"/>
  <c r="O156" i="4"/>
  <c r="O162" i="4"/>
  <c r="O170" i="4"/>
  <c r="O177" i="4"/>
  <c r="O184" i="4"/>
  <c r="O192" i="4"/>
  <c r="O198" i="4"/>
  <c r="O205" i="4"/>
  <c r="O213" i="4"/>
  <c r="O220" i="4"/>
  <c r="O226" i="4"/>
  <c r="O234" i="4"/>
  <c r="O241" i="4"/>
  <c r="O248" i="4"/>
  <c r="O256" i="4"/>
  <c r="O262" i="4"/>
  <c r="O269" i="4"/>
  <c r="O277" i="4"/>
  <c r="O284" i="4"/>
  <c r="O290" i="4"/>
  <c r="O298" i="4"/>
  <c r="O305" i="4"/>
  <c r="O312" i="4"/>
  <c r="O320" i="4"/>
  <c r="O326" i="4"/>
  <c r="O333" i="4"/>
  <c r="O341" i="4"/>
  <c r="O348" i="4"/>
  <c r="O354" i="4"/>
  <c r="O362" i="4"/>
  <c r="O369" i="4"/>
  <c r="O376" i="4"/>
  <c r="O384" i="4"/>
  <c r="O390" i="4"/>
  <c r="O397" i="4"/>
  <c r="O405" i="4"/>
  <c r="O412" i="4"/>
  <c r="O418" i="4"/>
  <c r="O426" i="4"/>
  <c r="O433" i="4"/>
  <c r="O440" i="4"/>
  <c r="O448" i="4"/>
  <c r="O454" i="4"/>
  <c r="O461" i="4"/>
  <c r="O469" i="4"/>
  <c r="O476" i="4"/>
  <c r="O482" i="4"/>
  <c r="O490" i="4"/>
  <c r="O497" i="4"/>
  <c r="O504" i="4"/>
  <c r="O511" i="4"/>
  <c r="O516" i="4"/>
  <c r="O521" i="4"/>
  <c r="O527" i="4"/>
  <c r="O532" i="4"/>
  <c r="O537" i="4"/>
  <c r="O543" i="4"/>
  <c r="O548" i="4"/>
  <c r="O553" i="4"/>
  <c r="O559" i="4"/>
  <c r="O564" i="4"/>
  <c r="O569" i="4"/>
  <c r="O575" i="4"/>
  <c r="O580" i="4"/>
  <c r="O585" i="4"/>
  <c r="O591" i="4"/>
  <c r="O596" i="4"/>
  <c r="O601" i="4"/>
  <c r="O607" i="4"/>
  <c r="O612" i="4"/>
  <c r="O617" i="4"/>
  <c r="O623" i="4"/>
  <c r="O628" i="4"/>
  <c r="O633" i="4"/>
  <c r="O639" i="4"/>
  <c r="O644" i="4"/>
  <c r="O649" i="4"/>
  <c r="O655" i="4"/>
  <c r="O660" i="4"/>
  <c r="O665" i="4"/>
  <c r="O671" i="4"/>
  <c r="O676" i="4"/>
  <c r="O681" i="4"/>
  <c r="O8" i="4"/>
  <c r="O22" i="4"/>
  <c r="O37" i="4"/>
  <c r="O50" i="4"/>
  <c r="O65" i="4"/>
  <c r="O80" i="4"/>
  <c r="O93" i="4"/>
  <c r="O108" i="4"/>
  <c r="O122" i="4"/>
  <c r="O136" i="4"/>
  <c r="O150" i="4"/>
  <c r="O165" i="4"/>
  <c r="O178" i="4"/>
  <c r="O193" i="4"/>
  <c r="O208" i="4"/>
  <c r="O221" i="4"/>
  <c r="O236" i="4"/>
  <c r="O250" i="4"/>
  <c r="O264" i="4"/>
  <c r="O278" i="4"/>
  <c r="O293" i="4"/>
  <c r="O306" i="4"/>
  <c r="O321" i="4"/>
  <c r="O336" i="4"/>
  <c r="O349" i="4"/>
  <c r="O364" i="4"/>
  <c r="O378" i="4"/>
  <c r="O392" i="4"/>
  <c r="O406" i="4"/>
  <c r="O421" i="4"/>
  <c r="O434" i="4"/>
  <c r="O449" i="4"/>
  <c r="O464" i="4"/>
  <c r="O477" i="4"/>
  <c r="O492" i="4"/>
  <c r="O506" i="4"/>
  <c r="O517" i="4"/>
  <c r="O528" i="4"/>
  <c r="O539" i="4"/>
  <c r="O549" i="4"/>
  <c r="O560" i="4"/>
  <c r="O571" i="4"/>
  <c r="O581" i="4"/>
  <c r="O592" i="4"/>
  <c r="O603" i="4"/>
  <c r="O613" i="4"/>
  <c r="O624" i="4"/>
  <c r="O635" i="4"/>
  <c r="O645" i="4"/>
  <c r="O656" i="4"/>
  <c r="O667" i="4"/>
  <c r="O677" i="4"/>
  <c r="O687" i="4"/>
  <c r="O693" i="4"/>
  <c r="O700" i="4"/>
  <c r="O708" i="4"/>
  <c r="O715" i="4"/>
  <c r="O721" i="4"/>
  <c r="O729" i="4"/>
  <c r="O736" i="4"/>
  <c r="O743" i="4"/>
  <c r="O751" i="4"/>
  <c r="O757" i="4"/>
  <c r="O764" i="4"/>
  <c r="O772" i="4"/>
  <c r="O779" i="4"/>
  <c r="O785" i="4"/>
  <c r="O793" i="4"/>
  <c r="O800" i="4"/>
  <c r="O807" i="4"/>
  <c r="O815" i="4"/>
  <c r="O821" i="4"/>
  <c r="O828" i="4"/>
  <c r="O836" i="4"/>
  <c r="O843" i="4"/>
  <c r="O849" i="4"/>
  <c r="O857" i="4"/>
  <c r="O864" i="4"/>
  <c r="O871" i="4"/>
  <c r="O879" i="4"/>
  <c r="O885" i="4"/>
  <c r="O892" i="4"/>
  <c r="O900" i="4"/>
  <c r="O907" i="4"/>
  <c r="O913" i="4"/>
  <c r="O921" i="4"/>
  <c r="O928" i="4"/>
  <c r="O935" i="4"/>
  <c r="O943" i="4"/>
  <c r="O949" i="4"/>
  <c r="O956" i="4"/>
  <c r="O964" i="4"/>
  <c r="O971" i="4"/>
  <c r="O977" i="4"/>
  <c r="O985" i="4"/>
  <c r="O992" i="4"/>
  <c r="O999" i="4"/>
  <c r="O1007" i="4"/>
  <c r="O1013" i="4"/>
  <c r="O1020" i="4"/>
  <c r="O1028" i="4"/>
  <c r="O1035" i="4"/>
  <c r="O1041" i="4"/>
  <c r="O1049" i="4"/>
  <c r="O1056" i="4"/>
  <c r="O1063" i="4"/>
  <c r="O1071" i="4"/>
  <c r="O1077" i="4"/>
  <c r="O1084" i="4"/>
  <c r="O1092" i="4"/>
  <c r="O1099" i="4"/>
  <c r="O1105" i="4"/>
  <c r="O1113" i="4"/>
  <c r="O1120" i="4"/>
  <c r="O1127" i="4"/>
  <c r="O1135" i="4"/>
  <c r="O1141" i="4"/>
  <c r="O1148" i="4"/>
  <c r="O1154" i="4"/>
  <c r="O1159" i="4"/>
  <c r="O1164" i="4"/>
  <c r="O1170" i="4"/>
  <c r="O1175" i="4"/>
  <c r="O1180" i="4"/>
  <c r="O1186" i="4"/>
  <c r="O1191" i="4"/>
  <c r="O1196" i="4"/>
  <c r="O1202" i="4"/>
  <c r="O1207" i="4"/>
  <c r="O1212" i="4"/>
  <c r="O1218" i="4"/>
  <c r="O1223" i="4"/>
  <c r="O1228" i="4"/>
  <c r="O1234" i="4"/>
  <c r="O1239" i="4"/>
  <c r="O1244" i="4"/>
  <c r="O1250" i="4"/>
  <c r="O1255" i="4"/>
  <c r="O1260" i="4"/>
  <c r="O1266" i="4"/>
  <c r="O1271" i="4"/>
  <c r="O1276" i="4"/>
  <c r="O1282" i="4"/>
  <c r="O1287" i="4"/>
  <c r="O1292" i="4"/>
  <c r="O1298" i="4"/>
  <c r="O1303" i="4"/>
  <c r="O1308" i="4"/>
  <c r="O1314" i="4"/>
  <c r="O1319" i="4"/>
  <c r="O1324" i="4"/>
  <c r="O1330" i="4"/>
  <c r="O1335" i="4"/>
  <c r="O1340" i="4"/>
  <c r="O1346" i="4"/>
  <c r="O1351" i="4"/>
  <c r="O1356" i="4"/>
  <c r="O1362" i="4"/>
  <c r="O1367" i="4"/>
  <c r="O1372" i="4"/>
  <c r="O1378" i="4"/>
  <c r="O1383" i="4"/>
  <c r="O1388" i="4"/>
  <c r="O1394" i="4"/>
  <c r="O1399" i="4"/>
  <c r="O1404" i="4"/>
  <c r="O1410" i="4"/>
  <c r="O1415" i="4"/>
  <c r="O1420" i="4"/>
  <c r="O1426" i="4"/>
  <c r="O1431" i="4"/>
  <c r="O1436" i="4"/>
  <c r="O1442" i="4"/>
  <c r="O1447" i="4"/>
  <c r="O1452" i="4"/>
  <c r="O1458" i="4"/>
  <c r="O1463" i="4"/>
  <c r="O1468" i="4"/>
  <c r="O1474" i="4"/>
  <c r="O1479" i="4"/>
  <c r="O1484" i="4"/>
  <c r="O1490" i="4"/>
  <c r="O1495" i="4"/>
  <c r="O1500" i="4"/>
  <c r="O1506" i="4"/>
  <c r="O1511" i="4"/>
  <c r="O1516" i="4"/>
  <c r="O1522" i="4"/>
  <c r="O1527" i="4"/>
  <c r="O1532" i="4"/>
  <c r="O1538" i="4"/>
  <c r="O1543" i="4"/>
  <c r="O1548" i="4"/>
  <c r="O1554" i="4"/>
  <c r="O1559" i="4"/>
  <c r="O1564" i="4"/>
  <c r="O1570" i="4"/>
  <c r="O1575" i="4"/>
  <c r="O1580" i="4"/>
  <c r="O1586" i="4"/>
  <c r="O1591" i="4"/>
  <c r="O1596" i="4"/>
  <c r="O1602" i="4"/>
  <c r="O1607" i="4"/>
  <c r="O1612" i="4"/>
  <c r="O1618" i="4"/>
  <c r="O1623" i="4"/>
  <c r="O1628" i="4"/>
  <c r="O1634" i="4"/>
  <c r="O1639" i="4"/>
  <c r="O1644" i="4"/>
  <c r="O1650" i="4"/>
  <c r="O1655" i="4"/>
  <c r="O1660" i="4"/>
  <c r="O1666" i="4"/>
  <c r="O1671" i="4"/>
  <c r="O1676" i="4"/>
  <c r="O1682" i="4"/>
  <c r="O1687" i="4"/>
  <c r="O1692" i="4"/>
  <c r="O1698" i="4"/>
  <c r="O1703" i="4"/>
  <c r="O1708" i="4"/>
  <c r="O1714" i="4"/>
  <c r="O1719" i="4"/>
  <c r="O1724" i="4"/>
  <c r="O1730" i="4"/>
  <c r="O1735" i="4"/>
  <c r="O1740" i="4"/>
  <c r="O1746" i="4"/>
  <c r="O1751" i="4"/>
  <c r="O1756" i="4"/>
  <c r="O1762" i="4"/>
  <c r="O1767" i="4"/>
  <c r="O1772" i="4"/>
  <c r="O1778" i="4"/>
  <c r="O1783" i="4"/>
  <c r="O1788" i="4"/>
  <c r="O1794" i="4"/>
  <c r="O1799" i="4"/>
  <c r="O1804" i="4"/>
  <c r="O1810" i="4"/>
  <c r="O1815" i="4"/>
  <c r="O1820" i="4"/>
  <c r="O1826" i="4"/>
  <c r="O1831" i="4"/>
  <c r="O1836" i="4"/>
  <c r="O1842" i="4"/>
  <c r="O1847" i="4"/>
  <c r="O1852" i="4"/>
  <c r="O1858" i="4"/>
  <c r="O1863" i="4"/>
  <c r="O1868" i="4"/>
  <c r="O1874" i="4"/>
  <c r="O1879" i="4"/>
  <c r="O1884" i="4"/>
  <c r="O1890" i="4"/>
  <c r="O1895" i="4"/>
  <c r="O1900" i="4"/>
  <c r="O1906" i="4"/>
  <c r="O1911" i="4"/>
  <c r="O1916" i="4"/>
  <c r="O1922" i="4"/>
  <c r="O1927" i="4"/>
  <c r="O1932" i="4"/>
  <c r="O1938" i="4"/>
  <c r="O1943" i="4"/>
  <c r="O1948" i="4"/>
  <c r="O1954" i="4"/>
  <c r="O1959" i="4"/>
  <c r="O1964" i="4"/>
  <c r="O1970" i="4"/>
  <c r="O1975" i="4"/>
  <c r="O1980" i="4"/>
  <c r="O1986" i="4"/>
  <c r="O1991" i="4"/>
  <c r="O1996" i="4"/>
  <c r="O2002" i="4"/>
  <c r="O2007" i="4"/>
  <c r="O10" i="4"/>
  <c r="O24" i="4"/>
  <c r="O38" i="4"/>
  <c r="O53" i="4"/>
  <c r="O66" i="4"/>
  <c r="O81" i="4"/>
  <c r="O96" i="4"/>
  <c r="O109" i="4"/>
  <c r="O124" i="4"/>
  <c r="O138" i="4"/>
  <c r="O152" i="4"/>
  <c r="O166" i="4"/>
  <c r="O181" i="4"/>
  <c r="O194" i="4"/>
  <c r="O209" i="4"/>
  <c r="O224" i="4"/>
  <c r="O237" i="4"/>
  <c r="O252" i="4"/>
  <c r="O266" i="4"/>
  <c r="O280" i="4"/>
  <c r="O294" i="4"/>
  <c r="O309" i="4"/>
  <c r="O322" i="4"/>
  <c r="O337" i="4"/>
  <c r="O352" i="4"/>
  <c r="O365" i="4"/>
  <c r="O380" i="4"/>
  <c r="O394" i="4"/>
  <c r="O408" i="4"/>
  <c r="O422" i="4"/>
  <c r="O437" i="4"/>
  <c r="O450" i="4"/>
  <c r="O465" i="4"/>
  <c r="O480" i="4"/>
  <c r="O493" i="4"/>
  <c r="O508" i="4"/>
  <c r="O519" i="4"/>
  <c r="O529" i="4"/>
  <c r="O540" i="4"/>
  <c r="O551" i="4"/>
  <c r="O561" i="4"/>
  <c r="O572" i="4"/>
  <c r="O583" i="4"/>
  <c r="O593" i="4"/>
  <c r="O604" i="4"/>
  <c r="O615" i="4"/>
  <c r="O625" i="4"/>
  <c r="O636" i="4"/>
  <c r="O647" i="4"/>
  <c r="O657" i="4"/>
  <c r="O668" i="4"/>
  <c r="O679" i="4"/>
  <c r="O688" i="4"/>
  <c r="O695" i="4"/>
  <c r="O703" i="4"/>
  <c r="O709" i="4"/>
  <c r="O716" i="4"/>
  <c r="O724" i="4"/>
  <c r="O731" i="4"/>
  <c r="O737" i="4"/>
  <c r="O745" i="4"/>
  <c r="O752" i="4"/>
  <c r="O759" i="4"/>
  <c r="O767" i="4"/>
  <c r="O773" i="4"/>
  <c r="O780" i="4"/>
  <c r="O788" i="4"/>
  <c r="O795" i="4"/>
  <c r="O801" i="4"/>
  <c r="O809" i="4"/>
  <c r="O816" i="4"/>
  <c r="O823" i="4"/>
  <c r="O831" i="4"/>
  <c r="O837" i="4"/>
  <c r="O844" i="4"/>
  <c r="O852" i="4"/>
  <c r="O859" i="4"/>
  <c r="O865" i="4"/>
  <c r="O873" i="4"/>
  <c r="O880" i="4"/>
  <c r="O887" i="4"/>
  <c r="O895" i="4"/>
  <c r="O901" i="4"/>
  <c r="O908" i="4"/>
  <c r="O916" i="4"/>
  <c r="O923" i="4"/>
  <c r="O929" i="4"/>
  <c r="O937" i="4"/>
  <c r="O944" i="4"/>
  <c r="O951" i="4"/>
  <c r="O959" i="4"/>
  <c r="O965" i="4"/>
  <c r="O972" i="4"/>
  <c r="O980" i="4"/>
  <c r="O987" i="4"/>
  <c r="O993" i="4"/>
  <c r="O1001" i="4"/>
  <c r="O1008" i="4"/>
  <c r="O1015" i="4"/>
  <c r="O1023" i="4"/>
  <c r="O1029" i="4"/>
  <c r="O1036" i="4"/>
  <c r="O1044" i="4"/>
  <c r="O1051" i="4"/>
  <c r="O1057" i="4"/>
  <c r="O1065" i="4"/>
  <c r="O1072" i="4"/>
  <c r="O1079" i="4"/>
  <c r="O1087" i="4"/>
  <c r="O1093" i="4"/>
  <c r="O1100" i="4"/>
  <c r="O1108" i="4"/>
  <c r="O1115" i="4"/>
  <c r="O1121" i="4"/>
  <c r="O1129" i="4"/>
  <c r="O1136" i="4"/>
  <c r="O1143" i="4"/>
  <c r="O1150" i="4"/>
  <c r="O1155" i="4"/>
  <c r="O1160" i="4"/>
  <c r="O1166" i="4"/>
  <c r="O1171" i="4"/>
  <c r="O1176" i="4"/>
  <c r="O1182" i="4"/>
  <c r="O1187" i="4"/>
  <c r="O1192" i="4"/>
  <c r="O1198" i="4"/>
  <c r="O1203" i="4"/>
  <c r="O1208" i="4"/>
  <c r="O1214" i="4"/>
  <c r="O1219" i="4"/>
  <c r="O1224" i="4"/>
  <c r="O1230" i="4"/>
  <c r="O1235" i="4"/>
  <c r="O1240" i="4"/>
  <c r="O1246" i="4"/>
  <c r="O1251" i="4"/>
  <c r="O1256" i="4"/>
  <c r="O1262" i="4"/>
  <c r="O1267" i="4"/>
  <c r="O1272" i="4"/>
  <c r="O1278" i="4"/>
  <c r="O1283" i="4"/>
  <c r="O1288" i="4"/>
  <c r="O1294" i="4"/>
  <c r="O1299" i="4"/>
  <c r="O1304" i="4"/>
  <c r="O1310" i="4"/>
  <c r="O1315" i="4"/>
  <c r="O1320" i="4"/>
  <c r="O1326" i="4"/>
  <c r="O1331" i="4"/>
  <c r="O1336" i="4"/>
  <c r="O1342" i="4"/>
  <c r="O1347" i="4"/>
  <c r="O1352" i="4"/>
  <c r="O1358" i="4"/>
  <c r="O1363" i="4"/>
  <c r="O1368" i="4"/>
  <c r="O1374" i="4"/>
  <c r="O1379" i="4"/>
  <c r="O1384" i="4"/>
  <c r="O1390" i="4"/>
  <c r="O1395" i="4"/>
  <c r="O1400" i="4"/>
  <c r="O1406" i="4"/>
  <c r="O1411" i="4"/>
  <c r="O1416" i="4"/>
  <c r="O1422" i="4"/>
  <c r="O1427" i="4"/>
  <c r="O1432" i="4"/>
  <c r="O1438" i="4"/>
  <c r="O1443" i="4"/>
  <c r="O1448" i="4"/>
  <c r="O1454" i="4"/>
  <c r="O1459" i="4"/>
  <c r="O1464" i="4"/>
  <c r="O1470" i="4"/>
  <c r="O1475" i="4"/>
  <c r="O1480" i="4"/>
  <c r="O1486" i="4"/>
  <c r="O1491" i="4"/>
  <c r="O1496" i="4"/>
  <c r="O1502" i="4"/>
  <c r="O1507" i="4"/>
  <c r="O1512" i="4"/>
  <c r="O1518" i="4"/>
  <c r="O1523" i="4"/>
  <c r="O1528" i="4"/>
  <c r="O1534" i="4"/>
  <c r="O1539" i="4"/>
  <c r="O1544" i="4"/>
  <c r="O1550" i="4"/>
  <c r="O1555" i="4"/>
  <c r="O1560" i="4"/>
  <c r="O1566" i="4"/>
  <c r="O1571" i="4"/>
  <c r="O1576" i="4"/>
  <c r="O1582" i="4"/>
  <c r="O1587" i="4"/>
  <c r="O1592" i="4"/>
  <c r="O1598" i="4"/>
  <c r="O1603" i="4"/>
  <c r="O1608" i="4"/>
  <c r="O1614" i="4"/>
  <c r="O1619" i="4"/>
  <c r="O1624" i="4"/>
  <c r="O1630" i="4"/>
  <c r="O1635" i="4"/>
  <c r="O1640" i="4"/>
  <c r="O1646" i="4"/>
  <c r="O1651" i="4"/>
  <c r="O1656" i="4"/>
  <c r="O1662" i="4"/>
  <c r="O1667" i="4"/>
  <c r="O1672" i="4"/>
  <c r="O1678" i="4"/>
  <c r="O1683" i="4"/>
  <c r="O1688" i="4"/>
  <c r="O1694" i="4"/>
  <c r="O1699" i="4"/>
  <c r="O1704" i="4"/>
  <c r="O1710" i="4"/>
  <c r="O1715" i="4"/>
  <c r="O1720" i="4"/>
  <c r="O1726" i="4"/>
  <c r="O1731" i="4"/>
  <c r="O1736" i="4"/>
  <c r="O1742" i="4"/>
  <c r="O1747" i="4"/>
  <c r="O1752" i="4"/>
  <c r="O1758" i="4"/>
  <c r="O1763" i="4"/>
  <c r="O1768" i="4"/>
  <c r="O1774" i="4"/>
  <c r="O1779" i="4"/>
  <c r="O1784" i="4"/>
  <c r="O1790" i="4"/>
  <c r="O1795" i="4"/>
  <c r="O1800" i="4"/>
  <c r="O1806" i="4"/>
  <c r="O1811" i="4"/>
  <c r="O1816" i="4"/>
  <c r="O1822" i="4"/>
  <c r="O1827" i="4"/>
  <c r="O1832" i="4"/>
  <c r="O1838" i="4"/>
  <c r="O1843" i="4"/>
  <c r="O1848" i="4"/>
  <c r="O1854" i="4"/>
  <c r="O1859" i="4"/>
  <c r="O1864" i="4"/>
  <c r="O1870" i="4"/>
  <c r="O1875" i="4"/>
  <c r="O1880" i="4"/>
  <c r="O1886" i="4"/>
  <c r="O1891" i="4"/>
  <c r="O1896" i="4"/>
  <c r="O1902" i="4"/>
  <c r="O1907" i="4"/>
  <c r="O1912" i="4"/>
  <c r="O1918" i="4"/>
  <c r="O1923" i="4"/>
  <c r="O1928" i="4"/>
  <c r="O1934" i="4"/>
  <c r="O1939" i="4"/>
  <c r="O1944" i="4"/>
  <c r="O1950" i="4"/>
  <c r="O1955" i="4"/>
  <c r="O1960" i="4"/>
  <c r="O1966" i="4"/>
  <c r="O1971" i="4"/>
  <c r="O1976" i="4"/>
  <c r="O1982" i="4"/>
  <c r="O1987" i="4"/>
  <c r="O1992" i="4"/>
  <c r="O1998" i="4"/>
  <c r="O2003" i="4"/>
  <c r="O2008" i="4"/>
  <c r="O16" i="4"/>
  <c r="O29" i="4"/>
  <c r="O44" i="4"/>
  <c r="O58" i="4"/>
  <c r="O72" i="4"/>
  <c r="O86" i="4"/>
  <c r="O101" i="4"/>
  <c r="O114" i="4"/>
  <c r="O129" i="4"/>
  <c r="O144" i="4"/>
  <c r="O157" i="4"/>
  <c r="O172" i="4"/>
  <c r="O186" i="4"/>
  <c r="O200" i="4"/>
  <c r="O214" i="4"/>
  <c r="O229" i="4"/>
  <c r="O242" i="4"/>
  <c r="O257" i="4"/>
  <c r="O272" i="4"/>
  <c r="O285" i="4"/>
  <c r="O300" i="4"/>
  <c r="O314" i="4"/>
  <c r="O328" i="4"/>
  <c r="O342" i="4"/>
  <c r="O357" i="4"/>
  <c r="O370" i="4"/>
  <c r="O385" i="4"/>
  <c r="O400" i="4"/>
  <c r="O413" i="4"/>
  <c r="O428" i="4"/>
  <c r="O442" i="4"/>
  <c r="O456" i="4"/>
  <c r="O470" i="4"/>
  <c r="O485" i="4"/>
  <c r="O498" i="4"/>
  <c r="O512" i="4"/>
  <c r="O523" i="4"/>
  <c r="O533" i="4"/>
  <c r="O544" i="4"/>
  <c r="O555" i="4"/>
  <c r="O565" i="4"/>
  <c r="O576" i="4"/>
  <c r="O587" i="4"/>
  <c r="O597" i="4"/>
  <c r="O608" i="4"/>
  <c r="O619" i="4"/>
  <c r="O629" i="4"/>
  <c r="O640" i="4"/>
  <c r="O651" i="4"/>
  <c r="O661" i="4"/>
  <c r="O672" i="4"/>
  <c r="O683" i="4"/>
  <c r="O689" i="4"/>
  <c r="O697" i="4"/>
  <c r="O704" i="4"/>
  <c r="O711" i="4"/>
  <c r="O719" i="4"/>
  <c r="O725" i="4"/>
  <c r="O732" i="4"/>
  <c r="O740" i="4"/>
  <c r="O747" i="4"/>
  <c r="O753" i="4"/>
  <c r="O761" i="4"/>
  <c r="O768" i="4"/>
  <c r="O775" i="4"/>
  <c r="O783" i="4"/>
  <c r="O789" i="4"/>
  <c r="O796" i="4"/>
  <c r="O804" i="4"/>
  <c r="O811" i="4"/>
  <c r="O817" i="4"/>
  <c r="O825" i="4"/>
  <c r="O832" i="4"/>
  <c r="O839" i="4"/>
  <c r="O847" i="4"/>
  <c r="O853" i="4"/>
  <c r="O860" i="4"/>
  <c r="O868" i="4"/>
  <c r="O875" i="4"/>
  <c r="O881" i="4"/>
  <c r="O889" i="4"/>
  <c r="O896" i="4"/>
  <c r="O903" i="4"/>
  <c r="O911" i="4"/>
  <c r="O917" i="4"/>
  <c r="O924" i="4"/>
  <c r="O932" i="4"/>
  <c r="O939" i="4"/>
  <c r="O945" i="4"/>
  <c r="O953" i="4"/>
  <c r="O960" i="4"/>
  <c r="O967" i="4"/>
  <c r="O975" i="4"/>
  <c r="O981" i="4"/>
  <c r="O988" i="4"/>
  <c r="O996" i="4"/>
  <c r="O1003" i="4"/>
  <c r="O1009" i="4"/>
  <c r="O1017" i="4"/>
  <c r="O1024" i="4"/>
  <c r="O1031" i="4"/>
  <c r="O1039" i="4"/>
  <c r="O1045" i="4"/>
  <c r="O1052" i="4"/>
  <c r="O1060" i="4"/>
  <c r="O1067" i="4"/>
  <c r="O1073" i="4"/>
  <c r="O1081" i="4"/>
  <c r="O1088" i="4"/>
  <c r="O1095" i="4"/>
  <c r="O1103" i="4"/>
  <c r="O1109" i="4"/>
  <c r="O1116" i="4"/>
  <c r="O1124" i="4"/>
  <c r="O1131" i="4"/>
  <c r="O1137" i="4"/>
  <c r="O1145" i="4"/>
  <c r="O1151" i="4"/>
  <c r="O1156" i="4"/>
  <c r="O1162" i="4"/>
  <c r="O1167" i="4"/>
  <c r="O1172" i="4"/>
  <c r="O1178" i="4"/>
  <c r="O1183" i="4"/>
  <c r="O1188" i="4"/>
  <c r="O1194" i="4"/>
  <c r="O1199" i="4"/>
  <c r="O1204" i="4"/>
  <c r="O1210" i="4"/>
  <c r="O1215" i="4"/>
  <c r="O1220" i="4"/>
  <c r="O1226" i="4"/>
  <c r="O1231" i="4"/>
  <c r="O1236" i="4"/>
  <c r="O1242" i="4"/>
  <c r="O1247" i="4"/>
  <c r="O1252" i="4"/>
  <c r="O1258" i="4"/>
  <c r="O1263" i="4"/>
  <c r="O1268" i="4"/>
  <c r="O1274" i="4"/>
  <c r="O1279" i="4"/>
  <c r="O1284" i="4"/>
  <c r="O1290" i="4"/>
  <c r="O1295" i="4"/>
  <c r="O1300" i="4"/>
  <c r="O1306" i="4"/>
  <c r="O1311" i="4"/>
  <c r="O1316" i="4"/>
  <c r="O1322" i="4"/>
  <c r="O1327" i="4"/>
  <c r="O1332" i="4"/>
  <c r="O1338" i="4"/>
  <c r="O1343" i="4"/>
  <c r="O1348" i="4"/>
  <c r="O1354" i="4"/>
  <c r="O1359" i="4"/>
  <c r="O1364" i="4"/>
  <c r="O1370" i="4"/>
  <c r="O1375" i="4"/>
  <c r="O1380" i="4"/>
  <c r="O1386" i="4"/>
  <c r="O1391" i="4"/>
  <c r="O1396" i="4"/>
  <c r="O1402" i="4"/>
  <c r="O1407" i="4"/>
  <c r="O1412" i="4"/>
  <c r="O1418" i="4"/>
  <c r="O1423" i="4"/>
  <c r="O1428" i="4"/>
  <c r="O1434" i="4"/>
  <c r="O1439" i="4"/>
  <c r="O1444" i="4"/>
  <c r="O1450" i="4"/>
  <c r="O1455" i="4"/>
  <c r="O1460" i="4"/>
  <c r="O1466" i="4"/>
  <c r="O1471" i="4"/>
  <c r="O1476" i="4"/>
  <c r="O1482" i="4"/>
  <c r="O1487" i="4"/>
  <c r="O1492" i="4"/>
  <c r="O1498" i="4"/>
  <c r="O1503" i="4"/>
  <c r="O1508" i="4"/>
  <c r="O1514" i="4"/>
  <c r="O1519" i="4"/>
  <c r="O1524" i="4"/>
  <c r="O1530" i="4"/>
  <c r="O1535" i="4"/>
  <c r="O1540" i="4"/>
  <c r="O1546" i="4"/>
  <c r="O1551" i="4"/>
  <c r="O1556" i="4"/>
  <c r="O1562" i="4"/>
  <c r="O1567" i="4"/>
  <c r="O1572" i="4"/>
  <c r="O1578" i="4"/>
  <c r="O1583" i="4"/>
  <c r="O1588" i="4"/>
  <c r="O1594" i="4"/>
  <c r="O1599" i="4"/>
  <c r="O1604" i="4"/>
  <c r="O1610" i="4"/>
  <c r="O1615" i="4"/>
  <c r="O1620" i="4"/>
  <c r="O1626" i="4"/>
  <c r="O1631" i="4"/>
  <c r="O1636" i="4"/>
  <c r="O1642" i="4"/>
  <c r="O1647" i="4"/>
  <c r="O1652" i="4"/>
  <c r="O1658" i="4"/>
  <c r="O1663" i="4"/>
  <c r="O1668" i="4"/>
  <c r="O1674" i="4"/>
  <c r="O1679" i="4"/>
  <c r="O1684" i="4"/>
  <c r="O1690" i="4"/>
  <c r="O1700" i="4"/>
  <c r="O1706" i="4"/>
  <c r="O1711" i="4"/>
  <c r="O1716" i="4"/>
  <c r="O1722" i="4"/>
  <c r="O1727" i="4"/>
  <c r="O1732" i="4"/>
  <c r="O1738" i="4"/>
  <c r="O1743" i="4"/>
  <c r="O1748" i="4"/>
  <c r="O1754" i="4"/>
  <c r="O1759" i="4"/>
  <c r="O1764" i="4"/>
  <c r="O1770" i="4"/>
  <c r="O1775" i="4"/>
  <c r="O1780" i="4"/>
  <c r="O1786" i="4"/>
  <c r="O1791" i="4"/>
  <c r="O1796" i="4"/>
  <c r="O1802" i="4"/>
  <c r="O1807" i="4"/>
  <c r="O1812" i="4"/>
  <c r="O1818" i="4"/>
  <c r="O1823" i="4"/>
  <c r="O1828" i="4"/>
  <c r="O1834" i="4"/>
  <c r="O1839" i="4"/>
  <c r="O1844" i="4"/>
  <c r="O1850" i="4"/>
  <c r="O1855" i="4"/>
  <c r="O1860" i="4"/>
  <c r="O1866" i="4"/>
  <c r="O1871" i="4"/>
  <c r="O1876" i="4"/>
  <c r="O1882" i="4"/>
  <c r="O1887" i="4"/>
  <c r="O1892" i="4"/>
  <c r="O1898" i="4"/>
  <c r="O1903" i="4"/>
  <c r="O1908" i="4"/>
  <c r="O1914" i="4"/>
  <c r="O1919" i="4"/>
  <c r="O1924" i="4"/>
  <c r="O1930" i="4"/>
  <c r="O1935" i="4"/>
  <c r="O1940" i="4"/>
  <c r="O1946" i="4"/>
  <c r="O1951" i="4"/>
  <c r="O1956" i="4"/>
  <c r="O1962" i="4"/>
  <c r="O1967" i="4"/>
  <c r="O1972" i="4"/>
  <c r="O1978" i="4"/>
  <c r="O1983" i="4"/>
  <c r="O1988" i="4"/>
  <c r="O1994" i="4"/>
  <c r="O1999" i="4"/>
  <c r="O2004" i="4"/>
  <c r="O2010" i="4"/>
  <c r="O17" i="4"/>
  <c r="O32" i="4"/>
  <c r="O45" i="4"/>
  <c r="O60" i="4"/>
  <c r="O74" i="4"/>
  <c r="O88" i="4"/>
  <c r="O102" i="4"/>
  <c r="O117" i="4"/>
  <c r="O130" i="4"/>
  <c r="O145" i="4"/>
  <c r="O160" i="4"/>
  <c r="O173" i="4"/>
  <c r="O188" i="4"/>
  <c r="O202" i="4"/>
  <c r="O216" i="4"/>
  <c r="O230" i="4"/>
  <c r="O245" i="4"/>
  <c r="O258" i="4"/>
  <c r="O273" i="4"/>
  <c r="O288" i="4"/>
  <c r="O301" i="4"/>
  <c r="O316" i="4"/>
  <c r="O330" i="4"/>
  <c r="O344" i="4"/>
  <c r="O358" i="4"/>
  <c r="O373" i="4"/>
  <c r="O386" i="4"/>
  <c r="O401" i="4"/>
  <c r="O416" i="4"/>
  <c r="O429" i="4"/>
  <c r="O444" i="4"/>
  <c r="O458" i="4"/>
  <c r="O472" i="4"/>
  <c r="O486" i="4"/>
  <c r="O501" i="4"/>
  <c r="O513" i="4"/>
  <c r="O524" i="4"/>
  <c r="O535" i="4"/>
  <c r="O545" i="4"/>
  <c r="O556" i="4"/>
  <c r="O567" i="4"/>
  <c r="O577" i="4"/>
  <c r="O588" i="4"/>
  <c r="O599" i="4"/>
  <c r="O609" i="4"/>
  <c r="O620" i="4"/>
  <c r="O631" i="4"/>
  <c r="O641" i="4"/>
  <c r="O652" i="4"/>
  <c r="O663" i="4"/>
  <c r="O673" i="4"/>
  <c r="O684" i="4"/>
  <c r="O692" i="4"/>
  <c r="O699" i="4"/>
  <c r="O705" i="4"/>
  <c r="O713" i="4"/>
  <c r="O720" i="4"/>
  <c r="O727" i="4"/>
  <c r="O735" i="4"/>
  <c r="O741" i="4"/>
  <c r="O748" i="4"/>
  <c r="O756" i="4"/>
  <c r="O763" i="4"/>
  <c r="O769" i="4"/>
  <c r="O777" i="4"/>
  <c r="O784" i="4"/>
  <c r="O791" i="4"/>
  <c r="O799" i="4"/>
  <c r="O805" i="4"/>
  <c r="O812" i="4"/>
  <c r="O820" i="4"/>
  <c r="O827" i="4"/>
  <c r="O833" i="4"/>
  <c r="O841" i="4"/>
  <c r="O848" i="4"/>
  <c r="O855" i="4"/>
  <c r="O863" i="4"/>
  <c r="O869" i="4"/>
  <c r="O876" i="4"/>
  <c r="O884" i="4"/>
  <c r="O891" i="4"/>
  <c r="O897" i="4"/>
  <c r="O905" i="4"/>
  <c r="O912" i="4"/>
  <c r="O919" i="4"/>
  <c r="O927" i="4"/>
  <c r="O933" i="4"/>
  <c r="O940" i="4"/>
  <c r="O948" i="4"/>
  <c r="O955" i="4"/>
  <c r="O961" i="4"/>
  <c r="O969" i="4"/>
  <c r="O976" i="4"/>
  <c r="O983" i="4"/>
  <c r="O991" i="4"/>
  <c r="O997" i="4"/>
  <c r="O1004" i="4"/>
  <c r="O1012" i="4"/>
  <c r="O1019" i="4"/>
  <c r="O1025" i="4"/>
  <c r="O1033" i="4"/>
  <c r="O1040" i="4"/>
  <c r="O1047" i="4"/>
  <c r="O1055" i="4"/>
  <c r="O1061" i="4"/>
  <c r="O1068" i="4"/>
  <c r="O1076" i="4"/>
  <c r="O1083" i="4"/>
  <c r="O1089" i="4"/>
  <c r="O1097" i="4"/>
  <c r="O1104" i="4"/>
  <c r="O1111" i="4"/>
  <c r="O1119" i="4"/>
  <c r="O1125" i="4"/>
  <c r="O1132" i="4"/>
  <c r="O1140" i="4"/>
  <c r="O1147" i="4"/>
  <c r="O1152" i="4"/>
  <c r="O1158" i="4"/>
  <c r="O1163" i="4"/>
  <c r="O1168" i="4"/>
  <c r="O1174" i="4"/>
  <c r="O1179" i="4"/>
  <c r="O1184" i="4"/>
  <c r="O1190" i="4"/>
  <c r="O1195" i="4"/>
  <c r="O1200" i="4"/>
  <c r="O1206" i="4"/>
  <c r="O1211" i="4"/>
  <c r="O1216" i="4"/>
  <c r="O1222" i="4"/>
  <c r="O1227" i="4"/>
  <c r="O1232" i="4"/>
  <c r="O1238" i="4"/>
  <c r="O1243" i="4"/>
  <c r="O1248" i="4"/>
  <c r="O1254" i="4"/>
  <c r="O1259" i="4"/>
  <c r="O1264" i="4"/>
  <c r="O1270" i="4"/>
  <c r="O1275" i="4"/>
  <c r="O1280" i="4"/>
  <c r="O1286" i="4"/>
  <c r="O1291" i="4"/>
  <c r="O1296" i="4"/>
  <c r="O1302" i="4"/>
  <c r="O1307" i="4"/>
  <c r="O1312" i="4"/>
  <c r="O1318" i="4"/>
  <c r="O1323" i="4"/>
  <c r="O1328" i="4"/>
  <c r="O1334" i="4"/>
  <c r="O1339" i="4"/>
  <c r="O1344" i="4"/>
  <c r="O1350" i="4"/>
  <c r="O1355" i="4"/>
  <c r="O1360" i="4"/>
  <c r="O1366" i="4"/>
  <c r="O1371" i="4"/>
  <c r="O1376" i="4"/>
  <c r="O1382" i="4"/>
  <c r="O1387" i="4"/>
  <c r="O1392" i="4"/>
  <c r="O1398" i="4"/>
  <c r="O1403" i="4"/>
  <c r="O1408" i="4"/>
  <c r="O1414" i="4"/>
  <c r="O1419" i="4"/>
  <c r="O1424" i="4"/>
  <c r="O1430" i="4"/>
  <c r="O1435" i="4"/>
  <c r="O1440" i="4"/>
  <c r="O1446" i="4"/>
  <c r="O1451" i="4"/>
  <c r="O1456" i="4"/>
  <c r="O1462" i="4"/>
  <c r="O1467" i="4"/>
  <c r="O1472" i="4"/>
  <c r="O1478" i="4"/>
  <c r="O1483" i="4"/>
  <c r="O1488" i="4"/>
  <c r="O1494" i="4"/>
  <c r="O1499" i="4"/>
  <c r="O1504" i="4"/>
  <c r="O1510" i="4"/>
  <c r="O1515" i="4"/>
  <c r="O1520" i="4"/>
  <c r="O1542" i="4"/>
  <c r="O1563" i="4"/>
  <c r="O1584" i="4"/>
  <c r="O1606" i="4"/>
  <c r="O1627" i="4"/>
  <c r="O1648" i="4"/>
  <c r="O1670" i="4"/>
  <c r="O1691" i="4"/>
  <c r="O1712" i="4"/>
  <c r="O1734" i="4"/>
  <c r="O1755" i="4"/>
  <c r="O1776" i="4"/>
  <c r="O1798" i="4"/>
  <c r="O1819" i="4"/>
  <c r="O1840" i="4"/>
  <c r="O1862" i="4"/>
  <c r="O1883" i="4"/>
  <c r="O1904" i="4"/>
  <c r="O1926" i="4"/>
  <c r="O1947" i="4"/>
  <c r="O1968" i="4"/>
  <c r="O1990" i="4"/>
  <c r="O2011" i="4"/>
  <c r="O1526" i="4"/>
  <c r="O1547" i="4"/>
  <c r="O1568" i="4"/>
  <c r="O1590" i="4"/>
  <c r="O1611" i="4"/>
  <c r="O1632" i="4"/>
  <c r="O1654" i="4"/>
  <c r="O1675" i="4"/>
  <c r="O1696" i="4"/>
  <c r="O1718" i="4"/>
  <c r="O1739" i="4"/>
  <c r="O1760" i="4"/>
  <c r="O1782" i="4"/>
  <c r="O1803" i="4"/>
  <c r="O1824" i="4"/>
  <c r="O1846" i="4"/>
  <c r="O1867" i="4"/>
  <c r="O1888" i="4"/>
  <c r="O1910" i="4"/>
  <c r="O1931" i="4"/>
  <c r="O1952" i="4"/>
  <c r="O1974" i="4"/>
  <c r="O1995" i="4"/>
  <c r="O1531" i="4"/>
  <c r="O1552" i="4"/>
  <c r="O1574" i="4"/>
  <c r="O1595" i="4"/>
  <c r="O1616" i="4"/>
  <c r="O1638" i="4"/>
  <c r="O1659" i="4"/>
  <c r="O1680" i="4"/>
  <c r="O1702" i="4"/>
  <c r="O1723" i="4"/>
  <c r="O1744" i="4"/>
  <c r="O1766" i="4"/>
  <c r="O1787" i="4"/>
  <c r="O1808" i="4"/>
  <c r="O1830" i="4"/>
  <c r="O1851" i="4"/>
  <c r="O1872" i="4"/>
  <c r="O1894" i="4"/>
  <c r="O1915" i="4"/>
  <c r="O1936" i="4"/>
  <c r="O1958" i="4"/>
  <c r="O1979" i="4"/>
  <c r="O2000" i="4"/>
  <c r="O1536" i="4"/>
  <c r="O1558" i="4"/>
  <c r="O1579" i="4"/>
  <c r="O1600" i="4"/>
  <c r="O1622" i="4"/>
  <c r="O1643" i="4"/>
  <c r="O1664" i="4"/>
  <c r="O1686" i="4"/>
  <c r="O1707" i="4"/>
  <c r="O1728" i="4"/>
  <c r="O1750" i="4"/>
  <c r="O1771" i="4"/>
  <c r="O1792" i="4"/>
  <c r="O1814" i="4"/>
  <c r="O1835" i="4"/>
  <c r="O1856" i="4"/>
  <c r="O1878" i="4"/>
  <c r="O1899" i="4"/>
  <c r="O1920" i="4"/>
  <c r="O1942" i="4"/>
  <c r="O1963" i="4"/>
  <c r="O1984" i="4"/>
  <c r="O2006" i="4"/>
  <c r="R3" i="4"/>
  <c r="R7" i="4"/>
  <c r="R11" i="4"/>
  <c r="R15" i="4"/>
  <c r="R19" i="4"/>
  <c r="R23" i="4"/>
  <c r="R27" i="4"/>
  <c r="R31" i="4"/>
  <c r="R35" i="4"/>
  <c r="R39" i="4"/>
  <c r="R43" i="4"/>
  <c r="R47" i="4"/>
  <c r="R51" i="4"/>
  <c r="R55" i="4"/>
  <c r="R59" i="4"/>
  <c r="R63" i="4"/>
  <c r="R67" i="4"/>
  <c r="R71" i="4"/>
  <c r="R75" i="4"/>
  <c r="R79" i="4"/>
  <c r="R83" i="4"/>
  <c r="R87" i="4"/>
  <c r="R91" i="4"/>
  <c r="R95" i="4"/>
  <c r="R99" i="4"/>
  <c r="R103" i="4"/>
  <c r="R107" i="4"/>
  <c r="R111" i="4"/>
  <c r="R115" i="4"/>
  <c r="R119" i="4"/>
  <c r="R123" i="4"/>
  <c r="R127" i="4"/>
  <c r="R131" i="4"/>
  <c r="R135" i="4"/>
  <c r="R139" i="4"/>
  <c r="R143" i="4"/>
  <c r="R147" i="4"/>
  <c r="R151" i="4"/>
  <c r="R155" i="4"/>
  <c r="R159" i="4"/>
  <c r="R163" i="4"/>
  <c r="R167" i="4"/>
  <c r="R171" i="4"/>
  <c r="R175" i="4"/>
  <c r="R179" i="4"/>
  <c r="R183" i="4"/>
  <c r="R187" i="4"/>
  <c r="R191" i="4"/>
  <c r="R195" i="4"/>
  <c r="R199" i="4"/>
  <c r="R203" i="4"/>
  <c r="R207" i="4"/>
  <c r="R211" i="4"/>
  <c r="R215" i="4"/>
  <c r="R219" i="4"/>
  <c r="R223" i="4"/>
  <c r="R227" i="4"/>
  <c r="R231" i="4"/>
  <c r="R235" i="4"/>
  <c r="R239" i="4"/>
  <c r="R243" i="4"/>
  <c r="R247" i="4"/>
  <c r="R251" i="4"/>
  <c r="R255" i="4"/>
  <c r="R259" i="4"/>
  <c r="R263" i="4"/>
  <c r="R267" i="4"/>
  <c r="R271" i="4"/>
  <c r="R275" i="4"/>
  <c r="R279" i="4"/>
  <c r="R283" i="4"/>
  <c r="R287" i="4"/>
  <c r="R291" i="4"/>
  <c r="R295" i="4"/>
  <c r="R299" i="4"/>
  <c r="R303" i="4"/>
  <c r="R307" i="4"/>
  <c r="R311" i="4"/>
  <c r="R315" i="4"/>
  <c r="R319" i="4"/>
  <c r="R323" i="4"/>
  <c r="R327" i="4"/>
  <c r="R331" i="4"/>
  <c r="R335" i="4"/>
  <c r="R339" i="4"/>
  <c r="R343" i="4"/>
  <c r="R347" i="4"/>
  <c r="R351" i="4"/>
  <c r="R355" i="4"/>
  <c r="R359" i="4"/>
  <c r="R363" i="4"/>
  <c r="R367" i="4"/>
  <c r="R371" i="4"/>
  <c r="R375" i="4"/>
  <c r="R379" i="4"/>
  <c r="R383" i="4"/>
  <c r="R387" i="4"/>
  <c r="R391" i="4"/>
  <c r="R395" i="4"/>
  <c r="R399" i="4"/>
  <c r="R403" i="4"/>
  <c r="R407" i="4"/>
  <c r="R411" i="4"/>
  <c r="R415" i="4"/>
  <c r="R419" i="4"/>
  <c r="R423" i="4"/>
  <c r="R427" i="4"/>
  <c r="R431" i="4"/>
  <c r="R435" i="4"/>
  <c r="R439" i="4"/>
  <c r="R443" i="4"/>
  <c r="R447" i="4"/>
  <c r="R451" i="4"/>
  <c r="R455" i="4"/>
  <c r="R459" i="4"/>
  <c r="R463" i="4"/>
  <c r="R467" i="4"/>
  <c r="R471" i="4"/>
  <c r="R475" i="4"/>
  <c r="R479" i="4"/>
  <c r="R483" i="4"/>
  <c r="R487" i="4"/>
  <c r="R491" i="4"/>
  <c r="R495" i="4"/>
  <c r="R499" i="4"/>
  <c r="R503" i="4"/>
  <c r="R507" i="4"/>
  <c r="R4" i="4"/>
  <c r="R9" i="4"/>
  <c r="R14" i="4"/>
  <c r="R20" i="4"/>
  <c r="R25" i="4"/>
  <c r="R30" i="4"/>
  <c r="R36" i="4"/>
  <c r="R41" i="4"/>
  <c r="R46" i="4"/>
  <c r="R52" i="4"/>
  <c r="R57" i="4"/>
  <c r="R62" i="4"/>
  <c r="R68" i="4"/>
  <c r="R73" i="4"/>
  <c r="R78" i="4"/>
  <c r="R84" i="4"/>
  <c r="R89" i="4"/>
  <c r="R94" i="4"/>
  <c r="R100" i="4"/>
  <c r="R105" i="4"/>
  <c r="R110" i="4"/>
  <c r="R116" i="4"/>
  <c r="R121" i="4"/>
  <c r="R126" i="4"/>
  <c r="R132" i="4"/>
  <c r="R137" i="4"/>
  <c r="R142" i="4"/>
  <c r="R148" i="4"/>
  <c r="R153" i="4"/>
  <c r="R158" i="4"/>
  <c r="R164" i="4"/>
  <c r="R169" i="4"/>
  <c r="R174" i="4"/>
  <c r="R180" i="4"/>
  <c r="R185" i="4"/>
  <c r="R190" i="4"/>
  <c r="R196" i="4"/>
  <c r="R201" i="4"/>
  <c r="R206" i="4"/>
  <c r="R212" i="4"/>
  <c r="R222" i="4"/>
  <c r="R228" i="4"/>
  <c r="R233" i="4"/>
  <c r="R238" i="4"/>
  <c r="R244" i="4"/>
  <c r="R249" i="4"/>
  <c r="R254" i="4"/>
  <c r="R260" i="4"/>
  <c r="R265" i="4"/>
  <c r="R270" i="4"/>
  <c r="R276" i="4"/>
  <c r="R281" i="4"/>
  <c r="R286" i="4"/>
  <c r="R292" i="4"/>
  <c r="R297" i="4"/>
  <c r="R302" i="4"/>
  <c r="R308" i="4"/>
  <c r="R313" i="4"/>
  <c r="R318" i="4"/>
  <c r="R324" i="4"/>
  <c r="R329" i="4"/>
  <c r="R334" i="4"/>
  <c r="R340" i="4"/>
  <c r="R345" i="4"/>
  <c r="R350" i="4"/>
  <c r="R356" i="4"/>
  <c r="R361" i="4"/>
  <c r="R366" i="4"/>
  <c r="R372" i="4"/>
  <c r="R377" i="4"/>
  <c r="R382" i="4"/>
  <c r="R388" i="4"/>
  <c r="R393" i="4"/>
  <c r="R398" i="4"/>
  <c r="R404" i="4"/>
  <c r="R409" i="4"/>
  <c r="R414" i="4"/>
  <c r="R420" i="4"/>
  <c r="R425" i="4"/>
  <c r="R430" i="4"/>
  <c r="R436" i="4"/>
  <c r="R441" i="4"/>
  <c r="R446" i="4"/>
  <c r="R452" i="4"/>
  <c r="R457" i="4"/>
  <c r="R462" i="4"/>
  <c r="R468" i="4"/>
  <c r="R473" i="4"/>
  <c r="R478" i="4"/>
  <c r="R484" i="4"/>
  <c r="R489" i="4"/>
  <c r="R494" i="4"/>
  <c r="R500" i="4"/>
  <c r="R505" i="4"/>
  <c r="R510" i="4"/>
  <c r="R514" i="4"/>
  <c r="R518" i="4"/>
  <c r="R522" i="4"/>
  <c r="R526" i="4"/>
  <c r="R530" i="4"/>
  <c r="R534" i="4"/>
  <c r="R538" i="4"/>
  <c r="R542" i="4"/>
  <c r="R546" i="4"/>
  <c r="R550" i="4"/>
  <c r="R554" i="4"/>
  <c r="R558" i="4"/>
  <c r="R562" i="4"/>
  <c r="R566" i="4"/>
  <c r="R570" i="4"/>
  <c r="R574" i="4"/>
  <c r="R578" i="4"/>
  <c r="R582" i="4"/>
  <c r="R586" i="4"/>
  <c r="R590" i="4"/>
  <c r="R594" i="4"/>
  <c r="R598" i="4"/>
  <c r="R602" i="4"/>
  <c r="R606" i="4"/>
  <c r="R610" i="4"/>
  <c r="R614" i="4"/>
  <c r="R618" i="4"/>
  <c r="R622" i="4"/>
  <c r="R626" i="4"/>
  <c r="R630" i="4"/>
  <c r="R634" i="4"/>
  <c r="R638" i="4"/>
  <c r="R642" i="4"/>
  <c r="R646" i="4"/>
  <c r="R650" i="4"/>
  <c r="R654" i="4"/>
  <c r="R658" i="4"/>
  <c r="R662" i="4"/>
  <c r="R666" i="4"/>
  <c r="R670" i="4"/>
  <c r="R674" i="4"/>
  <c r="R678" i="4"/>
  <c r="R682" i="4"/>
  <c r="R686" i="4"/>
  <c r="R690" i="4"/>
  <c r="R694" i="4"/>
  <c r="R698" i="4"/>
  <c r="R702" i="4"/>
  <c r="R706" i="4"/>
  <c r="R710" i="4"/>
  <c r="R714" i="4"/>
  <c r="R718" i="4"/>
  <c r="R722" i="4"/>
  <c r="R726" i="4"/>
  <c r="R730" i="4"/>
  <c r="R734" i="4"/>
  <c r="R738" i="4"/>
  <c r="R742" i="4"/>
  <c r="R746" i="4"/>
  <c r="R750" i="4"/>
  <c r="R754" i="4"/>
  <c r="R758" i="4"/>
  <c r="R762" i="4"/>
  <c r="R766" i="4"/>
  <c r="R770" i="4"/>
  <c r="R774" i="4"/>
  <c r="R778" i="4"/>
  <c r="R782" i="4"/>
  <c r="R786" i="4"/>
  <c r="R790" i="4"/>
  <c r="R794" i="4"/>
  <c r="R798" i="4"/>
  <c r="R802" i="4"/>
  <c r="R806" i="4"/>
  <c r="R810" i="4"/>
  <c r="R814" i="4"/>
  <c r="R818" i="4"/>
  <c r="R822" i="4"/>
  <c r="R826" i="4"/>
  <c r="R830" i="4"/>
  <c r="R834" i="4"/>
  <c r="R838" i="4"/>
  <c r="R842" i="4"/>
  <c r="R846" i="4"/>
  <c r="R850" i="4"/>
  <c r="R854" i="4"/>
  <c r="R858" i="4"/>
  <c r="R862" i="4"/>
  <c r="R866" i="4"/>
  <c r="R870" i="4"/>
  <c r="R874" i="4"/>
  <c r="R878" i="4"/>
  <c r="R882" i="4"/>
  <c r="R886" i="4"/>
  <c r="R890" i="4"/>
  <c r="R894" i="4"/>
  <c r="R898" i="4"/>
  <c r="R902" i="4"/>
  <c r="R906" i="4"/>
  <c r="R910" i="4"/>
  <c r="R914" i="4"/>
  <c r="R918" i="4"/>
  <c r="R922" i="4"/>
  <c r="R926" i="4"/>
  <c r="R930" i="4"/>
  <c r="R934" i="4"/>
  <c r="R938" i="4"/>
  <c r="R942" i="4"/>
  <c r="R946" i="4"/>
  <c r="R950" i="4"/>
  <c r="R954" i="4"/>
  <c r="R958" i="4"/>
  <c r="R962" i="4"/>
  <c r="R966" i="4"/>
  <c r="R970" i="4"/>
  <c r="R974" i="4"/>
  <c r="R978" i="4"/>
  <c r="R982" i="4"/>
  <c r="R986" i="4"/>
  <c r="R990" i="4"/>
  <c r="R994" i="4"/>
  <c r="R998" i="4"/>
  <c r="R1002" i="4"/>
  <c r="R1006" i="4"/>
  <c r="R1010" i="4"/>
  <c r="R1014" i="4"/>
  <c r="R1018" i="4"/>
  <c r="R1022" i="4"/>
  <c r="R1026" i="4"/>
  <c r="R1030" i="4"/>
  <c r="R1034" i="4"/>
  <c r="R1038" i="4"/>
  <c r="R1042" i="4"/>
  <c r="R1046" i="4"/>
  <c r="R1050" i="4"/>
  <c r="R1054" i="4"/>
  <c r="R1058" i="4"/>
  <c r="R1066" i="4"/>
  <c r="R1070" i="4"/>
  <c r="R1074" i="4"/>
  <c r="R1078" i="4"/>
  <c r="R1082" i="4"/>
  <c r="R1086" i="4"/>
  <c r="R1090" i="4"/>
  <c r="R1094" i="4"/>
  <c r="R1098" i="4"/>
  <c r="R1102" i="4"/>
  <c r="R1106" i="4"/>
  <c r="R1110" i="4"/>
  <c r="R1114" i="4"/>
  <c r="R1118" i="4"/>
  <c r="R1122" i="4"/>
  <c r="R1126" i="4"/>
  <c r="R1130" i="4"/>
  <c r="R1134" i="4"/>
  <c r="R1138" i="4"/>
  <c r="R1142" i="4"/>
  <c r="R1146" i="4"/>
  <c r="R5" i="4"/>
  <c r="R12" i="4"/>
  <c r="R18" i="4"/>
  <c r="R26" i="4"/>
  <c r="R33" i="4"/>
  <c r="R40" i="4"/>
  <c r="R48" i="4"/>
  <c r="R54" i="4"/>
  <c r="R61" i="4"/>
  <c r="R69" i="4"/>
  <c r="R76" i="4"/>
  <c r="R82" i="4"/>
  <c r="R90" i="4"/>
  <c r="R97" i="4"/>
  <c r="R104" i="4"/>
  <c r="R112" i="4"/>
  <c r="R118" i="4"/>
  <c r="R125" i="4"/>
  <c r="R133" i="4"/>
  <c r="R140" i="4"/>
  <c r="R146" i="4"/>
  <c r="R154" i="4"/>
  <c r="R161" i="4"/>
  <c r="R168" i="4"/>
  <c r="R176" i="4"/>
  <c r="R182" i="4"/>
  <c r="R189" i="4"/>
  <c r="R197" i="4"/>
  <c r="R204" i="4"/>
  <c r="R210" i="4"/>
  <c r="R218" i="4"/>
  <c r="R225" i="4"/>
  <c r="R232" i="4"/>
  <c r="R240" i="4"/>
  <c r="R246" i="4"/>
  <c r="R253" i="4"/>
  <c r="R261" i="4"/>
  <c r="R268" i="4"/>
  <c r="R274" i="4"/>
  <c r="R282" i="4"/>
  <c r="R289" i="4"/>
  <c r="R296" i="4"/>
  <c r="R304" i="4"/>
  <c r="R310" i="4"/>
  <c r="R317" i="4"/>
  <c r="R325" i="4"/>
  <c r="R332" i="4"/>
  <c r="R338" i="4"/>
  <c r="R346" i="4"/>
  <c r="R353" i="4"/>
  <c r="R360" i="4"/>
  <c r="R368" i="4"/>
  <c r="R374" i="4"/>
  <c r="R381" i="4"/>
  <c r="R389" i="4"/>
  <c r="R396" i="4"/>
  <c r="R402" i="4"/>
  <c r="R410" i="4"/>
  <c r="R417" i="4"/>
  <c r="R424" i="4"/>
  <c r="R432" i="4"/>
  <c r="R438" i="4"/>
  <c r="R445" i="4"/>
  <c r="R453" i="4"/>
  <c r="R460" i="4"/>
  <c r="R466" i="4"/>
  <c r="R474" i="4"/>
  <c r="R481" i="4"/>
  <c r="R488" i="4"/>
  <c r="R496" i="4"/>
  <c r="R502" i="4"/>
  <c r="R509" i="4"/>
  <c r="R515" i="4"/>
  <c r="R520" i="4"/>
  <c r="R525" i="4"/>
  <c r="R531" i="4"/>
  <c r="R536" i="4"/>
  <c r="R541" i="4"/>
  <c r="R547" i="4"/>
  <c r="R552" i="4"/>
  <c r="R557" i="4"/>
  <c r="R563" i="4"/>
  <c r="R568" i="4"/>
  <c r="R573" i="4"/>
  <c r="R579" i="4"/>
  <c r="R584" i="4"/>
  <c r="R589" i="4"/>
  <c r="R595" i="4"/>
  <c r="R600" i="4"/>
  <c r="R605" i="4"/>
  <c r="R611" i="4"/>
  <c r="R616" i="4"/>
  <c r="R621" i="4"/>
  <c r="R627" i="4"/>
  <c r="R632" i="4"/>
  <c r="R637" i="4"/>
  <c r="R643" i="4"/>
  <c r="R648" i="4"/>
  <c r="R653" i="4"/>
  <c r="R659" i="4"/>
  <c r="R664" i="4"/>
  <c r="R669" i="4"/>
  <c r="R675" i="4"/>
  <c r="R680" i="4"/>
  <c r="R685" i="4"/>
  <c r="R691" i="4"/>
  <c r="R696" i="4"/>
  <c r="R701" i="4"/>
  <c r="R707" i="4"/>
  <c r="R712" i="4"/>
  <c r="R717" i="4"/>
  <c r="R723" i="4"/>
  <c r="R728" i="4"/>
  <c r="R733" i="4"/>
  <c r="R739" i="4"/>
  <c r="R744" i="4"/>
  <c r="R749" i="4"/>
  <c r="R755" i="4"/>
  <c r="R760" i="4"/>
  <c r="R765" i="4"/>
  <c r="R771" i="4"/>
  <c r="R776" i="4"/>
  <c r="R781" i="4"/>
  <c r="R787" i="4"/>
  <c r="R792" i="4"/>
  <c r="R797" i="4"/>
  <c r="R803" i="4"/>
  <c r="R808" i="4"/>
  <c r="R813" i="4"/>
  <c r="R819" i="4"/>
  <c r="R824" i="4"/>
  <c r="R829" i="4"/>
  <c r="R835" i="4"/>
  <c r="R840" i="4"/>
  <c r="R845" i="4"/>
  <c r="R851" i="4"/>
  <c r="R856" i="4"/>
  <c r="R861" i="4"/>
  <c r="R867" i="4"/>
  <c r="R872" i="4"/>
  <c r="R877" i="4"/>
  <c r="R883" i="4"/>
  <c r="R888" i="4"/>
  <c r="R893" i="4"/>
  <c r="R899" i="4"/>
  <c r="R904" i="4"/>
  <c r="R909" i="4"/>
  <c r="R915" i="4"/>
  <c r="R920" i="4"/>
  <c r="R925" i="4"/>
  <c r="R931" i="4"/>
  <c r="R936" i="4"/>
  <c r="R941" i="4"/>
  <c r="R947" i="4"/>
  <c r="R952" i="4"/>
  <c r="R957" i="4"/>
  <c r="R963" i="4"/>
  <c r="R968" i="4"/>
  <c r="R973" i="4"/>
  <c r="R979" i="4"/>
  <c r="R984" i="4"/>
  <c r="R989" i="4"/>
  <c r="R995" i="4"/>
  <c r="R1000" i="4"/>
  <c r="R1005" i="4"/>
  <c r="R1011" i="4"/>
  <c r="R1016" i="4"/>
  <c r="R1021" i="4"/>
  <c r="R1027" i="4"/>
  <c r="R1032" i="4"/>
  <c r="R1037" i="4"/>
  <c r="R1043" i="4"/>
  <c r="R1048" i="4"/>
  <c r="R1053" i="4"/>
  <c r="R1064" i="4"/>
  <c r="R1069" i="4"/>
  <c r="R1075" i="4"/>
  <c r="R1080" i="4"/>
  <c r="R1085" i="4"/>
  <c r="R1091" i="4"/>
  <c r="R1096" i="4"/>
  <c r="R1101" i="4"/>
  <c r="R1107" i="4"/>
  <c r="R1112" i="4"/>
  <c r="R1117" i="4"/>
  <c r="R1123" i="4"/>
  <c r="R1128" i="4"/>
  <c r="R1133" i="4"/>
  <c r="R1139" i="4"/>
  <c r="R1144" i="4"/>
  <c r="R1149" i="4"/>
  <c r="R1153" i="4"/>
  <c r="R1157" i="4"/>
  <c r="R1161" i="4"/>
  <c r="R1165" i="4"/>
  <c r="R1169" i="4"/>
  <c r="R1173" i="4"/>
  <c r="R1177" i="4"/>
  <c r="R1181" i="4"/>
  <c r="R1185" i="4"/>
  <c r="R1189" i="4"/>
  <c r="R1193" i="4"/>
  <c r="R1197" i="4"/>
  <c r="R1201" i="4"/>
  <c r="R1205" i="4"/>
  <c r="R1209" i="4"/>
  <c r="R1213" i="4"/>
  <c r="R1217" i="4"/>
  <c r="R1221" i="4"/>
  <c r="R1225" i="4"/>
  <c r="R1229" i="4"/>
  <c r="R1233" i="4"/>
  <c r="R1237" i="4"/>
  <c r="R1245" i="4"/>
  <c r="R1249" i="4"/>
  <c r="R1253" i="4"/>
  <c r="R1257" i="4"/>
  <c r="R1261" i="4"/>
  <c r="R1265" i="4"/>
  <c r="R1269" i="4"/>
  <c r="R1273" i="4"/>
  <c r="R1277" i="4"/>
  <c r="R1281" i="4"/>
  <c r="R1285" i="4"/>
  <c r="R1289" i="4"/>
  <c r="R1293" i="4"/>
  <c r="R1297" i="4"/>
  <c r="R1301" i="4"/>
  <c r="R1305" i="4"/>
  <c r="R1309" i="4"/>
  <c r="R1313" i="4"/>
  <c r="R1317" i="4"/>
  <c r="R1321" i="4"/>
  <c r="R1325" i="4"/>
  <c r="R1329" i="4"/>
  <c r="R1333" i="4"/>
  <c r="R1337" i="4"/>
  <c r="R1341" i="4"/>
  <c r="R1345" i="4"/>
  <c r="R1349" i="4"/>
  <c r="R1353" i="4"/>
  <c r="R1357" i="4"/>
  <c r="R1361" i="4"/>
  <c r="R1365" i="4"/>
  <c r="R1369" i="4"/>
  <c r="R1373" i="4"/>
  <c r="R1377" i="4"/>
  <c r="R1381" i="4"/>
  <c r="R1385" i="4"/>
  <c r="R1389" i="4"/>
  <c r="R1393" i="4"/>
  <c r="R1397" i="4"/>
  <c r="R1401" i="4"/>
  <c r="R1405" i="4"/>
  <c r="R1409" i="4"/>
  <c r="R1413" i="4"/>
  <c r="R1417" i="4"/>
  <c r="R1421" i="4"/>
  <c r="R1425" i="4"/>
  <c r="R1429" i="4"/>
  <c r="R1433" i="4"/>
  <c r="R1437" i="4"/>
  <c r="R1441" i="4"/>
  <c r="R1445" i="4"/>
  <c r="R1449" i="4"/>
  <c r="R1453" i="4"/>
  <c r="R1457" i="4"/>
  <c r="R1461" i="4"/>
  <c r="R1465" i="4"/>
  <c r="R1469" i="4"/>
  <c r="R1473" i="4"/>
  <c r="R1477" i="4"/>
  <c r="R1481" i="4"/>
  <c r="R1485" i="4"/>
  <c r="R1489" i="4"/>
  <c r="R1493" i="4"/>
  <c r="R1497" i="4"/>
  <c r="R1501" i="4"/>
  <c r="R1505" i="4"/>
  <c r="R1509" i="4"/>
  <c r="R1513" i="4"/>
  <c r="R1517" i="4"/>
  <c r="R1521" i="4"/>
  <c r="R1525" i="4"/>
  <c r="R1529" i="4"/>
  <c r="R1533" i="4"/>
  <c r="R1537" i="4"/>
  <c r="R1541" i="4"/>
  <c r="R1545" i="4"/>
  <c r="R1549" i="4"/>
  <c r="R1553" i="4"/>
  <c r="R1557" i="4"/>
  <c r="R1561" i="4"/>
  <c r="R1565" i="4"/>
  <c r="R1569" i="4"/>
  <c r="R1573" i="4"/>
  <c r="R1577" i="4"/>
  <c r="R1581" i="4"/>
  <c r="R1585" i="4"/>
  <c r="R1589" i="4"/>
  <c r="R1593" i="4"/>
  <c r="R1597" i="4"/>
  <c r="R1601" i="4"/>
  <c r="R1605" i="4"/>
  <c r="R1609" i="4"/>
  <c r="R1613" i="4"/>
  <c r="R1617" i="4"/>
  <c r="R1621" i="4"/>
  <c r="R1625" i="4"/>
  <c r="R1629" i="4"/>
  <c r="R1633" i="4"/>
  <c r="R1637" i="4"/>
  <c r="R1641" i="4"/>
  <c r="R1645" i="4"/>
  <c r="R1649" i="4"/>
  <c r="R1653" i="4"/>
  <c r="R1657" i="4"/>
  <c r="R1661" i="4"/>
  <c r="R1665" i="4"/>
  <c r="R1669" i="4"/>
  <c r="R1673" i="4"/>
  <c r="R1677" i="4"/>
  <c r="R1681" i="4"/>
  <c r="R1685" i="4"/>
  <c r="R1689" i="4"/>
  <c r="R1693" i="4"/>
  <c r="R1697" i="4"/>
  <c r="R1701" i="4"/>
  <c r="R1705" i="4"/>
  <c r="R1709" i="4"/>
  <c r="R1713" i="4"/>
  <c r="R1717" i="4"/>
  <c r="R1721" i="4"/>
  <c r="R1725" i="4"/>
  <c r="R1729" i="4"/>
  <c r="R1733" i="4"/>
  <c r="R1737" i="4"/>
  <c r="R1741" i="4"/>
  <c r="R1745" i="4"/>
  <c r="R1749" i="4"/>
  <c r="R1753" i="4"/>
  <c r="R1757" i="4"/>
  <c r="R1761" i="4"/>
  <c r="R1765" i="4"/>
  <c r="R1769" i="4"/>
  <c r="R1773" i="4"/>
  <c r="R1777" i="4"/>
  <c r="R1781" i="4"/>
  <c r="R1785" i="4"/>
  <c r="R1789" i="4"/>
  <c r="R1793" i="4"/>
  <c r="R1797" i="4"/>
  <c r="R1801" i="4"/>
  <c r="R1805" i="4"/>
  <c r="R1809" i="4"/>
  <c r="R1813" i="4"/>
  <c r="R1817" i="4"/>
  <c r="R1821" i="4"/>
  <c r="R1825" i="4"/>
  <c r="R1829" i="4"/>
  <c r="R1833" i="4"/>
  <c r="R1837" i="4"/>
  <c r="R1841" i="4"/>
  <c r="R1845" i="4"/>
  <c r="R1849" i="4"/>
  <c r="R1853" i="4"/>
  <c r="R1857" i="4"/>
  <c r="R1861" i="4"/>
  <c r="R1865" i="4"/>
  <c r="R1869" i="4"/>
  <c r="R1873" i="4"/>
  <c r="R1877" i="4"/>
  <c r="R1881" i="4"/>
  <c r="R1885" i="4"/>
  <c r="R1889" i="4"/>
  <c r="R1893" i="4"/>
  <c r="R1897" i="4"/>
  <c r="R1901" i="4"/>
  <c r="R1905" i="4"/>
  <c r="R1909" i="4"/>
  <c r="R1913" i="4"/>
  <c r="R1917" i="4"/>
  <c r="R1921" i="4"/>
  <c r="R1925" i="4"/>
  <c r="R1929" i="4"/>
  <c r="R1933" i="4"/>
  <c r="R1937" i="4"/>
  <c r="R1941" i="4"/>
  <c r="R1945" i="4"/>
  <c r="R1949" i="4"/>
  <c r="R1953" i="4"/>
  <c r="R1957" i="4"/>
  <c r="R1961" i="4"/>
  <c r="R1965" i="4"/>
  <c r="R1969" i="4"/>
  <c r="R1973" i="4"/>
  <c r="R1977" i="4"/>
  <c r="R1981" i="4"/>
  <c r="R1985" i="4"/>
  <c r="R1989" i="4"/>
  <c r="R1993" i="4"/>
  <c r="R1997" i="4"/>
  <c r="R2001" i="4"/>
  <c r="R2005" i="4"/>
  <c r="R2009" i="4"/>
  <c r="R6" i="4"/>
  <c r="R13" i="4"/>
  <c r="R21" i="4"/>
  <c r="R28" i="4"/>
  <c r="R34" i="4"/>
  <c r="R42" i="4"/>
  <c r="R49" i="4"/>
  <c r="R56" i="4"/>
  <c r="R64" i="4"/>
  <c r="R70" i="4"/>
  <c r="R77" i="4"/>
  <c r="R85" i="4"/>
  <c r="R92" i="4"/>
  <c r="R98" i="4"/>
  <c r="R106" i="4"/>
  <c r="R113" i="4"/>
  <c r="R120" i="4"/>
  <c r="R128" i="4"/>
  <c r="R134" i="4"/>
  <c r="R141" i="4"/>
  <c r="R149" i="4"/>
  <c r="R156" i="4"/>
  <c r="R162" i="4"/>
  <c r="R170" i="4"/>
  <c r="R177" i="4"/>
  <c r="R184" i="4"/>
  <c r="R192" i="4"/>
  <c r="R198" i="4"/>
  <c r="R205" i="4"/>
  <c r="R213" i="4"/>
  <c r="R226" i="4"/>
  <c r="R234" i="4"/>
  <c r="R241" i="4"/>
  <c r="R248" i="4"/>
  <c r="R256" i="4"/>
  <c r="R262" i="4"/>
  <c r="R269" i="4"/>
  <c r="R277" i="4"/>
  <c r="R284" i="4"/>
  <c r="R290" i="4"/>
  <c r="R298" i="4"/>
  <c r="R305" i="4"/>
  <c r="R312" i="4"/>
  <c r="R320" i="4"/>
  <c r="R326" i="4"/>
  <c r="R333" i="4"/>
  <c r="R341" i="4"/>
  <c r="R348" i="4"/>
  <c r="R354" i="4"/>
  <c r="R362" i="4"/>
  <c r="R369" i="4"/>
  <c r="R376" i="4"/>
  <c r="R384" i="4"/>
  <c r="R390" i="4"/>
  <c r="R397" i="4"/>
  <c r="R405" i="4"/>
  <c r="R412" i="4"/>
  <c r="R418" i="4"/>
  <c r="R426" i="4"/>
  <c r="R433" i="4"/>
  <c r="R440" i="4"/>
  <c r="R448" i="4"/>
  <c r="R454" i="4"/>
  <c r="R461" i="4"/>
  <c r="R469" i="4"/>
  <c r="R476" i="4"/>
  <c r="R482" i="4"/>
  <c r="R490" i="4"/>
  <c r="R497" i="4"/>
  <c r="R504" i="4"/>
  <c r="R511" i="4"/>
  <c r="R516" i="4"/>
  <c r="R521" i="4"/>
  <c r="R527" i="4"/>
  <c r="R532" i="4"/>
  <c r="R537" i="4"/>
  <c r="R543" i="4"/>
  <c r="R548" i="4"/>
  <c r="R553" i="4"/>
  <c r="R559" i="4"/>
  <c r="R564" i="4"/>
  <c r="R569" i="4"/>
  <c r="R575" i="4"/>
  <c r="R580" i="4"/>
  <c r="R585" i="4"/>
  <c r="R591" i="4"/>
  <c r="R596" i="4"/>
  <c r="R601" i="4"/>
  <c r="R607" i="4"/>
  <c r="R612" i="4"/>
  <c r="R617" i="4"/>
  <c r="R623" i="4"/>
  <c r="R628" i="4"/>
  <c r="R633" i="4"/>
  <c r="R639" i="4"/>
  <c r="R644" i="4"/>
  <c r="R649" i="4"/>
  <c r="R655" i="4"/>
  <c r="R660" i="4"/>
  <c r="R665" i="4"/>
  <c r="R671" i="4"/>
  <c r="R676" i="4"/>
  <c r="R681" i="4"/>
  <c r="R8" i="4"/>
  <c r="R22" i="4"/>
  <c r="R37" i="4"/>
  <c r="R50" i="4"/>
  <c r="R65" i="4"/>
  <c r="R80" i="4"/>
  <c r="R93" i="4"/>
  <c r="R108" i="4"/>
  <c r="R122" i="4"/>
  <c r="R136" i="4"/>
  <c r="R150" i="4"/>
  <c r="R165" i="4"/>
  <c r="R178" i="4"/>
  <c r="R193" i="4"/>
  <c r="R208" i="4"/>
  <c r="R236" i="4"/>
  <c r="R250" i="4"/>
  <c r="R264" i="4"/>
  <c r="R278" i="4"/>
  <c r="R293" i="4"/>
  <c r="R306" i="4"/>
  <c r="R321" i="4"/>
  <c r="R336" i="4"/>
  <c r="R349" i="4"/>
  <c r="R364" i="4"/>
  <c r="R378" i="4"/>
  <c r="R392" i="4"/>
  <c r="R406" i="4"/>
  <c r="R421" i="4"/>
  <c r="R434" i="4"/>
  <c r="R449" i="4"/>
  <c r="R464" i="4"/>
  <c r="R492" i="4"/>
  <c r="R506" i="4"/>
  <c r="R517" i="4"/>
  <c r="R528" i="4"/>
  <c r="R539" i="4"/>
  <c r="R549" i="4"/>
  <c r="R560" i="4"/>
  <c r="R571" i="4"/>
  <c r="R581" i="4"/>
  <c r="R592" i="4"/>
  <c r="R603" i="4"/>
  <c r="R613" i="4"/>
  <c r="R624" i="4"/>
  <c r="R635" i="4"/>
  <c r="R645" i="4"/>
  <c r="R656" i="4"/>
  <c r="R667" i="4"/>
  <c r="R677" i="4"/>
  <c r="R687" i="4"/>
  <c r="R693" i="4"/>
  <c r="R700" i="4"/>
  <c r="R708" i="4"/>
  <c r="R715" i="4"/>
  <c r="R721" i="4"/>
  <c r="R729" i="4"/>
  <c r="R736" i="4"/>
  <c r="R743" i="4"/>
  <c r="R751" i="4"/>
  <c r="R757" i="4"/>
  <c r="R764" i="4"/>
  <c r="R772" i="4"/>
  <c r="R779" i="4"/>
  <c r="R785" i="4"/>
  <c r="R793" i="4"/>
  <c r="R800" i="4"/>
  <c r="R807" i="4"/>
  <c r="R815" i="4"/>
  <c r="R821" i="4"/>
  <c r="R828" i="4"/>
  <c r="R836" i="4"/>
  <c r="R843" i="4"/>
  <c r="R849" i="4"/>
  <c r="R857" i="4"/>
  <c r="R864" i="4"/>
  <c r="R871" i="4"/>
  <c r="R879" i="4"/>
  <c r="R885" i="4"/>
  <c r="R892" i="4"/>
  <c r="R900" i="4"/>
  <c r="R907" i="4"/>
  <c r="R913" i="4"/>
  <c r="R921" i="4"/>
  <c r="R928" i="4"/>
  <c r="R935" i="4"/>
  <c r="R943" i="4"/>
  <c r="R949" i="4"/>
  <c r="R956" i="4"/>
  <c r="R964" i="4"/>
  <c r="R971" i="4"/>
  <c r="R977" i="4"/>
  <c r="R985" i="4"/>
  <c r="R992" i="4"/>
  <c r="R999" i="4"/>
  <c r="R1007" i="4"/>
  <c r="R1013" i="4"/>
  <c r="R1020" i="4"/>
  <c r="R1028" i="4"/>
  <c r="R1035" i="4"/>
  <c r="R1041" i="4"/>
  <c r="R1049" i="4"/>
  <c r="R1056" i="4"/>
  <c r="R1063" i="4"/>
  <c r="R1071" i="4"/>
  <c r="R1077" i="4"/>
  <c r="R1084" i="4"/>
  <c r="R1092" i="4"/>
  <c r="R1099" i="4"/>
  <c r="R1105" i="4"/>
  <c r="R1113" i="4"/>
  <c r="R1120" i="4"/>
  <c r="R1127" i="4"/>
  <c r="R1135" i="4"/>
  <c r="R1141" i="4"/>
  <c r="R1148" i="4"/>
  <c r="R1154" i="4"/>
  <c r="R1159" i="4"/>
  <c r="R1164" i="4"/>
  <c r="R1170" i="4"/>
  <c r="R1175" i="4"/>
  <c r="R1180" i="4"/>
  <c r="R1186" i="4"/>
  <c r="R1191" i="4"/>
  <c r="R1196" i="4"/>
  <c r="R1202" i="4"/>
  <c r="R1207" i="4"/>
  <c r="R1212" i="4"/>
  <c r="R1218" i="4"/>
  <c r="R1223" i="4"/>
  <c r="R1228" i="4"/>
  <c r="R1234" i="4"/>
  <c r="R1239" i="4"/>
  <c r="R1244" i="4"/>
  <c r="R1250" i="4"/>
  <c r="R1255" i="4"/>
  <c r="R1260" i="4"/>
  <c r="R1266" i="4"/>
  <c r="R1271" i="4"/>
  <c r="R1276" i="4"/>
  <c r="R1282" i="4"/>
  <c r="R1287" i="4"/>
  <c r="R1292" i="4"/>
  <c r="R1298" i="4"/>
  <c r="R1303" i="4"/>
  <c r="R1308" i="4"/>
  <c r="R1314" i="4"/>
  <c r="R1319" i="4"/>
  <c r="R1324" i="4"/>
  <c r="R1330" i="4"/>
  <c r="R1335" i="4"/>
  <c r="R1340" i="4"/>
  <c r="R1346" i="4"/>
  <c r="R1351" i="4"/>
  <c r="R1356" i="4"/>
  <c r="R1362" i="4"/>
  <c r="R1367" i="4"/>
  <c r="R1372" i="4"/>
  <c r="R1378" i="4"/>
  <c r="R1383" i="4"/>
  <c r="R1388" i="4"/>
  <c r="R1394" i="4"/>
  <c r="R1399" i="4"/>
  <c r="R1404" i="4"/>
  <c r="R1410" i="4"/>
  <c r="R1415" i="4"/>
  <c r="R1420" i="4"/>
  <c r="R1426" i="4"/>
  <c r="R1431" i="4"/>
  <c r="R1436" i="4"/>
  <c r="R1442" i="4"/>
  <c r="R1447" i="4"/>
  <c r="R1452" i="4"/>
  <c r="R1458" i="4"/>
  <c r="R1463" i="4"/>
  <c r="R1468" i="4"/>
  <c r="R1474" i="4"/>
  <c r="R1479" i="4"/>
  <c r="R1484" i="4"/>
  <c r="R1490" i="4"/>
  <c r="R1495" i="4"/>
  <c r="R1500" i="4"/>
  <c r="R1506" i="4"/>
  <c r="R1511" i="4"/>
  <c r="R1516" i="4"/>
  <c r="R1522" i="4"/>
  <c r="R1527" i="4"/>
  <c r="R1532" i="4"/>
  <c r="R1538" i="4"/>
  <c r="R1543" i="4"/>
  <c r="R1548" i="4"/>
  <c r="R1554" i="4"/>
  <c r="R1559" i="4"/>
  <c r="R1564" i="4"/>
  <c r="R1570" i="4"/>
  <c r="R1575" i="4"/>
  <c r="R1580" i="4"/>
  <c r="R1586" i="4"/>
  <c r="R1591" i="4"/>
  <c r="R1596" i="4"/>
  <c r="R1602" i="4"/>
  <c r="R1607" i="4"/>
  <c r="R1612" i="4"/>
  <c r="R1618" i="4"/>
  <c r="R1623" i="4"/>
  <c r="R1628" i="4"/>
  <c r="R1634" i="4"/>
  <c r="R1639" i="4"/>
  <c r="R1644" i="4"/>
  <c r="R1650" i="4"/>
  <c r="R1655" i="4"/>
  <c r="R1660" i="4"/>
  <c r="R1666" i="4"/>
  <c r="R1671" i="4"/>
  <c r="R1676" i="4"/>
  <c r="R1682" i="4"/>
  <c r="R1687" i="4"/>
  <c r="R1692" i="4"/>
  <c r="R1698" i="4"/>
  <c r="R1703" i="4"/>
  <c r="R1708" i="4"/>
  <c r="R1714" i="4"/>
  <c r="R1719" i="4"/>
  <c r="R1724" i="4"/>
  <c r="R1730" i="4"/>
  <c r="R1735" i="4"/>
  <c r="R1740" i="4"/>
  <c r="R1746" i="4"/>
  <c r="R1751" i="4"/>
  <c r="R1756" i="4"/>
  <c r="R1762" i="4"/>
  <c r="R1767" i="4"/>
  <c r="R1772" i="4"/>
  <c r="R1778" i="4"/>
  <c r="R1783" i="4"/>
  <c r="R1788" i="4"/>
  <c r="R1794" i="4"/>
  <c r="R1799" i="4"/>
  <c r="R1804" i="4"/>
  <c r="R1810" i="4"/>
  <c r="R1815" i="4"/>
  <c r="R1820" i="4"/>
  <c r="R1826" i="4"/>
  <c r="R1831" i="4"/>
  <c r="R1836" i="4"/>
  <c r="R1842" i="4"/>
  <c r="R1847" i="4"/>
  <c r="R1852" i="4"/>
  <c r="R1858" i="4"/>
  <c r="R1863" i="4"/>
  <c r="R1868" i="4"/>
  <c r="R1874" i="4"/>
  <c r="R1879" i="4"/>
  <c r="R1884" i="4"/>
  <c r="R1890" i="4"/>
  <c r="R1895" i="4"/>
  <c r="R1900" i="4"/>
  <c r="R1906" i="4"/>
  <c r="R1911" i="4"/>
  <c r="R1916" i="4"/>
  <c r="R1922" i="4"/>
  <c r="R1927" i="4"/>
  <c r="R1932" i="4"/>
  <c r="R1938" i="4"/>
  <c r="R1943" i="4"/>
  <c r="R1948" i="4"/>
  <c r="R1954" i="4"/>
  <c r="R1959" i="4"/>
  <c r="R1964" i="4"/>
  <c r="R1970" i="4"/>
  <c r="R1975" i="4"/>
  <c r="R1980" i="4"/>
  <c r="R1986" i="4"/>
  <c r="R1991" i="4"/>
  <c r="R1996" i="4"/>
  <c r="R2002" i="4"/>
  <c r="R2007" i="4"/>
  <c r="R10" i="4"/>
  <c r="R24" i="4"/>
  <c r="R38" i="4"/>
  <c r="R53" i="4"/>
  <c r="R66" i="4"/>
  <c r="R81" i="4"/>
  <c r="R96" i="4"/>
  <c r="R109" i="4"/>
  <c r="R124" i="4"/>
  <c r="R138" i="4"/>
  <c r="R152" i="4"/>
  <c r="R166" i="4"/>
  <c r="R181" i="4"/>
  <c r="R194" i="4"/>
  <c r="R209" i="4"/>
  <c r="R224" i="4"/>
  <c r="R237" i="4"/>
  <c r="R252" i="4"/>
  <c r="R266" i="4"/>
  <c r="R280" i="4"/>
  <c r="R294" i="4"/>
  <c r="R309" i="4"/>
  <c r="R322" i="4"/>
  <c r="R337" i="4"/>
  <c r="R352" i="4"/>
  <c r="R365" i="4"/>
  <c r="R380" i="4"/>
  <c r="R394" i="4"/>
  <c r="R408" i="4"/>
  <c r="R422" i="4"/>
  <c r="R437" i="4"/>
  <c r="R450" i="4"/>
  <c r="R465" i="4"/>
  <c r="R480" i="4"/>
  <c r="R493" i="4"/>
  <c r="R508" i="4"/>
  <c r="R519" i="4"/>
  <c r="R529" i="4"/>
  <c r="R540" i="4"/>
  <c r="R551" i="4"/>
  <c r="R561" i="4"/>
  <c r="R572" i="4"/>
  <c r="R583" i="4"/>
  <c r="R593" i="4"/>
  <c r="R604" i="4"/>
  <c r="R615" i="4"/>
  <c r="R625" i="4"/>
  <c r="R636" i="4"/>
  <c r="R647" i="4"/>
  <c r="R657" i="4"/>
  <c r="R668" i="4"/>
  <c r="R679" i="4"/>
  <c r="R688" i="4"/>
  <c r="R695" i="4"/>
  <c r="R703" i="4"/>
  <c r="R709" i="4"/>
  <c r="R716" i="4"/>
  <c r="R724" i="4"/>
  <c r="R731" i="4"/>
  <c r="R737" i="4"/>
  <c r="R745" i="4"/>
  <c r="R752" i="4"/>
  <c r="R759" i="4"/>
  <c r="R767" i="4"/>
  <c r="R773" i="4"/>
  <c r="R780" i="4"/>
  <c r="R788" i="4"/>
  <c r="R795" i="4"/>
  <c r="R801" i="4"/>
  <c r="R809" i="4"/>
  <c r="R816" i="4"/>
  <c r="R823" i="4"/>
  <c r="R831" i="4"/>
  <c r="R837" i="4"/>
  <c r="R844" i="4"/>
  <c r="R852" i="4"/>
  <c r="R859" i="4"/>
  <c r="R865" i="4"/>
  <c r="R873" i="4"/>
  <c r="R880" i="4"/>
  <c r="R887" i="4"/>
  <c r="R895" i="4"/>
  <c r="R901" i="4"/>
  <c r="R908" i="4"/>
  <c r="R916" i="4"/>
  <c r="R923" i="4"/>
  <c r="R929" i="4"/>
  <c r="R937" i="4"/>
  <c r="R944" i="4"/>
  <c r="R951" i="4"/>
  <c r="R959" i="4"/>
  <c r="R965" i="4"/>
  <c r="R972" i="4"/>
  <c r="R980" i="4"/>
  <c r="R987" i="4"/>
  <c r="R993" i="4"/>
  <c r="R1001" i="4"/>
  <c r="R1008" i="4"/>
  <c r="R1015" i="4"/>
  <c r="R1023" i="4"/>
  <c r="R1029" i="4"/>
  <c r="R1036" i="4"/>
  <c r="R1044" i="4"/>
  <c r="R1051" i="4"/>
  <c r="R1057" i="4"/>
  <c r="R1065" i="4"/>
  <c r="R1072" i="4"/>
  <c r="R1079" i="4"/>
  <c r="R1087" i="4"/>
  <c r="R1093" i="4"/>
  <c r="R1100" i="4"/>
  <c r="R1108" i="4"/>
  <c r="R1115" i="4"/>
  <c r="R1121" i="4"/>
  <c r="R1129" i="4"/>
  <c r="R1136" i="4"/>
  <c r="R1143" i="4"/>
  <c r="R1150" i="4"/>
  <c r="R1155" i="4"/>
  <c r="R1160" i="4"/>
  <c r="R1166" i="4"/>
  <c r="R1171" i="4"/>
  <c r="R1176" i="4"/>
  <c r="R1182" i="4"/>
  <c r="R1187" i="4"/>
  <c r="R1192" i="4"/>
  <c r="R1198" i="4"/>
  <c r="R1203" i="4"/>
  <c r="R1208" i="4"/>
  <c r="R1214" i="4"/>
  <c r="R1219" i="4"/>
  <c r="R1224" i="4"/>
  <c r="R1230" i="4"/>
  <c r="R1235" i="4"/>
  <c r="R1246" i="4"/>
  <c r="R1251" i="4"/>
  <c r="R1256" i="4"/>
  <c r="R1262" i="4"/>
  <c r="R1267" i="4"/>
  <c r="R1272" i="4"/>
  <c r="R1278" i="4"/>
  <c r="R1283" i="4"/>
  <c r="R1288" i="4"/>
  <c r="R1294" i="4"/>
  <c r="R1299" i="4"/>
  <c r="R1304" i="4"/>
  <c r="R1310" i="4"/>
  <c r="R1315" i="4"/>
  <c r="R1320" i="4"/>
  <c r="R1326" i="4"/>
  <c r="R1331" i="4"/>
  <c r="R1336" i="4"/>
  <c r="R1342" i="4"/>
  <c r="R1347" i="4"/>
  <c r="R1352" i="4"/>
  <c r="R1358" i="4"/>
  <c r="R1363" i="4"/>
  <c r="R1368" i="4"/>
  <c r="R1374" i="4"/>
  <c r="R1379" i="4"/>
  <c r="R1384" i="4"/>
  <c r="R1390" i="4"/>
  <c r="R1395" i="4"/>
  <c r="R1400" i="4"/>
  <c r="R1406" i="4"/>
  <c r="R1411" i="4"/>
  <c r="R1416" i="4"/>
  <c r="R1422" i="4"/>
  <c r="R1427" i="4"/>
  <c r="R1432" i="4"/>
  <c r="R1438" i="4"/>
  <c r="R1443" i="4"/>
  <c r="R1448" i="4"/>
  <c r="R1454" i="4"/>
  <c r="R1459" i="4"/>
  <c r="R1464" i="4"/>
  <c r="R1470" i="4"/>
  <c r="R1475" i="4"/>
  <c r="R1480" i="4"/>
  <c r="R1486" i="4"/>
  <c r="R1491" i="4"/>
  <c r="R1496" i="4"/>
  <c r="R1502" i="4"/>
  <c r="R1507" i="4"/>
  <c r="R1512" i="4"/>
  <c r="R1518" i="4"/>
  <c r="R1523" i="4"/>
  <c r="R1528" i="4"/>
  <c r="R1534" i="4"/>
  <c r="R1539" i="4"/>
  <c r="R1544" i="4"/>
  <c r="R1550" i="4"/>
  <c r="R1555" i="4"/>
  <c r="R1560" i="4"/>
  <c r="R1566" i="4"/>
  <c r="R1571" i="4"/>
  <c r="R1576" i="4"/>
  <c r="R1582" i="4"/>
  <c r="R1587" i="4"/>
  <c r="R1592" i="4"/>
  <c r="R1598" i="4"/>
  <c r="R1603" i="4"/>
  <c r="R1608" i="4"/>
  <c r="R1614" i="4"/>
  <c r="R1619" i="4"/>
  <c r="R1624" i="4"/>
  <c r="R1630" i="4"/>
  <c r="R1635" i="4"/>
  <c r="R1640" i="4"/>
  <c r="R1646" i="4"/>
  <c r="R1651" i="4"/>
  <c r="R1656" i="4"/>
  <c r="R1662" i="4"/>
  <c r="R1667" i="4"/>
  <c r="R1672" i="4"/>
  <c r="R1678" i="4"/>
  <c r="R1683" i="4"/>
  <c r="R1688" i="4"/>
  <c r="R1694" i="4"/>
  <c r="R1699" i="4"/>
  <c r="R1704" i="4"/>
  <c r="R1710" i="4"/>
  <c r="R1715" i="4"/>
  <c r="R1720" i="4"/>
  <c r="R1726" i="4"/>
  <c r="R1731" i="4"/>
  <c r="R1736" i="4"/>
  <c r="R1742" i="4"/>
  <c r="R1747" i="4"/>
  <c r="R1752" i="4"/>
  <c r="R1758" i="4"/>
  <c r="R1763" i="4"/>
  <c r="R1768" i="4"/>
  <c r="R1774" i="4"/>
  <c r="R1779" i="4"/>
  <c r="R1784" i="4"/>
  <c r="R1790" i="4"/>
  <c r="R1795" i="4"/>
  <c r="R1800" i="4"/>
  <c r="R1806" i="4"/>
  <c r="R1811" i="4"/>
  <c r="R1816" i="4"/>
  <c r="R1822" i="4"/>
  <c r="R1827" i="4"/>
  <c r="R1832" i="4"/>
  <c r="R1838" i="4"/>
  <c r="R1843" i="4"/>
  <c r="R1848" i="4"/>
  <c r="R1854" i="4"/>
  <c r="R1859" i="4"/>
  <c r="R1864" i="4"/>
  <c r="R1870" i="4"/>
  <c r="R1875" i="4"/>
  <c r="R1880" i="4"/>
  <c r="R1886" i="4"/>
  <c r="R1891" i="4"/>
  <c r="R1896" i="4"/>
  <c r="R1902" i="4"/>
  <c r="R1907" i="4"/>
  <c r="R1912" i="4"/>
  <c r="R1918" i="4"/>
  <c r="R1923" i="4"/>
  <c r="R1928" i="4"/>
  <c r="R1934" i="4"/>
  <c r="R1939" i="4"/>
  <c r="R1944" i="4"/>
  <c r="R1950" i="4"/>
  <c r="R1955" i="4"/>
  <c r="R1960" i="4"/>
  <c r="R1966" i="4"/>
  <c r="R1971" i="4"/>
  <c r="R1976" i="4"/>
  <c r="R1982" i="4"/>
  <c r="R1987" i="4"/>
  <c r="R1992" i="4"/>
  <c r="R1998" i="4"/>
  <c r="R2003" i="4"/>
  <c r="R2008" i="4"/>
  <c r="R16" i="4"/>
  <c r="R29" i="4"/>
  <c r="R44" i="4"/>
  <c r="R58" i="4"/>
  <c r="R72" i="4"/>
  <c r="R86" i="4"/>
  <c r="R101" i="4"/>
  <c r="R114" i="4"/>
  <c r="R129" i="4"/>
  <c r="R144" i="4"/>
  <c r="R157" i="4"/>
  <c r="R172" i="4"/>
  <c r="R186" i="4"/>
  <c r="R200" i="4"/>
  <c r="R214" i="4"/>
  <c r="R229" i="4"/>
  <c r="R242" i="4"/>
  <c r="R257" i="4"/>
  <c r="R272" i="4"/>
  <c r="R285" i="4"/>
  <c r="R300" i="4"/>
  <c r="R314" i="4"/>
  <c r="R328" i="4"/>
  <c r="R342" i="4"/>
  <c r="R357" i="4"/>
  <c r="R370" i="4"/>
  <c r="R385" i="4"/>
  <c r="R400" i="4"/>
  <c r="R413" i="4"/>
  <c r="R428" i="4"/>
  <c r="R442" i="4"/>
  <c r="R456" i="4"/>
  <c r="R470" i="4"/>
  <c r="R485" i="4"/>
  <c r="R498" i="4"/>
  <c r="R512" i="4"/>
  <c r="R523" i="4"/>
  <c r="R533" i="4"/>
  <c r="R544" i="4"/>
  <c r="R555" i="4"/>
  <c r="R565" i="4"/>
  <c r="R576" i="4"/>
  <c r="R587" i="4"/>
  <c r="R597" i="4"/>
  <c r="R608" i="4"/>
  <c r="R619" i="4"/>
  <c r="R629" i="4"/>
  <c r="R640" i="4"/>
  <c r="R651" i="4"/>
  <c r="R661" i="4"/>
  <c r="R672" i="4"/>
  <c r="R683" i="4"/>
  <c r="R689" i="4"/>
  <c r="R697" i="4"/>
  <c r="R704" i="4"/>
  <c r="R711" i="4"/>
  <c r="R719" i="4"/>
  <c r="R725" i="4"/>
  <c r="R732" i="4"/>
  <c r="R740" i="4"/>
  <c r="R747" i="4"/>
  <c r="R753" i="4"/>
  <c r="R761" i="4"/>
  <c r="R768" i="4"/>
  <c r="R775" i="4"/>
  <c r="R783" i="4"/>
  <c r="R789" i="4"/>
  <c r="R796" i="4"/>
  <c r="R804" i="4"/>
  <c r="R811" i="4"/>
  <c r="R817" i="4"/>
  <c r="R825" i="4"/>
  <c r="R832" i="4"/>
  <c r="R839" i="4"/>
  <c r="R847" i="4"/>
  <c r="R853" i="4"/>
  <c r="R860" i="4"/>
  <c r="R868" i="4"/>
  <c r="R875" i="4"/>
  <c r="R881" i="4"/>
  <c r="R889" i="4"/>
  <c r="R896" i="4"/>
  <c r="R903" i="4"/>
  <c r="R911" i="4"/>
  <c r="R917" i="4"/>
  <c r="R924" i="4"/>
  <c r="R932" i="4"/>
  <c r="R939" i="4"/>
  <c r="R945" i="4"/>
  <c r="R953" i="4"/>
  <c r="R960" i="4"/>
  <c r="R967" i="4"/>
  <c r="R975" i="4"/>
  <c r="R981" i="4"/>
  <c r="R988" i="4"/>
  <c r="R996" i="4"/>
  <c r="R1003" i="4"/>
  <c r="R1009" i="4"/>
  <c r="R1017" i="4"/>
  <c r="R1024" i="4"/>
  <c r="R1031" i="4"/>
  <c r="R1039" i="4"/>
  <c r="R1045" i="4"/>
  <c r="R1052" i="4"/>
  <c r="R1067" i="4"/>
  <c r="R1073" i="4"/>
  <c r="R1081" i="4"/>
  <c r="R1088" i="4"/>
  <c r="R1095" i="4"/>
  <c r="R1103" i="4"/>
  <c r="R1109" i="4"/>
  <c r="R1116" i="4"/>
  <c r="R1124" i="4"/>
  <c r="R1131" i="4"/>
  <c r="R1137" i="4"/>
  <c r="R1145" i="4"/>
  <c r="R1151" i="4"/>
  <c r="R1156" i="4"/>
  <c r="R1162" i="4"/>
  <c r="R1167" i="4"/>
  <c r="R1172" i="4"/>
  <c r="R1178" i="4"/>
  <c r="R1183" i="4"/>
  <c r="R1188" i="4"/>
  <c r="R1194" i="4"/>
  <c r="R1199" i="4"/>
  <c r="R1204" i="4"/>
  <c r="R1210" i="4"/>
  <c r="R1215" i="4"/>
  <c r="R1220" i="4"/>
  <c r="R1226" i="4"/>
  <c r="R1231" i="4"/>
  <c r="R1236" i="4"/>
  <c r="R1247" i="4"/>
  <c r="R1252" i="4"/>
  <c r="R1258" i="4"/>
  <c r="R1263" i="4"/>
  <c r="R1268" i="4"/>
  <c r="R1274" i="4"/>
  <c r="R1279" i="4"/>
  <c r="R1284" i="4"/>
  <c r="R1290" i="4"/>
  <c r="R1295" i="4"/>
  <c r="R1300" i="4"/>
  <c r="R1306" i="4"/>
  <c r="R1311" i="4"/>
  <c r="R1316" i="4"/>
  <c r="R1322" i="4"/>
  <c r="R1327" i="4"/>
  <c r="R1332" i="4"/>
  <c r="R1338" i="4"/>
  <c r="R1343" i="4"/>
  <c r="R1348" i="4"/>
  <c r="R1354" i="4"/>
  <c r="R1359" i="4"/>
  <c r="R1364" i="4"/>
  <c r="R1370" i="4"/>
  <c r="R1375" i="4"/>
  <c r="R1380" i="4"/>
  <c r="R1386" i="4"/>
  <c r="R1391" i="4"/>
  <c r="R1396" i="4"/>
  <c r="R1402" i="4"/>
  <c r="R1407" i="4"/>
  <c r="R1412" i="4"/>
  <c r="R1418" i="4"/>
  <c r="R1423" i="4"/>
  <c r="R1428" i="4"/>
  <c r="R1434" i="4"/>
  <c r="R1439" i="4"/>
  <c r="R1444" i="4"/>
  <c r="R1450" i="4"/>
  <c r="R1455" i="4"/>
  <c r="R1460" i="4"/>
  <c r="R1466" i="4"/>
  <c r="R1471" i="4"/>
  <c r="R1476" i="4"/>
  <c r="R1482" i="4"/>
  <c r="R1487" i="4"/>
  <c r="R1492" i="4"/>
  <c r="R1498" i="4"/>
  <c r="R1503" i="4"/>
  <c r="R1508" i="4"/>
  <c r="R1514" i="4"/>
  <c r="R1519" i="4"/>
  <c r="R1524" i="4"/>
  <c r="R1530" i="4"/>
  <c r="R1535" i="4"/>
  <c r="R1540" i="4"/>
  <c r="R1546" i="4"/>
  <c r="R1551" i="4"/>
  <c r="R1556" i="4"/>
  <c r="R1562" i="4"/>
  <c r="R1567" i="4"/>
  <c r="R1572" i="4"/>
  <c r="R1578" i="4"/>
  <c r="R1583" i="4"/>
  <c r="R1588" i="4"/>
  <c r="R1594" i="4"/>
  <c r="R1599" i="4"/>
  <c r="R1604" i="4"/>
  <c r="R1610" i="4"/>
  <c r="R1615" i="4"/>
  <c r="R1620" i="4"/>
  <c r="R1626" i="4"/>
  <c r="R1631" i="4"/>
  <c r="R1636" i="4"/>
  <c r="R1642" i="4"/>
  <c r="R1647" i="4"/>
  <c r="R1652" i="4"/>
  <c r="R1658" i="4"/>
  <c r="R1663" i="4"/>
  <c r="R1668" i="4"/>
  <c r="R1674" i="4"/>
  <c r="R1679" i="4"/>
  <c r="R1684" i="4"/>
  <c r="R1690" i="4"/>
  <c r="R1695" i="4"/>
  <c r="R1700" i="4"/>
  <c r="R1706" i="4"/>
  <c r="R1711" i="4"/>
  <c r="R1716" i="4"/>
  <c r="R1722" i="4"/>
  <c r="R1727" i="4"/>
  <c r="R1732" i="4"/>
  <c r="R1738" i="4"/>
  <c r="R1743" i="4"/>
  <c r="R1748" i="4"/>
  <c r="R1754" i="4"/>
  <c r="R1759" i="4"/>
  <c r="R1764" i="4"/>
  <c r="R1770" i="4"/>
  <c r="R1775" i="4"/>
  <c r="R1780" i="4"/>
  <c r="R1786" i="4"/>
  <c r="R1791" i="4"/>
  <c r="R1796" i="4"/>
  <c r="R1802" i="4"/>
  <c r="R1807" i="4"/>
  <c r="R1812" i="4"/>
  <c r="R1818" i="4"/>
  <c r="R1823" i="4"/>
  <c r="R1828" i="4"/>
  <c r="R1834" i="4"/>
  <c r="R1839" i="4"/>
  <c r="R1844" i="4"/>
  <c r="R1850" i="4"/>
  <c r="R1855" i="4"/>
  <c r="R1860" i="4"/>
  <c r="R1866" i="4"/>
  <c r="R1871" i="4"/>
  <c r="R1876" i="4"/>
  <c r="R1882" i="4"/>
  <c r="R1887" i="4"/>
  <c r="R1892" i="4"/>
  <c r="R1898" i="4"/>
  <c r="R1903" i="4"/>
  <c r="R1908" i="4"/>
  <c r="R1914" i="4"/>
  <c r="R1919" i="4"/>
  <c r="R1924" i="4"/>
  <c r="R1930" i="4"/>
  <c r="R1935" i="4"/>
  <c r="R1940" i="4"/>
  <c r="R1946" i="4"/>
  <c r="R1951" i="4"/>
  <c r="R1956" i="4"/>
  <c r="R1962" i="4"/>
  <c r="R1967" i="4"/>
  <c r="R1972" i="4"/>
  <c r="R1978" i="4"/>
  <c r="R1983" i="4"/>
  <c r="R1988" i="4"/>
  <c r="R1994" i="4"/>
  <c r="R1999" i="4"/>
  <c r="R2004" i="4"/>
  <c r="R2010" i="4"/>
  <c r="R17" i="4"/>
  <c r="R32" i="4"/>
  <c r="R45" i="4"/>
  <c r="R60" i="4"/>
  <c r="R74" i="4"/>
  <c r="R88" i="4"/>
  <c r="R102" i="4"/>
  <c r="R117" i="4"/>
  <c r="R130" i="4"/>
  <c r="R145" i="4"/>
  <c r="R160" i="4"/>
  <c r="R173" i="4"/>
  <c r="R188" i="4"/>
  <c r="R202" i="4"/>
  <c r="R230" i="4"/>
  <c r="R245" i="4"/>
  <c r="R258" i="4"/>
  <c r="R273" i="4"/>
  <c r="R288" i="4"/>
  <c r="R301" i="4"/>
  <c r="R316" i="4"/>
  <c r="R330" i="4"/>
  <c r="R344" i="4"/>
  <c r="R358" i="4"/>
  <c r="R373" i="4"/>
  <c r="R386" i="4"/>
  <c r="R401" i="4"/>
  <c r="R416" i="4"/>
  <c r="R429" i="4"/>
  <c r="R444" i="4"/>
  <c r="R458" i="4"/>
  <c r="R472" i="4"/>
  <c r="R486" i="4"/>
  <c r="R501" i="4"/>
  <c r="R513" i="4"/>
  <c r="R524" i="4"/>
  <c r="R535" i="4"/>
  <c r="R545" i="4"/>
  <c r="R556" i="4"/>
  <c r="R567" i="4"/>
  <c r="R577" i="4"/>
  <c r="R588" i="4"/>
  <c r="R599" i="4"/>
  <c r="R609" i="4"/>
  <c r="R620" i="4"/>
  <c r="R631" i="4"/>
  <c r="R641" i="4"/>
  <c r="R652" i="4"/>
  <c r="R663" i="4"/>
  <c r="R673" i="4"/>
  <c r="R684" i="4"/>
  <c r="R692" i="4"/>
  <c r="R699" i="4"/>
  <c r="R705" i="4"/>
  <c r="R713" i="4"/>
  <c r="R720" i="4"/>
  <c r="R727" i="4"/>
  <c r="R735" i="4"/>
  <c r="R741" i="4"/>
  <c r="R748" i="4"/>
  <c r="R756" i="4"/>
  <c r="R763" i="4"/>
  <c r="R769" i="4"/>
  <c r="R777" i="4"/>
  <c r="R784" i="4"/>
  <c r="R791" i="4"/>
  <c r="R799" i="4"/>
  <c r="R805" i="4"/>
  <c r="R812" i="4"/>
  <c r="R820" i="4"/>
  <c r="R827" i="4"/>
  <c r="R833" i="4"/>
  <c r="R841" i="4"/>
  <c r="R848" i="4"/>
  <c r="R855" i="4"/>
  <c r="R863" i="4"/>
  <c r="R869" i="4"/>
  <c r="R876" i="4"/>
  <c r="R884" i="4"/>
  <c r="R891" i="4"/>
  <c r="R897" i="4"/>
  <c r="R905" i="4"/>
  <c r="R912" i="4"/>
  <c r="R919" i="4"/>
  <c r="R927" i="4"/>
  <c r="R933" i="4"/>
  <c r="R940" i="4"/>
  <c r="R948" i="4"/>
  <c r="R955" i="4"/>
  <c r="R961" i="4"/>
  <c r="R969" i="4"/>
  <c r="R976" i="4"/>
  <c r="R983" i="4"/>
  <c r="R991" i="4"/>
  <c r="R997" i="4"/>
  <c r="R1004" i="4"/>
  <c r="R1012" i="4"/>
  <c r="R1019" i="4"/>
  <c r="R1025" i="4"/>
  <c r="R1033" i="4"/>
  <c r="R1040" i="4"/>
  <c r="R1047" i="4"/>
  <c r="R1055" i="4"/>
  <c r="R1068" i="4"/>
  <c r="R1076" i="4"/>
  <c r="R1083" i="4"/>
  <c r="R1089" i="4"/>
  <c r="R1097" i="4"/>
  <c r="R1104" i="4"/>
  <c r="R1111" i="4"/>
  <c r="R1119" i="4"/>
  <c r="R1125" i="4"/>
  <c r="R1132" i="4"/>
  <c r="R1140" i="4"/>
  <c r="R1147" i="4"/>
  <c r="R1152" i="4"/>
  <c r="R1158" i="4"/>
  <c r="R1163" i="4"/>
  <c r="R1168" i="4"/>
  <c r="R1174" i="4"/>
  <c r="R1179" i="4"/>
  <c r="R1184" i="4"/>
  <c r="R1190" i="4"/>
  <c r="R1195" i="4"/>
  <c r="R1200" i="4"/>
  <c r="R1206" i="4"/>
  <c r="R1211" i="4"/>
  <c r="R1216" i="4"/>
  <c r="R1222" i="4"/>
  <c r="R1227" i="4"/>
  <c r="R1232" i="4"/>
  <c r="R1238" i="4"/>
  <c r="R1243" i="4"/>
  <c r="R1248" i="4"/>
  <c r="R1254" i="4"/>
  <c r="R1259" i="4"/>
  <c r="R1264" i="4"/>
  <c r="R1270" i="4"/>
  <c r="R1275" i="4"/>
  <c r="R1280" i="4"/>
  <c r="R1286" i="4"/>
  <c r="R1291" i="4"/>
  <c r="R1296" i="4"/>
  <c r="R1302" i="4"/>
  <c r="R1307" i="4"/>
  <c r="R1312" i="4"/>
  <c r="R1318" i="4"/>
  <c r="R1323" i="4"/>
  <c r="R1328" i="4"/>
  <c r="R1334" i="4"/>
  <c r="R1339" i="4"/>
  <c r="R1344" i="4"/>
  <c r="R1350" i="4"/>
  <c r="R1355" i="4"/>
  <c r="R1360" i="4"/>
  <c r="R1366" i="4"/>
  <c r="R1371" i="4"/>
  <c r="R1376" i="4"/>
  <c r="R1382" i="4"/>
  <c r="R1387" i="4"/>
  <c r="R1392" i="4"/>
  <c r="R1398" i="4"/>
  <c r="R1403" i="4"/>
  <c r="R1408" i="4"/>
  <c r="R1414" i="4"/>
  <c r="R1419" i="4"/>
  <c r="R1424" i="4"/>
  <c r="R1430" i="4"/>
  <c r="R1435" i="4"/>
  <c r="R1440" i="4"/>
  <c r="R1446" i="4"/>
  <c r="R1451" i="4"/>
  <c r="R1456" i="4"/>
  <c r="R1462" i="4"/>
  <c r="R1467" i="4"/>
  <c r="R1472" i="4"/>
  <c r="R1478" i="4"/>
  <c r="R1483" i="4"/>
  <c r="R1488" i="4"/>
  <c r="R1494" i="4"/>
  <c r="R1499" i="4"/>
  <c r="R1504" i="4"/>
  <c r="R1510" i="4"/>
  <c r="R1515" i="4"/>
  <c r="R1520" i="4"/>
  <c r="R1542" i="4"/>
  <c r="R1563" i="4"/>
  <c r="R1584" i="4"/>
  <c r="R1606" i="4"/>
  <c r="R1627" i="4"/>
  <c r="R1648" i="4"/>
  <c r="R1670" i="4"/>
  <c r="R1691" i="4"/>
  <c r="R1712" i="4"/>
  <c r="R1734" i="4"/>
  <c r="R1755" i="4"/>
  <c r="R1776" i="4"/>
  <c r="R1798" i="4"/>
  <c r="R1819" i="4"/>
  <c r="R1840" i="4"/>
  <c r="R1862" i="4"/>
  <c r="R1883" i="4"/>
  <c r="R1904" i="4"/>
  <c r="R1926" i="4"/>
  <c r="R1947" i="4"/>
  <c r="R1968" i="4"/>
  <c r="R1990" i="4"/>
  <c r="R2011" i="4"/>
  <c r="R1526" i="4"/>
  <c r="R1547" i="4"/>
  <c r="R1568" i="4"/>
  <c r="R1590" i="4"/>
  <c r="R1611" i="4"/>
  <c r="R1632" i="4"/>
  <c r="R1654" i="4"/>
  <c r="R1675" i="4"/>
  <c r="R1696" i="4"/>
  <c r="R1718" i="4"/>
  <c r="R1739" i="4"/>
  <c r="R1760" i="4"/>
  <c r="R1782" i="4"/>
  <c r="R1803" i="4"/>
  <c r="R1824" i="4"/>
  <c r="R1846" i="4"/>
  <c r="R1867" i="4"/>
  <c r="R1888" i="4"/>
  <c r="R1910" i="4"/>
  <c r="R1931" i="4"/>
  <c r="R1952" i="4"/>
  <c r="R1974" i="4"/>
  <c r="R1995" i="4"/>
  <c r="R1531" i="4"/>
  <c r="R1552" i="4"/>
  <c r="R1574" i="4"/>
  <c r="R1595" i="4"/>
  <c r="R1616" i="4"/>
  <c r="R1638" i="4"/>
  <c r="R1659" i="4"/>
  <c r="R1680" i="4"/>
  <c r="R1702" i="4"/>
  <c r="R1723" i="4"/>
  <c r="R1744" i="4"/>
  <c r="R1766" i="4"/>
  <c r="R1787" i="4"/>
  <c r="R1808" i="4"/>
  <c r="R1830" i="4"/>
  <c r="R1851" i="4"/>
  <c r="R1872" i="4"/>
  <c r="R1894" i="4"/>
  <c r="R1915" i="4"/>
  <c r="R1936" i="4"/>
  <c r="R1958" i="4"/>
  <c r="R1979" i="4"/>
  <c r="R2000" i="4"/>
  <c r="R1536" i="4"/>
  <c r="R1558" i="4"/>
  <c r="R1579" i="4"/>
  <c r="R1600" i="4"/>
  <c r="R1622" i="4"/>
  <c r="R1643" i="4"/>
  <c r="R1664" i="4"/>
  <c r="R1686" i="4"/>
  <c r="R1707" i="4"/>
  <c r="R1728" i="4"/>
  <c r="R1750" i="4"/>
  <c r="R1771" i="4"/>
  <c r="R1792" i="4"/>
  <c r="R1814" i="4"/>
  <c r="R1835" i="4"/>
  <c r="R1856" i="4"/>
  <c r="R1878" i="4"/>
  <c r="R1899" i="4"/>
  <c r="R1920" i="4"/>
  <c r="R1942" i="4"/>
  <c r="R1963" i="4"/>
  <c r="R1984" i="4"/>
  <c r="R2006" i="4"/>
  <c r="Q4" i="4"/>
  <c r="Q8" i="4"/>
  <c r="Q12" i="4"/>
  <c r="Q16" i="4"/>
  <c r="Q20" i="4"/>
  <c r="Q24" i="4"/>
  <c r="Q28" i="4"/>
  <c r="Q32" i="4"/>
  <c r="Q36" i="4"/>
  <c r="Q40" i="4"/>
  <c r="Q44" i="4"/>
  <c r="Q48" i="4"/>
  <c r="Q52" i="4"/>
  <c r="Q56" i="4"/>
  <c r="Q60" i="4"/>
  <c r="Q64" i="4"/>
  <c r="Q68" i="4"/>
  <c r="Q72" i="4"/>
  <c r="Q76" i="4"/>
  <c r="Q80" i="4"/>
  <c r="Q84" i="4"/>
  <c r="Q88" i="4"/>
  <c r="Q92" i="4"/>
  <c r="Q96" i="4"/>
  <c r="Q100" i="4"/>
  <c r="Q104" i="4"/>
  <c r="Q108" i="4"/>
  <c r="Q112" i="4"/>
  <c r="Q116" i="4"/>
  <c r="Q120" i="4"/>
  <c r="Q124" i="4"/>
  <c r="Q128" i="4"/>
  <c r="Q132" i="4"/>
  <c r="Q136" i="4"/>
  <c r="Q140" i="4"/>
  <c r="Q144" i="4"/>
  <c r="Q148" i="4"/>
  <c r="Q152" i="4"/>
  <c r="Q156" i="4"/>
  <c r="Q160" i="4"/>
  <c r="Q164" i="4"/>
  <c r="Q168" i="4"/>
  <c r="Q172" i="4"/>
  <c r="Q176" i="4"/>
  <c r="Q180" i="4"/>
  <c r="Q184" i="4"/>
  <c r="Q188" i="4"/>
  <c r="Q192" i="4"/>
  <c r="Q196" i="4"/>
  <c r="Q200" i="4"/>
  <c r="Q204" i="4"/>
  <c r="Q208" i="4"/>
  <c r="Q212" i="4"/>
  <c r="Q224" i="4"/>
  <c r="Q228" i="4"/>
  <c r="Q232" i="4"/>
  <c r="Q236" i="4"/>
  <c r="Q240" i="4"/>
  <c r="Q244" i="4"/>
  <c r="Q248" i="4"/>
  <c r="Q252" i="4"/>
  <c r="Q256" i="4"/>
  <c r="Q260" i="4"/>
  <c r="Q264" i="4"/>
  <c r="Q268" i="4"/>
  <c r="Q272" i="4"/>
  <c r="Q276" i="4"/>
  <c r="Q280" i="4"/>
  <c r="Q284" i="4"/>
  <c r="Q288" i="4"/>
  <c r="Q292" i="4"/>
  <c r="Q296" i="4"/>
  <c r="Q300" i="4"/>
  <c r="Q304" i="4"/>
  <c r="Q308" i="4"/>
  <c r="Q312" i="4"/>
  <c r="Q316" i="4"/>
  <c r="Q320" i="4"/>
  <c r="Q324" i="4"/>
  <c r="Q328" i="4"/>
  <c r="Q332" i="4"/>
  <c r="Q336" i="4"/>
  <c r="Q340" i="4"/>
  <c r="Q344" i="4"/>
  <c r="Q348" i="4"/>
  <c r="Q352" i="4"/>
  <c r="Q356" i="4"/>
  <c r="Q360" i="4"/>
  <c r="Q364" i="4"/>
  <c r="Q368" i="4"/>
  <c r="Q372" i="4"/>
  <c r="Q376" i="4"/>
  <c r="Q380" i="4"/>
  <c r="Q384" i="4"/>
  <c r="Q388" i="4"/>
  <c r="Q392" i="4"/>
  <c r="Q396" i="4"/>
  <c r="Q400" i="4"/>
  <c r="Q404" i="4"/>
  <c r="Q408" i="4"/>
  <c r="Q412" i="4"/>
  <c r="Q416" i="4"/>
  <c r="Q420" i="4"/>
  <c r="Q424" i="4"/>
  <c r="Q428" i="4"/>
  <c r="Q432" i="4"/>
  <c r="Q436" i="4"/>
  <c r="Q440" i="4"/>
  <c r="Q444" i="4"/>
  <c r="Q448" i="4"/>
  <c r="Q452" i="4"/>
  <c r="Q456" i="4"/>
  <c r="Q460" i="4"/>
  <c r="Q464" i="4"/>
  <c r="Q468" i="4"/>
  <c r="Q472" i="4"/>
  <c r="Q476" i="4"/>
  <c r="Q480" i="4"/>
  <c r="Q484" i="4"/>
  <c r="Q488" i="4"/>
  <c r="Q492" i="4"/>
  <c r="Q496" i="4"/>
  <c r="Q500" i="4"/>
  <c r="Q504" i="4"/>
  <c r="Q508" i="4"/>
  <c r="Q5" i="4"/>
  <c r="Q10" i="4"/>
  <c r="Q15" i="4"/>
  <c r="Q21" i="4"/>
  <c r="Q26" i="4"/>
  <c r="Q31" i="4"/>
  <c r="Q37" i="4"/>
  <c r="Q42" i="4"/>
  <c r="Q47" i="4"/>
  <c r="Q53" i="4"/>
  <c r="Q58" i="4"/>
  <c r="Q63" i="4"/>
  <c r="Q69" i="4"/>
  <c r="Q74" i="4"/>
  <c r="Q79" i="4"/>
  <c r="Q85" i="4"/>
  <c r="Q90" i="4"/>
  <c r="Q95" i="4"/>
  <c r="Q101" i="4"/>
  <c r="Q106" i="4"/>
  <c r="Q111" i="4"/>
  <c r="Q117" i="4"/>
  <c r="Q122" i="4"/>
  <c r="Q127" i="4"/>
  <c r="Q133" i="4"/>
  <c r="Q138" i="4"/>
  <c r="Q143" i="4"/>
  <c r="Q149" i="4"/>
  <c r="Q154" i="4"/>
  <c r="Q159" i="4"/>
  <c r="Q165" i="4"/>
  <c r="Q170" i="4"/>
  <c r="Q175" i="4"/>
  <c r="Q181" i="4"/>
  <c r="Q186" i="4"/>
  <c r="Q191" i="4"/>
  <c r="Q197" i="4"/>
  <c r="Q202" i="4"/>
  <c r="Q207" i="4"/>
  <c r="Q213" i="4"/>
  <c r="Q218" i="4"/>
  <c r="Q223" i="4"/>
  <c r="Q229" i="4"/>
  <c r="Q234" i="4"/>
  <c r="Q239" i="4"/>
  <c r="Q245" i="4"/>
  <c r="Q250" i="4"/>
  <c r="Q255" i="4"/>
  <c r="Q261" i="4"/>
  <c r="Q266" i="4"/>
  <c r="Q271" i="4"/>
  <c r="Q277" i="4"/>
  <c r="Q282" i="4"/>
  <c r="Q287" i="4"/>
  <c r="Q293" i="4"/>
  <c r="Q298" i="4"/>
  <c r="Q303" i="4"/>
  <c r="Q309" i="4"/>
  <c r="Q314" i="4"/>
  <c r="Q319" i="4"/>
  <c r="Q325" i="4"/>
  <c r="Q330" i="4"/>
  <c r="Q335" i="4"/>
  <c r="Q341" i="4"/>
  <c r="Q346" i="4"/>
  <c r="Q351" i="4"/>
  <c r="Q357" i="4"/>
  <c r="Q362" i="4"/>
  <c r="Q367" i="4"/>
  <c r="Q373" i="4"/>
  <c r="Q378" i="4"/>
  <c r="Q383" i="4"/>
  <c r="Q389" i="4"/>
  <c r="Q394" i="4"/>
  <c r="Q399" i="4"/>
  <c r="Q405" i="4"/>
  <c r="Q410" i="4"/>
  <c r="Q415" i="4"/>
  <c r="Q421" i="4"/>
  <c r="Q426" i="4"/>
  <c r="Q431" i="4"/>
  <c r="Q437" i="4"/>
  <c r="Q442" i="4"/>
  <c r="Q447" i="4"/>
  <c r="Q453" i="4"/>
  <c r="Q458" i="4"/>
  <c r="Q463" i="4"/>
  <c r="Q469" i="4"/>
  <c r="Q474" i="4"/>
  <c r="Q479" i="4"/>
  <c r="Q485" i="4"/>
  <c r="Q490" i="4"/>
  <c r="Q495" i="4"/>
  <c r="Q501" i="4"/>
  <c r="Q506" i="4"/>
  <c r="Q511" i="4"/>
  <c r="Q515" i="4"/>
  <c r="Q519" i="4"/>
  <c r="Q523" i="4"/>
  <c r="Q527" i="4"/>
  <c r="Q531" i="4"/>
  <c r="Q535" i="4"/>
  <c r="Q539" i="4"/>
  <c r="Q543" i="4"/>
  <c r="Q547" i="4"/>
  <c r="Q551" i="4"/>
  <c r="Q555" i="4"/>
  <c r="Q559" i="4"/>
  <c r="Q563" i="4"/>
  <c r="Q567" i="4"/>
  <c r="Q571" i="4"/>
  <c r="Q575" i="4"/>
  <c r="Q579" i="4"/>
  <c r="Q583" i="4"/>
  <c r="Q587" i="4"/>
  <c r="Q591" i="4"/>
  <c r="Q595" i="4"/>
  <c r="Q599" i="4"/>
  <c r="Q603" i="4"/>
  <c r="Q607" i="4"/>
  <c r="Q611" i="4"/>
  <c r="Q615" i="4"/>
  <c r="Q619" i="4"/>
  <c r="Q623" i="4"/>
  <c r="Q627" i="4"/>
  <c r="Q631" i="4"/>
  <c r="Q635" i="4"/>
  <c r="Q639" i="4"/>
  <c r="Q643" i="4"/>
  <c r="Q647" i="4"/>
  <c r="Q651" i="4"/>
  <c r="Q655" i="4"/>
  <c r="Q659" i="4"/>
  <c r="Q663" i="4"/>
  <c r="Q667" i="4"/>
  <c r="Q671" i="4"/>
  <c r="Q675" i="4"/>
  <c r="Q679" i="4"/>
  <c r="Q683" i="4"/>
  <c r="Q687" i="4"/>
  <c r="Q691" i="4"/>
  <c r="Q695" i="4"/>
  <c r="Q699" i="4"/>
  <c r="Q703" i="4"/>
  <c r="Q707" i="4"/>
  <c r="Q711" i="4"/>
  <c r="Q715" i="4"/>
  <c r="Q719" i="4"/>
  <c r="Q723" i="4"/>
  <c r="Q727" i="4"/>
  <c r="Q731" i="4"/>
  <c r="Q735" i="4"/>
  <c r="Q739" i="4"/>
  <c r="Q743" i="4"/>
  <c r="Q747" i="4"/>
  <c r="Q751" i="4"/>
  <c r="Q755" i="4"/>
  <c r="Q759" i="4"/>
  <c r="Q763" i="4"/>
  <c r="Q767" i="4"/>
  <c r="Q771" i="4"/>
  <c r="Q775" i="4"/>
  <c r="Q779" i="4"/>
  <c r="Q783" i="4"/>
  <c r="Q787" i="4"/>
  <c r="Q791" i="4"/>
  <c r="Q795" i="4"/>
  <c r="Q799" i="4"/>
  <c r="Q803" i="4"/>
  <c r="Q807" i="4"/>
  <c r="Q811" i="4"/>
  <c r="Q815" i="4"/>
  <c r="Q819" i="4"/>
  <c r="Q823" i="4"/>
  <c r="Q827" i="4"/>
  <c r="Q831" i="4"/>
  <c r="Q835" i="4"/>
  <c r="Q839" i="4"/>
  <c r="Q843" i="4"/>
  <c r="Q847" i="4"/>
  <c r="Q851" i="4"/>
  <c r="Q855" i="4"/>
  <c r="Q859" i="4"/>
  <c r="Q863" i="4"/>
  <c r="Q867" i="4"/>
  <c r="Q871" i="4"/>
  <c r="Q875" i="4"/>
  <c r="Q879" i="4"/>
  <c r="Q883" i="4"/>
  <c r="Q887" i="4"/>
  <c r="Q891" i="4"/>
  <c r="Q895" i="4"/>
  <c r="Q899" i="4"/>
  <c r="Q903" i="4"/>
  <c r="Q907" i="4"/>
  <c r="Q911" i="4"/>
  <c r="Q915" i="4"/>
  <c r="Q919" i="4"/>
  <c r="Q923" i="4"/>
  <c r="Q927" i="4"/>
  <c r="Q931" i="4"/>
  <c r="Q935" i="4"/>
  <c r="Q939" i="4"/>
  <c r="Q943" i="4"/>
  <c r="Q947" i="4"/>
  <c r="Q951" i="4"/>
  <c r="Q955" i="4"/>
  <c r="Q959" i="4"/>
  <c r="Q963" i="4"/>
  <c r="Q967" i="4"/>
  <c r="Q971" i="4"/>
  <c r="Q975" i="4"/>
  <c r="Q979" i="4"/>
  <c r="Q983" i="4"/>
  <c r="Q987" i="4"/>
  <c r="Q991" i="4"/>
  <c r="Q995" i="4"/>
  <c r="Q999" i="4"/>
  <c r="Q1003" i="4"/>
  <c r="Q1007" i="4"/>
  <c r="Q1011" i="4"/>
  <c r="Q1015" i="4"/>
  <c r="Q1019" i="4"/>
  <c r="Q1023" i="4"/>
  <c r="Q1027" i="4"/>
  <c r="Q1031" i="4"/>
  <c r="Q1035" i="4"/>
  <c r="Q1039" i="4"/>
  <c r="Q1043" i="4"/>
  <c r="Q1047" i="4"/>
  <c r="Q1051" i="4"/>
  <c r="Q1055" i="4"/>
  <c r="Q1063" i="4"/>
  <c r="Q1067" i="4"/>
  <c r="Q1071" i="4"/>
  <c r="Q1075" i="4"/>
  <c r="Q1079" i="4"/>
  <c r="Q1083" i="4"/>
  <c r="Q1087" i="4"/>
  <c r="Q1091" i="4"/>
  <c r="Q1095" i="4"/>
  <c r="Q1099" i="4"/>
  <c r="Q1103" i="4"/>
  <c r="Q1107" i="4"/>
  <c r="Q1111" i="4"/>
  <c r="Q1115" i="4"/>
  <c r="Q1119" i="4"/>
  <c r="Q1123" i="4"/>
  <c r="Q1127" i="4"/>
  <c r="Q1131" i="4"/>
  <c r="Q1135" i="4"/>
  <c r="Q1139" i="4"/>
  <c r="Q1143" i="4"/>
  <c r="Q1147" i="4"/>
  <c r="Q6" i="4"/>
  <c r="Q13" i="4"/>
  <c r="Q19" i="4"/>
  <c r="Q27" i="4"/>
  <c r="Q34" i="4"/>
  <c r="Q41" i="4"/>
  <c r="Q49" i="4"/>
  <c r="Q55" i="4"/>
  <c r="Q62" i="4"/>
  <c r="Q70" i="4"/>
  <c r="Q77" i="4"/>
  <c r="Q83" i="4"/>
  <c r="Q91" i="4"/>
  <c r="Q98" i="4"/>
  <c r="Q105" i="4"/>
  <c r="Q113" i="4"/>
  <c r="Q119" i="4"/>
  <c r="Q126" i="4"/>
  <c r="Q134" i="4"/>
  <c r="Q141" i="4"/>
  <c r="Q147" i="4"/>
  <c r="Q155" i="4"/>
  <c r="Q162" i="4"/>
  <c r="Q169" i="4"/>
  <c r="Q177" i="4"/>
  <c r="Q183" i="4"/>
  <c r="Q190" i="4"/>
  <c r="Q198" i="4"/>
  <c r="Q205" i="4"/>
  <c r="Q211" i="4"/>
  <c r="Q219" i="4"/>
  <c r="Q226" i="4"/>
  <c r="Q233" i="4"/>
  <c r="Q241" i="4"/>
  <c r="Q247" i="4"/>
  <c r="Q254" i="4"/>
  <c r="Q262" i="4"/>
  <c r="Q269" i="4"/>
  <c r="Q275" i="4"/>
  <c r="Q283" i="4"/>
  <c r="Q290" i="4"/>
  <c r="Q297" i="4"/>
  <c r="Q305" i="4"/>
  <c r="Q311" i="4"/>
  <c r="Q318" i="4"/>
  <c r="Q326" i="4"/>
  <c r="Q333" i="4"/>
  <c r="Q339" i="4"/>
  <c r="Q347" i="4"/>
  <c r="Q354" i="4"/>
  <c r="Q361" i="4"/>
  <c r="Q369" i="4"/>
  <c r="Q375" i="4"/>
  <c r="Q382" i="4"/>
  <c r="Q390" i="4"/>
  <c r="Q397" i="4"/>
  <c r="Q403" i="4"/>
  <c r="Q411" i="4"/>
  <c r="Q418" i="4"/>
  <c r="Q425" i="4"/>
  <c r="Q433" i="4"/>
  <c r="Q439" i="4"/>
  <c r="Q446" i="4"/>
  <c r="Q454" i="4"/>
  <c r="Q461" i="4"/>
  <c r="Q467" i="4"/>
  <c r="Q475" i="4"/>
  <c r="Q482" i="4"/>
  <c r="Q489" i="4"/>
  <c r="Q497" i="4"/>
  <c r="Q503" i="4"/>
  <c r="Q510" i="4"/>
  <c r="Q516" i="4"/>
  <c r="Q521" i="4"/>
  <c r="Q526" i="4"/>
  <c r="Q532" i="4"/>
  <c r="Q537" i="4"/>
  <c r="Q542" i="4"/>
  <c r="Q548" i="4"/>
  <c r="Q553" i="4"/>
  <c r="Q558" i="4"/>
  <c r="Q564" i="4"/>
  <c r="Q569" i="4"/>
  <c r="Q574" i="4"/>
  <c r="Q580" i="4"/>
  <c r="Q585" i="4"/>
  <c r="Q590" i="4"/>
  <c r="Q596" i="4"/>
  <c r="Q601" i="4"/>
  <c r="Q606" i="4"/>
  <c r="Q612" i="4"/>
  <c r="Q617" i="4"/>
  <c r="Q622" i="4"/>
  <c r="Q628" i="4"/>
  <c r="Q633" i="4"/>
  <c r="Q638" i="4"/>
  <c r="Q644" i="4"/>
  <c r="Q649" i="4"/>
  <c r="Q654" i="4"/>
  <c r="Q660" i="4"/>
  <c r="Q665" i="4"/>
  <c r="Q670" i="4"/>
  <c r="Q676" i="4"/>
  <c r="Q681" i="4"/>
  <c r="Q686" i="4"/>
  <c r="Q692" i="4"/>
  <c r="Q697" i="4"/>
  <c r="Q702" i="4"/>
  <c r="Q708" i="4"/>
  <c r="Q713" i="4"/>
  <c r="Q718" i="4"/>
  <c r="Q724" i="4"/>
  <c r="Q729" i="4"/>
  <c r="Q734" i="4"/>
  <c r="Q740" i="4"/>
  <c r="Q745" i="4"/>
  <c r="Q750" i="4"/>
  <c r="Q756" i="4"/>
  <c r="Q761" i="4"/>
  <c r="Q766" i="4"/>
  <c r="Q772" i="4"/>
  <c r="Q777" i="4"/>
  <c r="Q782" i="4"/>
  <c r="Q788" i="4"/>
  <c r="Q793" i="4"/>
  <c r="Q798" i="4"/>
  <c r="Q804" i="4"/>
  <c r="Q809" i="4"/>
  <c r="Q814" i="4"/>
  <c r="Q820" i="4"/>
  <c r="Q825" i="4"/>
  <c r="Q830" i="4"/>
  <c r="Q836" i="4"/>
  <c r="Q841" i="4"/>
  <c r="Q846" i="4"/>
  <c r="Q852" i="4"/>
  <c r="Q857" i="4"/>
  <c r="Q862" i="4"/>
  <c r="Q868" i="4"/>
  <c r="Q873" i="4"/>
  <c r="Q878" i="4"/>
  <c r="Q884" i="4"/>
  <c r="Q889" i="4"/>
  <c r="Q894" i="4"/>
  <c r="Q900" i="4"/>
  <c r="Q905" i="4"/>
  <c r="Q910" i="4"/>
  <c r="Q916" i="4"/>
  <c r="Q921" i="4"/>
  <c r="Q926" i="4"/>
  <c r="Q932" i="4"/>
  <c r="Q937" i="4"/>
  <c r="Q942" i="4"/>
  <c r="Q948" i="4"/>
  <c r="Q953" i="4"/>
  <c r="Q958" i="4"/>
  <c r="Q964" i="4"/>
  <c r="Q969" i="4"/>
  <c r="Q974" i="4"/>
  <c r="Q980" i="4"/>
  <c r="Q985" i="4"/>
  <c r="Q990" i="4"/>
  <c r="Q996" i="4"/>
  <c r="Q1001" i="4"/>
  <c r="Q1006" i="4"/>
  <c r="Q1012" i="4"/>
  <c r="Q1017" i="4"/>
  <c r="Q1022" i="4"/>
  <c r="Q1028" i="4"/>
  <c r="Q1033" i="4"/>
  <c r="Q1038" i="4"/>
  <c r="Q1044" i="4"/>
  <c r="Q1049" i="4"/>
  <c r="Q1054" i="4"/>
  <c r="Q1065" i="4"/>
  <c r="Q1070" i="4"/>
  <c r="Q1076" i="4"/>
  <c r="Q1081" i="4"/>
  <c r="Q1086" i="4"/>
  <c r="Q1092" i="4"/>
  <c r="Q1097" i="4"/>
  <c r="Q1102" i="4"/>
  <c r="Q1108" i="4"/>
  <c r="Q1113" i="4"/>
  <c r="Q1118" i="4"/>
  <c r="Q1124" i="4"/>
  <c r="Q1129" i="4"/>
  <c r="Q1134" i="4"/>
  <c r="Q1140" i="4"/>
  <c r="Q1145" i="4"/>
  <c r="Q1150" i="4"/>
  <c r="Q1154" i="4"/>
  <c r="Q1158" i="4"/>
  <c r="Q1162" i="4"/>
  <c r="Q1166" i="4"/>
  <c r="Q1170" i="4"/>
  <c r="Q1174" i="4"/>
  <c r="Q1178" i="4"/>
  <c r="Q1182" i="4"/>
  <c r="Q1186" i="4"/>
  <c r="Q1190" i="4"/>
  <c r="Q1194" i="4"/>
  <c r="Q1198" i="4"/>
  <c r="Q1202" i="4"/>
  <c r="Q1206" i="4"/>
  <c r="Q1210" i="4"/>
  <c r="Q1214" i="4"/>
  <c r="Q1218" i="4"/>
  <c r="Q1222" i="4"/>
  <c r="Q1226" i="4"/>
  <c r="Q1230" i="4"/>
  <c r="Q1234" i="4"/>
  <c r="Q1238" i="4"/>
  <c r="Q1246" i="4"/>
  <c r="Q1250" i="4"/>
  <c r="Q1254" i="4"/>
  <c r="Q1258" i="4"/>
  <c r="Q1262" i="4"/>
  <c r="Q1266" i="4"/>
  <c r="Q1270" i="4"/>
  <c r="Q1274" i="4"/>
  <c r="Q1278" i="4"/>
  <c r="Q1282" i="4"/>
  <c r="Q1286" i="4"/>
  <c r="Q1290" i="4"/>
  <c r="Q1294" i="4"/>
  <c r="Q1298" i="4"/>
  <c r="Q1302" i="4"/>
  <c r="Q1306" i="4"/>
  <c r="Q1310" i="4"/>
  <c r="Q1314" i="4"/>
  <c r="Q1318" i="4"/>
  <c r="Q1322" i="4"/>
  <c r="Q1326" i="4"/>
  <c r="Q1330" i="4"/>
  <c r="Q1334" i="4"/>
  <c r="Q1338" i="4"/>
  <c r="Q1342" i="4"/>
  <c r="Q1346" i="4"/>
  <c r="Q1350" i="4"/>
  <c r="Q1354" i="4"/>
  <c r="Q1358" i="4"/>
  <c r="Q1362" i="4"/>
  <c r="Q1366" i="4"/>
  <c r="Q1370" i="4"/>
  <c r="Q1374" i="4"/>
  <c r="Q1378" i="4"/>
  <c r="Q1382" i="4"/>
  <c r="Q1386" i="4"/>
  <c r="Q1390" i="4"/>
  <c r="Q1394" i="4"/>
  <c r="Q1398" i="4"/>
  <c r="Q1402" i="4"/>
  <c r="Q1406" i="4"/>
  <c r="Q1410" i="4"/>
  <c r="Q1414" i="4"/>
  <c r="Q1418" i="4"/>
  <c r="Q1422" i="4"/>
  <c r="Q1426" i="4"/>
  <c r="Q1430" i="4"/>
  <c r="Q1434" i="4"/>
  <c r="Q1438" i="4"/>
  <c r="Q1442" i="4"/>
  <c r="Q1446" i="4"/>
  <c r="Q1450" i="4"/>
  <c r="Q1454" i="4"/>
  <c r="Q1458" i="4"/>
  <c r="Q1462" i="4"/>
  <c r="Q1466" i="4"/>
  <c r="Q1470" i="4"/>
  <c r="Q1474" i="4"/>
  <c r="Q1478" i="4"/>
  <c r="Q1482" i="4"/>
  <c r="Q1486" i="4"/>
  <c r="Q1490" i="4"/>
  <c r="Q1494" i="4"/>
  <c r="Q1498" i="4"/>
  <c r="Q1502" i="4"/>
  <c r="Q1506" i="4"/>
  <c r="Q1510" i="4"/>
  <c r="Q1514" i="4"/>
  <c r="Q1518" i="4"/>
  <c r="Q1522" i="4"/>
  <c r="Q1526" i="4"/>
  <c r="Q1530" i="4"/>
  <c r="Q1534" i="4"/>
  <c r="Q1538" i="4"/>
  <c r="Q1542" i="4"/>
  <c r="Q1546" i="4"/>
  <c r="Q1550" i="4"/>
  <c r="Q1554" i="4"/>
  <c r="Q1558" i="4"/>
  <c r="Q1562" i="4"/>
  <c r="Q1566" i="4"/>
  <c r="Q1570" i="4"/>
  <c r="Q1574" i="4"/>
  <c r="Q1578" i="4"/>
  <c r="Q1582" i="4"/>
  <c r="Q1586" i="4"/>
  <c r="Q1590" i="4"/>
  <c r="Q1594" i="4"/>
  <c r="Q1598" i="4"/>
  <c r="Q1602" i="4"/>
  <c r="Q1606" i="4"/>
  <c r="Q1610" i="4"/>
  <c r="Q1614" i="4"/>
  <c r="Q1618" i="4"/>
  <c r="Q1622" i="4"/>
  <c r="Q1626" i="4"/>
  <c r="Q1630" i="4"/>
  <c r="Q1634" i="4"/>
  <c r="Q1638" i="4"/>
  <c r="Q1642" i="4"/>
  <c r="Q1646" i="4"/>
  <c r="Q1650" i="4"/>
  <c r="Q1654" i="4"/>
  <c r="Q1658" i="4"/>
  <c r="Q1662" i="4"/>
  <c r="Q1666" i="4"/>
  <c r="Q1670" i="4"/>
  <c r="Q1674" i="4"/>
  <c r="Q1678" i="4"/>
  <c r="Q1682" i="4"/>
  <c r="Q1686" i="4"/>
  <c r="Q1690" i="4"/>
  <c r="Q1694" i="4"/>
  <c r="Q1698" i="4"/>
  <c r="Q1702" i="4"/>
  <c r="Q1706" i="4"/>
  <c r="Q1710" i="4"/>
  <c r="Q1714" i="4"/>
  <c r="Q1718" i="4"/>
  <c r="Q1722" i="4"/>
  <c r="Q1726" i="4"/>
  <c r="Q1730" i="4"/>
  <c r="Q1734" i="4"/>
  <c r="Q1738" i="4"/>
  <c r="Q1742" i="4"/>
  <c r="Q1746" i="4"/>
  <c r="Q1750" i="4"/>
  <c r="Q1754" i="4"/>
  <c r="Q1758" i="4"/>
  <c r="Q1762" i="4"/>
  <c r="Q1766" i="4"/>
  <c r="Q1770" i="4"/>
  <c r="Q1774" i="4"/>
  <c r="Q1778" i="4"/>
  <c r="Q1782" i="4"/>
  <c r="Q1786" i="4"/>
  <c r="Q1790" i="4"/>
  <c r="Q1794" i="4"/>
  <c r="Q1798" i="4"/>
  <c r="Q1802" i="4"/>
  <c r="Q1806" i="4"/>
  <c r="Q1810" i="4"/>
  <c r="Q1814" i="4"/>
  <c r="Q1818" i="4"/>
  <c r="Q1822" i="4"/>
  <c r="Q1826" i="4"/>
  <c r="Q1830" i="4"/>
  <c r="Q1834" i="4"/>
  <c r="Q1838" i="4"/>
  <c r="Q1842" i="4"/>
  <c r="Q1846" i="4"/>
  <c r="Q1850" i="4"/>
  <c r="Q1854" i="4"/>
  <c r="Q1858" i="4"/>
  <c r="Q1862" i="4"/>
  <c r="Q1866" i="4"/>
  <c r="Q1870" i="4"/>
  <c r="Q1874" i="4"/>
  <c r="Q1878" i="4"/>
  <c r="Q1882" i="4"/>
  <c r="Q1886" i="4"/>
  <c r="Q1890" i="4"/>
  <c r="Q1894" i="4"/>
  <c r="Q1898" i="4"/>
  <c r="Q1902" i="4"/>
  <c r="Q1906" i="4"/>
  <c r="Q1910" i="4"/>
  <c r="Q1914" i="4"/>
  <c r="Q1918" i="4"/>
  <c r="Q1922" i="4"/>
  <c r="Q1926" i="4"/>
  <c r="Q1930" i="4"/>
  <c r="Q1934" i="4"/>
  <c r="Q1938" i="4"/>
  <c r="Q1942" i="4"/>
  <c r="Q1946" i="4"/>
  <c r="Q1950" i="4"/>
  <c r="Q1954" i="4"/>
  <c r="Q1958" i="4"/>
  <c r="Q1962" i="4"/>
  <c r="Q1966" i="4"/>
  <c r="Q1970" i="4"/>
  <c r="Q1974" i="4"/>
  <c r="Q1978" i="4"/>
  <c r="Q1982" i="4"/>
  <c r="Q1986" i="4"/>
  <c r="Q1990" i="4"/>
  <c r="Q1994" i="4"/>
  <c r="Q1998" i="4"/>
  <c r="Q2002" i="4"/>
  <c r="Q2006" i="4"/>
  <c r="Q2010" i="4"/>
  <c r="Q7" i="4"/>
  <c r="Q14" i="4"/>
  <c r="Q22" i="4"/>
  <c r="Q29" i="4"/>
  <c r="Q35" i="4"/>
  <c r="Q43" i="4"/>
  <c r="Q50" i="4"/>
  <c r="Q57" i="4"/>
  <c r="Q65" i="4"/>
  <c r="Q71" i="4"/>
  <c r="Q78" i="4"/>
  <c r="Q86" i="4"/>
  <c r="Q93" i="4"/>
  <c r="Q99" i="4"/>
  <c r="Q107" i="4"/>
  <c r="Q114" i="4"/>
  <c r="Q121" i="4"/>
  <c r="Q129" i="4"/>
  <c r="Q135" i="4"/>
  <c r="Q142" i="4"/>
  <c r="Q150" i="4"/>
  <c r="Q157" i="4"/>
  <c r="Q163" i="4"/>
  <c r="Q171" i="4"/>
  <c r="Q178" i="4"/>
  <c r="Q185" i="4"/>
  <c r="Q193" i="4"/>
  <c r="Q199" i="4"/>
  <c r="Q206" i="4"/>
  <c r="Q214" i="4"/>
  <c r="Q227" i="4"/>
  <c r="Q235" i="4"/>
  <c r="Q242" i="4"/>
  <c r="Q249" i="4"/>
  <c r="Q257" i="4"/>
  <c r="Q263" i="4"/>
  <c r="Q270" i="4"/>
  <c r="Q278" i="4"/>
  <c r="Q285" i="4"/>
  <c r="Q291" i="4"/>
  <c r="Q299" i="4"/>
  <c r="Q306" i="4"/>
  <c r="Q313" i="4"/>
  <c r="Q321" i="4"/>
  <c r="Q327" i="4"/>
  <c r="Q334" i="4"/>
  <c r="Q342" i="4"/>
  <c r="Q349" i="4"/>
  <c r="Q355" i="4"/>
  <c r="Q363" i="4"/>
  <c r="Q370" i="4"/>
  <c r="Q377" i="4"/>
  <c r="Q385" i="4"/>
  <c r="Q391" i="4"/>
  <c r="Q398" i="4"/>
  <c r="Q406" i="4"/>
  <c r="Q413" i="4"/>
  <c r="Q419" i="4"/>
  <c r="Q427" i="4"/>
  <c r="Q434" i="4"/>
  <c r="Q441" i="4"/>
  <c r="Q449" i="4"/>
  <c r="Q455" i="4"/>
  <c r="Q462" i="4"/>
  <c r="Q470" i="4"/>
  <c r="Q483" i="4"/>
  <c r="Q491" i="4"/>
  <c r="Q498" i="4"/>
  <c r="Q505" i="4"/>
  <c r="Q512" i="4"/>
  <c r="Q517" i="4"/>
  <c r="Q522" i="4"/>
  <c r="Q528" i="4"/>
  <c r="Q533" i="4"/>
  <c r="Q538" i="4"/>
  <c r="Q544" i="4"/>
  <c r="Q549" i="4"/>
  <c r="Q554" i="4"/>
  <c r="Q560" i="4"/>
  <c r="Q565" i="4"/>
  <c r="Q570" i="4"/>
  <c r="Q576" i="4"/>
  <c r="Q581" i="4"/>
  <c r="Q586" i="4"/>
  <c r="Q592" i="4"/>
  <c r="Q597" i="4"/>
  <c r="Q602" i="4"/>
  <c r="Q608" i="4"/>
  <c r="Q613" i="4"/>
  <c r="Q618" i="4"/>
  <c r="Q624" i="4"/>
  <c r="Q629" i="4"/>
  <c r="Q634" i="4"/>
  <c r="Q640" i="4"/>
  <c r="Q645" i="4"/>
  <c r="Q650" i="4"/>
  <c r="Q656" i="4"/>
  <c r="Q661" i="4"/>
  <c r="Q666" i="4"/>
  <c r="Q672" i="4"/>
  <c r="Q677" i="4"/>
  <c r="Q682" i="4"/>
  <c r="Q9" i="4"/>
  <c r="Q23" i="4"/>
  <c r="Q38" i="4"/>
  <c r="Q51" i="4"/>
  <c r="Q66" i="4"/>
  <c r="Q81" i="4"/>
  <c r="Q94" i="4"/>
  <c r="Q109" i="4"/>
  <c r="Q123" i="4"/>
  <c r="Q137" i="4"/>
  <c r="Q151" i="4"/>
  <c r="Q166" i="4"/>
  <c r="Q179" i="4"/>
  <c r="Q194" i="4"/>
  <c r="Q209" i="4"/>
  <c r="Q222" i="4"/>
  <c r="Q237" i="4"/>
  <c r="Q251" i="4"/>
  <c r="Q265" i="4"/>
  <c r="Q279" i="4"/>
  <c r="Q294" i="4"/>
  <c r="Q307" i="4"/>
  <c r="Q322" i="4"/>
  <c r="Q337" i="4"/>
  <c r="Q350" i="4"/>
  <c r="Q365" i="4"/>
  <c r="Q379" i="4"/>
  <c r="Q393" i="4"/>
  <c r="Q407" i="4"/>
  <c r="Q422" i="4"/>
  <c r="Q435" i="4"/>
  <c r="Q450" i="4"/>
  <c r="Q465" i="4"/>
  <c r="Q478" i="4"/>
  <c r="Q493" i="4"/>
  <c r="Q507" i="4"/>
  <c r="Q518" i="4"/>
  <c r="Q529" i="4"/>
  <c r="Q540" i="4"/>
  <c r="Q550" i="4"/>
  <c r="Q561" i="4"/>
  <c r="Q572" i="4"/>
  <c r="Q582" i="4"/>
  <c r="Q593" i="4"/>
  <c r="Q604" i="4"/>
  <c r="Q614" i="4"/>
  <c r="Q625" i="4"/>
  <c r="Q636" i="4"/>
  <c r="Q646" i="4"/>
  <c r="Q657" i="4"/>
  <c r="Q668" i="4"/>
  <c r="Q678" i="4"/>
  <c r="Q688" i="4"/>
  <c r="Q694" i="4"/>
  <c r="Q701" i="4"/>
  <c r="Q709" i="4"/>
  <c r="Q716" i="4"/>
  <c r="Q722" i="4"/>
  <c r="Q730" i="4"/>
  <c r="Q737" i="4"/>
  <c r="Q744" i="4"/>
  <c r="Q752" i="4"/>
  <c r="Q758" i="4"/>
  <c r="Q765" i="4"/>
  <c r="Q773" i="4"/>
  <c r="Q780" i="4"/>
  <c r="Q786" i="4"/>
  <c r="Q794" i="4"/>
  <c r="Q801" i="4"/>
  <c r="Q808" i="4"/>
  <c r="Q816" i="4"/>
  <c r="Q822" i="4"/>
  <c r="Q829" i="4"/>
  <c r="Q837" i="4"/>
  <c r="Q844" i="4"/>
  <c r="Q850" i="4"/>
  <c r="Q858" i="4"/>
  <c r="Q865" i="4"/>
  <c r="Q872" i="4"/>
  <c r="Q880" i="4"/>
  <c r="Q886" i="4"/>
  <c r="Q893" i="4"/>
  <c r="Q901" i="4"/>
  <c r="Q908" i="4"/>
  <c r="Q914" i="4"/>
  <c r="Q922" i="4"/>
  <c r="Q929" i="4"/>
  <c r="Q936" i="4"/>
  <c r="Q944" i="4"/>
  <c r="Q950" i="4"/>
  <c r="Q957" i="4"/>
  <c r="Q965" i="4"/>
  <c r="Q972" i="4"/>
  <c r="Q978" i="4"/>
  <c r="Q986" i="4"/>
  <c r="Q993" i="4"/>
  <c r="Q1000" i="4"/>
  <c r="Q1008" i="4"/>
  <c r="Q1014" i="4"/>
  <c r="Q1021" i="4"/>
  <c r="Q1029" i="4"/>
  <c r="Q1036" i="4"/>
  <c r="Q1042" i="4"/>
  <c r="Q1050" i="4"/>
  <c r="Q1057" i="4"/>
  <c r="Q1064" i="4"/>
  <c r="Q1072" i="4"/>
  <c r="Q1078" i="4"/>
  <c r="Q1085" i="4"/>
  <c r="Q1093" i="4"/>
  <c r="Q1100" i="4"/>
  <c r="Q1106" i="4"/>
  <c r="Q1114" i="4"/>
  <c r="Q1121" i="4"/>
  <c r="Q1128" i="4"/>
  <c r="Q1136" i="4"/>
  <c r="Q1142" i="4"/>
  <c r="Q1149" i="4"/>
  <c r="Q1155" i="4"/>
  <c r="Q1160" i="4"/>
  <c r="Q1165" i="4"/>
  <c r="Q1171" i="4"/>
  <c r="Q1176" i="4"/>
  <c r="Q1181" i="4"/>
  <c r="Q1187" i="4"/>
  <c r="Q1192" i="4"/>
  <c r="Q1197" i="4"/>
  <c r="Q1203" i="4"/>
  <c r="Q1208" i="4"/>
  <c r="Q1213" i="4"/>
  <c r="Q1219" i="4"/>
  <c r="Q1224" i="4"/>
  <c r="Q1229" i="4"/>
  <c r="Q1235" i="4"/>
  <c r="Q1245" i="4"/>
  <c r="Q1251" i="4"/>
  <c r="Q1256" i="4"/>
  <c r="Q1261" i="4"/>
  <c r="Q1267" i="4"/>
  <c r="Q1272" i="4"/>
  <c r="Q1277" i="4"/>
  <c r="Q1283" i="4"/>
  <c r="Q1288" i="4"/>
  <c r="Q1293" i="4"/>
  <c r="Q1299" i="4"/>
  <c r="Q1304" i="4"/>
  <c r="Q1309" i="4"/>
  <c r="Q1315" i="4"/>
  <c r="Q1320" i="4"/>
  <c r="Q1325" i="4"/>
  <c r="Q1331" i="4"/>
  <c r="Q1336" i="4"/>
  <c r="Q1341" i="4"/>
  <c r="Q1347" i="4"/>
  <c r="Q1352" i="4"/>
  <c r="Q1357" i="4"/>
  <c r="Q1363" i="4"/>
  <c r="Q1368" i="4"/>
  <c r="Q1373" i="4"/>
  <c r="Q1379" i="4"/>
  <c r="Q1384" i="4"/>
  <c r="Q1389" i="4"/>
  <c r="Q1395" i="4"/>
  <c r="Q1400" i="4"/>
  <c r="Q1405" i="4"/>
  <c r="Q1411" i="4"/>
  <c r="Q1416" i="4"/>
  <c r="Q1421" i="4"/>
  <c r="Q1427" i="4"/>
  <c r="Q1432" i="4"/>
  <c r="Q1437" i="4"/>
  <c r="Q1443" i="4"/>
  <c r="Q1448" i="4"/>
  <c r="Q1453" i="4"/>
  <c r="Q1459" i="4"/>
  <c r="Q1464" i="4"/>
  <c r="Q1469" i="4"/>
  <c r="Q1475" i="4"/>
  <c r="Q1480" i="4"/>
  <c r="Q1485" i="4"/>
  <c r="Q1491" i="4"/>
  <c r="Q1496" i="4"/>
  <c r="Q1501" i="4"/>
  <c r="Q1507" i="4"/>
  <c r="Q1512" i="4"/>
  <c r="Q1517" i="4"/>
  <c r="Q1523" i="4"/>
  <c r="Q1528" i="4"/>
  <c r="Q1533" i="4"/>
  <c r="Q1539" i="4"/>
  <c r="Q1544" i="4"/>
  <c r="Q1549" i="4"/>
  <c r="Q1555" i="4"/>
  <c r="Q1560" i="4"/>
  <c r="Q1565" i="4"/>
  <c r="Q1571" i="4"/>
  <c r="Q1576" i="4"/>
  <c r="Q1581" i="4"/>
  <c r="Q1587" i="4"/>
  <c r="Q1592" i="4"/>
  <c r="Q1597" i="4"/>
  <c r="Q1603" i="4"/>
  <c r="Q1608" i="4"/>
  <c r="Q1613" i="4"/>
  <c r="Q1619" i="4"/>
  <c r="Q1624" i="4"/>
  <c r="Q1629" i="4"/>
  <c r="Q1635" i="4"/>
  <c r="Q1640" i="4"/>
  <c r="Q1645" i="4"/>
  <c r="Q1651" i="4"/>
  <c r="Q1656" i="4"/>
  <c r="Q1661" i="4"/>
  <c r="Q1667" i="4"/>
  <c r="Q1672" i="4"/>
  <c r="Q1677" i="4"/>
  <c r="Q1683" i="4"/>
  <c r="Q1688" i="4"/>
  <c r="Q1693" i="4"/>
  <c r="Q1699" i="4"/>
  <c r="Q1704" i="4"/>
  <c r="Q1709" i="4"/>
  <c r="Q1715" i="4"/>
  <c r="Q1720" i="4"/>
  <c r="Q1725" i="4"/>
  <c r="Q1731" i="4"/>
  <c r="Q1736" i="4"/>
  <c r="Q1741" i="4"/>
  <c r="Q1747" i="4"/>
  <c r="Q1752" i="4"/>
  <c r="Q1757" i="4"/>
  <c r="Q1763" i="4"/>
  <c r="Q1768" i="4"/>
  <c r="Q1773" i="4"/>
  <c r="Q1779" i="4"/>
  <c r="Q1784" i="4"/>
  <c r="Q1789" i="4"/>
  <c r="Q1795" i="4"/>
  <c r="Q1800" i="4"/>
  <c r="Q1805" i="4"/>
  <c r="Q1811" i="4"/>
  <c r="Q1816" i="4"/>
  <c r="Q1821" i="4"/>
  <c r="Q1827" i="4"/>
  <c r="Q1832" i="4"/>
  <c r="Q1837" i="4"/>
  <c r="Q1843" i="4"/>
  <c r="Q1848" i="4"/>
  <c r="Q1853" i="4"/>
  <c r="Q1859" i="4"/>
  <c r="Q1864" i="4"/>
  <c r="Q1869" i="4"/>
  <c r="Q1875" i="4"/>
  <c r="Q1880" i="4"/>
  <c r="Q1885" i="4"/>
  <c r="Q1891" i="4"/>
  <c r="Q1896" i="4"/>
  <c r="Q1901" i="4"/>
  <c r="Q1907" i="4"/>
  <c r="Q1912" i="4"/>
  <c r="Q1917" i="4"/>
  <c r="Q1923" i="4"/>
  <c r="Q1928" i="4"/>
  <c r="Q1933" i="4"/>
  <c r="Q1939" i="4"/>
  <c r="Q1944" i="4"/>
  <c r="Q1949" i="4"/>
  <c r="Q1955" i="4"/>
  <c r="Q1960" i="4"/>
  <c r="Q1965" i="4"/>
  <c r="Q1971" i="4"/>
  <c r="Q1976" i="4"/>
  <c r="Q1981" i="4"/>
  <c r="Q1987" i="4"/>
  <c r="Q1992" i="4"/>
  <c r="Q1997" i="4"/>
  <c r="Q2003" i="4"/>
  <c r="Q2008" i="4"/>
  <c r="Q11" i="4"/>
  <c r="Q25" i="4"/>
  <c r="Q39" i="4"/>
  <c r="Q54" i="4"/>
  <c r="Q67" i="4"/>
  <c r="Q82" i="4"/>
  <c r="Q97" i="4"/>
  <c r="Q110" i="4"/>
  <c r="Q125" i="4"/>
  <c r="Q139" i="4"/>
  <c r="Q153" i="4"/>
  <c r="Q167" i="4"/>
  <c r="Q182" i="4"/>
  <c r="Q195" i="4"/>
  <c r="Q210" i="4"/>
  <c r="Q225" i="4"/>
  <c r="Q238" i="4"/>
  <c r="Q253" i="4"/>
  <c r="Q267" i="4"/>
  <c r="Q281" i="4"/>
  <c r="Q295" i="4"/>
  <c r="Q310" i="4"/>
  <c r="Q323" i="4"/>
  <c r="Q338" i="4"/>
  <c r="Q353" i="4"/>
  <c r="Q366" i="4"/>
  <c r="Q381" i="4"/>
  <c r="Q395" i="4"/>
  <c r="Q409" i="4"/>
  <c r="Q423" i="4"/>
  <c r="Q438" i="4"/>
  <c r="Q451" i="4"/>
  <c r="Q466" i="4"/>
  <c r="Q481" i="4"/>
  <c r="Q494" i="4"/>
  <c r="Q509" i="4"/>
  <c r="Q520" i="4"/>
  <c r="Q530" i="4"/>
  <c r="Q541" i="4"/>
  <c r="Q552" i="4"/>
  <c r="Q562" i="4"/>
  <c r="Q573" i="4"/>
  <c r="Q584" i="4"/>
  <c r="Q594" i="4"/>
  <c r="Q605" i="4"/>
  <c r="Q616" i="4"/>
  <c r="Q626" i="4"/>
  <c r="Q637" i="4"/>
  <c r="Q648" i="4"/>
  <c r="Q658" i="4"/>
  <c r="Q669" i="4"/>
  <c r="Q680" i="4"/>
  <c r="Q689" i="4"/>
  <c r="Q696" i="4"/>
  <c r="Q704" i="4"/>
  <c r="Q710" i="4"/>
  <c r="Q717" i="4"/>
  <c r="Q725" i="4"/>
  <c r="Q732" i="4"/>
  <c r="Q738" i="4"/>
  <c r="Q746" i="4"/>
  <c r="Q753" i="4"/>
  <c r="Q760" i="4"/>
  <c r="Q768" i="4"/>
  <c r="Q774" i="4"/>
  <c r="Q781" i="4"/>
  <c r="Q789" i="4"/>
  <c r="Q796" i="4"/>
  <c r="Q802" i="4"/>
  <c r="Q810" i="4"/>
  <c r="Q817" i="4"/>
  <c r="Q824" i="4"/>
  <c r="Q832" i="4"/>
  <c r="Q838" i="4"/>
  <c r="Q845" i="4"/>
  <c r="Q853" i="4"/>
  <c r="Q860" i="4"/>
  <c r="Q866" i="4"/>
  <c r="Q874" i="4"/>
  <c r="Q881" i="4"/>
  <c r="Q888" i="4"/>
  <c r="Q896" i="4"/>
  <c r="Q902" i="4"/>
  <c r="Q909" i="4"/>
  <c r="Q917" i="4"/>
  <c r="Q924" i="4"/>
  <c r="Q930" i="4"/>
  <c r="Q938" i="4"/>
  <c r="Q945" i="4"/>
  <c r="Q952" i="4"/>
  <c r="Q960" i="4"/>
  <c r="Q966" i="4"/>
  <c r="Q973" i="4"/>
  <c r="Q981" i="4"/>
  <c r="Q988" i="4"/>
  <c r="Q994" i="4"/>
  <c r="Q1002" i="4"/>
  <c r="Q1009" i="4"/>
  <c r="Q1016" i="4"/>
  <c r="Q1024" i="4"/>
  <c r="Q1030" i="4"/>
  <c r="Q1037" i="4"/>
  <c r="Q1045" i="4"/>
  <c r="Q1052" i="4"/>
  <c r="Q1058" i="4"/>
  <c r="Q1066" i="4"/>
  <c r="Q1073" i="4"/>
  <c r="Q1080" i="4"/>
  <c r="Q1088" i="4"/>
  <c r="Q1094" i="4"/>
  <c r="Q1101" i="4"/>
  <c r="Q1109" i="4"/>
  <c r="Q1116" i="4"/>
  <c r="Q1122" i="4"/>
  <c r="Q1130" i="4"/>
  <c r="Q1137" i="4"/>
  <c r="Q1144" i="4"/>
  <c r="Q1151" i="4"/>
  <c r="Q1156" i="4"/>
  <c r="Q1161" i="4"/>
  <c r="Q1167" i="4"/>
  <c r="Q1172" i="4"/>
  <c r="Q1177" i="4"/>
  <c r="Q1183" i="4"/>
  <c r="Q1188" i="4"/>
  <c r="Q1193" i="4"/>
  <c r="Q1199" i="4"/>
  <c r="Q1204" i="4"/>
  <c r="Q1209" i="4"/>
  <c r="Q1215" i="4"/>
  <c r="Q1220" i="4"/>
  <c r="Q1225" i="4"/>
  <c r="Q1231" i="4"/>
  <c r="Q1236" i="4"/>
  <c r="Q1247" i="4"/>
  <c r="Q1252" i="4"/>
  <c r="Q1257" i="4"/>
  <c r="Q1263" i="4"/>
  <c r="Q1268" i="4"/>
  <c r="Q1273" i="4"/>
  <c r="Q1279" i="4"/>
  <c r="Q1284" i="4"/>
  <c r="Q1289" i="4"/>
  <c r="Q1295" i="4"/>
  <c r="Q1300" i="4"/>
  <c r="Q1305" i="4"/>
  <c r="Q1311" i="4"/>
  <c r="Q1316" i="4"/>
  <c r="Q1321" i="4"/>
  <c r="Q1327" i="4"/>
  <c r="Q1332" i="4"/>
  <c r="Q1337" i="4"/>
  <c r="Q1343" i="4"/>
  <c r="Q1348" i="4"/>
  <c r="Q1353" i="4"/>
  <c r="Q1359" i="4"/>
  <c r="Q1364" i="4"/>
  <c r="Q1369" i="4"/>
  <c r="Q1375" i="4"/>
  <c r="Q1380" i="4"/>
  <c r="Q1385" i="4"/>
  <c r="Q1391" i="4"/>
  <c r="Q1396" i="4"/>
  <c r="Q1401" i="4"/>
  <c r="Q1407" i="4"/>
  <c r="Q1412" i="4"/>
  <c r="Q1417" i="4"/>
  <c r="Q1423" i="4"/>
  <c r="Q1428" i="4"/>
  <c r="Q1433" i="4"/>
  <c r="Q1439" i="4"/>
  <c r="Q1444" i="4"/>
  <c r="Q1449" i="4"/>
  <c r="Q1455" i="4"/>
  <c r="Q1460" i="4"/>
  <c r="Q1465" i="4"/>
  <c r="Q1471" i="4"/>
  <c r="Q1476" i="4"/>
  <c r="Q1481" i="4"/>
  <c r="Q1487" i="4"/>
  <c r="Q1492" i="4"/>
  <c r="Q1497" i="4"/>
  <c r="Q1503" i="4"/>
  <c r="Q1508" i="4"/>
  <c r="Q1513" i="4"/>
  <c r="Q1519" i="4"/>
  <c r="Q1524" i="4"/>
  <c r="Q1529" i="4"/>
  <c r="Q1535" i="4"/>
  <c r="Q1540" i="4"/>
  <c r="Q1545" i="4"/>
  <c r="Q1551" i="4"/>
  <c r="Q1556" i="4"/>
  <c r="Q1561" i="4"/>
  <c r="Q1567" i="4"/>
  <c r="Q1572" i="4"/>
  <c r="Q1577" i="4"/>
  <c r="Q1583" i="4"/>
  <c r="Q1588" i="4"/>
  <c r="Q1593" i="4"/>
  <c r="Q1599" i="4"/>
  <c r="Q1604" i="4"/>
  <c r="Q1609" i="4"/>
  <c r="Q1615" i="4"/>
  <c r="Q1620" i="4"/>
  <c r="Q1625" i="4"/>
  <c r="Q1631" i="4"/>
  <c r="Q1636" i="4"/>
  <c r="Q1641" i="4"/>
  <c r="Q1647" i="4"/>
  <c r="Q1652" i="4"/>
  <c r="Q1657" i="4"/>
  <c r="Q1663" i="4"/>
  <c r="Q1668" i="4"/>
  <c r="Q1673" i="4"/>
  <c r="Q1679" i="4"/>
  <c r="Q1684" i="4"/>
  <c r="Q1689" i="4"/>
  <c r="Q1695" i="4"/>
  <c r="Q1700" i="4"/>
  <c r="Q1705" i="4"/>
  <c r="Q1711" i="4"/>
  <c r="Q1716" i="4"/>
  <c r="Q1721" i="4"/>
  <c r="Q1727" i="4"/>
  <c r="Q1732" i="4"/>
  <c r="Q1737" i="4"/>
  <c r="Q1743" i="4"/>
  <c r="Q1748" i="4"/>
  <c r="Q1753" i="4"/>
  <c r="Q1759" i="4"/>
  <c r="Q1764" i="4"/>
  <c r="Q1769" i="4"/>
  <c r="Q1775" i="4"/>
  <c r="Q1780" i="4"/>
  <c r="Q1785" i="4"/>
  <c r="Q1791" i="4"/>
  <c r="Q1796" i="4"/>
  <c r="Q1801" i="4"/>
  <c r="Q1807" i="4"/>
  <c r="Q1812" i="4"/>
  <c r="Q1817" i="4"/>
  <c r="Q1823" i="4"/>
  <c r="Q1828" i="4"/>
  <c r="Q1833" i="4"/>
  <c r="Q1839" i="4"/>
  <c r="Q1844" i="4"/>
  <c r="Q1849" i="4"/>
  <c r="Q1855" i="4"/>
  <c r="Q1860" i="4"/>
  <c r="Q1865" i="4"/>
  <c r="Q1871" i="4"/>
  <c r="Q1876" i="4"/>
  <c r="Q1881" i="4"/>
  <c r="Q1887" i="4"/>
  <c r="Q1892" i="4"/>
  <c r="Q1897" i="4"/>
  <c r="Q1903" i="4"/>
  <c r="Q1908" i="4"/>
  <c r="Q1913" i="4"/>
  <c r="Q1919" i="4"/>
  <c r="Q1924" i="4"/>
  <c r="Q1929" i="4"/>
  <c r="Q1935" i="4"/>
  <c r="Q1940" i="4"/>
  <c r="Q1945" i="4"/>
  <c r="Q1951" i="4"/>
  <c r="Q1956" i="4"/>
  <c r="Q1961" i="4"/>
  <c r="Q1967" i="4"/>
  <c r="Q1972" i="4"/>
  <c r="Q1977" i="4"/>
  <c r="Q1983" i="4"/>
  <c r="Q1988" i="4"/>
  <c r="Q1993" i="4"/>
  <c r="Q1999" i="4"/>
  <c r="Q2004" i="4"/>
  <c r="Q2009" i="4"/>
  <c r="Q17" i="4"/>
  <c r="Q30" i="4"/>
  <c r="Q45" i="4"/>
  <c r="Q59" i="4"/>
  <c r="Q73" i="4"/>
  <c r="Q87" i="4"/>
  <c r="Q102" i="4"/>
  <c r="Q115" i="4"/>
  <c r="Q130" i="4"/>
  <c r="Q145" i="4"/>
  <c r="Q158" i="4"/>
  <c r="Q173" i="4"/>
  <c r="Q187" i="4"/>
  <c r="Q201" i="4"/>
  <c r="Q215" i="4"/>
  <c r="Q230" i="4"/>
  <c r="Q243" i="4"/>
  <c r="Q258" i="4"/>
  <c r="Q273" i="4"/>
  <c r="Q286" i="4"/>
  <c r="Q301" i="4"/>
  <c r="Q315" i="4"/>
  <c r="Q329" i="4"/>
  <c r="Q343" i="4"/>
  <c r="Q358" i="4"/>
  <c r="Q371" i="4"/>
  <c r="Q386" i="4"/>
  <c r="Q401" i="4"/>
  <c r="Q414" i="4"/>
  <c r="Q429" i="4"/>
  <c r="Q443" i="4"/>
  <c r="Q457" i="4"/>
  <c r="Q471" i="4"/>
  <c r="Q486" i="4"/>
  <c r="Q499" i="4"/>
  <c r="Q513" i="4"/>
  <c r="Q524" i="4"/>
  <c r="Q534" i="4"/>
  <c r="Q545" i="4"/>
  <c r="Q556" i="4"/>
  <c r="Q566" i="4"/>
  <c r="Q577" i="4"/>
  <c r="Q588" i="4"/>
  <c r="Q598" i="4"/>
  <c r="Q609" i="4"/>
  <c r="Q620" i="4"/>
  <c r="Q630" i="4"/>
  <c r="Q641" i="4"/>
  <c r="Q652" i="4"/>
  <c r="Q662" i="4"/>
  <c r="Q673" i="4"/>
  <c r="Q684" i="4"/>
  <c r="Q690" i="4"/>
  <c r="Q698" i="4"/>
  <c r="Q705" i="4"/>
  <c r="Q712" i="4"/>
  <c r="Q720" i="4"/>
  <c r="Q726" i="4"/>
  <c r="Q733" i="4"/>
  <c r="Q741" i="4"/>
  <c r="Q748" i="4"/>
  <c r="Q754" i="4"/>
  <c r="Q762" i="4"/>
  <c r="Q769" i="4"/>
  <c r="Q776" i="4"/>
  <c r="Q784" i="4"/>
  <c r="Q790" i="4"/>
  <c r="Q797" i="4"/>
  <c r="Q805" i="4"/>
  <c r="Q812" i="4"/>
  <c r="Q818" i="4"/>
  <c r="Q826" i="4"/>
  <c r="Q833" i="4"/>
  <c r="Q840" i="4"/>
  <c r="Q848" i="4"/>
  <c r="Q854" i="4"/>
  <c r="Q861" i="4"/>
  <c r="Q869" i="4"/>
  <c r="Q876" i="4"/>
  <c r="Q882" i="4"/>
  <c r="Q890" i="4"/>
  <c r="Q897" i="4"/>
  <c r="Q904" i="4"/>
  <c r="Q912" i="4"/>
  <c r="Q918" i="4"/>
  <c r="Q925" i="4"/>
  <c r="Q933" i="4"/>
  <c r="Q940" i="4"/>
  <c r="Q946" i="4"/>
  <c r="Q954" i="4"/>
  <c r="Q961" i="4"/>
  <c r="Q968" i="4"/>
  <c r="Q976" i="4"/>
  <c r="Q982" i="4"/>
  <c r="Q989" i="4"/>
  <c r="Q997" i="4"/>
  <c r="Q1004" i="4"/>
  <c r="Q1010" i="4"/>
  <c r="Q1018" i="4"/>
  <c r="Q1025" i="4"/>
  <c r="Q1032" i="4"/>
  <c r="Q1040" i="4"/>
  <c r="Q1046" i="4"/>
  <c r="Q1053" i="4"/>
  <c r="Q1068" i="4"/>
  <c r="Q1074" i="4"/>
  <c r="Q1082" i="4"/>
  <c r="Q1089" i="4"/>
  <c r="Q1096" i="4"/>
  <c r="Q1104" i="4"/>
  <c r="Q1110" i="4"/>
  <c r="Q1117" i="4"/>
  <c r="Q1125" i="4"/>
  <c r="Q1132" i="4"/>
  <c r="Q1138" i="4"/>
  <c r="Q1146" i="4"/>
  <c r="Q1152" i="4"/>
  <c r="Q1157" i="4"/>
  <c r="Q1163" i="4"/>
  <c r="Q1168" i="4"/>
  <c r="Q1173" i="4"/>
  <c r="Q1179" i="4"/>
  <c r="Q1184" i="4"/>
  <c r="Q1189" i="4"/>
  <c r="Q1195" i="4"/>
  <c r="Q1200" i="4"/>
  <c r="Q1205" i="4"/>
  <c r="Q1211" i="4"/>
  <c r="Q1216" i="4"/>
  <c r="Q1221" i="4"/>
  <c r="Q1227" i="4"/>
  <c r="Q1232" i="4"/>
  <c r="Q1237" i="4"/>
  <c r="Q1243" i="4"/>
  <c r="Q1248" i="4"/>
  <c r="Q1253" i="4"/>
  <c r="Q1259" i="4"/>
  <c r="Q1264" i="4"/>
  <c r="Q1269" i="4"/>
  <c r="Q1275" i="4"/>
  <c r="Q1280" i="4"/>
  <c r="Q1285" i="4"/>
  <c r="Q1291" i="4"/>
  <c r="Q1296" i="4"/>
  <c r="Q1301" i="4"/>
  <c r="Q1307" i="4"/>
  <c r="Q1312" i="4"/>
  <c r="Q1317" i="4"/>
  <c r="Q1323" i="4"/>
  <c r="Q1328" i="4"/>
  <c r="Q1333" i="4"/>
  <c r="Q1339" i="4"/>
  <c r="Q1344" i="4"/>
  <c r="Q1349" i="4"/>
  <c r="Q1355" i="4"/>
  <c r="Q1360" i="4"/>
  <c r="Q1365" i="4"/>
  <c r="Q1371" i="4"/>
  <c r="Q1376" i="4"/>
  <c r="Q1381" i="4"/>
  <c r="Q1387" i="4"/>
  <c r="Q1392" i="4"/>
  <c r="Q1397" i="4"/>
  <c r="Q1403" i="4"/>
  <c r="Q1408" i="4"/>
  <c r="Q1413" i="4"/>
  <c r="Q1419" i="4"/>
  <c r="Q1424" i="4"/>
  <c r="Q1429" i="4"/>
  <c r="Q1435" i="4"/>
  <c r="Q1440" i="4"/>
  <c r="Q1445" i="4"/>
  <c r="Q1451" i="4"/>
  <c r="Q1456" i="4"/>
  <c r="Q1461" i="4"/>
  <c r="Q1467" i="4"/>
  <c r="Q1472" i="4"/>
  <c r="Q1477" i="4"/>
  <c r="Q1483" i="4"/>
  <c r="Q1488" i="4"/>
  <c r="Q1493" i="4"/>
  <c r="Q1499" i="4"/>
  <c r="Q1504" i="4"/>
  <c r="Q1509" i="4"/>
  <c r="Q1515" i="4"/>
  <c r="Q1520" i="4"/>
  <c r="Q1525" i="4"/>
  <c r="Q1531" i="4"/>
  <c r="Q1536" i="4"/>
  <c r="Q1541" i="4"/>
  <c r="Q1547" i="4"/>
  <c r="Q1552" i="4"/>
  <c r="Q1557" i="4"/>
  <c r="Q1563" i="4"/>
  <c r="Q1568" i="4"/>
  <c r="Q1573" i="4"/>
  <c r="Q1579" i="4"/>
  <c r="Q1584" i="4"/>
  <c r="Q1589" i="4"/>
  <c r="Q1595" i="4"/>
  <c r="Q1600" i="4"/>
  <c r="Q1605" i="4"/>
  <c r="Q1611" i="4"/>
  <c r="Q1616" i="4"/>
  <c r="Q1621" i="4"/>
  <c r="Q1627" i="4"/>
  <c r="Q1632" i="4"/>
  <c r="Q1637" i="4"/>
  <c r="Q1643" i="4"/>
  <c r="Q1648" i="4"/>
  <c r="Q1653" i="4"/>
  <c r="Q1659" i="4"/>
  <c r="Q1664" i="4"/>
  <c r="Q1669" i="4"/>
  <c r="Q1675" i="4"/>
  <c r="Q1680" i="4"/>
  <c r="Q1685" i="4"/>
  <c r="Q1691" i="4"/>
  <c r="Q1696" i="4"/>
  <c r="Q1701" i="4"/>
  <c r="Q1707" i="4"/>
  <c r="Q1712" i="4"/>
  <c r="Q1717" i="4"/>
  <c r="Q1723" i="4"/>
  <c r="Q1728" i="4"/>
  <c r="Q1733" i="4"/>
  <c r="Q1739" i="4"/>
  <c r="Q1744" i="4"/>
  <c r="Q1749" i="4"/>
  <c r="Q1755" i="4"/>
  <c r="Q1760" i="4"/>
  <c r="Q1765" i="4"/>
  <c r="Q1771" i="4"/>
  <c r="Q1776" i="4"/>
  <c r="Q1781" i="4"/>
  <c r="Q1787" i="4"/>
  <c r="Q1792" i="4"/>
  <c r="Q1797" i="4"/>
  <c r="Q1803" i="4"/>
  <c r="Q1808" i="4"/>
  <c r="Q1813" i="4"/>
  <c r="Q1819" i="4"/>
  <c r="Q1824" i="4"/>
  <c r="Q1829" i="4"/>
  <c r="Q1835" i="4"/>
  <c r="Q1840" i="4"/>
  <c r="Q1845" i="4"/>
  <c r="Q1851" i="4"/>
  <c r="Q1856" i="4"/>
  <c r="Q1861" i="4"/>
  <c r="Q1867" i="4"/>
  <c r="Q1872" i="4"/>
  <c r="Q1877" i="4"/>
  <c r="Q1883" i="4"/>
  <c r="Q1888" i="4"/>
  <c r="Q1893" i="4"/>
  <c r="Q1899" i="4"/>
  <c r="Q1904" i="4"/>
  <c r="Q1909" i="4"/>
  <c r="Q1915" i="4"/>
  <c r="Q1920" i="4"/>
  <c r="Q1925" i="4"/>
  <c r="Q1931" i="4"/>
  <c r="Q1936" i="4"/>
  <c r="Q1941" i="4"/>
  <c r="Q1947" i="4"/>
  <c r="Q1952" i="4"/>
  <c r="Q1957" i="4"/>
  <c r="Q1963" i="4"/>
  <c r="Q1968" i="4"/>
  <c r="Q1973" i="4"/>
  <c r="Q1979" i="4"/>
  <c r="Q1984" i="4"/>
  <c r="Q1989" i="4"/>
  <c r="Q1995" i="4"/>
  <c r="Q2000" i="4"/>
  <c r="Q2005" i="4"/>
  <c r="Q2011" i="4"/>
  <c r="Q3" i="4"/>
  <c r="Q18" i="4"/>
  <c r="Q33" i="4"/>
  <c r="Q46" i="4"/>
  <c r="Q61" i="4"/>
  <c r="Q75" i="4"/>
  <c r="Q89" i="4"/>
  <c r="Q103" i="4"/>
  <c r="Q118" i="4"/>
  <c r="Q131" i="4"/>
  <c r="Q146" i="4"/>
  <c r="Q161" i="4"/>
  <c r="Q174" i="4"/>
  <c r="Q189" i="4"/>
  <c r="Q203" i="4"/>
  <c r="Q231" i="4"/>
  <c r="Q246" i="4"/>
  <c r="Q259" i="4"/>
  <c r="Q274" i="4"/>
  <c r="Q289" i="4"/>
  <c r="Q302" i="4"/>
  <c r="Q317" i="4"/>
  <c r="Q331" i="4"/>
  <c r="Q345" i="4"/>
  <c r="Q359" i="4"/>
  <c r="Q374" i="4"/>
  <c r="Q387" i="4"/>
  <c r="Q402" i="4"/>
  <c r="Q417" i="4"/>
  <c r="Q430" i="4"/>
  <c r="Q445" i="4"/>
  <c r="Q459" i="4"/>
  <c r="Q473" i="4"/>
  <c r="Q487" i="4"/>
  <c r="Q502" i="4"/>
  <c r="Q514" i="4"/>
  <c r="Q525" i="4"/>
  <c r="Q536" i="4"/>
  <c r="Q546" i="4"/>
  <c r="Q557" i="4"/>
  <c r="Q568" i="4"/>
  <c r="Q578" i="4"/>
  <c r="Q589" i="4"/>
  <c r="Q600" i="4"/>
  <c r="Q610" i="4"/>
  <c r="Q621" i="4"/>
  <c r="Q632" i="4"/>
  <c r="Q642" i="4"/>
  <c r="Q653" i="4"/>
  <c r="Q664" i="4"/>
  <c r="Q674" i="4"/>
  <c r="Q685" i="4"/>
  <c r="Q693" i="4"/>
  <c r="Q700" i="4"/>
  <c r="Q706" i="4"/>
  <c r="Q714" i="4"/>
  <c r="Q721" i="4"/>
  <c r="Q728" i="4"/>
  <c r="Q736" i="4"/>
  <c r="Q742" i="4"/>
  <c r="Q749" i="4"/>
  <c r="Q757" i="4"/>
  <c r="Q764" i="4"/>
  <c r="Q770" i="4"/>
  <c r="Q778" i="4"/>
  <c r="Q785" i="4"/>
  <c r="Q792" i="4"/>
  <c r="Q800" i="4"/>
  <c r="Q806" i="4"/>
  <c r="Q813" i="4"/>
  <c r="Q821" i="4"/>
  <c r="Q828" i="4"/>
  <c r="Q834" i="4"/>
  <c r="Q842" i="4"/>
  <c r="Q849" i="4"/>
  <c r="Q856" i="4"/>
  <c r="Q864" i="4"/>
  <c r="Q870" i="4"/>
  <c r="Q877" i="4"/>
  <c r="Q885" i="4"/>
  <c r="Q892" i="4"/>
  <c r="Q898" i="4"/>
  <c r="Q906" i="4"/>
  <c r="Q913" i="4"/>
  <c r="Q920" i="4"/>
  <c r="Q928" i="4"/>
  <c r="Q934" i="4"/>
  <c r="Q941" i="4"/>
  <c r="Q949" i="4"/>
  <c r="Q956" i="4"/>
  <c r="Q962" i="4"/>
  <c r="Q970" i="4"/>
  <c r="Q977" i="4"/>
  <c r="Q984" i="4"/>
  <c r="Q992" i="4"/>
  <c r="Q998" i="4"/>
  <c r="Q1005" i="4"/>
  <c r="Q1013" i="4"/>
  <c r="Q1020" i="4"/>
  <c r="Q1026" i="4"/>
  <c r="Q1034" i="4"/>
  <c r="Q1041" i="4"/>
  <c r="Q1048" i="4"/>
  <c r="Q1056" i="4"/>
  <c r="Q1069" i="4"/>
  <c r="Q1077" i="4"/>
  <c r="Q1084" i="4"/>
  <c r="Q1090" i="4"/>
  <c r="Q1098" i="4"/>
  <c r="Q1105" i="4"/>
  <c r="Q1112" i="4"/>
  <c r="Q1120" i="4"/>
  <c r="Q1126" i="4"/>
  <c r="Q1133" i="4"/>
  <c r="Q1141" i="4"/>
  <c r="Q1148" i="4"/>
  <c r="Q1153" i="4"/>
  <c r="Q1159" i="4"/>
  <c r="Q1164" i="4"/>
  <c r="Q1169" i="4"/>
  <c r="Q1175" i="4"/>
  <c r="Q1180" i="4"/>
  <c r="Q1185" i="4"/>
  <c r="Q1191" i="4"/>
  <c r="Q1196" i="4"/>
  <c r="Q1201" i="4"/>
  <c r="Q1207" i="4"/>
  <c r="Q1212" i="4"/>
  <c r="Q1217" i="4"/>
  <c r="Q1223" i="4"/>
  <c r="Q1228" i="4"/>
  <c r="Q1233" i="4"/>
  <c r="Q1239" i="4"/>
  <c r="Q1244" i="4"/>
  <c r="Q1249" i="4"/>
  <c r="Q1255" i="4"/>
  <c r="Q1260" i="4"/>
  <c r="Q1265" i="4"/>
  <c r="Q1271" i="4"/>
  <c r="Q1276" i="4"/>
  <c r="Q1281" i="4"/>
  <c r="Q1287" i="4"/>
  <c r="Q1292" i="4"/>
  <c r="Q1297" i="4"/>
  <c r="Q1303" i="4"/>
  <c r="Q1308" i="4"/>
  <c r="Q1313" i="4"/>
  <c r="Q1319" i="4"/>
  <c r="Q1324" i="4"/>
  <c r="Q1329" i="4"/>
  <c r="Q1335" i="4"/>
  <c r="Q1340" i="4"/>
  <c r="Q1345" i="4"/>
  <c r="Q1351" i="4"/>
  <c r="Q1356" i="4"/>
  <c r="Q1361" i="4"/>
  <c r="Q1367" i="4"/>
  <c r="Q1372" i="4"/>
  <c r="Q1377" i="4"/>
  <c r="Q1383" i="4"/>
  <c r="Q1388" i="4"/>
  <c r="Q1393" i="4"/>
  <c r="Q1399" i="4"/>
  <c r="Q1404" i="4"/>
  <c r="Q1409" i="4"/>
  <c r="Q1415" i="4"/>
  <c r="Q1420" i="4"/>
  <c r="Q1425" i="4"/>
  <c r="Q1431" i="4"/>
  <c r="Q1436" i="4"/>
  <c r="Q1441" i="4"/>
  <c r="Q1447" i="4"/>
  <c r="Q1452" i="4"/>
  <c r="Q1457" i="4"/>
  <c r="Q1463" i="4"/>
  <c r="Q1468" i="4"/>
  <c r="Q1473" i="4"/>
  <c r="Q1479" i="4"/>
  <c r="Q1484" i="4"/>
  <c r="Q1489" i="4"/>
  <c r="Q1495" i="4"/>
  <c r="Q1500" i="4"/>
  <c r="Q1505" i="4"/>
  <c r="Q1511" i="4"/>
  <c r="Q1516" i="4"/>
  <c r="Q1537" i="4"/>
  <c r="Q1559" i="4"/>
  <c r="Q1580" i="4"/>
  <c r="Q1601" i="4"/>
  <c r="Q1623" i="4"/>
  <c r="Q1665" i="4"/>
  <c r="Q1729" i="4"/>
  <c r="Q1836" i="4"/>
  <c r="Q1943" i="4"/>
  <c r="Q1521" i="4"/>
  <c r="Q1543" i="4"/>
  <c r="Q1564" i="4"/>
  <c r="Q1585" i="4"/>
  <c r="Q1607" i="4"/>
  <c r="Q1628" i="4"/>
  <c r="Q1649" i="4"/>
  <c r="Q1671" i="4"/>
  <c r="Q1692" i="4"/>
  <c r="Q1713" i="4"/>
  <c r="Q1735" i="4"/>
  <c r="Q1756" i="4"/>
  <c r="Q1777" i="4"/>
  <c r="Q1799" i="4"/>
  <c r="Q1820" i="4"/>
  <c r="Q1841" i="4"/>
  <c r="Q1863" i="4"/>
  <c r="Q1884" i="4"/>
  <c r="Q1905" i="4"/>
  <c r="Q1927" i="4"/>
  <c r="Q1948" i="4"/>
  <c r="Q1969" i="4"/>
  <c r="Q1991" i="4"/>
  <c r="Q1527" i="4"/>
  <c r="Q1548" i="4"/>
  <c r="Q1569" i="4"/>
  <c r="Q1591" i="4"/>
  <c r="Q1612" i="4"/>
  <c r="Q1633" i="4"/>
  <c r="Q1655" i="4"/>
  <c r="Q1676" i="4"/>
  <c r="Q1697" i="4"/>
  <c r="Q1719" i="4"/>
  <c r="Q1740" i="4"/>
  <c r="Q1761" i="4"/>
  <c r="Q1783" i="4"/>
  <c r="Q1804" i="4"/>
  <c r="Q1825" i="4"/>
  <c r="Q1847" i="4"/>
  <c r="Q1868" i="4"/>
  <c r="Q1889" i="4"/>
  <c r="Q1911" i="4"/>
  <c r="Q1932" i="4"/>
  <c r="Q1953" i="4"/>
  <c r="Q1975" i="4"/>
  <c r="Q1996" i="4"/>
  <c r="Q1532" i="4"/>
  <c r="Q1553" i="4"/>
  <c r="Q1575" i="4"/>
  <c r="Q1596" i="4"/>
  <c r="Q1617" i="4"/>
  <c r="Q1639" i="4"/>
  <c r="Q1660" i="4"/>
  <c r="Q1681" i="4"/>
  <c r="Q1703" i="4"/>
  <c r="Q1724" i="4"/>
  <c r="Q1745" i="4"/>
  <c r="Q1767" i="4"/>
  <c r="Q1788" i="4"/>
  <c r="Q1809" i="4"/>
  <c r="Q1831" i="4"/>
  <c r="Q1852" i="4"/>
  <c r="Q1873" i="4"/>
  <c r="Q1895" i="4"/>
  <c r="Q1916" i="4"/>
  <c r="Q1937" i="4"/>
  <c r="Q1959" i="4"/>
  <c r="Q1980" i="4"/>
  <c r="Q2001" i="4"/>
  <c r="Q1644" i="4"/>
  <c r="Q1687" i="4"/>
  <c r="Q1708" i="4"/>
  <c r="Q1751" i="4"/>
  <c r="Q1772" i="4"/>
  <c r="Q1793" i="4"/>
  <c r="Q1815" i="4"/>
  <c r="Q1857" i="4"/>
  <c r="Q1879" i="4"/>
  <c r="Q1900" i="4"/>
  <c r="Q1921" i="4"/>
  <c r="Q1964" i="4"/>
  <c r="Q1985" i="4"/>
  <c r="Q2007" i="4"/>
  <c r="R2" i="4"/>
  <c r="Q2" i="4"/>
  <c r="O2" i="4"/>
  <c r="I6" i="4"/>
  <c r="I10" i="4"/>
  <c r="I14" i="4"/>
  <c r="I18" i="4"/>
  <c r="I22" i="4"/>
  <c r="I26" i="4"/>
  <c r="I30" i="4"/>
  <c r="I7" i="4"/>
  <c r="I11" i="4"/>
  <c r="I15" i="4"/>
  <c r="I19" i="4"/>
  <c r="I23" i="4"/>
  <c r="I27" i="4"/>
  <c r="I8" i="4"/>
  <c r="I12" i="4"/>
  <c r="I16" i="4"/>
  <c r="I20" i="4"/>
  <c r="I24" i="4"/>
  <c r="I28" i="4"/>
  <c r="I5" i="4"/>
  <c r="I9" i="4"/>
  <c r="I13" i="4"/>
  <c r="I17" i="4"/>
  <c r="I21" i="4"/>
  <c r="I25" i="4"/>
  <c r="I29" i="4"/>
  <c r="F13" i="4"/>
  <c r="G13" i="4" s="1"/>
  <c r="F12" i="4"/>
  <c r="G12" i="4" s="1"/>
  <c r="F11" i="4"/>
  <c r="G11" i="4" s="1"/>
  <c r="F10" i="4"/>
  <c r="G10" i="4" s="1"/>
  <c r="F9" i="4"/>
  <c r="G9" i="4" s="1"/>
  <c r="F8" i="4"/>
  <c r="G8" i="4" s="1"/>
  <c r="F7" i="4"/>
  <c r="G7" i="4" s="1"/>
  <c r="F6" i="4"/>
  <c r="G6" i="4" s="1"/>
  <c r="F5" i="4"/>
  <c r="G5" i="4" s="1"/>
  <c r="P2001" i="4"/>
  <c r="A3" i="4"/>
  <c r="B3" i="4"/>
  <c r="A4" i="4"/>
  <c r="B4" i="4"/>
  <c r="A5" i="4"/>
  <c r="B5" i="4"/>
  <c r="E5" i="4"/>
  <c r="A6" i="4"/>
  <c r="B6" i="4"/>
  <c r="E6" i="4"/>
  <c r="A7" i="4"/>
  <c r="B7" i="4"/>
  <c r="E7" i="4"/>
  <c r="A8" i="4"/>
  <c r="B8" i="4"/>
  <c r="E8" i="4"/>
  <c r="A9" i="4"/>
  <c r="B9" i="4"/>
  <c r="E9" i="4"/>
  <c r="A10" i="4"/>
  <c r="B10" i="4"/>
  <c r="E10" i="4"/>
  <c r="A11" i="4"/>
  <c r="B11" i="4"/>
  <c r="E11" i="4"/>
  <c r="A12" i="4"/>
  <c r="B12" i="4"/>
  <c r="E12" i="4"/>
  <c r="A13" i="4"/>
  <c r="B13" i="4"/>
  <c r="E13" i="4"/>
  <c r="H13" i="4"/>
  <c r="L13" i="4"/>
  <c r="M13" i="4"/>
  <c r="N13" i="4"/>
  <c r="P13" i="4"/>
  <c r="A14" i="4"/>
  <c r="B14" i="4"/>
  <c r="E14" i="4"/>
  <c r="H14" i="4"/>
  <c r="L14" i="4"/>
  <c r="M14" i="4"/>
  <c r="N14" i="4"/>
  <c r="P14" i="4"/>
  <c r="A15" i="4"/>
  <c r="B15" i="4"/>
  <c r="E15" i="4"/>
  <c r="H15" i="4"/>
  <c r="L15" i="4"/>
  <c r="M15" i="4"/>
  <c r="N15" i="4"/>
  <c r="P15" i="4"/>
  <c r="A16" i="4"/>
  <c r="B16" i="4"/>
  <c r="E16" i="4"/>
  <c r="H16" i="4"/>
  <c r="L16" i="4"/>
  <c r="M16" i="4"/>
  <c r="N16" i="4"/>
  <c r="P16" i="4"/>
  <c r="A17" i="4"/>
  <c r="B17" i="4"/>
  <c r="E17" i="4"/>
  <c r="H17" i="4"/>
  <c r="L17" i="4"/>
  <c r="M17" i="4"/>
  <c r="N17" i="4"/>
  <c r="P17" i="4"/>
  <c r="A18" i="4"/>
  <c r="B18" i="4"/>
  <c r="E18" i="4"/>
  <c r="H18" i="4"/>
  <c r="L18" i="4"/>
  <c r="M18" i="4"/>
  <c r="N18" i="4"/>
  <c r="P18" i="4"/>
  <c r="A19" i="4"/>
  <c r="B19" i="4"/>
  <c r="E19" i="4"/>
  <c r="H19" i="4"/>
  <c r="L19" i="4"/>
  <c r="M19" i="4"/>
  <c r="N19" i="4"/>
  <c r="P19" i="4"/>
  <c r="A20" i="4"/>
  <c r="B20" i="4"/>
  <c r="E20" i="4"/>
  <c r="H20" i="4"/>
  <c r="L20" i="4"/>
  <c r="M20" i="4"/>
  <c r="N20" i="4"/>
  <c r="P20" i="4"/>
  <c r="A21" i="4"/>
  <c r="B21" i="4"/>
  <c r="E21" i="4"/>
  <c r="H21" i="4"/>
  <c r="L21" i="4"/>
  <c r="M21" i="4"/>
  <c r="N21" i="4"/>
  <c r="P21" i="4"/>
  <c r="A22" i="4"/>
  <c r="B22" i="4"/>
  <c r="E22" i="4"/>
  <c r="H22" i="4"/>
  <c r="L22" i="4"/>
  <c r="M22" i="4"/>
  <c r="N22" i="4"/>
  <c r="P22" i="4"/>
  <c r="A23" i="4"/>
  <c r="B23" i="4"/>
  <c r="E23" i="4"/>
  <c r="H23" i="4"/>
  <c r="L23" i="4"/>
  <c r="M23" i="4"/>
  <c r="N23" i="4"/>
  <c r="P23" i="4"/>
  <c r="A24" i="4"/>
  <c r="B24" i="4"/>
  <c r="E24" i="4"/>
  <c r="H24" i="4"/>
  <c r="L24" i="4"/>
  <c r="M24" i="4"/>
  <c r="N24" i="4"/>
  <c r="P24" i="4"/>
  <c r="A25" i="4"/>
  <c r="B25" i="4"/>
  <c r="E25" i="4"/>
  <c r="H25" i="4"/>
  <c r="L25" i="4"/>
  <c r="M25" i="4"/>
  <c r="N25" i="4"/>
  <c r="P25" i="4"/>
  <c r="A26" i="4"/>
  <c r="B26" i="4"/>
  <c r="E26" i="4"/>
  <c r="H26" i="4"/>
  <c r="L26" i="4"/>
  <c r="M26" i="4"/>
  <c r="N26" i="4"/>
  <c r="P26" i="4"/>
  <c r="A27" i="4"/>
  <c r="B27" i="4"/>
  <c r="E27" i="4"/>
  <c r="H27" i="4"/>
  <c r="L27" i="4"/>
  <c r="M27" i="4"/>
  <c r="N27" i="4"/>
  <c r="P27" i="4"/>
  <c r="A28" i="4"/>
  <c r="B28" i="4"/>
  <c r="E28" i="4"/>
  <c r="H28" i="4"/>
  <c r="L28" i="4"/>
  <c r="M28" i="4"/>
  <c r="N28" i="4"/>
  <c r="P28" i="4"/>
  <c r="A29" i="4"/>
  <c r="B29" i="4"/>
  <c r="E29" i="4"/>
  <c r="H29" i="4"/>
  <c r="L29" i="4"/>
  <c r="M29" i="4"/>
  <c r="N29" i="4"/>
  <c r="P29" i="4"/>
  <c r="A30" i="4"/>
  <c r="B30" i="4"/>
  <c r="E30" i="4"/>
  <c r="H30" i="4"/>
  <c r="L30" i="4"/>
  <c r="M30" i="4"/>
  <c r="N30" i="4"/>
  <c r="P30" i="4"/>
  <c r="A31" i="4"/>
  <c r="B31" i="4"/>
  <c r="E31" i="4"/>
  <c r="H31" i="4"/>
  <c r="L31" i="4"/>
  <c r="M31" i="4"/>
  <c r="N31" i="4"/>
  <c r="P31" i="4"/>
  <c r="A32" i="4"/>
  <c r="B32" i="4"/>
  <c r="E32" i="4"/>
  <c r="H32" i="4"/>
  <c r="L32" i="4"/>
  <c r="M32" i="4"/>
  <c r="N32" i="4"/>
  <c r="P32" i="4"/>
  <c r="A33" i="4"/>
  <c r="B33" i="4"/>
  <c r="E33" i="4"/>
  <c r="H33" i="4"/>
  <c r="L33" i="4"/>
  <c r="M33" i="4"/>
  <c r="N33" i="4"/>
  <c r="P33" i="4"/>
  <c r="A34" i="4"/>
  <c r="B34" i="4"/>
  <c r="E34" i="4"/>
  <c r="H34" i="4"/>
  <c r="L34" i="4"/>
  <c r="M34" i="4"/>
  <c r="N34" i="4"/>
  <c r="P34" i="4"/>
  <c r="A35" i="4"/>
  <c r="B35" i="4"/>
  <c r="E35" i="4"/>
  <c r="H35" i="4"/>
  <c r="L35" i="4"/>
  <c r="M35" i="4"/>
  <c r="N35" i="4"/>
  <c r="P35" i="4"/>
  <c r="A36" i="4"/>
  <c r="B36" i="4"/>
  <c r="E36" i="4"/>
  <c r="H36" i="4"/>
  <c r="L36" i="4"/>
  <c r="M36" i="4"/>
  <c r="N36" i="4"/>
  <c r="P36" i="4"/>
  <c r="A37" i="4"/>
  <c r="B37" i="4"/>
  <c r="E37" i="4"/>
  <c r="H37" i="4"/>
  <c r="L37" i="4"/>
  <c r="M37" i="4"/>
  <c r="N37" i="4"/>
  <c r="P37" i="4"/>
  <c r="A38" i="4"/>
  <c r="B38" i="4"/>
  <c r="E38" i="4"/>
  <c r="H38" i="4"/>
  <c r="L38" i="4"/>
  <c r="M38" i="4"/>
  <c r="N38" i="4"/>
  <c r="P38" i="4"/>
  <c r="A39" i="4"/>
  <c r="B39" i="4"/>
  <c r="E39" i="4"/>
  <c r="H39" i="4"/>
  <c r="L39" i="4"/>
  <c r="M39" i="4"/>
  <c r="N39" i="4"/>
  <c r="P39" i="4"/>
  <c r="A40" i="4"/>
  <c r="B40" i="4"/>
  <c r="E40" i="4"/>
  <c r="H40" i="4"/>
  <c r="L40" i="4"/>
  <c r="M40" i="4"/>
  <c r="N40" i="4"/>
  <c r="P40" i="4"/>
  <c r="A41" i="4"/>
  <c r="B41" i="4"/>
  <c r="E41" i="4"/>
  <c r="H41" i="4"/>
  <c r="L41" i="4"/>
  <c r="M41" i="4"/>
  <c r="N41" i="4"/>
  <c r="P41" i="4"/>
  <c r="A42" i="4"/>
  <c r="B42" i="4"/>
  <c r="E42" i="4"/>
  <c r="H42" i="4"/>
  <c r="L42" i="4"/>
  <c r="M42" i="4"/>
  <c r="N42" i="4"/>
  <c r="P42" i="4"/>
  <c r="A43" i="4"/>
  <c r="B43" i="4"/>
  <c r="E43" i="4"/>
  <c r="H43" i="4"/>
  <c r="L43" i="4"/>
  <c r="M43" i="4"/>
  <c r="N43" i="4"/>
  <c r="P43" i="4"/>
  <c r="A44" i="4"/>
  <c r="B44" i="4"/>
  <c r="E44" i="4"/>
  <c r="H44" i="4"/>
  <c r="L44" i="4"/>
  <c r="M44" i="4"/>
  <c r="N44" i="4"/>
  <c r="P44" i="4"/>
  <c r="A45" i="4"/>
  <c r="B45" i="4"/>
  <c r="E45" i="4"/>
  <c r="H45" i="4"/>
  <c r="L45" i="4"/>
  <c r="M45" i="4"/>
  <c r="N45" i="4"/>
  <c r="P45" i="4"/>
  <c r="A46" i="4"/>
  <c r="B46" i="4"/>
  <c r="E46" i="4"/>
  <c r="H46" i="4"/>
  <c r="L46" i="4"/>
  <c r="M46" i="4"/>
  <c r="N46" i="4"/>
  <c r="P46" i="4"/>
  <c r="A47" i="4"/>
  <c r="B47" i="4"/>
  <c r="E47" i="4"/>
  <c r="H47" i="4"/>
  <c r="L47" i="4"/>
  <c r="M47" i="4"/>
  <c r="N47" i="4"/>
  <c r="P47" i="4"/>
  <c r="A48" i="4"/>
  <c r="B48" i="4"/>
  <c r="E48" i="4"/>
  <c r="H48" i="4"/>
  <c r="L48" i="4"/>
  <c r="M48" i="4"/>
  <c r="N48" i="4"/>
  <c r="P48" i="4"/>
  <c r="A49" i="4"/>
  <c r="B49" i="4"/>
  <c r="E49" i="4"/>
  <c r="H49" i="4"/>
  <c r="L49" i="4"/>
  <c r="M49" i="4"/>
  <c r="N49" i="4"/>
  <c r="P49" i="4"/>
  <c r="A50" i="4"/>
  <c r="B50" i="4"/>
  <c r="E50" i="4"/>
  <c r="H50" i="4"/>
  <c r="L50" i="4"/>
  <c r="M50" i="4"/>
  <c r="N50" i="4"/>
  <c r="P50" i="4"/>
  <c r="A51" i="4"/>
  <c r="B51" i="4"/>
  <c r="E51" i="4"/>
  <c r="H51" i="4"/>
  <c r="L51" i="4"/>
  <c r="M51" i="4"/>
  <c r="N51" i="4"/>
  <c r="P51" i="4"/>
  <c r="A52" i="4"/>
  <c r="B52" i="4"/>
  <c r="E52" i="4"/>
  <c r="H52" i="4"/>
  <c r="L52" i="4"/>
  <c r="M52" i="4"/>
  <c r="N52" i="4"/>
  <c r="P52" i="4"/>
  <c r="A53" i="4"/>
  <c r="B53" i="4"/>
  <c r="E53" i="4"/>
  <c r="H53" i="4"/>
  <c r="L53" i="4"/>
  <c r="M53" i="4"/>
  <c r="N53" i="4"/>
  <c r="P53" i="4"/>
  <c r="A54" i="4"/>
  <c r="B54" i="4"/>
  <c r="E54" i="4"/>
  <c r="H54" i="4"/>
  <c r="L54" i="4"/>
  <c r="M54" i="4"/>
  <c r="N54" i="4"/>
  <c r="P54" i="4"/>
  <c r="A55" i="4"/>
  <c r="B55" i="4"/>
  <c r="E55" i="4"/>
  <c r="H55" i="4"/>
  <c r="L55" i="4"/>
  <c r="M55" i="4"/>
  <c r="N55" i="4"/>
  <c r="P55" i="4"/>
  <c r="A56" i="4"/>
  <c r="B56" i="4"/>
  <c r="E56" i="4"/>
  <c r="H56" i="4"/>
  <c r="L56" i="4"/>
  <c r="M56" i="4"/>
  <c r="N56" i="4"/>
  <c r="P56" i="4"/>
  <c r="A57" i="4"/>
  <c r="B57" i="4"/>
  <c r="E57" i="4"/>
  <c r="H57" i="4"/>
  <c r="L57" i="4"/>
  <c r="M57" i="4"/>
  <c r="N57" i="4"/>
  <c r="P57" i="4"/>
  <c r="A58" i="4"/>
  <c r="B58" i="4"/>
  <c r="E58" i="4"/>
  <c r="H58" i="4"/>
  <c r="L58" i="4"/>
  <c r="M58" i="4"/>
  <c r="N58" i="4"/>
  <c r="P58" i="4"/>
  <c r="A59" i="4"/>
  <c r="B59" i="4"/>
  <c r="E59" i="4"/>
  <c r="H59" i="4"/>
  <c r="L59" i="4"/>
  <c r="M59" i="4"/>
  <c r="N59" i="4"/>
  <c r="P59" i="4"/>
  <c r="A60" i="4"/>
  <c r="B60" i="4"/>
  <c r="E60" i="4"/>
  <c r="H60" i="4"/>
  <c r="L60" i="4"/>
  <c r="M60" i="4"/>
  <c r="N60" i="4"/>
  <c r="P60" i="4"/>
  <c r="A61" i="4"/>
  <c r="B61" i="4"/>
  <c r="E61" i="4"/>
  <c r="H61" i="4"/>
  <c r="L61" i="4"/>
  <c r="M61" i="4"/>
  <c r="N61" i="4"/>
  <c r="P61" i="4"/>
  <c r="A62" i="4"/>
  <c r="B62" i="4"/>
  <c r="E62" i="4"/>
  <c r="H62" i="4"/>
  <c r="L62" i="4"/>
  <c r="M62" i="4"/>
  <c r="N62" i="4"/>
  <c r="P62" i="4"/>
  <c r="A63" i="4"/>
  <c r="B63" i="4"/>
  <c r="E63" i="4"/>
  <c r="H63" i="4"/>
  <c r="L63" i="4"/>
  <c r="M63" i="4"/>
  <c r="N63" i="4"/>
  <c r="P63" i="4"/>
  <c r="A64" i="4"/>
  <c r="B64" i="4"/>
  <c r="E64" i="4"/>
  <c r="H64" i="4"/>
  <c r="L64" i="4"/>
  <c r="M64" i="4"/>
  <c r="N64" i="4"/>
  <c r="P64" i="4"/>
  <c r="A65" i="4"/>
  <c r="B65" i="4"/>
  <c r="E65" i="4"/>
  <c r="H65" i="4"/>
  <c r="L65" i="4"/>
  <c r="M65" i="4"/>
  <c r="N65" i="4"/>
  <c r="P65" i="4"/>
  <c r="A66" i="4"/>
  <c r="B66" i="4"/>
  <c r="E66" i="4"/>
  <c r="H66" i="4"/>
  <c r="L66" i="4"/>
  <c r="M66" i="4"/>
  <c r="N66" i="4"/>
  <c r="P66" i="4"/>
  <c r="A67" i="4"/>
  <c r="B67" i="4"/>
  <c r="E67" i="4"/>
  <c r="H67" i="4"/>
  <c r="L67" i="4"/>
  <c r="M67" i="4"/>
  <c r="N67" i="4"/>
  <c r="P67" i="4"/>
  <c r="A68" i="4"/>
  <c r="B68" i="4"/>
  <c r="E68" i="4"/>
  <c r="H68" i="4"/>
  <c r="L68" i="4"/>
  <c r="M68" i="4"/>
  <c r="N68" i="4"/>
  <c r="P68" i="4"/>
  <c r="A69" i="4"/>
  <c r="B69" i="4"/>
  <c r="E69" i="4"/>
  <c r="H69" i="4"/>
  <c r="L69" i="4"/>
  <c r="M69" i="4"/>
  <c r="N69" i="4"/>
  <c r="P69" i="4"/>
  <c r="A70" i="4"/>
  <c r="B70" i="4"/>
  <c r="E70" i="4"/>
  <c r="H70" i="4"/>
  <c r="L70" i="4"/>
  <c r="M70" i="4"/>
  <c r="N70" i="4"/>
  <c r="P70" i="4"/>
  <c r="A71" i="4"/>
  <c r="B71" i="4"/>
  <c r="E71" i="4"/>
  <c r="H71" i="4"/>
  <c r="L71" i="4"/>
  <c r="M71" i="4"/>
  <c r="N71" i="4"/>
  <c r="P71" i="4"/>
  <c r="A72" i="4"/>
  <c r="B72" i="4"/>
  <c r="E72" i="4"/>
  <c r="H72" i="4"/>
  <c r="L72" i="4"/>
  <c r="M72" i="4"/>
  <c r="N72" i="4"/>
  <c r="P72" i="4"/>
  <c r="A73" i="4"/>
  <c r="B73" i="4"/>
  <c r="E73" i="4"/>
  <c r="H73" i="4"/>
  <c r="L73" i="4"/>
  <c r="M73" i="4"/>
  <c r="N73" i="4"/>
  <c r="P73" i="4"/>
  <c r="A74" i="4"/>
  <c r="B74" i="4"/>
  <c r="E74" i="4"/>
  <c r="H74" i="4"/>
  <c r="L74" i="4"/>
  <c r="M74" i="4"/>
  <c r="N74" i="4"/>
  <c r="P74" i="4"/>
  <c r="A75" i="4"/>
  <c r="B75" i="4"/>
  <c r="E75" i="4"/>
  <c r="H75" i="4"/>
  <c r="L75" i="4"/>
  <c r="M75" i="4"/>
  <c r="N75" i="4"/>
  <c r="P75" i="4"/>
  <c r="A76" i="4"/>
  <c r="B76" i="4"/>
  <c r="E76" i="4"/>
  <c r="H76" i="4"/>
  <c r="L76" i="4"/>
  <c r="M76" i="4"/>
  <c r="N76" i="4"/>
  <c r="P76" i="4"/>
  <c r="A77" i="4"/>
  <c r="B77" i="4"/>
  <c r="E77" i="4"/>
  <c r="H77" i="4"/>
  <c r="L77" i="4"/>
  <c r="M77" i="4"/>
  <c r="N77" i="4"/>
  <c r="P77" i="4"/>
  <c r="A78" i="4"/>
  <c r="B78" i="4"/>
  <c r="E78" i="4"/>
  <c r="H78" i="4"/>
  <c r="L78" i="4"/>
  <c r="M78" i="4"/>
  <c r="N78" i="4"/>
  <c r="P78" i="4"/>
  <c r="A79" i="4"/>
  <c r="B79" i="4"/>
  <c r="E79" i="4"/>
  <c r="H79" i="4"/>
  <c r="L79" i="4"/>
  <c r="M79" i="4"/>
  <c r="N79" i="4"/>
  <c r="P79" i="4"/>
  <c r="A80" i="4"/>
  <c r="B80" i="4"/>
  <c r="E80" i="4"/>
  <c r="H80" i="4"/>
  <c r="L80" i="4"/>
  <c r="M80" i="4"/>
  <c r="N80" i="4"/>
  <c r="P80" i="4"/>
  <c r="A81" i="4"/>
  <c r="B81" i="4"/>
  <c r="E81" i="4"/>
  <c r="H81" i="4"/>
  <c r="L81" i="4"/>
  <c r="M81" i="4"/>
  <c r="N81" i="4"/>
  <c r="P81" i="4"/>
  <c r="A82" i="4"/>
  <c r="B82" i="4"/>
  <c r="E82" i="4"/>
  <c r="H82" i="4"/>
  <c r="L82" i="4"/>
  <c r="M82" i="4"/>
  <c r="N82" i="4"/>
  <c r="P82" i="4"/>
  <c r="A83" i="4"/>
  <c r="B83" i="4"/>
  <c r="E83" i="4"/>
  <c r="H83" i="4"/>
  <c r="L83" i="4"/>
  <c r="M83" i="4"/>
  <c r="N83" i="4"/>
  <c r="P83" i="4"/>
  <c r="A84" i="4"/>
  <c r="B84" i="4"/>
  <c r="E84" i="4"/>
  <c r="H84" i="4"/>
  <c r="L84" i="4"/>
  <c r="M84" i="4"/>
  <c r="N84" i="4"/>
  <c r="P84" i="4"/>
  <c r="A85" i="4"/>
  <c r="B85" i="4"/>
  <c r="E85" i="4"/>
  <c r="H85" i="4"/>
  <c r="L85" i="4"/>
  <c r="M85" i="4"/>
  <c r="N85" i="4"/>
  <c r="P85" i="4"/>
  <c r="A86" i="4"/>
  <c r="B86" i="4"/>
  <c r="E86" i="4"/>
  <c r="H86" i="4"/>
  <c r="L86" i="4"/>
  <c r="M86" i="4"/>
  <c r="N86" i="4"/>
  <c r="P86" i="4"/>
  <c r="A87" i="4"/>
  <c r="B87" i="4"/>
  <c r="E87" i="4"/>
  <c r="H87" i="4"/>
  <c r="L87" i="4"/>
  <c r="M87" i="4"/>
  <c r="N87" i="4"/>
  <c r="P87" i="4"/>
  <c r="A88" i="4"/>
  <c r="B88" i="4"/>
  <c r="E88" i="4"/>
  <c r="H88" i="4"/>
  <c r="L88" i="4"/>
  <c r="M88" i="4"/>
  <c r="N88" i="4"/>
  <c r="P88" i="4"/>
  <c r="A89" i="4"/>
  <c r="B89" i="4"/>
  <c r="E89" i="4"/>
  <c r="H89" i="4"/>
  <c r="L89" i="4"/>
  <c r="M89" i="4"/>
  <c r="N89" i="4"/>
  <c r="P89" i="4"/>
  <c r="A90" i="4"/>
  <c r="B90" i="4"/>
  <c r="E90" i="4"/>
  <c r="H90" i="4"/>
  <c r="L90" i="4"/>
  <c r="M90" i="4"/>
  <c r="N90" i="4"/>
  <c r="P90" i="4"/>
  <c r="A91" i="4"/>
  <c r="B91" i="4"/>
  <c r="E91" i="4"/>
  <c r="H91" i="4"/>
  <c r="L91" i="4"/>
  <c r="M91" i="4"/>
  <c r="N91" i="4"/>
  <c r="P91" i="4"/>
  <c r="A92" i="4"/>
  <c r="B92" i="4"/>
  <c r="E92" i="4"/>
  <c r="H92" i="4"/>
  <c r="L92" i="4"/>
  <c r="M92" i="4"/>
  <c r="N92" i="4"/>
  <c r="P92" i="4"/>
  <c r="A93" i="4"/>
  <c r="B93" i="4"/>
  <c r="E93" i="4"/>
  <c r="H93" i="4"/>
  <c r="L93" i="4"/>
  <c r="M93" i="4"/>
  <c r="N93" i="4"/>
  <c r="P93" i="4"/>
  <c r="A94" i="4"/>
  <c r="B94" i="4"/>
  <c r="E94" i="4"/>
  <c r="H94" i="4"/>
  <c r="L94" i="4"/>
  <c r="M94" i="4"/>
  <c r="N94" i="4"/>
  <c r="P94" i="4"/>
  <c r="A95" i="4"/>
  <c r="B95" i="4"/>
  <c r="E95" i="4"/>
  <c r="H95" i="4"/>
  <c r="L95" i="4"/>
  <c r="M95" i="4"/>
  <c r="N95" i="4"/>
  <c r="P95" i="4"/>
  <c r="A96" i="4"/>
  <c r="B96" i="4"/>
  <c r="E96" i="4"/>
  <c r="H96" i="4"/>
  <c r="L96" i="4"/>
  <c r="M96" i="4"/>
  <c r="N96" i="4"/>
  <c r="P96" i="4"/>
  <c r="A97" i="4"/>
  <c r="B97" i="4"/>
  <c r="E97" i="4"/>
  <c r="H97" i="4"/>
  <c r="L97" i="4"/>
  <c r="M97" i="4"/>
  <c r="N97" i="4"/>
  <c r="P97" i="4"/>
  <c r="A98" i="4"/>
  <c r="B98" i="4"/>
  <c r="E98" i="4"/>
  <c r="H98" i="4"/>
  <c r="L98" i="4"/>
  <c r="M98" i="4"/>
  <c r="N98" i="4"/>
  <c r="P98" i="4"/>
  <c r="A99" i="4"/>
  <c r="B99" i="4"/>
  <c r="E99" i="4"/>
  <c r="H99" i="4"/>
  <c r="L99" i="4"/>
  <c r="M99" i="4"/>
  <c r="N99" i="4"/>
  <c r="P99" i="4"/>
  <c r="A100" i="4"/>
  <c r="B100" i="4"/>
  <c r="E100" i="4"/>
  <c r="H100" i="4"/>
  <c r="L100" i="4"/>
  <c r="M100" i="4"/>
  <c r="N100" i="4"/>
  <c r="P100" i="4"/>
  <c r="A101" i="4"/>
  <c r="B101" i="4"/>
  <c r="E101" i="4"/>
  <c r="H101" i="4"/>
  <c r="L101" i="4"/>
  <c r="M101" i="4"/>
  <c r="N101" i="4"/>
  <c r="P101" i="4"/>
  <c r="A102" i="4"/>
  <c r="B102" i="4"/>
  <c r="E102" i="4"/>
  <c r="H102" i="4"/>
  <c r="L102" i="4"/>
  <c r="M102" i="4"/>
  <c r="N102" i="4"/>
  <c r="P102" i="4"/>
  <c r="A103" i="4"/>
  <c r="B103" i="4"/>
  <c r="E103" i="4"/>
  <c r="H103" i="4"/>
  <c r="L103" i="4"/>
  <c r="M103" i="4"/>
  <c r="N103" i="4"/>
  <c r="P103" i="4"/>
  <c r="A104" i="4"/>
  <c r="B104" i="4"/>
  <c r="E104" i="4"/>
  <c r="H104" i="4"/>
  <c r="L104" i="4"/>
  <c r="M104" i="4"/>
  <c r="N104" i="4"/>
  <c r="P104" i="4"/>
  <c r="A105" i="4"/>
  <c r="B105" i="4"/>
  <c r="E105" i="4"/>
  <c r="H105" i="4"/>
  <c r="L105" i="4"/>
  <c r="M105" i="4"/>
  <c r="N105" i="4"/>
  <c r="P105" i="4"/>
  <c r="A106" i="4"/>
  <c r="B106" i="4"/>
  <c r="E106" i="4"/>
  <c r="H106" i="4"/>
  <c r="L106" i="4"/>
  <c r="M106" i="4"/>
  <c r="N106" i="4"/>
  <c r="P106" i="4"/>
  <c r="A107" i="4"/>
  <c r="B107" i="4"/>
  <c r="E107" i="4"/>
  <c r="H107" i="4"/>
  <c r="L107" i="4"/>
  <c r="M107" i="4"/>
  <c r="N107" i="4"/>
  <c r="P107" i="4"/>
  <c r="A108" i="4"/>
  <c r="B108" i="4"/>
  <c r="E108" i="4"/>
  <c r="H108" i="4"/>
  <c r="L108" i="4"/>
  <c r="M108" i="4"/>
  <c r="N108" i="4"/>
  <c r="P108" i="4"/>
  <c r="A109" i="4"/>
  <c r="B109" i="4"/>
  <c r="E109" i="4"/>
  <c r="H109" i="4"/>
  <c r="L109" i="4"/>
  <c r="M109" i="4"/>
  <c r="N109" i="4"/>
  <c r="P109" i="4"/>
  <c r="A110" i="4"/>
  <c r="B110" i="4"/>
  <c r="E110" i="4"/>
  <c r="H110" i="4"/>
  <c r="L110" i="4"/>
  <c r="M110" i="4"/>
  <c r="N110" i="4"/>
  <c r="P110" i="4"/>
  <c r="A111" i="4"/>
  <c r="B111" i="4"/>
  <c r="E111" i="4"/>
  <c r="H111" i="4"/>
  <c r="L111" i="4"/>
  <c r="M111" i="4"/>
  <c r="N111" i="4"/>
  <c r="P111" i="4"/>
  <c r="A112" i="4"/>
  <c r="B112" i="4"/>
  <c r="E112" i="4"/>
  <c r="H112" i="4"/>
  <c r="L112" i="4"/>
  <c r="M112" i="4"/>
  <c r="N112" i="4"/>
  <c r="P112" i="4"/>
  <c r="A113" i="4"/>
  <c r="B113" i="4"/>
  <c r="E113" i="4"/>
  <c r="H113" i="4"/>
  <c r="L113" i="4"/>
  <c r="M113" i="4"/>
  <c r="N113" i="4"/>
  <c r="P113" i="4"/>
  <c r="A114" i="4"/>
  <c r="B114" i="4"/>
  <c r="E114" i="4"/>
  <c r="H114" i="4"/>
  <c r="L114" i="4"/>
  <c r="M114" i="4"/>
  <c r="N114" i="4"/>
  <c r="P114" i="4"/>
  <c r="A115" i="4"/>
  <c r="B115" i="4"/>
  <c r="E115" i="4"/>
  <c r="H115" i="4"/>
  <c r="L115" i="4"/>
  <c r="M115" i="4"/>
  <c r="N115" i="4"/>
  <c r="P115" i="4"/>
  <c r="A116" i="4"/>
  <c r="B116" i="4"/>
  <c r="E116" i="4"/>
  <c r="H116" i="4"/>
  <c r="L116" i="4"/>
  <c r="M116" i="4"/>
  <c r="N116" i="4"/>
  <c r="P116" i="4"/>
  <c r="A117" i="4"/>
  <c r="B117" i="4"/>
  <c r="E117" i="4"/>
  <c r="H117" i="4"/>
  <c r="L117" i="4"/>
  <c r="M117" i="4"/>
  <c r="N117" i="4"/>
  <c r="P117" i="4"/>
  <c r="A118" i="4"/>
  <c r="B118" i="4"/>
  <c r="E118" i="4"/>
  <c r="H118" i="4"/>
  <c r="L118" i="4"/>
  <c r="M118" i="4"/>
  <c r="N118" i="4"/>
  <c r="P118" i="4"/>
  <c r="A119" i="4"/>
  <c r="B119" i="4"/>
  <c r="E119" i="4"/>
  <c r="H119" i="4"/>
  <c r="L119" i="4"/>
  <c r="M119" i="4"/>
  <c r="N119" i="4"/>
  <c r="P119" i="4"/>
  <c r="A120" i="4"/>
  <c r="B120" i="4"/>
  <c r="E120" i="4"/>
  <c r="H120" i="4"/>
  <c r="L120" i="4"/>
  <c r="M120" i="4"/>
  <c r="N120" i="4"/>
  <c r="P120" i="4"/>
  <c r="A121" i="4"/>
  <c r="B121" i="4"/>
  <c r="E121" i="4"/>
  <c r="H121" i="4"/>
  <c r="L121" i="4"/>
  <c r="M121" i="4"/>
  <c r="N121" i="4"/>
  <c r="P121" i="4"/>
  <c r="A122" i="4"/>
  <c r="B122" i="4"/>
  <c r="E122" i="4"/>
  <c r="H122" i="4"/>
  <c r="L122" i="4"/>
  <c r="M122" i="4"/>
  <c r="N122" i="4"/>
  <c r="P122" i="4"/>
  <c r="A123" i="4"/>
  <c r="B123" i="4"/>
  <c r="E123" i="4"/>
  <c r="H123" i="4"/>
  <c r="L123" i="4"/>
  <c r="M123" i="4"/>
  <c r="N123" i="4"/>
  <c r="P123" i="4"/>
  <c r="A124" i="4"/>
  <c r="B124" i="4"/>
  <c r="E124" i="4"/>
  <c r="H124" i="4"/>
  <c r="L124" i="4"/>
  <c r="M124" i="4"/>
  <c r="N124" i="4"/>
  <c r="P124" i="4"/>
  <c r="A125" i="4"/>
  <c r="B125" i="4"/>
  <c r="E125" i="4"/>
  <c r="H125" i="4"/>
  <c r="L125" i="4"/>
  <c r="M125" i="4"/>
  <c r="N125" i="4"/>
  <c r="P125" i="4"/>
  <c r="A126" i="4"/>
  <c r="B126" i="4"/>
  <c r="E126" i="4"/>
  <c r="H126" i="4"/>
  <c r="L126" i="4"/>
  <c r="M126" i="4"/>
  <c r="N126" i="4"/>
  <c r="P126" i="4"/>
  <c r="A127" i="4"/>
  <c r="B127" i="4"/>
  <c r="E127" i="4"/>
  <c r="H127" i="4"/>
  <c r="L127" i="4"/>
  <c r="M127" i="4"/>
  <c r="N127" i="4"/>
  <c r="P127" i="4"/>
  <c r="A128" i="4"/>
  <c r="B128" i="4"/>
  <c r="E128" i="4"/>
  <c r="H128" i="4"/>
  <c r="L128" i="4"/>
  <c r="M128" i="4"/>
  <c r="N128" i="4"/>
  <c r="P128" i="4"/>
  <c r="A129" i="4"/>
  <c r="B129" i="4"/>
  <c r="E129" i="4"/>
  <c r="H129" i="4"/>
  <c r="L129" i="4"/>
  <c r="M129" i="4"/>
  <c r="N129" i="4"/>
  <c r="P129" i="4"/>
  <c r="A130" i="4"/>
  <c r="B130" i="4"/>
  <c r="E130" i="4"/>
  <c r="H130" i="4"/>
  <c r="L130" i="4"/>
  <c r="M130" i="4"/>
  <c r="N130" i="4"/>
  <c r="P130" i="4"/>
  <c r="A131" i="4"/>
  <c r="B131" i="4"/>
  <c r="E131" i="4"/>
  <c r="H131" i="4"/>
  <c r="L131" i="4"/>
  <c r="M131" i="4"/>
  <c r="N131" i="4"/>
  <c r="P131" i="4"/>
  <c r="A132" i="4"/>
  <c r="B132" i="4"/>
  <c r="E132" i="4"/>
  <c r="H132" i="4"/>
  <c r="L132" i="4"/>
  <c r="M132" i="4"/>
  <c r="N132" i="4"/>
  <c r="P132" i="4"/>
  <c r="A133" i="4"/>
  <c r="B133" i="4"/>
  <c r="E133" i="4"/>
  <c r="H133" i="4"/>
  <c r="L133" i="4"/>
  <c r="M133" i="4"/>
  <c r="N133" i="4"/>
  <c r="P133" i="4"/>
  <c r="A134" i="4"/>
  <c r="B134" i="4"/>
  <c r="E134" i="4"/>
  <c r="H134" i="4"/>
  <c r="L134" i="4"/>
  <c r="M134" i="4"/>
  <c r="N134" i="4"/>
  <c r="P134" i="4"/>
  <c r="A135" i="4"/>
  <c r="B135" i="4"/>
  <c r="E135" i="4"/>
  <c r="H135" i="4"/>
  <c r="L135" i="4"/>
  <c r="M135" i="4"/>
  <c r="N135" i="4"/>
  <c r="P135" i="4"/>
  <c r="A136" i="4"/>
  <c r="B136" i="4"/>
  <c r="E136" i="4"/>
  <c r="H136" i="4"/>
  <c r="L136" i="4"/>
  <c r="M136" i="4"/>
  <c r="N136" i="4"/>
  <c r="P136" i="4"/>
  <c r="A137" i="4"/>
  <c r="B137" i="4"/>
  <c r="E137" i="4"/>
  <c r="H137" i="4"/>
  <c r="L137" i="4"/>
  <c r="M137" i="4"/>
  <c r="N137" i="4"/>
  <c r="P137" i="4"/>
  <c r="A138" i="4"/>
  <c r="B138" i="4"/>
  <c r="E138" i="4"/>
  <c r="H138" i="4"/>
  <c r="L138" i="4"/>
  <c r="M138" i="4"/>
  <c r="N138" i="4"/>
  <c r="P138" i="4"/>
  <c r="A139" i="4"/>
  <c r="B139" i="4"/>
  <c r="E139" i="4"/>
  <c r="H139" i="4"/>
  <c r="L139" i="4"/>
  <c r="M139" i="4"/>
  <c r="N139" i="4"/>
  <c r="P139" i="4"/>
  <c r="A140" i="4"/>
  <c r="B140" i="4"/>
  <c r="E140" i="4"/>
  <c r="H140" i="4"/>
  <c r="L140" i="4"/>
  <c r="M140" i="4"/>
  <c r="N140" i="4"/>
  <c r="P140" i="4"/>
  <c r="A141" i="4"/>
  <c r="B141" i="4"/>
  <c r="E141" i="4"/>
  <c r="H141" i="4"/>
  <c r="L141" i="4"/>
  <c r="M141" i="4"/>
  <c r="N141" i="4"/>
  <c r="P141" i="4"/>
  <c r="A142" i="4"/>
  <c r="B142" i="4"/>
  <c r="E142" i="4"/>
  <c r="H142" i="4"/>
  <c r="L142" i="4"/>
  <c r="M142" i="4"/>
  <c r="N142" i="4"/>
  <c r="P142" i="4"/>
  <c r="A143" i="4"/>
  <c r="B143" i="4"/>
  <c r="E143" i="4"/>
  <c r="H143" i="4"/>
  <c r="L143" i="4"/>
  <c r="M143" i="4"/>
  <c r="N143" i="4"/>
  <c r="P143" i="4"/>
  <c r="A144" i="4"/>
  <c r="B144" i="4"/>
  <c r="E144" i="4"/>
  <c r="H144" i="4"/>
  <c r="L144" i="4"/>
  <c r="M144" i="4"/>
  <c r="N144" i="4"/>
  <c r="P144" i="4"/>
  <c r="A145" i="4"/>
  <c r="B145" i="4"/>
  <c r="E145" i="4"/>
  <c r="H145" i="4"/>
  <c r="L145" i="4"/>
  <c r="M145" i="4"/>
  <c r="N145" i="4"/>
  <c r="P145" i="4"/>
  <c r="A146" i="4"/>
  <c r="B146" i="4"/>
  <c r="E146" i="4"/>
  <c r="H146" i="4"/>
  <c r="L146" i="4"/>
  <c r="M146" i="4"/>
  <c r="N146" i="4"/>
  <c r="P146" i="4"/>
  <c r="A147" i="4"/>
  <c r="B147" i="4"/>
  <c r="E147" i="4"/>
  <c r="H147" i="4"/>
  <c r="L147" i="4"/>
  <c r="M147" i="4"/>
  <c r="N147" i="4"/>
  <c r="P147" i="4"/>
  <c r="A148" i="4"/>
  <c r="B148" i="4"/>
  <c r="E148" i="4"/>
  <c r="H148" i="4"/>
  <c r="L148" i="4"/>
  <c r="M148" i="4"/>
  <c r="N148" i="4"/>
  <c r="P148" i="4"/>
  <c r="A149" i="4"/>
  <c r="B149" i="4"/>
  <c r="E149" i="4"/>
  <c r="H149" i="4"/>
  <c r="L149" i="4"/>
  <c r="M149" i="4"/>
  <c r="N149" i="4"/>
  <c r="P149" i="4"/>
  <c r="A150" i="4"/>
  <c r="B150" i="4"/>
  <c r="E150" i="4"/>
  <c r="H150" i="4"/>
  <c r="L150" i="4"/>
  <c r="M150" i="4"/>
  <c r="N150" i="4"/>
  <c r="P150" i="4"/>
  <c r="A151" i="4"/>
  <c r="B151" i="4"/>
  <c r="E151" i="4"/>
  <c r="H151" i="4"/>
  <c r="L151" i="4"/>
  <c r="M151" i="4"/>
  <c r="N151" i="4"/>
  <c r="P151" i="4"/>
  <c r="A152" i="4"/>
  <c r="B152" i="4"/>
  <c r="E152" i="4"/>
  <c r="H152" i="4"/>
  <c r="L152" i="4"/>
  <c r="M152" i="4"/>
  <c r="N152" i="4"/>
  <c r="P152" i="4"/>
  <c r="A153" i="4"/>
  <c r="B153" i="4"/>
  <c r="E153" i="4"/>
  <c r="H153" i="4"/>
  <c r="L153" i="4"/>
  <c r="M153" i="4"/>
  <c r="N153" i="4"/>
  <c r="P153" i="4"/>
  <c r="A154" i="4"/>
  <c r="B154" i="4"/>
  <c r="E154" i="4"/>
  <c r="H154" i="4"/>
  <c r="L154" i="4"/>
  <c r="M154" i="4"/>
  <c r="N154" i="4"/>
  <c r="P154" i="4"/>
  <c r="A155" i="4"/>
  <c r="B155" i="4"/>
  <c r="E155" i="4"/>
  <c r="H155" i="4"/>
  <c r="L155" i="4"/>
  <c r="M155" i="4"/>
  <c r="N155" i="4"/>
  <c r="P155" i="4"/>
  <c r="A156" i="4"/>
  <c r="B156" i="4"/>
  <c r="E156" i="4"/>
  <c r="H156" i="4"/>
  <c r="L156" i="4"/>
  <c r="M156" i="4"/>
  <c r="N156" i="4"/>
  <c r="P156" i="4"/>
  <c r="A157" i="4"/>
  <c r="B157" i="4"/>
  <c r="E157" i="4"/>
  <c r="H157" i="4"/>
  <c r="L157" i="4"/>
  <c r="M157" i="4"/>
  <c r="N157" i="4"/>
  <c r="P157" i="4"/>
  <c r="A158" i="4"/>
  <c r="B158" i="4"/>
  <c r="E158" i="4"/>
  <c r="H158" i="4"/>
  <c r="L158" i="4"/>
  <c r="M158" i="4"/>
  <c r="N158" i="4"/>
  <c r="P158" i="4"/>
  <c r="A159" i="4"/>
  <c r="B159" i="4"/>
  <c r="E159" i="4"/>
  <c r="H159" i="4"/>
  <c r="L159" i="4"/>
  <c r="M159" i="4"/>
  <c r="N159" i="4"/>
  <c r="P159" i="4"/>
  <c r="A160" i="4"/>
  <c r="B160" i="4"/>
  <c r="E160" i="4"/>
  <c r="H160" i="4"/>
  <c r="L160" i="4"/>
  <c r="M160" i="4"/>
  <c r="N160" i="4"/>
  <c r="P160" i="4"/>
  <c r="A161" i="4"/>
  <c r="B161" i="4"/>
  <c r="E161" i="4"/>
  <c r="H161" i="4"/>
  <c r="L161" i="4"/>
  <c r="M161" i="4"/>
  <c r="N161" i="4"/>
  <c r="P161" i="4"/>
  <c r="A162" i="4"/>
  <c r="B162" i="4"/>
  <c r="E162" i="4"/>
  <c r="H162" i="4"/>
  <c r="L162" i="4"/>
  <c r="M162" i="4"/>
  <c r="N162" i="4"/>
  <c r="P162" i="4"/>
  <c r="A163" i="4"/>
  <c r="B163" i="4"/>
  <c r="E163" i="4"/>
  <c r="H163" i="4"/>
  <c r="L163" i="4"/>
  <c r="M163" i="4"/>
  <c r="N163" i="4"/>
  <c r="P163" i="4"/>
  <c r="A164" i="4"/>
  <c r="B164" i="4"/>
  <c r="E164" i="4"/>
  <c r="H164" i="4"/>
  <c r="L164" i="4"/>
  <c r="M164" i="4"/>
  <c r="N164" i="4"/>
  <c r="P164" i="4"/>
  <c r="A165" i="4"/>
  <c r="B165" i="4"/>
  <c r="E165" i="4"/>
  <c r="H165" i="4"/>
  <c r="L165" i="4"/>
  <c r="M165" i="4"/>
  <c r="N165" i="4"/>
  <c r="P165" i="4"/>
  <c r="A166" i="4"/>
  <c r="B166" i="4"/>
  <c r="E166" i="4"/>
  <c r="H166" i="4"/>
  <c r="L166" i="4"/>
  <c r="M166" i="4"/>
  <c r="N166" i="4"/>
  <c r="P166" i="4"/>
  <c r="A167" i="4"/>
  <c r="B167" i="4"/>
  <c r="E167" i="4"/>
  <c r="H167" i="4"/>
  <c r="L167" i="4"/>
  <c r="M167" i="4"/>
  <c r="N167" i="4"/>
  <c r="P167" i="4"/>
  <c r="A168" i="4"/>
  <c r="B168" i="4"/>
  <c r="E168" i="4"/>
  <c r="H168" i="4"/>
  <c r="L168" i="4"/>
  <c r="M168" i="4"/>
  <c r="N168" i="4"/>
  <c r="P168" i="4"/>
  <c r="A169" i="4"/>
  <c r="B169" i="4"/>
  <c r="E169" i="4"/>
  <c r="H169" i="4"/>
  <c r="L169" i="4"/>
  <c r="M169" i="4"/>
  <c r="N169" i="4"/>
  <c r="P169" i="4"/>
  <c r="A170" i="4"/>
  <c r="B170" i="4"/>
  <c r="E170" i="4"/>
  <c r="H170" i="4"/>
  <c r="L170" i="4"/>
  <c r="M170" i="4"/>
  <c r="N170" i="4"/>
  <c r="P170" i="4"/>
  <c r="A171" i="4"/>
  <c r="B171" i="4"/>
  <c r="E171" i="4"/>
  <c r="H171" i="4"/>
  <c r="L171" i="4"/>
  <c r="M171" i="4"/>
  <c r="N171" i="4"/>
  <c r="P171" i="4"/>
  <c r="A172" i="4"/>
  <c r="B172" i="4"/>
  <c r="E172" i="4"/>
  <c r="H172" i="4"/>
  <c r="L172" i="4"/>
  <c r="M172" i="4"/>
  <c r="N172" i="4"/>
  <c r="P172" i="4"/>
  <c r="A173" i="4"/>
  <c r="B173" i="4"/>
  <c r="E173" i="4"/>
  <c r="H173" i="4"/>
  <c r="L173" i="4"/>
  <c r="M173" i="4"/>
  <c r="N173" i="4"/>
  <c r="P173" i="4"/>
  <c r="A174" i="4"/>
  <c r="B174" i="4"/>
  <c r="E174" i="4"/>
  <c r="H174" i="4"/>
  <c r="L174" i="4"/>
  <c r="M174" i="4"/>
  <c r="N174" i="4"/>
  <c r="P174" i="4"/>
  <c r="A175" i="4"/>
  <c r="B175" i="4"/>
  <c r="E175" i="4"/>
  <c r="H175" i="4"/>
  <c r="L175" i="4"/>
  <c r="M175" i="4"/>
  <c r="N175" i="4"/>
  <c r="P175" i="4"/>
  <c r="A176" i="4"/>
  <c r="B176" i="4"/>
  <c r="E176" i="4"/>
  <c r="H176" i="4"/>
  <c r="L176" i="4"/>
  <c r="M176" i="4"/>
  <c r="N176" i="4"/>
  <c r="P176" i="4"/>
  <c r="A177" i="4"/>
  <c r="B177" i="4"/>
  <c r="E177" i="4"/>
  <c r="H177" i="4"/>
  <c r="L177" i="4"/>
  <c r="M177" i="4"/>
  <c r="N177" i="4"/>
  <c r="P177" i="4"/>
  <c r="A178" i="4"/>
  <c r="B178" i="4"/>
  <c r="E178" i="4"/>
  <c r="H178" i="4"/>
  <c r="L178" i="4"/>
  <c r="M178" i="4"/>
  <c r="N178" i="4"/>
  <c r="P178" i="4"/>
  <c r="A179" i="4"/>
  <c r="B179" i="4"/>
  <c r="E179" i="4"/>
  <c r="H179" i="4"/>
  <c r="L179" i="4"/>
  <c r="M179" i="4"/>
  <c r="N179" i="4"/>
  <c r="P179" i="4"/>
  <c r="A180" i="4"/>
  <c r="B180" i="4"/>
  <c r="E180" i="4"/>
  <c r="H180" i="4"/>
  <c r="L180" i="4"/>
  <c r="M180" i="4"/>
  <c r="N180" i="4"/>
  <c r="P180" i="4"/>
  <c r="A181" i="4"/>
  <c r="B181" i="4"/>
  <c r="E181" i="4"/>
  <c r="H181" i="4"/>
  <c r="L181" i="4"/>
  <c r="M181" i="4"/>
  <c r="N181" i="4"/>
  <c r="P181" i="4"/>
  <c r="A182" i="4"/>
  <c r="B182" i="4"/>
  <c r="E182" i="4"/>
  <c r="H182" i="4"/>
  <c r="L182" i="4"/>
  <c r="M182" i="4"/>
  <c r="N182" i="4"/>
  <c r="P182" i="4"/>
  <c r="A183" i="4"/>
  <c r="B183" i="4"/>
  <c r="E183" i="4"/>
  <c r="H183" i="4"/>
  <c r="L183" i="4"/>
  <c r="M183" i="4"/>
  <c r="N183" i="4"/>
  <c r="P183" i="4"/>
  <c r="A184" i="4"/>
  <c r="B184" i="4"/>
  <c r="E184" i="4"/>
  <c r="H184" i="4"/>
  <c r="L184" i="4"/>
  <c r="M184" i="4"/>
  <c r="N184" i="4"/>
  <c r="P184" i="4"/>
  <c r="A185" i="4"/>
  <c r="B185" i="4"/>
  <c r="E185" i="4"/>
  <c r="H185" i="4"/>
  <c r="L185" i="4"/>
  <c r="M185" i="4"/>
  <c r="N185" i="4"/>
  <c r="P185" i="4"/>
  <c r="A186" i="4"/>
  <c r="B186" i="4"/>
  <c r="E186" i="4"/>
  <c r="H186" i="4"/>
  <c r="L186" i="4"/>
  <c r="M186" i="4"/>
  <c r="N186" i="4"/>
  <c r="P186" i="4"/>
  <c r="A187" i="4"/>
  <c r="B187" i="4"/>
  <c r="E187" i="4"/>
  <c r="H187" i="4"/>
  <c r="L187" i="4"/>
  <c r="M187" i="4"/>
  <c r="N187" i="4"/>
  <c r="P187" i="4"/>
  <c r="A188" i="4"/>
  <c r="B188" i="4"/>
  <c r="E188" i="4"/>
  <c r="H188" i="4"/>
  <c r="L188" i="4"/>
  <c r="M188" i="4"/>
  <c r="N188" i="4"/>
  <c r="P188" i="4"/>
  <c r="A189" i="4"/>
  <c r="B189" i="4"/>
  <c r="E189" i="4"/>
  <c r="H189" i="4"/>
  <c r="L189" i="4"/>
  <c r="M189" i="4"/>
  <c r="N189" i="4"/>
  <c r="P189" i="4"/>
  <c r="A190" i="4"/>
  <c r="B190" i="4"/>
  <c r="E190" i="4"/>
  <c r="H190" i="4"/>
  <c r="L190" i="4"/>
  <c r="M190" i="4"/>
  <c r="N190" i="4"/>
  <c r="P190" i="4"/>
  <c r="A191" i="4"/>
  <c r="B191" i="4"/>
  <c r="E191" i="4"/>
  <c r="H191" i="4"/>
  <c r="L191" i="4"/>
  <c r="M191" i="4"/>
  <c r="N191" i="4"/>
  <c r="P191" i="4"/>
  <c r="A192" i="4"/>
  <c r="B192" i="4"/>
  <c r="E192" i="4"/>
  <c r="H192" i="4"/>
  <c r="L192" i="4"/>
  <c r="M192" i="4"/>
  <c r="N192" i="4"/>
  <c r="P192" i="4"/>
  <c r="A193" i="4"/>
  <c r="B193" i="4"/>
  <c r="E193" i="4"/>
  <c r="H193" i="4"/>
  <c r="L193" i="4"/>
  <c r="M193" i="4"/>
  <c r="N193" i="4"/>
  <c r="P193" i="4"/>
  <c r="A194" i="4"/>
  <c r="B194" i="4"/>
  <c r="E194" i="4"/>
  <c r="H194" i="4"/>
  <c r="L194" i="4"/>
  <c r="M194" i="4"/>
  <c r="N194" i="4"/>
  <c r="P194" i="4"/>
  <c r="A195" i="4"/>
  <c r="B195" i="4"/>
  <c r="E195" i="4"/>
  <c r="H195" i="4"/>
  <c r="L195" i="4"/>
  <c r="M195" i="4"/>
  <c r="N195" i="4"/>
  <c r="P195" i="4"/>
  <c r="A196" i="4"/>
  <c r="B196" i="4"/>
  <c r="E196" i="4"/>
  <c r="H196" i="4"/>
  <c r="L196" i="4"/>
  <c r="M196" i="4"/>
  <c r="N196" i="4"/>
  <c r="P196" i="4"/>
  <c r="A197" i="4"/>
  <c r="B197" i="4"/>
  <c r="E197" i="4"/>
  <c r="H197" i="4"/>
  <c r="L197" i="4"/>
  <c r="M197" i="4"/>
  <c r="N197" i="4"/>
  <c r="P197" i="4"/>
  <c r="A198" i="4"/>
  <c r="B198" i="4"/>
  <c r="E198" i="4"/>
  <c r="H198" i="4"/>
  <c r="L198" i="4"/>
  <c r="M198" i="4"/>
  <c r="N198" i="4"/>
  <c r="P198" i="4"/>
  <c r="A199" i="4"/>
  <c r="B199" i="4"/>
  <c r="E199" i="4"/>
  <c r="H199" i="4"/>
  <c r="L199" i="4"/>
  <c r="M199" i="4"/>
  <c r="N199" i="4"/>
  <c r="P199" i="4"/>
  <c r="A200" i="4"/>
  <c r="B200" i="4"/>
  <c r="E200" i="4"/>
  <c r="H200" i="4"/>
  <c r="L200" i="4"/>
  <c r="M200" i="4"/>
  <c r="N200" i="4"/>
  <c r="P200" i="4"/>
  <c r="A201" i="4"/>
  <c r="B201" i="4"/>
  <c r="E201" i="4"/>
  <c r="H201" i="4"/>
  <c r="L201" i="4"/>
  <c r="M201" i="4"/>
  <c r="N201" i="4"/>
  <c r="P201" i="4"/>
  <c r="A202" i="4"/>
  <c r="B202" i="4"/>
  <c r="E202" i="4"/>
  <c r="H202" i="4"/>
  <c r="L202" i="4"/>
  <c r="M202" i="4"/>
  <c r="N202" i="4"/>
  <c r="P202" i="4"/>
  <c r="A203" i="4"/>
  <c r="B203" i="4"/>
  <c r="E203" i="4"/>
  <c r="H203" i="4"/>
  <c r="L203" i="4"/>
  <c r="M203" i="4"/>
  <c r="N203" i="4"/>
  <c r="P203" i="4"/>
  <c r="A204" i="4"/>
  <c r="B204" i="4"/>
  <c r="E204" i="4"/>
  <c r="H204" i="4"/>
  <c r="L204" i="4"/>
  <c r="M204" i="4"/>
  <c r="N204" i="4"/>
  <c r="P204" i="4"/>
  <c r="A205" i="4"/>
  <c r="B205" i="4"/>
  <c r="E205" i="4"/>
  <c r="H205" i="4"/>
  <c r="L205" i="4"/>
  <c r="M205" i="4"/>
  <c r="N205" i="4"/>
  <c r="P205" i="4"/>
  <c r="A206" i="4"/>
  <c r="B206" i="4"/>
  <c r="E206" i="4"/>
  <c r="H206" i="4"/>
  <c r="L206" i="4"/>
  <c r="M206" i="4"/>
  <c r="N206" i="4"/>
  <c r="P206" i="4"/>
  <c r="A207" i="4"/>
  <c r="B207" i="4"/>
  <c r="E207" i="4"/>
  <c r="H207" i="4"/>
  <c r="L207" i="4"/>
  <c r="M207" i="4"/>
  <c r="N207" i="4"/>
  <c r="P207" i="4"/>
  <c r="A208" i="4"/>
  <c r="B208" i="4"/>
  <c r="E208" i="4"/>
  <c r="H208" i="4"/>
  <c r="L208" i="4"/>
  <c r="M208" i="4"/>
  <c r="N208" i="4"/>
  <c r="P208" i="4"/>
  <c r="A209" i="4"/>
  <c r="B209" i="4"/>
  <c r="E209" i="4"/>
  <c r="H209" i="4"/>
  <c r="L209" i="4"/>
  <c r="M209" i="4"/>
  <c r="N209" i="4"/>
  <c r="P209" i="4"/>
  <c r="A210" i="4"/>
  <c r="B210" i="4"/>
  <c r="E210" i="4"/>
  <c r="H210" i="4"/>
  <c r="L210" i="4"/>
  <c r="M210" i="4"/>
  <c r="N210" i="4"/>
  <c r="P210" i="4"/>
  <c r="A211" i="4"/>
  <c r="B211" i="4"/>
  <c r="E211" i="4"/>
  <c r="H211" i="4"/>
  <c r="L211" i="4"/>
  <c r="M211" i="4"/>
  <c r="N211" i="4"/>
  <c r="P211" i="4"/>
  <c r="A212" i="4"/>
  <c r="B212" i="4"/>
  <c r="E212" i="4"/>
  <c r="H212" i="4"/>
  <c r="L212" i="4"/>
  <c r="M212" i="4"/>
  <c r="N212" i="4"/>
  <c r="P212" i="4"/>
  <c r="A213" i="4"/>
  <c r="B213" i="4"/>
  <c r="E213" i="4"/>
  <c r="H213" i="4"/>
  <c r="L213" i="4"/>
  <c r="M213" i="4"/>
  <c r="N213" i="4"/>
  <c r="P213" i="4"/>
  <c r="A214" i="4"/>
  <c r="B214" i="4"/>
  <c r="E214" i="4"/>
  <c r="H214" i="4"/>
  <c r="L214" i="4"/>
  <c r="M214" i="4"/>
  <c r="N214" i="4"/>
  <c r="P214" i="4"/>
  <c r="A215" i="4"/>
  <c r="B215" i="4"/>
  <c r="E215" i="4"/>
  <c r="H215" i="4"/>
  <c r="L215" i="4"/>
  <c r="M215" i="4"/>
  <c r="N215" i="4"/>
  <c r="P215" i="4"/>
  <c r="A216" i="4"/>
  <c r="B216" i="4"/>
  <c r="E216" i="4"/>
  <c r="H216" i="4"/>
  <c r="L216" i="4"/>
  <c r="M216" i="4"/>
  <c r="N216" i="4"/>
  <c r="P216" i="4"/>
  <c r="A217" i="4"/>
  <c r="B217" i="4"/>
  <c r="E217" i="4"/>
  <c r="H217" i="4"/>
  <c r="L217" i="4"/>
  <c r="M217" i="4"/>
  <c r="N217" i="4"/>
  <c r="P217" i="4"/>
  <c r="A218" i="4"/>
  <c r="B218" i="4"/>
  <c r="E218" i="4"/>
  <c r="H218" i="4"/>
  <c r="L218" i="4"/>
  <c r="M218" i="4"/>
  <c r="N218" i="4"/>
  <c r="P218" i="4"/>
  <c r="A219" i="4"/>
  <c r="B219" i="4"/>
  <c r="E219" i="4"/>
  <c r="H219" i="4"/>
  <c r="L219" i="4"/>
  <c r="M219" i="4"/>
  <c r="N219" i="4"/>
  <c r="P219" i="4"/>
  <c r="A220" i="4"/>
  <c r="B220" i="4"/>
  <c r="E220" i="4"/>
  <c r="H220" i="4"/>
  <c r="L220" i="4"/>
  <c r="M220" i="4"/>
  <c r="N220" i="4"/>
  <c r="P220" i="4"/>
  <c r="A221" i="4"/>
  <c r="B221" i="4"/>
  <c r="E221" i="4"/>
  <c r="H221" i="4"/>
  <c r="L221" i="4"/>
  <c r="M221" i="4"/>
  <c r="N221" i="4"/>
  <c r="P221" i="4"/>
  <c r="A222" i="4"/>
  <c r="B222" i="4"/>
  <c r="E222" i="4"/>
  <c r="H222" i="4"/>
  <c r="L222" i="4"/>
  <c r="M222" i="4"/>
  <c r="N222" i="4"/>
  <c r="P222" i="4"/>
  <c r="A223" i="4"/>
  <c r="B223" i="4"/>
  <c r="E223" i="4"/>
  <c r="H223" i="4"/>
  <c r="L223" i="4"/>
  <c r="M223" i="4"/>
  <c r="N223" i="4"/>
  <c r="P223" i="4"/>
  <c r="A224" i="4"/>
  <c r="B224" i="4"/>
  <c r="E224" i="4"/>
  <c r="H224" i="4"/>
  <c r="L224" i="4"/>
  <c r="M224" i="4"/>
  <c r="N224" i="4"/>
  <c r="P224" i="4"/>
  <c r="A225" i="4"/>
  <c r="B225" i="4"/>
  <c r="E225" i="4"/>
  <c r="H225" i="4"/>
  <c r="L225" i="4"/>
  <c r="M225" i="4"/>
  <c r="N225" i="4"/>
  <c r="P225" i="4"/>
  <c r="A226" i="4"/>
  <c r="B226" i="4"/>
  <c r="E226" i="4"/>
  <c r="H226" i="4"/>
  <c r="L226" i="4"/>
  <c r="M226" i="4"/>
  <c r="N226" i="4"/>
  <c r="P226" i="4"/>
  <c r="A227" i="4"/>
  <c r="B227" i="4"/>
  <c r="E227" i="4"/>
  <c r="H227" i="4"/>
  <c r="L227" i="4"/>
  <c r="M227" i="4"/>
  <c r="N227" i="4"/>
  <c r="P227" i="4"/>
  <c r="A228" i="4"/>
  <c r="B228" i="4"/>
  <c r="E228" i="4"/>
  <c r="H228" i="4"/>
  <c r="L228" i="4"/>
  <c r="M228" i="4"/>
  <c r="N228" i="4"/>
  <c r="P228" i="4"/>
  <c r="A229" i="4"/>
  <c r="B229" i="4"/>
  <c r="E229" i="4"/>
  <c r="H229" i="4"/>
  <c r="L229" i="4"/>
  <c r="M229" i="4"/>
  <c r="N229" i="4"/>
  <c r="P229" i="4"/>
  <c r="A230" i="4"/>
  <c r="B230" i="4"/>
  <c r="E230" i="4"/>
  <c r="H230" i="4"/>
  <c r="L230" i="4"/>
  <c r="M230" i="4"/>
  <c r="N230" i="4"/>
  <c r="P230" i="4"/>
  <c r="A231" i="4"/>
  <c r="B231" i="4"/>
  <c r="E231" i="4"/>
  <c r="H231" i="4"/>
  <c r="L231" i="4"/>
  <c r="M231" i="4"/>
  <c r="N231" i="4"/>
  <c r="P231" i="4"/>
  <c r="A232" i="4"/>
  <c r="B232" i="4"/>
  <c r="E232" i="4"/>
  <c r="H232" i="4"/>
  <c r="L232" i="4"/>
  <c r="M232" i="4"/>
  <c r="N232" i="4"/>
  <c r="P232" i="4"/>
  <c r="A233" i="4"/>
  <c r="B233" i="4"/>
  <c r="E233" i="4"/>
  <c r="H233" i="4"/>
  <c r="L233" i="4"/>
  <c r="M233" i="4"/>
  <c r="N233" i="4"/>
  <c r="P233" i="4"/>
  <c r="A234" i="4"/>
  <c r="B234" i="4"/>
  <c r="E234" i="4"/>
  <c r="H234" i="4"/>
  <c r="L234" i="4"/>
  <c r="M234" i="4"/>
  <c r="N234" i="4"/>
  <c r="P234" i="4"/>
  <c r="A235" i="4"/>
  <c r="B235" i="4"/>
  <c r="E235" i="4"/>
  <c r="H235" i="4"/>
  <c r="L235" i="4"/>
  <c r="M235" i="4"/>
  <c r="N235" i="4"/>
  <c r="P235" i="4"/>
  <c r="A236" i="4"/>
  <c r="B236" i="4"/>
  <c r="E236" i="4"/>
  <c r="H236" i="4"/>
  <c r="L236" i="4"/>
  <c r="M236" i="4"/>
  <c r="N236" i="4"/>
  <c r="P236" i="4"/>
  <c r="A237" i="4"/>
  <c r="B237" i="4"/>
  <c r="E237" i="4"/>
  <c r="H237" i="4"/>
  <c r="L237" i="4"/>
  <c r="M237" i="4"/>
  <c r="N237" i="4"/>
  <c r="P237" i="4"/>
  <c r="A238" i="4"/>
  <c r="B238" i="4"/>
  <c r="E238" i="4"/>
  <c r="H238" i="4"/>
  <c r="L238" i="4"/>
  <c r="M238" i="4"/>
  <c r="N238" i="4"/>
  <c r="P238" i="4"/>
  <c r="A239" i="4"/>
  <c r="B239" i="4"/>
  <c r="E239" i="4"/>
  <c r="H239" i="4"/>
  <c r="L239" i="4"/>
  <c r="M239" i="4"/>
  <c r="N239" i="4"/>
  <c r="P239" i="4"/>
  <c r="A240" i="4"/>
  <c r="B240" i="4"/>
  <c r="E240" i="4"/>
  <c r="H240" i="4"/>
  <c r="L240" i="4"/>
  <c r="M240" i="4"/>
  <c r="N240" i="4"/>
  <c r="P240" i="4"/>
  <c r="A241" i="4"/>
  <c r="B241" i="4"/>
  <c r="E241" i="4"/>
  <c r="H241" i="4"/>
  <c r="L241" i="4"/>
  <c r="M241" i="4"/>
  <c r="N241" i="4"/>
  <c r="P241" i="4"/>
  <c r="A242" i="4"/>
  <c r="B242" i="4"/>
  <c r="E242" i="4"/>
  <c r="H242" i="4"/>
  <c r="L242" i="4"/>
  <c r="M242" i="4"/>
  <c r="N242" i="4"/>
  <c r="P242" i="4"/>
  <c r="A243" i="4"/>
  <c r="B243" i="4"/>
  <c r="E243" i="4"/>
  <c r="H243" i="4"/>
  <c r="L243" i="4"/>
  <c r="M243" i="4"/>
  <c r="N243" i="4"/>
  <c r="P243" i="4"/>
  <c r="A244" i="4"/>
  <c r="B244" i="4"/>
  <c r="E244" i="4"/>
  <c r="H244" i="4"/>
  <c r="L244" i="4"/>
  <c r="M244" i="4"/>
  <c r="N244" i="4"/>
  <c r="P244" i="4"/>
  <c r="A245" i="4"/>
  <c r="B245" i="4"/>
  <c r="E245" i="4"/>
  <c r="H245" i="4"/>
  <c r="L245" i="4"/>
  <c r="M245" i="4"/>
  <c r="N245" i="4"/>
  <c r="P245" i="4"/>
  <c r="A246" i="4"/>
  <c r="B246" i="4"/>
  <c r="E246" i="4"/>
  <c r="H246" i="4"/>
  <c r="L246" i="4"/>
  <c r="M246" i="4"/>
  <c r="N246" i="4"/>
  <c r="P246" i="4"/>
  <c r="A247" i="4"/>
  <c r="B247" i="4"/>
  <c r="E247" i="4"/>
  <c r="H247" i="4"/>
  <c r="L247" i="4"/>
  <c r="M247" i="4"/>
  <c r="N247" i="4"/>
  <c r="P247" i="4"/>
  <c r="A248" i="4"/>
  <c r="B248" i="4"/>
  <c r="E248" i="4"/>
  <c r="H248" i="4"/>
  <c r="L248" i="4"/>
  <c r="M248" i="4"/>
  <c r="N248" i="4"/>
  <c r="P248" i="4"/>
  <c r="A249" i="4"/>
  <c r="B249" i="4"/>
  <c r="E249" i="4"/>
  <c r="H249" i="4"/>
  <c r="L249" i="4"/>
  <c r="M249" i="4"/>
  <c r="N249" i="4"/>
  <c r="P249" i="4"/>
  <c r="A250" i="4"/>
  <c r="B250" i="4"/>
  <c r="E250" i="4"/>
  <c r="H250" i="4"/>
  <c r="L250" i="4"/>
  <c r="M250" i="4"/>
  <c r="N250" i="4"/>
  <c r="P250" i="4"/>
  <c r="A251" i="4"/>
  <c r="B251" i="4"/>
  <c r="E251" i="4"/>
  <c r="H251" i="4"/>
  <c r="L251" i="4"/>
  <c r="M251" i="4"/>
  <c r="N251" i="4"/>
  <c r="P251" i="4"/>
  <c r="A252" i="4"/>
  <c r="B252" i="4"/>
  <c r="E252" i="4"/>
  <c r="H252" i="4"/>
  <c r="L252" i="4"/>
  <c r="M252" i="4"/>
  <c r="N252" i="4"/>
  <c r="P252" i="4"/>
  <c r="A253" i="4"/>
  <c r="B253" i="4"/>
  <c r="E253" i="4"/>
  <c r="H253" i="4"/>
  <c r="L253" i="4"/>
  <c r="M253" i="4"/>
  <c r="N253" i="4"/>
  <c r="P253" i="4"/>
  <c r="A254" i="4"/>
  <c r="B254" i="4"/>
  <c r="E254" i="4"/>
  <c r="H254" i="4"/>
  <c r="L254" i="4"/>
  <c r="M254" i="4"/>
  <c r="N254" i="4"/>
  <c r="P254" i="4"/>
  <c r="A255" i="4"/>
  <c r="B255" i="4"/>
  <c r="E255" i="4"/>
  <c r="H255" i="4"/>
  <c r="L255" i="4"/>
  <c r="M255" i="4"/>
  <c r="N255" i="4"/>
  <c r="P255" i="4"/>
  <c r="A256" i="4"/>
  <c r="B256" i="4"/>
  <c r="E256" i="4"/>
  <c r="H256" i="4"/>
  <c r="L256" i="4"/>
  <c r="M256" i="4"/>
  <c r="N256" i="4"/>
  <c r="P256" i="4"/>
  <c r="A257" i="4"/>
  <c r="B257" i="4"/>
  <c r="E257" i="4"/>
  <c r="H257" i="4"/>
  <c r="L257" i="4"/>
  <c r="M257" i="4"/>
  <c r="N257" i="4"/>
  <c r="P257" i="4"/>
  <c r="A258" i="4"/>
  <c r="B258" i="4"/>
  <c r="E258" i="4"/>
  <c r="H258" i="4"/>
  <c r="L258" i="4"/>
  <c r="M258" i="4"/>
  <c r="N258" i="4"/>
  <c r="P258" i="4"/>
  <c r="A259" i="4"/>
  <c r="B259" i="4"/>
  <c r="E259" i="4"/>
  <c r="H259" i="4"/>
  <c r="L259" i="4"/>
  <c r="M259" i="4"/>
  <c r="N259" i="4"/>
  <c r="P259" i="4"/>
  <c r="A260" i="4"/>
  <c r="B260" i="4"/>
  <c r="E260" i="4"/>
  <c r="H260" i="4"/>
  <c r="L260" i="4"/>
  <c r="M260" i="4"/>
  <c r="N260" i="4"/>
  <c r="P260" i="4"/>
  <c r="A261" i="4"/>
  <c r="B261" i="4"/>
  <c r="E261" i="4"/>
  <c r="H261" i="4"/>
  <c r="L261" i="4"/>
  <c r="M261" i="4"/>
  <c r="N261" i="4"/>
  <c r="P261" i="4"/>
  <c r="A262" i="4"/>
  <c r="B262" i="4"/>
  <c r="E262" i="4"/>
  <c r="H262" i="4"/>
  <c r="L262" i="4"/>
  <c r="M262" i="4"/>
  <c r="N262" i="4"/>
  <c r="P262" i="4"/>
  <c r="A263" i="4"/>
  <c r="B263" i="4"/>
  <c r="E263" i="4"/>
  <c r="H263" i="4"/>
  <c r="L263" i="4"/>
  <c r="M263" i="4"/>
  <c r="N263" i="4"/>
  <c r="P263" i="4"/>
  <c r="A264" i="4"/>
  <c r="B264" i="4"/>
  <c r="E264" i="4"/>
  <c r="H264" i="4"/>
  <c r="L264" i="4"/>
  <c r="M264" i="4"/>
  <c r="N264" i="4"/>
  <c r="P264" i="4"/>
  <c r="A265" i="4"/>
  <c r="B265" i="4"/>
  <c r="E265" i="4"/>
  <c r="H265" i="4"/>
  <c r="L265" i="4"/>
  <c r="M265" i="4"/>
  <c r="N265" i="4"/>
  <c r="P265" i="4"/>
  <c r="A266" i="4"/>
  <c r="B266" i="4"/>
  <c r="E266" i="4"/>
  <c r="H266" i="4"/>
  <c r="L266" i="4"/>
  <c r="M266" i="4"/>
  <c r="N266" i="4"/>
  <c r="P266" i="4"/>
  <c r="A267" i="4"/>
  <c r="B267" i="4"/>
  <c r="E267" i="4"/>
  <c r="H267" i="4"/>
  <c r="L267" i="4"/>
  <c r="M267" i="4"/>
  <c r="N267" i="4"/>
  <c r="P267" i="4"/>
  <c r="A268" i="4"/>
  <c r="B268" i="4"/>
  <c r="E268" i="4"/>
  <c r="H268" i="4"/>
  <c r="L268" i="4"/>
  <c r="M268" i="4"/>
  <c r="N268" i="4"/>
  <c r="P268" i="4"/>
  <c r="A269" i="4"/>
  <c r="B269" i="4"/>
  <c r="E269" i="4"/>
  <c r="H269" i="4"/>
  <c r="L269" i="4"/>
  <c r="M269" i="4"/>
  <c r="N269" i="4"/>
  <c r="P269" i="4"/>
  <c r="A270" i="4"/>
  <c r="B270" i="4"/>
  <c r="E270" i="4"/>
  <c r="H270" i="4"/>
  <c r="L270" i="4"/>
  <c r="M270" i="4"/>
  <c r="N270" i="4"/>
  <c r="P270" i="4"/>
  <c r="A271" i="4"/>
  <c r="B271" i="4"/>
  <c r="E271" i="4"/>
  <c r="H271" i="4"/>
  <c r="L271" i="4"/>
  <c r="M271" i="4"/>
  <c r="N271" i="4"/>
  <c r="P271" i="4"/>
  <c r="A272" i="4"/>
  <c r="B272" i="4"/>
  <c r="E272" i="4"/>
  <c r="H272" i="4"/>
  <c r="L272" i="4"/>
  <c r="M272" i="4"/>
  <c r="N272" i="4"/>
  <c r="P272" i="4"/>
  <c r="A273" i="4"/>
  <c r="B273" i="4"/>
  <c r="E273" i="4"/>
  <c r="H273" i="4"/>
  <c r="L273" i="4"/>
  <c r="M273" i="4"/>
  <c r="N273" i="4"/>
  <c r="P273" i="4"/>
  <c r="A274" i="4"/>
  <c r="B274" i="4"/>
  <c r="E274" i="4"/>
  <c r="H274" i="4"/>
  <c r="L274" i="4"/>
  <c r="M274" i="4"/>
  <c r="N274" i="4"/>
  <c r="P274" i="4"/>
  <c r="A275" i="4"/>
  <c r="B275" i="4"/>
  <c r="E275" i="4"/>
  <c r="H275" i="4"/>
  <c r="L275" i="4"/>
  <c r="M275" i="4"/>
  <c r="N275" i="4"/>
  <c r="P275" i="4"/>
  <c r="A276" i="4"/>
  <c r="B276" i="4"/>
  <c r="E276" i="4"/>
  <c r="H276" i="4"/>
  <c r="L276" i="4"/>
  <c r="M276" i="4"/>
  <c r="N276" i="4"/>
  <c r="P276" i="4"/>
  <c r="A277" i="4"/>
  <c r="B277" i="4"/>
  <c r="E277" i="4"/>
  <c r="H277" i="4"/>
  <c r="L277" i="4"/>
  <c r="M277" i="4"/>
  <c r="N277" i="4"/>
  <c r="P277" i="4"/>
  <c r="A278" i="4"/>
  <c r="B278" i="4"/>
  <c r="E278" i="4"/>
  <c r="H278" i="4"/>
  <c r="L278" i="4"/>
  <c r="M278" i="4"/>
  <c r="N278" i="4"/>
  <c r="P278" i="4"/>
  <c r="A279" i="4"/>
  <c r="B279" i="4"/>
  <c r="E279" i="4"/>
  <c r="H279" i="4"/>
  <c r="L279" i="4"/>
  <c r="M279" i="4"/>
  <c r="N279" i="4"/>
  <c r="P279" i="4"/>
  <c r="A280" i="4"/>
  <c r="B280" i="4"/>
  <c r="E280" i="4"/>
  <c r="H280" i="4"/>
  <c r="L280" i="4"/>
  <c r="M280" i="4"/>
  <c r="N280" i="4"/>
  <c r="P280" i="4"/>
  <c r="A281" i="4"/>
  <c r="B281" i="4"/>
  <c r="E281" i="4"/>
  <c r="H281" i="4"/>
  <c r="L281" i="4"/>
  <c r="M281" i="4"/>
  <c r="N281" i="4"/>
  <c r="P281" i="4"/>
  <c r="A282" i="4"/>
  <c r="B282" i="4"/>
  <c r="E282" i="4"/>
  <c r="H282" i="4"/>
  <c r="L282" i="4"/>
  <c r="M282" i="4"/>
  <c r="N282" i="4"/>
  <c r="P282" i="4"/>
  <c r="A283" i="4"/>
  <c r="B283" i="4"/>
  <c r="E283" i="4"/>
  <c r="H283" i="4"/>
  <c r="L283" i="4"/>
  <c r="M283" i="4"/>
  <c r="N283" i="4"/>
  <c r="P283" i="4"/>
  <c r="A284" i="4"/>
  <c r="B284" i="4"/>
  <c r="E284" i="4"/>
  <c r="H284" i="4"/>
  <c r="L284" i="4"/>
  <c r="M284" i="4"/>
  <c r="N284" i="4"/>
  <c r="P284" i="4"/>
  <c r="A285" i="4"/>
  <c r="B285" i="4"/>
  <c r="E285" i="4"/>
  <c r="H285" i="4"/>
  <c r="L285" i="4"/>
  <c r="M285" i="4"/>
  <c r="N285" i="4"/>
  <c r="P285" i="4"/>
  <c r="A286" i="4"/>
  <c r="B286" i="4"/>
  <c r="E286" i="4"/>
  <c r="H286" i="4"/>
  <c r="L286" i="4"/>
  <c r="M286" i="4"/>
  <c r="N286" i="4"/>
  <c r="P286" i="4"/>
  <c r="A287" i="4"/>
  <c r="B287" i="4"/>
  <c r="E287" i="4"/>
  <c r="H287" i="4"/>
  <c r="L287" i="4"/>
  <c r="M287" i="4"/>
  <c r="N287" i="4"/>
  <c r="P287" i="4"/>
  <c r="A288" i="4"/>
  <c r="B288" i="4"/>
  <c r="E288" i="4"/>
  <c r="H288" i="4"/>
  <c r="L288" i="4"/>
  <c r="M288" i="4"/>
  <c r="N288" i="4"/>
  <c r="P288" i="4"/>
  <c r="A289" i="4"/>
  <c r="B289" i="4"/>
  <c r="E289" i="4"/>
  <c r="H289" i="4"/>
  <c r="L289" i="4"/>
  <c r="M289" i="4"/>
  <c r="N289" i="4"/>
  <c r="P289" i="4"/>
  <c r="A290" i="4"/>
  <c r="B290" i="4"/>
  <c r="E290" i="4"/>
  <c r="H290" i="4"/>
  <c r="L290" i="4"/>
  <c r="M290" i="4"/>
  <c r="N290" i="4"/>
  <c r="P290" i="4"/>
  <c r="A291" i="4"/>
  <c r="B291" i="4"/>
  <c r="E291" i="4"/>
  <c r="H291" i="4"/>
  <c r="L291" i="4"/>
  <c r="M291" i="4"/>
  <c r="N291" i="4"/>
  <c r="P291" i="4"/>
  <c r="A292" i="4"/>
  <c r="B292" i="4"/>
  <c r="E292" i="4"/>
  <c r="H292" i="4"/>
  <c r="L292" i="4"/>
  <c r="M292" i="4"/>
  <c r="N292" i="4"/>
  <c r="P292" i="4"/>
  <c r="A293" i="4"/>
  <c r="B293" i="4"/>
  <c r="E293" i="4"/>
  <c r="H293" i="4"/>
  <c r="L293" i="4"/>
  <c r="M293" i="4"/>
  <c r="N293" i="4"/>
  <c r="P293" i="4"/>
  <c r="A294" i="4"/>
  <c r="B294" i="4"/>
  <c r="E294" i="4"/>
  <c r="H294" i="4"/>
  <c r="L294" i="4"/>
  <c r="M294" i="4"/>
  <c r="N294" i="4"/>
  <c r="P294" i="4"/>
  <c r="A295" i="4"/>
  <c r="B295" i="4"/>
  <c r="E295" i="4"/>
  <c r="H295" i="4"/>
  <c r="L295" i="4"/>
  <c r="M295" i="4"/>
  <c r="N295" i="4"/>
  <c r="P295" i="4"/>
  <c r="A296" i="4"/>
  <c r="B296" i="4"/>
  <c r="E296" i="4"/>
  <c r="H296" i="4"/>
  <c r="L296" i="4"/>
  <c r="M296" i="4"/>
  <c r="N296" i="4"/>
  <c r="P296" i="4"/>
  <c r="A297" i="4"/>
  <c r="B297" i="4"/>
  <c r="E297" i="4"/>
  <c r="H297" i="4"/>
  <c r="L297" i="4"/>
  <c r="M297" i="4"/>
  <c r="N297" i="4"/>
  <c r="P297" i="4"/>
  <c r="A298" i="4"/>
  <c r="B298" i="4"/>
  <c r="E298" i="4"/>
  <c r="H298" i="4"/>
  <c r="L298" i="4"/>
  <c r="M298" i="4"/>
  <c r="N298" i="4"/>
  <c r="P298" i="4"/>
  <c r="A299" i="4"/>
  <c r="B299" i="4"/>
  <c r="E299" i="4"/>
  <c r="H299" i="4"/>
  <c r="L299" i="4"/>
  <c r="M299" i="4"/>
  <c r="N299" i="4"/>
  <c r="P299" i="4"/>
  <c r="A300" i="4"/>
  <c r="B300" i="4"/>
  <c r="E300" i="4"/>
  <c r="H300" i="4"/>
  <c r="L300" i="4"/>
  <c r="M300" i="4"/>
  <c r="N300" i="4"/>
  <c r="P300" i="4"/>
  <c r="A301" i="4"/>
  <c r="B301" i="4"/>
  <c r="E301" i="4"/>
  <c r="H301" i="4"/>
  <c r="L301" i="4"/>
  <c r="M301" i="4"/>
  <c r="N301" i="4"/>
  <c r="P301" i="4"/>
  <c r="A302" i="4"/>
  <c r="B302" i="4"/>
  <c r="E302" i="4"/>
  <c r="H302" i="4"/>
  <c r="L302" i="4"/>
  <c r="M302" i="4"/>
  <c r="N302" i="4"/>
  <c r="P302" i="4"/>
  <c r="A303" i="4"/>
  <c r="B303" i="4"/>
  <c r="E303" i="4"/>
  <c r="H303" i="4"/>
  <c r="L303" i="4"/>
  <c r="M303" i="4"/>
  <c r="N303" i="4"/>
  <c r="P303" i="4"/>
  <c r="A304" i="4"/>
  <c r="B304" i="4"/>
  <c r="E304" i="4"/>
  <c r="H304" i="4"/>
  <c r="L304" i="4"/>
  <c r="M304" i="4"/>
  <c r="N304" i="4"/>
  <c r="P304" i="4"/>
  <c r="A305" i="4"/>
  <c r="B305" i="4"/>
  <c r="E305" i="4"/>
  <c r="H305" i="4"/>
  <c r="L305" i="4"/>
  <c r="M305" i="4"/>
  <c r="N305" i="4"/>
  <c r="P305" i="4"/>
  <c r="A306" i="4"/>
  <c r="B306" i="4"/>
  <c r="E306" i="4"/>
  <c r="H306" i="4"/>
  <c r="L306" i="4"/>
  <c r="M306" i="4"/>
  <c r="N306" i="4"/>
  <c r="P306" i="4"/>
  <c r="A307" i="4"/>
  <c r="B307" i="4"/>
  <c r="E307" i="4"/>
  <c r="H307" i="4"/>
  <c r="L307" i="4"/>
  <c r="M307" i="4"/>
  <c r="N307" i="4"/>
  <c r="P307" i="4"/>
  <c r="A308" i="4"/>
  <c r="B308" i="4"/>
  <c r="E308" i="4"/>
  <c r="H308" i="4"/>
  <c r="L308" i="4"/>
  <c r="M308" i="4"/>
  <c r="N308" i="4"/>
  <c r="P308" i="4"/>
  <c r="A309" i="4"/>
  <c r="B309" i="4"/>
  <c r="E309" i="4"/>
  <c r="H309" i="4"/>
  <c r="L309" i="4"/>
  <c r="M309" i="4"/>
  <c r="N309" i="4"/>
  <c r="P309" i="4"/>
  <c r="A310" i="4"/>
  <c r="B310" i="4"/>
  <c r="E310" i="4"/>
  <c r="H310" i="4"/>
  <c r="L310" i="4"/>
  <c r="M310" i="4"/>
  <c r="N310" i="4"/>
  <c r="P310" i="4"/>
  <c r="A311" i="4"/>
  <c r="B311" i="4"/>
  <c r="E311" i="4"/>
  <c r="H311" i="4"/>
  <c r="L311" i="4"/>
  <c r="M311" i="4"/>
  <c r="N311" i="4"/>
  <c r="P311" i="4"/>
  <c r="A312" i="4"/>
  <c r="B312" i="4"/>
  <c r="E312" i="4"/>
  <c r="H312" i="4"/>
  <c r="L312" i="4"/>
  <c r="M312" i="4"/>
  <c r="N312" i="4"/>
  <c r="P312" i="4"/>
  <c r="A313" i="4"/>
  <c r="B313" i="4"/>
  <c r="E313" i="4"/>
  <c r="H313" i="4"/>
  <c r="L313" i="4"/>
  <c r="M313" i="4"/>
  <c r="N313" i="4"/>
  <c r="P313" i="4"/>
  <c r="A314" i="4"/>
  <c r="B314" i="4"/>
  <c r="E314" i="4"/>
  <c r="H314" i="4"/>
  <c r="L314" i="4"/>
  <c r="M314" i="4"/>
  <c r="N314" i="4"/>
  <c r="P314" i="4"/>
  <c r="A315" i="4"/>
  <c r="B315" i="4"/>
  <c r="E315" i="4"/>
  <c r="H315" i="4"/>
  <c r="L315" i="4"/>
  <c r="M315" i="4"/>
  <c r="N315" i="4"/>
  <c r="P315" i="4"/>
  <c r="A316" i="4"/>
  <c r="B316" i="4"/>
  <c r="E316" i="4"/>
  <c r="H316" i="4"/>
  <c r="L316" i="4"/>
  <c r="M316" i="4"/>
  <c r="N316" i="4"/>
  <c r="P316" i="4"/>
  <c r="A317" i="4"/>
  <c r="B317" i="4"/>
  <c r="E317" i="4"/>
  <c r="H317" i="4"/>
  <c r="L317" i="4"/>
  <c r="M317" i="4"/>
  <c r="N317" i="4"/>
  <c r="P317" i="4"/>
  <c r="A318" i="4"/>
  <c r="B318" i="4"/>
  <c r="E318" i="4"/>
  <c r="H318" i="4"/>
  <c r="L318" i="4"/>
  <c r="M318" i="4"/>
  <c r="N318" i="4"/>
  <c r="P318" i="4"/>
  <c r="A319" i="4"/>
  <c r="B319" i="4"/>
  <c r="E319" i="4"/>
  <c r="H319" i="4"/>
  <c r="L319" i="4"/>
  <c r="M319" i="4"/>
  <c r="N319" i="4"/>
  <c r="P319" i="4"/>
  <c r="A320" i="4"/>
  <c r="B320" i="4"/>
  <c r="E320" i="4"/>
  <c r="H320" i="4"/>
  <c r="L320" i="4"/>
  <c r="M320" i="4"/>
  <c r="N320" i="4"/>
  <c r="P320" i="4"/>
  <c r="A321" i="4"/>
  <c r="B321" i="4"/>
  <c r="E321" i="4"/>
  <c r="H321" i="4"/>
  <c r="L321" i="4"/>
  <c r="M321" i="4"/>
  <c r="N321" i="4"/>
  <c r="P321" i="4"/>
  <c r="A322" i="4"/>
  <c r="B322" i="4"/>
  <c r="E322" i="4"/>
  <c r="H322" i="4"/>
  <c r="L322" i="4"/>
  <c r="M322" i="4"/>
  <c r="N322" i="4"/>
  <c r="P322" i="4"/>
  <c r="A323" i="4"/>
  <c r="B323" i="4"/>
  <c r="E323" i="4"/>
  <c r="H323" i="4"/>
  <c r="L323" i="4"/>
  <c r="M323" i="4"/>
  <c r="N323" i="4"/>
  <c r="P323" i="4"/>
  <c r="A324" i="4"/>
  <c r="B324" i="4"/>
  <c r="E324" i="4"/>
  <c r="H324" i="4"/>
  <c r="L324" i="4"/>
  <c r="M324" i="4"/>
  <c r="N324" i="4"/>
  <c r="P324" i="4"/>
  <c r="A325" i="4"/>
  <c r="B325" i="4"/>
  <c r="E325" i="4"/>
  <c r="H325" i="4"/>
  <c r="L325" i="4"/>
  <c r="M325" i="4"/>
  <c r="N325" i="4"/>
  <c r="P325" i="4"/>
  <c r="A326" i="4"/>
  <c r="B326" i="4"/>
  <c r="E326" i="4"/>
  <c r="H326" i="4"/>
  <c r="L326" i="4"/>
  <c r="M326" i="4"/>
  <c r="N326" i="4"/>
  <c r="P326" i="4"/>
  <c r="A327" i="4"/>
  <c r="B327" i="4"/>
  <c r="E327" i="4"/>
  <c r="H327" i="4"/>
  <c r="L327" i="4"/>
  <c r="M327" i="4"/>
  <c r="N327" i="4"/>
  <c r="P327" i="4"/>
  <c r="A328" i="4"/>
  <c r="B328" i="4"/>
  <c r="E328" i="4"/>
  <c r="H328" i="4"/>
  <c r="L328" i="4"/>
  <c r="M328" i="4"/>
  <c r="N328" i="4"/>
  <c r="P328" i="4"/>
  <c r="A329" i="4"/>
  <c r="B329" i="4"/>
  <c r="E329" i="4"/>
  <c r="H329" i="4"/>
  <c r="L329" i="4"/>
  <c r="M329" i="4"/>
  <c r="N329" i="4"/>
  <c r="P329" i="4"/>
  <c r="A330" i="4"/>
  <c r="B330" i="4"/>
  <c r="E330" i="4"/>
  <c r="H330" i="4"/>
  <c r="L330" i="4"/>
  <c r="M330" i="4"/>
  <c r="N330" i="4"/>
  <c r="P330" i="4"/>
  <c r="A331" i="4"/>
  <c r="B331" i="4"/>
  <c r="E331" i="4"/>
  <c r="H331" i="4"/>
  <c r="L331" i="4"/>
  <c r="M331" i="4"/>
  <c r="N331" i="4"/>
  <c r="P331" i="4"/>
  <c r="A332" i="4"/>
  <c r="B332" i="4"/>
  <c r="E332" i="4"/>
  <c r="H332" i="4"/>
  <c r="L332" i="4"/>
  <c r="M332" i="4"/>
  <c r="N332" i="4"/>
  <c r="P332" i="4"/>
  <c r="A333" i="4"/>
  <c r="B333" i="4"/>
  <c r="E333" i="4"/>
  <c r="H333" i="4"/>
  <c r="L333" i="4"/>
  <c r="M333" i="4"/>
  <c r="N333" i="4"/>
  <c r="P333" i="4"/>
  <c r="A334" i="4"/>
  <c r="B334" i="4"/>
  <c r="E334" i="4"/>
  <c r="H334" i="4"/>
  <c r="L334" i="4"/>
  <c r="M334" i="4"/>
  <c r="N334" i="4"/>
  <c r="P334" i="4"/>
  <c r="A335" i="4"/>
  <c r="B335" i="4"/>
  <c r="E335" i="4"/>
  <c r="H335" i="4"/>
  <c r="L335" i="4"/>
  <c r="M335" i="4"/>
  <c r="N335" i="4"/>
  <c r="P335" i="4"/>
  <c r="A336" i="4"/>
  <c r="B336" i="4"/>
  <c r="E336" i="4"/>
  <c r="H336" i="4"/>
  <c r="L336" i="4"/>
  <c r="M336" i="4"/>
  <c r="N336" i="4"/>
  <c r="P336" i="4"/>
  <c r="A337" i="4"/>
  <c r="B337" i="4"/>
  <c r="E337" i="4"/>
  <c r="H337" i="4"/>
  <c r="L337" i="4"/>
  <c r="M337" i="4"/>
  <c r="N337" i="4"/>
  <c r="P337" i="4"/>
  <c r="A338" i="4"/>
  <c r="B338" i="4"/>
  <c r="E338" i="4"/>
  <c r="H338" i="4"/>
  <c r="L338" i="4"/>
  <c r="M338" i="4"/>
  <c r="N338" i="4"/>
  <c r="P338" i="4"/>
  <c r="A339" i="4"/>
  <c r="B339" i="4"/>
  <c r="E339" i="4"/>
  <c r="H339" i="4"/>
  <c r="L339" i="4"/>
  <c r="M339" i="4"/>
  <c r="N339" i="4"/>
  <c r="P339" i="4"/>
  <c r="A340" i="4"/>
  <c r="B340" i="4"/>
  <c r="E340" i="4"/>
  <c r="H340" i="4"/>
  <c r="L340" i="4"/>
  <c r="M340" i="4"/>
  <c r="N340" i="4"/>
  <c r="P340" i="4"/>
  <c r="A341" i="4"/>
  <c r="B341" i="4"/>
  <c r="E341" i="4"/>
  <c r="H341" i="4"/>
  <c r="L341" i="4"/>
  <c r="M341" i="4"/>
  <c r="N341" i="4"/>
  <c r="P341" i="4"/>
  <c r="A342" i="4"/>
  <c r="B342" i="4"/>
  <c r="E342" i="4"/>
  <c r="H342" i="4"/>
  <c r="L342" i="4"/>
  <c r="M342" i="4"/>
  <c r="N342" i="4"/>
  <c r="P342" i="4"/>
  <c r="A343" i="4"/>
  <c r="B343" i="4"/>
  <c r="E343" i="4"/>
  <c r="H343" i="4"/>
  <c r="L343" i="4"/>
  <c r="M343" i="4"/>
  <c r="N343" i="4"/>
  <c r="P343" i="4"/>
  <c r="A344" i="4"/>
  <c r="B344" i="4"/>
  <c r="E344" i="4"/>
  <c r="H344" i="4"/>
  <c r="L344" i="4"/>
  <c r="M344" i="4"/>
  <c r="N344" i="4"/>
  <c r="P344" i="4"/>
  <c r="A345" i="4"/>
  <c r="B345" i="4"/>
  <c r="E345" i="4"/>
  <c r="H345" i="4"/>
  <c r="L345" i="4"/>
  <c r="M345" i="4"/>
  <c r="N345" i="4"/>
  <c r="P345" i="4"/>
  <c r="A346" i="4"/>
  <c r="B346" i="4"/>
  <c r="E346" i="4"/>
  <c r="H346" i="4"/>
  <c r="L346" i="4"/>
  <c r="M346" i="4"/>
  <c r="N346" i="4"/>
  <c r="P346" i="4"/>
  <c r="A347" i="4"/>
  <c r="B347" i="4"/>
  <c r="E347" i="4"/>
  <c r="H347" i="4"/>
  <c r="L347" i="4"/>
  <c r="M347" i="4"/>
  <c r="N347" i="4"/>
  <c r="P347" i="4"/>
  <c r="A348" i="4"/>
  <c r="B348" i="4"/>
  <c r="E348" i="4"/>
  <c r="H348" i="4"/>
  <c r="L348" i="4"/>
  <c r="M348" i="4"/>
  <c r="N348" i="4"/>
  <c r="P348" i="4"/>
  <c r="A349" i="4"/>
  <c r="B349" i="4"/>
  <c r="E349" i="4"/>
  <c r="H349" i="4"/>
  <c r="L349" i="4"/>
  <c r="M349" i="4"/>
  <c r="N349" i="4"/>
  <c r="P349" i="4"/>
  <c r="A350" i="4"/>
  <c r="B350" i="4"/>
  <c r="E350" i="4"/>
  <c r="H350" i="4"/>
  <c r="L350" i="4"/>
  <c r="M350" i="4"/>
  <c r="N350" i="4"/>
  <c r="P350" i="4"/>
  <c r="A351" i="4"/>
  <c r="B351" i="4"/>
  <c r="E351" i="4"/>
  <c r="H351" i="4"/>
  <c r="L351" i="4"/>
  <c r="M351" i="4"/>
  <c r="N351" i="4"/>
  <c r="P351" i="4"/>
  <c r="A352" i="4"/>
  <c r="B352" i="4"/>
  <c r="E352" i="4"/>
  <c r="H352" i="4"/>
  <c r="L352" i="4"/>
  <c r="M352" i="4"/>
  <c r="N352" i="4"/>
  <c r="P352" i="4"/>
  <c r="A353" i="4"/>
  <c r="B353" i="4"/>
  <c r="E353" i="4"/>
  <c r="H353" i="4"/>
  <c r="L353" i="4"/>
  <c r="M353" i="4"/>
  <c r="N353" i="4"/>
  <c r="P353" i="4"/>
  <c r="A354" i="4"/>
  <c r="B354" i="4"/>
  <c r="E354" i="4"/>
  <c r="H354" i="4"/>
  <c r="L354" i="4"/>
  <c r="M354" i="4"/>
  <c r="N354" i="4"/>
  <c r="P354" i="4"/>
  <c r="A355" i="4"/>
  <c r="B355" i="4"/>
  <c r="E355" i="4"/>
  <c r="H355" i="4"/>
  <c r="L355" i="4"/>
  <c r="M355" i="4"/>
  <c r="N355" i="4"/>
  <c r="P355" i="4"/>
  <c r="A356" i="4"/>
  <c r="B356" i="4"/>
  <c r="E356" i="4"/>
  <c r="H356" i="4"/>
  <c r="L356" i="4"/>
  <c r="M356" i="4"/>
  <c r="N356" i="4"/>
  <c r="P356" i="4"/>
  <c r="A357" i="4"/>
  <c r="B357" i="4"/>
  <c r="E357" i="4"/>
  <c r="H357" i="4"/>
  <c r="L357" i="4"/>
  <c r="M357" i="4"/>
  <c r="N357" i="4"/>
  <c r="P357" i="4"/>
  <c r="A358" i="4"/>
  <c r="B358" i="4"/>
  <c r="E358" i="4"/>
  <c r="H358" i="4"/>
  <c r="L358" i="4"/>
  <c r="M358" i="4"/>
  <c r="N358" i="4"/>
  <c r="P358" i="4"/>
  <c r="A359" i="4"/>
  <c r="B359" i="4"/>
  <c r="E359" i="4"/>
  <c r="H359" i="4"/>
  <c r="L359" i="4"/>
  <c r="M359" i="4"/>
  <c r="N359" i="4"/>
  <c r="P359" i="4"/>
  <c r="A360" i="4"/>
  <c r="B360" i="4"/>
  <c r="E360" i="4"/>
  <c r="H360" i="4"/>
  <c r="L360" i="4"/>
  <c r="M360" i="4"/>
  <c r="N360" i="4"/>
  <c r="P360" i="4"/>
  <c r="A361" i="4"/>
  <c r="B361" i="4"/>
  <c r="E361" i="4"/>
  <c r="H361" i="4"/>
  <c r="L361" i="4"/>
  <c r="M361" i="4"/>
  <c r="N361" i="4"/>
  <c r="P361" i="4"/>
  <c r="A362" i="4"/>
  <c r="B362" i="4"/>
  <c r="E362" i="4"/>
  <c r="H362" i="4"/>
  <c r="L362" i="4"/>
  <c r="M362" i="4"/>
  <c r="N362" i="4"/>
  <c r="P362" i="4"/>
  <c r="A363" i="4"/>
  <c r="B363" i="4"/>
  <c r="E363" i="4"/>
  <c r="H363" i="4"/>
  <c r="L363" i="4"/>
  <c r="M363" i="4"/>
  <c r="N363" i="4"/>
  <c r="P363" i="4"/>
  <c r="A364" i="4"/>
  <c r="B364" i="4"/>
  <c r="E364" i="4"/>
  <c r="H364" i="4"/>
  <c r="L364" i="4"/>
  <c r="M364" i="4"/>
  <c r="N364" i="4"/>
  <c r="P364" i="4"/>
  <c r="A365" i="4"/>
  <c r="B365" i="4"/>
  <c r="E365" i="4"/>
  <c r="H365" i="4"/>
  <c r="L365" i="4"/>
  <c r="M365" i="4"/>
  <c r="N365" i="4"/>
  <c r="P365" i="4"/>
  <c r="A366" i="4"/>
  <c r="B366" i="4"/>
  <c r="E366" i="4"/>
  <c r="H366" i="4"/>
  <c r="L366" i="4"/>
  <c r="M366" i="4"/>
  <c r="N366" i="4"/>
  <c r="P366" i="4"/>
  <c r="A367" i="4"/>
  <c r="B367" i="4"/>
  <c r="E367" i="4"/>
  <c r="H367" i="4"/>
  <c r="L367" i="4"/>
  <c r="M367" i="4"/>
  <c r="N367" i="4"/>
  <c r="P367" i="4"/>
  <c r="A368" i="4"/>
  <c r="B368" i="4"/>
  <c r="E368" i="4"/>
  <c r="H368" i="4"/>
  <c r="L368" i="4"/>
  <c r="M368" i="4"/>
  <c r="N368" i="4"/>
  <c r="P368" i="4"/>
  <c r="A369" i="4"/>
  <c r="B369" i="4"/>
  <c r="E369" i="4"/>
  <c r="H369" i="4"/>
  <c r="L369" i="4"/>
  <c r="M369" i="4"/>
  <c r="N369" i="4"/>
  <c r="P369" i="4"/>
  <c r="A370" i="4"/>
  <c r="B370" i="4"/>
  <c r="E370" i="4"/>
  <c r="H370" i="4"/>
  <c r="L370" i="4"/>
  <c r="M370" i="4"/>
  <c r="N370" i="4"/>
  <c r="P370" i="4"/>
  <c r="A371" i="4"/>
  <c r="B371" i="4"/>
  <c r="E371" i="4"/>
  <c r="H371" i="4"/>
  <c r="L371" i="4"/>
  <c r="M371" i="4"/>
  <c r="N371" i="4"/>
  <c r="P371" i="4"/>
  <c r="A372" i="4"/>
  <c r="B372" i="4"/>
  <c r="E372" i="4"/>
  <c r="H372" i="4"/>
  <c r="L372" i="4"/>
  <c r="M372" i="4"/>
  <c r="N372" i="4"/>
  <c r="P372" i="4"/>
  <c r="A373" i="4"/>
  <c r="B373" i="4"/>
  <c r="E373" i="4"/>
  <c r="H373" i="4"/>
  <c r="L373" i="4"/>
  <c r="M373" i="4"/>
  <c r="N373" i="4"/>
  <c r="P373" i="4"/>
  <c r="A374" i="4"/>
  <c r="B374" i="4"/>
  <c r="E374" i="4"/>
  <c r="H374" i="4"/>
  <c r="L374" i="4"/>
  <c r="M374" i="4"/>
  <c r="N374" i="4"/>
  <c r="P374" i="4"/>
  <c r="A375" i="4"/>
  <c r="B375" i="4"/>
  <c r="E375" i="4"/>
  <c r="H375" i="4"/>
  <c r="L375" i="4"/>
  <c r="M375" i="4"/>
  <c r="N375" i="4"/>
  <c r="P375" i="4"/>
  <c r="A376" i="4"/>
  <c r="B376" i="4"/>
  <c r="E376" i="4"/>
  <c r="H376" i="4"/>
  <c r="L376" i="4"/>
  <c r="M376" i="4"/>
  <c r="N376" i="4"/>
  <c r="P376" i="4"/>
  <c r="A377" i="4"/>
  <c r="B377" i="4"/>
  <c r="E377" i="4"/>
  <c r="H377" i="4"/>
  <c r="L377" i="4"/>
  <c r="M377" i="4"/>
  <c r="N377" i="4"/>
  <c r="P377" i="4"/>
  <c r="A378" i="4"/>
  <c r="B378" i="4"/>
  <c r="E378" i="4"/>
  <c r="H378" i="4"/>
  <c r="L378" i="4"/>
  <c r="M378" i="4"/>
  <c r="N378" i="4"/>
  <c r="P378" i="4"/>
  <c r="A379" i="4"/>
  <c r="B379" i="4"/>
  <c r="E379" i="4"/>
  <c r="H379" i="4"/>
  <c r="L379" i="4"/>
  <c r="M379" i="4"/>
  <c r="N379" i="4"/>
  <c r="P379" i="4"/>
  <c r="A380" i="4"/>
  <c r="B380" i="4"/>
  <c r="E380" i="4"/>
  <c r="H380" i="4"/>
  <c r="L380" i="4"/>
  <c r="M380" i="4"/>
  <c r="N380" i="4"/>
  <c r="P380" i="4"/>
  <c r="A381" i="4"/>
  <c r="B381" i="4"/>
  <c r="E381" i="4"/>
  <c r="H381" i="4"/>
  <c r="L381" i="4"/>
  <c r="M381" i="4"/>
  <c r="N381" i="4"/>
  <c r="P381" i="4"/>
  <c r="A382" i="4"/>
  <c r="B382" i="4"/>
  <c r="E382" i="4"/>
  <c r="H382" i="4"/>
  <c r="L382" i="4"/>
  <c r="M382" i="4"/>
  <c r="N382" i="4"/>
  <c r="P382" i="4"/>
  <c r="A383" i="4"/>
  <c r="B383" i="4"/>
  <c r="E383" i="4"/>
  <c r="H383" i="4"/>
  <c r="L383" i="4"/>
  <c r="M383" i="4"/>
  <c r="N383" i="4"/>
  <c r="P383" i="4"/>
  <c r="A384" i="4"/>
  <c r="B384" i="4"/>
  <c r="E384" i="4"/>
  <c r="H384" i="4"/>
  <c r="L384" i="4"/>
  <c r="M384" i="4"/>
  <c r="N384" i="4"/>
  <c r="P384" i="4"/>
  <c r="A385" i="4"/>
  <c r="B385" i="4"/>
  <c r="E385" i="4"/>
  <c r="H385" i="4"/>
  <c r="L385" i="4"/>
  <c r="M385" i="4"/>
  <c r="N385" i="4"/>
  <c r="P385" i="4"/>
  <c r="A386" i="4"/>
  <c r="B386" i="4"/>
  <c r="E386" i="4"/>
  <c r="H386" i="4"/>
  <c r="L386" i="4"/>
  <c r="M386" i="4"/>
  <c r="N386" i="4"/>
  <c r="P386" i="4"/>
  <c r="A387" i="4"/>
  <c r="B387" i="4"/>
  <c r="E387" i="4"/>
  <c r="H387" i="4"/>
  <c r="L387" i="4"/>
  <c r="M387" i="4"/>
  <c r="N387" i="4"/>
  <c r="P387" i="4"/>
  <c r="A388" i="4"/>
  <c r="B388" i="4"/>
  <c r="E388" i="4"/>
  <c r="H388" i="4"/>
  <c r="L388" i="4"/>
  <c r="M388" i="4"/>
  <c r="N388" i="4"/>
  <c r="P388" i="4"/>
  <c r="A389" i="4"/>
  <c r="B389" i="4"/>
  <c r="E389" i="4"/>
  <c r="H389" i="4"/>
  <c r="L389" i="4"/>
  <c r="M389" i="4"/>
  <c r="N389" i="4"/>
  <c r="P389" i="4"/>
  <c r="A390" i="4"/>
  <c r="B390" i="4"/>
  <c r="E390" i="4"/>
  <c r="H390" i="4"/>
  <c r="L390" i="4"/>
  <c r="M390" i="4"/>
  <c r="N390" i="4"/>
  <c r="P390" i="4"/>
  <c r="A391" i="4"/>
  <c r="B391" i="4"/>
  <c r="E391" i="4"/>
  <c r="H391" i="4"/>
  <c r="L391" i="4"/>
  <c r="M391" i="4"/>
  <c r="N391" i="4"/>
  <c r="P391" i="4"/>
  <c r="A392" i="4"/>
  <c r="B392" i="4"/>
  <c r="E392" i="4"/>
  <c r="H392" i="4"/>
  <c r="L392" i="4"/>
  <c r="M392" i="4"/>
  <c r="N392" i="4"/>
  <c r="P392" i="4"/>
  <c r="A393" i="4"/>
  <c r="B393" i="4"/>
  <c r="E393" i="4"/>
  <c r="H393" i="4"/>
  <c r="L393" i="4"/>
  <c r="M393" i="4"/>
  <c r="N393" i="4"/>
  <c r="P393" i="4"/>
  <c r="A394" i="4"/>
  <c r="B394" i="4"/>
  <c r="E394" i="4"/>
  <c r="H394" i="4"/>
  <c r="L394" i="4"/>
  <c r="M394" i="4"/>
  <c r="N394" i="4"/>
  <c r="P394" i="4"/>
  <c r="A395" i="4"/>
  <c r="B395" i="4"/>
  <c r="E395" i="4"/>
  <c r="H395" i="4"/>
  <c r="L395" i="4"/>
  <c r="M395" i="4"/>
  <c r="N395" i="4"/>
  <c r="P395" i="4"/>
  <c r="A396" i="4"/>
  <c r="B396" i="4"/>
  <c r="E396" i="4"/>
  <c r="H396" i="4"/>
  <c r="L396" i="4"/>
  <c r="M396" i="4"/>
  <c r="N396" i="4"/>
  <c r="P396" i="4"/>
  <c r="A397" i="4"/>
  <c r="B397" i="4"/>
  <c r="E397" i="4"/>
  <c r="H397" i="4"/>
  <c r="L397" i="4"/>
  <c r="M397" i="4"/>
  <c r="N397" i="4"/>
  <c r="P397" i="4"/>
  <c r="A398" i="4"/>
  <c r="B398" i="4"/>
  <c r="E398" i="4"/>
  <c r="H398" i="4"/>
  <c r="L398" i="4"/>
  <c r="M398" i="4"/>
  <c r="N398" i="4"/>
  <c r="P398" i="4"/>
  <c r="A399" i="4"/>
  <c r="B399" i="4"/>
  <c r="E399" i="4"/>
  <c r="H399" i="4"/>
  <c r="L399" i="4"/>
  <c r="M399" i="4"/>
  <c r="N399" i="4"/>
  <c r="P399" i="4"/>
  <c r="A400" i="4"/>
  <c r="B400" i="4"/>
  <c r="E400" i="4"/>
  <c r="H400" i="4"/>
  <c r="L400" i="4"/>
  <c r="M400" i="4"/>
  <c r="N400" i="4"/>
  <c r="P400" i="4"/>
  <c r="A401" i="4"/>
  <c r="B401" i="4"/>
  <c r="E401" i="4"/>
  <c r="H401" i="4"/>
  <c r="L401" i="4"/>
  <c r="M401" i="4"/>
  <c r="N401" i="4"/>
  <c r="P401" i="4"/>
  <c r="A402" i="4"/>
  <c r="B402" i="4"/>
  <c r="E402" i="4"/>
  <c r="H402" i="4"/>
  <c r="L402" i="4"/>
  <c r="M402" i="4"/>
  <c r="N402" i="4"/>
  <c r="P402" i="4"/>
  <c r="A403" i="4"/>
  <c r="B403" i="4"/>
  <c r="E403" i="4"/>
  <c r="H403" i="4"/>
  <c r="L403" i="4"/>
  <c r="M403" i="4"/>
  <c r="N403" i="4"/>
  <c r="P403" i="4"/>
  <c r="A404" i="4"/>
  <c r="B404" i="4"/>
  <c r="E404" i="4"/>
  <c r="H404" i="4"/>
  <c r="L404" i="4"/>
  <c r="M404" i="4"/>
  <c r="N404" i="4"/>
  <c r="P404" i="4"/>
  <c r="A405" i="4"/>
  <c r="B405" i="4"/>
  <c r="E405" i="4"/>
  <c r="H405" i="4"/>
  <c r="L405" i="4"/>
  <c r="M405" i="4"/>
  <c r="N405" i="4"/>
  <c r="P405" i="4"/>
  <c r="A406" i="4"/>
  <c r="B406" i="4"/>
  <c r="E406" i="4"/>
  <c r="H406" i="4"/>
  <c r="L406" i="4"/>
  <c r="M406" i="4"/>
  <c r="N406" i="4"/>
  <c r="P406" i="4"/>
  <c r="A407" i="4"/>
  <c r="B407" i="4"/>
  <c r="E407" i="4"/>
  <c r="H407" i="4"/>
  <c r="L407" i="4"/>
  <c r="M407" i="4"/>
  <c r="N407" i="4"/>
  <c r="P407" i="4"/>
  <c r="A408" i="4"/>
  <c r="B408" i="4"/>
  <c r="E408" i="4"/>
  <c r="H408" i="4"/>
  <c r="L408" i="4"/>
  <c r="M408" i="4"/>
  <c r="N408" i="4"/>
  <c r="P408" i="4"/>
  <c r="A409" i="4"/>
  <c r="B409" i="4"/>
  <c r="E409" i="4"/>
  <c r="H409" i="4"/>
  <c r="L409" i="4"/>
  <c r="M409" i="4"/>
  <c r="N409" i="4"/>
  <c r="P409" i="4"/>
  <c r="A410" i="4"/>
  <c r="B410" i="4"/>
  <c r="E410" i="4"/>
  <c r="H410" i="4"/>
  <c r="L410" i="4"/>
  <c r="M410" i="4"/>
  <c r="N410" i="4"/>
  <c r="P410" i="4"/>
  <c r="A411" i="4"/>
  <c r="B411" i="4"/>
  <c r="E411" i="4"/>
  <c r="H411" i="4"/>
  <c r="L411" i="4"/>
  <c r="M411" i="4"/>
  <c r="N411" i="4"/>
  <c r="P411" i="4"/>
  <c r="A412" i="4"/>
  <c r="B412" i="4"/>
  <c r="E412" i="4"/>
  <c r="H412" i="4"/>
  <c r="L412" i="4"/>
  <c r="M412" i="4"/>
  <c r="N412" i="4"/>
  <c r="P412" i="4"/>
  <c r="A413" i="4"/>
  <c r="B413" i="4"/>
  <c r="E413" i="4"/>
  <c r="H413" i="4"/>
  <c r="L413" i="4"/>
  <c r="M413" i="4"/>
  <c r="N413" i="4"/>
  <c r="P413" i="4"/>
  <c r="A414" i="4"/>
  <c r="B414" i="4"/>
  <c r="E414" i="4"/>
  <c r="H414" i="4"/>
  <c r="L414" i="4"/>
  <c r="M414" i="4"/>
  <c r="N414" i="4"/>
  <c r="P414" i="4"/>
  <c r="A415" i="4"/>
  <c r="B415" i="4"/>
  <c r="E415" i="4"/>
  <c r="H415" i="4"/>
  <c r="L415" i="4"/>
  <c r="M415" i="4"/>
  <c r="N415" i="4"/>
  <c r="P415" i="4"/>
  <c r="A416" i="4"/>
  <c r="B416" i="4"/>
  <c r="E416" i="4"/>
  <c r="H416" i="4"/>
  <c r="L416" i="4"/>
  <c r="M416" i="4"/>
  <c r="N416" i="4"/>
  <c r="P416" i="4"/>
  <c r="A417" i="4"/>
  <c r="B417" i="4"/>
  <c r="E417" i="4"/>
  <c r="H417" i="4"/>
  <c r="L417" i="4"/>
  <c r="M417" i="4"/>
  <c r="N417" i="4"/>
  <c r="P417" i="4"/>
  <c r="A418" i="4"/>
  <c r="B418" i="4"/>
  <c r="E418" i="4"/>
  <c r="H418" i="4"/>
  <c r="L418" i="4"/>
  <c r="M418" i="4"/>
  <c r="N418" i="4"/>
  <c r="P418" i="4"/>
  <c r="A419" i="4"/>
  <c r="B419" i="4"/>
  <c r="E419" i="4"/>
  <c r="H419" i="4"/>
  <c r="L419" i="4"/>
  <c r="M419" i="4"/>
  <c r="N419" i="4"/>
  <c r="P419" i="4"/>
  <c r="A420" i="4"/>
  <c r="B420" i="4"/>
  <c r="E420" i="4"/>
  <c r="H420" i="4"/>
  <c r="L420" i="4"/>
  <c r="M420" i="4"/>
  <c r="N420" i="4"/>
  <c r="P420" i="4"/>
  <c r="A421" i="4"/>
  <c r="B421" i="4"/>
  <c r="E421" i="4"/>
  <c r="H421" i="4"/>
  <c r="L421" i="4"/>
  <c r="M421" i="4"/>
  <c r="N421" i="4"/>
  <c r="P421" i="4"/>
  <c r="A422" i="4"/>
  <c r="B422" i="4"/>
  <c r="E422" i="4"/>
  <c r="H422" i="4"/>
  <c r="L422" i="4"/>
  <c r="M422" i="4"/>
  <c r="N422" i="4"/>
  <c r="P422" i="4"/>
  <c r="A423" i="4"/>
  <c r="B423" i="4"/>
  <c r="E423" i="4"/>
  <c r="H423" i="4"/>
  <c r="L423" i="4"/>
  <c r="M423" i="4"/>
  <c r="N423" i="4"/>
  <c r="P423" i="4"/>
  <c r="A424" i="4"/>
  <c r="B424" i="4"/>
  <c r="E424" i="4"/>
  <c r="H424" i="4"/>
  <c r="L424" i="4"/>
  <c r="M424" i="4"/>
  <c r="N424" i="4"/>
  <c r="P424" i="4"/>
  <c r="A425" i="4"/>
  <c r="B425" i="4"/>
  <c r="E425" i="4"/>
  <c r="H425" i="4"/>
  <c r="L425" i="4"/>
  <c r="M425" i="4"/>
  <c r="N425" i="4"/>
  <c r="P425" i="4"/>
  <c r="A426" i="4"/>
  <c r="B426" i="4"/>
  <c r="E426" i="4"/>
  <c r="H426" i="4"/>
  <c r="L426" i="4"/>
  <c r="M426" i="4"/>
  <c r="N426" i="4"/>
  <c r="P426" i="4"/>
  <c r="A427" i="4"/>
  <c r="B427" i="4"/>
  <c r="E427" i="4"/>
  <c r="H427" i="4"/>
  <c r="L427" i="4"/>
  <c r="M427" i="4"/>
  <c r="N427" i="4"/>
  <c r="P427" i="4"/>
  <c r="A428" i="4"/>
  <c r="B428" i="4"/>
  <c r="E428" i="4"/>
  <c r="H428" i="4"/>
  <c r="L428" i="4"/>
  <c r="M428" i="4"/>
  <c r="N428" i="4"/>
  <c r="P428" i="4"/>
  <c r="A429" i="4"/>
  <c r="B429" i="4"/>
  <c r="E429" i="4"/>
  <c r="H429" i="4"/>
  <c r="L429" i="4"/>
  <c r="M429" i="4"/>
  <c r="N429" i="4"/>
  <c r="P429" i="4"/>
  <c r="A430" i="4"/>
  <c r="B430" i="4"/>
  <c r="E430" i="4"/>
  <c r="H430" i="4"/>
  <c r="L430" i="4"/>
  <c r="M430" i="4"/>
  <c r="N430" i="4"/>
  <c r="P430" i="4"/>
  <c r="A431" i="4"/>
  <c r="B431" i="4"/>
  <c r="E431" i="4"/>
  <c r="H431" i="4"/>
  <c r="L431" i="4"/>
  <c r="M431" i="4"/>
  <c r="N431" i="4"/>
  <c r="P431" i="4"/>
  <c r="A432" i="4"/>
  <c r="B432" i="4"/>
  <c r="E432" i="4"/>
  <c r="H432" i="4"/>
  <c r="L432" i="4"/>
  <c r="M432" i="4"/>
  <c r="N432" i="4"/>
  <c r="P432" i="4"/>
  <c r="A433" i="4"/>
  <c r="B433" i="4"/>
  <c r="E433" i="4"/>
  <c r="H433" i="4"/>
  <c r="L433" i="4"/>
  <c r="M433" i="4"/>
  <c r="N433" i="4"/>
  <c r="P433" i="4"/>
  <c r="A434" i="4"/>
  <c r="B434" i="4"/>
  <c r="E434" i="4"/>
  <c r="H434" i="4"/>
  <c r="L434" i="4"/>
  <c r="M434" i="4"/>
  <c r="N434" i="4"/>
  <c r="P434" i="4"/>
  <c r="A435" i="4"/>
  <c r="B435" i="4"/>
  <c r="E435" i="4"/>
  <c r="H435" i="4"/>
  <c r="L435" i="4"/>
  <c r="M435" i="4"/>
  <c r="N435" i="4"/>
  <c r="P435" i="4"/>
  <c r="A436" i="4"/>
  <c r="B436" i="4"/>
  <c r="E436" i="4"/>
  <c r="H436" i="4"/>
  <c r="L436" i="4"/>
  <c r="M436" i="4"/>
  <c r="N436" i="4"/>
  <c r="P436" i="4"/>
  <c r="A437" i="4"/>
  <c r="B437" i="4"/>
  <c r="E437" i="4"/>
  <c r="H437" i="4"/>
  <c r="L437" i="4"/>
  <c r="M437" i="4"/>
  <c r="N437" i="4"/>
  <c r="P437" i="4"/>
  <c r="A438" i="4"/>
  <c r="B438" i="4"/>
  <c r="E438" i="4"/>
  <c r="H438" i="4"/>
  <c r="L438" i="4"/>
  <c r="M438" i="4"/>
  <c r="N438" i="4"/>
  <c r="P438" i="4"/>
  <c r="A439" i="4"/>
  <c r="B439" i="4"/>
  <c r="E439" i="4"/>
  <c r="H439" i="4"/>
  <c r="L439" i="4"/>
  <c r="M439" i="4"/>
  <c r="N439" i="4"/>
  <c r="P439" i="4"/>
  <c r="A440" i="4"/>
  <c r="B440" i="4"/>
  <c r="E440" i="4"/>
  <c r="H440" i="4"/>
  <c r="L440" i="4"/>
  <c r="M440" i="4"/>
  <c r="N440" i="4"/>
  <c r="P440" i="4"/>
  <c r="A441" i="4"/>
  <c r="B441" i="4"/>
  <c r="E441" i="4"/>
  <c r="H441" i="4"/>
  <c r="L441" i="4"/>
  <c r="M441" i="4"/>
  <c r="N441" i="4"/>
  <c r="P441" i="4"/>
  <c r="A442" i="4"/>
  <c r="B442" i="4"/>
  <c r="E442" i="4"/>
  <c r="H442" i="4"/>
  <c r="L442" i="4"/>
  <c r="M442" i="4"/>
  <c r="N442" i="4"/>
  <c r="P442" i="4"/>
  <c r="A443" i="4"/>
  <c r="B443" i="4"/>
  <c r="E443" i="4"/>
  <c r="H443" i="4"/>
  <c r="L443" i="4"/>
  <c r="M443" i="4"/>
  <c r="N443" i="4"/>
  <c r="P443" i="4"/>
  <c r="A444" i="4"/>
  <c r="B444" i="4"/>
  <c r="E444" i="4"/>
  <c r="H444" i="4"/>
  <c r="L444" i="4"/>
  <c r="M444" i="4"/>
  <c r="N444" i="4"/>
  <c r="P444" i="4"/>
  <c r="A445" i="4"/>
  <c r="B445" i="4"/>
  <c r="E445" i="4"/>
  <c r="H445" i="4"/>
  <c r="L445" i="4"/>
  <c r="M445" i="4"/>
  <c r="N445" i="4"/>
  <c r="P445" i="4"/>
  <c r="A446" i="4"/>
  <c r="B446" i="4"/>
  <c r="E446" i="4"/>
  <c r="H446" i="4"/>
  <c r="L446" i="4"/>
  <c r="M446" i="4"/>
  <c r="N446" i="4"/>
  <c r="P446" i="4"/>
  <c r="A447" i="4"/>
  <c r="B447" i="4"/>
  <c r="E447" i="4"/>
  <c r="H447" i="4"/>
  <c r="L447" i="4"/>
  <c r="M447" i="4"/>
  <c r="N447" i="4"/>
  <c r="P447" i="4"/>
  <c r="A448" i="4"/>
  <c r="B448" i="4"/>
  <c r="E448" i="4"/>
  <c r="H448" i="4"/>
  <c r="L448" i="4"/>
  <c r="M448" i="4"/>
  <c r="N448" i="4"/>
  <c r="P448" i="4"/>
  <c r="A449" i="4"/>
  <c r="B449" i="4"/>
  <c r="E449" i="4"/>
  <c r="H449" i="4"/>
  <c r="L449" i="4"/>
  <c r="M449" i="4"/>
  <c r="N449" i="4"/>
  <c r="P449" i="4"/>
  <c r="A450" i="4"/>
  <c r="B450" i="4"/>
  <c r="E450" i="4"/>
  <c r="H450" i="4"/>
  <c r="L450" i="4"/>
  <c r="M450" i="4"/>
  <c r="N450" i="4"/>
  <c r="P450" i="4"/>
  <c r="A451" i="4"/>
  <c r="B451" i="4"/>
  <c r="E451" i="4"/>
  <c r="H451" i="4"/>
  <c r="L451" i="4"/>
  <c r="M451" i="4"/>
  <c r="N451" i="4"/>
  <c r="P451" i="4"/>
  <c r="A452" i="4"/>
  <c r="B452" i="4"/>
  <c r="E452" i="4"/>
  <c r="H452" i="4"/>
  <c r="L452" i="4"/>
  <c r="M452" i="4"/>
  <c r="N452" i="4"/>
  <c r="P452" i="4"/>
  <c r="A453" i="4"/>
  <c r="B453" i="4"/>
  <c r="E453" i="4"/>
  <c r="H453" i="4"/>
  <c r="L453" i="4"/>
  <c r="M453" i="4"/>
  <c r="N453" i="4"/>
  <c r="P453" i="4"/>
  <c r="A454" i="4"/>
  <c r="B454" i="4"/>
  <c r="E454" i="4"/>
  <c r="H454" i="4"/>
  <c r="L454" i="4"/>
  <c r="M454" i="4"/>
  <c r="N454" i="4"/>
  <c r="P454" i="4"/>
  <c r="A455" i="4"/>
  <c r="B455" i="4"/>
  <c r="E455" i="4"/>
  <c r="H455" i="4"/>
  <c r="L455" i="4"/>
  <c r="M455" i="4"/>
  <c r="N455" i="4"/>
  <c r="P455" i="4"/>
  <c r="A456" i="4"/>
  <c r="B456" i="4"/>
  <c r="E456" i="4"/>
  <c r="H456" i="4"/>
  <c r="L456" i="4"/>
  <c r="M456" i="4"/>
  <c r="N456" i="4"/>
  <c r="P456" i="4"/>
  <c r="A457" i="4"/>
  <c r="B457" i="4"/>
  <c r="E457" i="4"/>
  <c r="H457" i="4"/>
  <c r="L457" i="4"/>
  <c r="M457" i="4"/>
  <c r="N457" i="4"/>
  <c r="P457" i="4"/>
  <c r="A458" i="4"/>
  <c r="B458" i="4"/>
  <c r="E458" i="4"/>
  <c r="H458" i="4"/>
  <c r="L458" i="4"/>
  <c r="M458" i="4"/>
  <c r="N458" i="4"/>
  <c r="P458" i="4"/>
  <c r="A459" i="4"/>
  <c r="B459" i="4"/>
  <c r="E459" i="4"/>
  <c r="H459" i="4"/>
  <c r="L459" i="4"/>
  <c r="M459" i="4"/>
  <c r="N459" i="4"/>
  <c r="P459" i="4"/>
  <c r="A460" i="4"/>
  <c r="B460" i="4"/>
  <c r="E460" i="4"/>
  <c r="H460" i="4"/>
  <c r="L460" i="4"/>
  <c r="M460" i="4"/>
  <c r="N460" i="4"/>
  <c r="P460" i="4"/>
  <c r="A461" i="4"/>
  <c r="B461" i="4"/>
  <c r="E461" i="4"/>
  <c r="H461" i="4"/>
  <c r="L461" i="4"/>
  <c r="M461" i="4"/>
  <c r="N461" i="4"/>
  <c r="P461" i="4"/>
  <c r="A462" i="4"/>
  <c r="B462" i="4"/>
  <c r="E462" i="4"/>
  <c r="H462" i="4"/>
  <c r="L462" i="4"/>
  <c r="M462" i="4"/>
  <c r="N462" i="4"/>
  <c r="P462" i="4"/>
  <c r="A463" i="4"/>
  <c r="B463" i="4"/>
  <c r="E463" i="4"/>
  <c r="H463" i="4"/>
  <c r="L463" i="4"/>
  <c r="M463" i="4"/>
  <c r="N463" i="4"/>
  <c r="P463" i="4"/>
  <c r="A464" i="4"/>
  <c r="B464" i="4"/>
  <c r="E464" i="4"/>
  <c r="H464" i="4"/>
  <c r="L464" i="4"/>
  <c r="M464" i="4"/>
  <c r="N464" i="4"/>
  <c r="P464" i="4"/>
  <c r="A465" i="4"/>
  <c r="B465" i="4"/>
  <c r="E465" i="4"/>
  <c r="H465" i="4"/>
  <c r="L465" i="4"/>
  <c r="M465" i="4"/>
  <c r="N465" i="4"/>
  <c r="P465" i="4"/>
  <c r="A466" i="4"/>
  <c r="B466" i="4"/>
  <c r="E466" i="4"/>
  <c r="H466" i="4"/>
  <c r="L466" i="4"/>
  <c r="M466" i="4"/>
  <c r="N466" i="4"/>
  <c r="P466" i="4"/>
  <c r="A467" i="4"/>
  <c r="B467" i="4"/>
  <c r="E467" i="4"/>
  <c r="H467" i="4"/>
  <c r="L467" i="4"/>
  <c r="M467" i="4"/>
  <c r="N467" i="4"/>
  <c r="P467" i="4"/>
  <c r="A468" i="4"/>
  <c r="B468" i="4"/>
  <c r="E468" i="4"/>
  <c r="H468" i="4"/>
  <c r="L468" i="4"/>
  <c r="M468" i="4"/>
  <c r="N468" i="4"/>
  <c r="P468" i="4"/>
  <c r="A469" i="4"/>
  <c r="B469" i="4"/>
  <c r="E469" i="4"/>
  <c r="H469" i="4"/>
  <c r="L469" i="4"/>
  <c r="M469" i="4"/>
  <c r="N469" i="4"/>
  <c r="P469" i="4"/>
  <c r="A470" i="4"/>
  <c r="B470" i="4"/>
  <c r="E470" i="4"/>
  <c r="H470" i="4"/>
  <c r="L470" i="4"/>
  <c r="M470" i="4"/>
  <c r="N470" i="4"/>
  <c r="P470" i="4"/>
  <c r="A471" i="4"/>
  <c r="B471" i="4"/>
  <c r="E471" i="4"/>
  <c r="H471" i="4"/>
  <c r="L471" i="4"/>
  <c r="M471" i="4"/>
  <c r="N471" i="4"/>
  <c r="P471" i="4"/>
  <c r="A472" i="4"/>
  <c r="B472" i="4"/>
  <c r="E472" i="4"/>
  <c r="H472" i="4"/>
  <c r="L472" i="4"/>
  <c r="M472" i="4"/>
  <c r="N472" i="4"/>
  <c r="P472" i="4"/>
  <c r="A473" i="4"/>
  <c r="B473" i="4"/>
  <c r="E473" i="4"/>
  <c r="H473" i="4"/>
  <c r="L473" i="4"/>
  <c r="M473" i="4"/>
  <c r="N473" i="4"/>
  <c r="P473" i="4"/>
  <c r="A474" i="4"/>
  <c r="B474" i="4"/>
  <c r="E474" i="4"/>
  <c r="H474" i="4"/>
  <c r="L474" i="4"/>
  <c r="M474" i="4"/>
  <c r="N474" i="4"/>
  <c r="P474" i="4"/>
  <c r="A475" i="4"/>
  <c r="B475" i="4"/>
  <c r="E475" i="4"/>
  <c r="H475" i="4"/>
  <c r="L475" i="4"/>
  <c r="M475" i="4"/>
  <c r="N475" i="4"/>
  <c r="P475" i="4"/>
  <c r="A476" i="4"/>
  <c r="B476" i="4"/>
  <c r="E476" i="4"/>
  <c r="H476" i="4"/>
  <c r="L476" i="4"/>
  <c r="M476" i="4"/>
  <c r="N476" i="4"/>
  <c r="P476" i="4"/>
  <c r="A477" i="4"/>
  <c r="B477" i="4"/>
  <c r="E477" i="4"/>
  <c r="H477" i="4"/>
  <c r="L477" i="4"/>
  <c r="M477" i="4"/>
  <c r="N477" i="4"/>
  <c r="P477" i="4"/>
  <c r="A478" i="4"/>
  <c r="B478" i="4"/>
  <c r="E478" i="4"/>
  <c r="H478" i="4"/>
  <c r="L478" i="4"/>
  <c r="M478" i="4"/>
  <c r="N478" i="4"/>
  <c r="P478" i="4"/>
  <c r="A479" i="4"/>
  <c r="B479" i="4"/>
  <c r="E479" i="4"/>
  <c r="H479" i="4"/>
  <c r="L479" i="4"/>
  <c r="M479" i="4"/>
  <c r="N479" i="4"/>
  <c r="P479" i="4"/>
  <c r="A480" i="4"/>
  <c r="B480" i="4"/>
  <c r="E480" i="4"/>
  <c r="H480" i="4"/>
  <c r="L480" i="4"/>
  <c r="M480" i="4"/>
  <c r="N480" i="4"/>
  <c r="P480" i="4"/>
  <c r="A481" i="4"/>
  <c r="B481" i="4"/>
  <c r="E481" i="4"/>
  <c r="H481" i="4"/>
  <c r="L481" i="4"/>
  <c r="M481" i="4"/>
  <c r="N481" i="4"/>
  <c r="P481" i="4"/>
  <c r="A482" i="4"/>
  <c r="B482" i="4"/>
  <c r="E482" i="4"/>
  <c r="H482" i="4"/>
  <c r="L482" i="4"/>
  <c r="M482" i="4"/>
  <c r="N482" i="4"/>
  <c r="P482" i="4"/>
  <c r="A483" i="4"/>
  <c r="B483" i="4"/>
  <c r="E483" i="4"/>
  <c r="H483" i="4"/>
  <c r="L483" i="4"/>
  <c r="M483" i="4"/>
  <c r="N483" i="4"/>
  <c r="P483" i="4"/>
  <c r="A484" i="4"/>
  <c r="B484" i="4"/>
  <c r="E484" i="4"/>
  <c r="H484" i="4"/>
  <c r="L484" i="4"/>
  <c r="M484" i="4"/>
  <c r="N484" i="4"/>
  <c r="P484" i="4"/>
  <c r="A485" i="4"/>
  <c r="B485" i="4"/>
  <c r="E485" i="4"/>
  <c r="H485" i="4"/>
  <c r="L485" i="4"/>
  <c r="M485" i="4"/>
  <c r="N485" i="4"/>
  <c r="P485" i="4"/>
  <c r="A486" i="4"/>
  <c r="B486" i="4"/>
  <c r="E486" i="4"/>
  <c r="H486" i="4"/>
  <c r="L486" i="4"/>
  <c r="M486" i="4"/>
  <c r="N486" i="4"/>
  <c r="P486" i="4"/>
  <c r="A487" i="4"/>
  <c r="B487" i="4"/>
  <c r="E487" i="4"/>
  <c r="H487" i="4"/>
  <c r="L487" i="4"/>
  <c r="M487" i="4"/>
  <c r="N487" i="4"/>
  <c r="P487" i="4"/>
  <c r="A488" i="4"/>
  <c r="B488" i="4"/>
  <c r="E488" i="4"/>
  <c r="H488" i="4"/>
  <c r="L488" i="4"/>
  <c r="M488" i="4"/>
  <c r="N488" i="4"/>
  <c r="P488" i="4"/>
  <c r="A489" i="4"/>
  <c r="B489" i="4"/>
  <c r="E489" i="4"/>
  <c r="H489" i="4"/>
  <c r="L489" i="4"/>
  <c r="M489" i="4"/>
  <c r="N489" i="4"/>
  <c r="P489" i="4"/>
  <c r="A490" i="4"/>
  <c r="B490" i="4"/>
  <c r="E490" i="4"/>
  <c r="H490" i="4"/>
  <c r="L490" i="4"/>
  <c r="M490" i="4"/>
  <c r="N490" i="4"/>
  <c r="P490" i="4"/>
  <c r="A491" i="4"/>
  <c r="B491" i="4"/>
  <c r="E491" i="4"/>
  <c r="H491" i="4"/>
  <c r="L491" i="4"/>
  <c r="M491" i="4"/>
  <c r="N491" i="4"/>
  <c r="P491" i="4"/>
  <c r="A492" i="4"/>
  <c r="B492" i="4"/>
  <c r="E492" i="4"/>
  <c r="H492" i="4"/>
  <c r="L492" i="4"/>
  <c r="M492" i="4"/>
  <c r="N492" i="4"/>
  <c r="P492" i="4"/>
  <c r="A493" i="4"/>
  <c r="B493" i="4"/>
  <c r="E493" i="4"/>
  <c r="H493" i="4"/>
  <c r="L493" i="4"/>
  <c r="M493" i="4"/>
  <c r="N493" i="4"/>
  <c r="P493" i="4"/>
  <c r="A494" i="4"/>
  <c r="B494" i="4"/>
  <c r="E494" i="4"/>
  <c r="H494" i="4"/>
  <c r="L494" i="4"/>
  <c r="M494" i="4"/>
  <c r="N494" i="4"/>
  <c r="P494" i="4"/>
  <c r="A495" i="4"/>
  <c r="B495" i="4"/>
  <c r="E495" i="4"/>
  <c r="H495" i="4"/>
  <c r="L495" i="4"/>
  <c r="M495" i="4"/>
  <c r="N495" i="4"/>
  <c r="P495" i="4"/>
  <c r="A496" i="4"/>
  <c r="B496" i="4"/>
  <c r="E496" i="4"/>
  <c r="H496" i="4"/>
  <c r="L496" i="4"/>
  <c r="M496" i="4"/>
  <c r="N496" i="4"/>
  <c r="P496" i="4"/>
  <c r="A497" i="4"/>
  <c r="B497" i="4"/>
  <c r="E497" i="4"/>
  <c r="H497" i="4"/>
  <c r="L497" i="4"/>
  <c r="M497" i="4"/>
  <c r="N497" i="4"/>
  <c r="P497" i="4"/>
  <c r="A498" i="4"/>
  <c r="B498" i="4"/>
  <c r="E498" i="4"/>
  <c r="H498" i="4"/>
  <c r="L498" i="4"/>
  <c r="M498" i="4"/>
  <c r="N498" i="4"/>
  <c r="P498" i="4"/>
  <c r="A499" i="4"/>
  <c r="B499" i="4"/>
  <c r="E499" i="4"/>
  <c r="H499" i="4"/>
  <c r="L499" i="4"/>
  <c r="M499" i="4"/>
  <c r="N499" i="4"/>
  <c r="P499" i="4"/>
  <c r="A500" i="4"/>
  <c r="B500" i="4"/>
  <c r="E500" i="4"/>
  <c r="H500" i="4"/>
  <c r="L500" i="4"/>
  <c r="M500" i="4"/>
  <c r="N500" i="4"/>
  <c r="P500" i="4"/>
  <c r="A501" i="4"/>
  <c r="B501" i="4"/>
  <c r="E501" i="4"/>
  <c r="H501" i="4"/>
  <c r="L501" i="4"/>
  <c r="M501" i="4"/>
  <c r="N501" i="4"/>
  <c r="P501" i="4"/>
  <c r="A502" i="4"/>
  <c r="B502" i="4"/>
  <c r="E502" i="4"/>
  <c r="H502" i="4"/>
  <c r="L502" i="4"/>
  <c r="M502" i="4"/>
  <c r="N502" i="4"/>
  <c r="P502" i="4"/>
  <c r="A503" i="4"/>
  <c r="B503" i="4"/>
  <c r="E503" i="4"/>
  <c r="H503" i="4"/>
  <c r="L503" i="4"/>
  <c r="M503" i="4"/>
  <c r="N503" i="4"/>
  <c r="P503" i="4"/>
  <c r="A504" i="4"/>
  <c r="B504" i="4"/>
  <c r="E504" i="4"/>
  <c r="H504" i="4"/>
  <c r="L504" i="4"/>
  <c r="M504" i="4"/>
  <c r="N504" i="4"/>
  <c r="P504" i="4"/>
  <c r="A505" i="4"/>
  <c r="B505" i="4"/>
  <c r="E505" i="4"/>
  <c r="H505" i="4"/>
  <c r="L505" i="4"/>
  <c r="M505" i="4"/>
  <c r="N505" i="4"/>
  <c r="P505" i="4"/>
  <c r="A506" i="4"/>
  <c r="B506" i="4"/>
  <c r="E506" i="4"/>
  <c r="H506" i="4"/>
  <c r="L506" i="4"/>
  <c r="M506" i="4"/>
  <c r="N506" i="4"/>
  <c r="P506" i="4"/>
  <c r="A507" i="4"/>
  <c r="B507" i="4"/>
  <c r="E507" i="4"/>
  <c r="H507" i="4"/>
  <c r="L507" i="4"/>
  <c r="M507" i="4"/>
  <c r="N507" i="4"/>
  <c r="P507" i="4"/>
  <c r="A508" i="4"/>
  <c r="B508" i="4"/>
  <c r="E508" i="4"/>
  <c r="H508" i="4"/>
  <c r="L508" i="4"/>
  <c r="M508" i="4"/>
  <c r="N508" i="4"/>
  <c r="P508" i="4"/>
  <c r="A509" i="4"/>
  <c r="B509" i="4"/>
  <c r="E509" i="4"/>
  <c r="H509" i="4"/>
  <c r="L509" i="4"/>
  <c r="M509" i="4"/>
  <c r="N509" i="4"/>
  <c r="P509" i="4"/>
  <c r="A510" i="4"/>
  <c r="B510" i="4"/>
  <c r="E510" i="4"/>
  <c r="H510" i="4"/>
  <c r="L510" i="4"/>
  <c r="M510" i="4"/>
  <c r="N510" i="4"/>
  <c r="P510" i="4"/>
  <c r="A511" i="4"/>
  <c r="B511" i="4"/>
  <c r="E511" i="4"/>
  <c r="H511" i="4"/>
  <c r="L511" i="4"/>
  <c r="M511" i="4"/>
  <c r="N511" i="4"/>
  <c r="P511" i="4"/>
  <c r="A512" i="4"/>
  <c r="B512" i="4"/>
  <c r="E512" i="4"/>
  <c r="H512" i="4"/>
  <c r="L512" i="4"/>
  <c r="M512" i="4"/>
  <c r="N512" i="4"/>
  <c r="P512" i="4"/>
  <c r="A513" i="4"/>
  <c r="B513" i="4"/>
  <c r="E513" i="4"/>
  <c r="H513" i="4"/>
  <c r="L513" i="4"/>
  <c r="M513" i="4"/>
  <c r="N513" i="4"/>
  <c r="P513" i="4"/>
  <c r="A514" i="4"/>
  <c r="B514" i="4"/>
  <c r="E514" i="4"/>
  <c r="H514" i="4"/>
  <c r="L514" i="4"/>
  <c r="M514" i="4"/>
  <c r="N514" i="4"/>
  <c r="P514" i="4"/>
  <c r="A515" i="4"/>
  <c r="B515" i="4"/>
  <c r="E515" i="4"/>
  <c r="H515" i="4"/>
  <c r="L515" i="4"/>
  <c r="M515" i="4"/>
  <c r="N515" i="4"/>
  <c r="P515" i="4"/>
  <c r="A516" i="4"/>
  <c r="B516" i="4"/>
  <c r="E516" i="4"/>
  <c r="H516" i="4"/>
  <c r="L516" i="4"/>
  <c r="M516" i="4"/>
  <c r="N516" i="4"/>
  <c r="P516" i="4"/>
  <c r="A517" i="4"/>
  <c r="B517" i="4"/>
  <c r="E517" i="4"/>
  <c r="H517" i="4"/>
  <c r="L517" i="4"/>
  <c r="M517" i="4"/>
  <c r="N517" i="4"/>
  <c r="P517" i="4"/>
  <c r="A518" i="4"/>
  <c r="B518" i="4"/>
  <c r="E518" i="4"/>
  <c r="H518" i="4"/>
  <c r="L518" i="4"/>
  <c r="M518" i="4"/>
  <c r="N518" i="4"/>
  <c r="P518" i="4"/>
  <c r="A519" i="4"/>
  <c r="B519" i="4"/>
  <c r="E519" i="4"/>
  <c r="H519" i="4"/>
  <c r="L519" i="4"/>
  <c r="M519" i="4"/>
  <c r="N519" i="4"/>
  <c r="P519" i="4"/>
  <c r="A520" i="4"/>
  <c r="B520" i="4"/>
  <c r="E520" i="4"/>
  <c r="H520" i="4"/>
  <c r="L520" i="4"/>
  <c r="M520" i="4"/>
  <c r="N520" i="4"/>
  <c r="P520" i="4"/>
  <c r="A521" i="4"/>
  <c r="B521" i="4"/>
  <c r="E521" i="4"/>
  <c r="H521" i="4"/>
  <c r="L521" i="4"/>
  <c r="M521" i="4"/>
  <c r="N521" i="4"/>
  <c r="P521" i="4"/>
  <c r="A522" i="4"/>
  <c r="B522" i="4"/>
  <c r="E522" i="4"/>
  <c r="H522" i="4"/>
  <c r="L522" i="4"/>
  <c r="M522" i="4"/>
  <c r="N522" i="4"/>
  <c r="P522" i="4"/>
  <c r="A523" i="4"/>
  <c r="B523" i="4"/>
  <c r="E523" i="4"/>
  <c r="H523" i="4"/>
  <c r="L523" i="4"/>
  <c r="M523" i="4"/>
  <c r="N523" i="4"/>
  <c r="P523" i="4"/>
  <c r="A524" i="4"/>
  <c r="B524" i="4"/>
  <c r="E524" i="4"/>
  <c r="H524" i="4"/>
  <c r="L524" i="4"/>
  <c r="M524" i="4"/>
  <c r="N524" i="4"/>
  <c r="P524" i="4"/>
  <c r="A525" i="4"/>
  <c r="B525" i="4"/>
  <c r="E525" i="4"/>
  <c r="H525" i="4"/>
  <c r="L525" i="4"/>
  <c r="M525" i="4"/>
  <c r="N525" i="4"/>
  <c r="P525" i="4"/>
  <c r="A526" i="4"/>
  <c r="B526" i="4"/>
  <c r="E526" i="4"/>
  <c r="H526" i="4"/>
  <c r="L526" i="4"/>
  <c r="M526" i="4"/>
  <c r="N526" i="4"/>
  <c r="P526" i="4"/>
  <c r="A527" i="4"/>
  <c r="B527" i="4"/>
  <c r="E527" i="4"/>
  <c r="H527" i="4"/>
  <c r="L527" i="4"/>
  <c r="M527" i="4"/>
  <c r="N527" i="4"/>
  <c r="P527" i="4"/>
  <c r="A528" i="4"/>
  <c r="B528" i="4"/>
  <c r="E528" i="4"/>
  <c r="H528" i="4"/>
  <c r="L528" i="4"/>
  <c r="M528" i="4"/>
  <c r="N528" i="4"/>
  <c r="P528" i="4"/>
  <c r="A529" i="4"/>
  <c r="B529" i="4"/>
  <c r="E529" i="4"/>
  <c r="H529" i="4"/>
  <c r="L529" i="4"/>
  <c r="M529" i="4"/>
  <c r="N529" i="4"/>
  <c r="P529" i="4"/>
  <c r="A530" i="4"/>
  <c r="B530" i="4"/>
  <c r="E530" i="4"/>
  <c r="H530" i="4"/>
  <c r="L530" i="4"/>
  <c r="M530" i="4"/>
  <c r="N530" i="4"/>
  <c r="P530" i="4"/>
  <c r="A531" i="4"/>
  <c r="B531" i="4"/>
  <c r="E531" i="4"/>
  <c r="H531" i="4"/>
  <c r="L531" i="4"/>
  <c r="M531" i="4"/>
  <c r="N531" i="4"/>
  <c r="P531" i="4"/>
  <c r="A532" i="4"/>
  <c r="B532" i="4"/>
  <c r="E532" i="4"/>
  <c r="H532" i="4"/>
  <c r="L532" i="4"/>
  <c r="M532" i="4"/>
  <c r="N532" i="4"/>
  <c r="P532" i="4"/>
  <c r="A533" i="4"/>
  <c r="B533" i="4"/>
  <c r="E533" i="4"/>
  <c r="H533" i="4"/>
  <c r="L533" i="4"/>
  <c r="M533" i="4"/>
  <c r="N533" i="4"/>
  <c r="P533" i="4"/>
  <c r="A534" i="4"/>
  <c r="B534" i="4"/>
  <c r="E534" i="4"/>
  <c r="H534" i="4"/>
  <c r="L534" i="4"/>
  <c r="M534" i="4"/>
  <c r="N534" i="4"/>
  <c r="P534" i="4"/>
  <c r="A535" i="4"/>
  <c r="B535" i="4"/>
  <c r="E535" i="4"/>
  <c r="H535" i="4"/>
  <c r="L535" i="4"/>
  <c r="M535" i="4"/>
  <c r="N535" i="4"/>
  <c r="P535" i="4"/>
  <c r="A536" i="4"/>
  <c r="B536" i="4"/>
  <c r="E536" i="4"/>
  <c r="H536" i="4"/>
  <c r="L536" i="4"/>
  <c r="M536" i="4"/>
  <c r="N536" i="4"/>
  <c r="P536" i="4"/>
  <c r="A537" i="4"/>
  <c r="B537" i="4"/>
  <c r="E537" i="4"/>
  <c r="H537" i="4"/>
  <c r="L537" i="4"/>
  <c r="M537" i="4"/>
  <c r="N537" i="4"/>
  <c r="P537" i="4"/>
  <c r="A538" i="4"/>
  <c r="B538" i="4"/>
  <c r="E538" i="4"/>
  <c r="H538" i="4"/>
  <c r="L538" i="4"/>
  <c r="M538" i="4"/>
  <c r="N538" i="4"/>
  <c r="P538" i="4"/>
  <c r="A539" i="4"/>
  <c r="B539" i="4"/>
  <c r="E539" i="4"/>
  <c r="H539" i="4"/>
  <c r="L539" i="4"/>
  <c r="M539" i="4"/>
  <c r="N539" i="4"/>
  <c r="P539" i="4"/>
  <c r="A540" i="4"/>
  <c r="B540" i="4"/>
  <c r="E540" i="4"/>
  <c r="H540" i="4"/>
  <c r="L540" i="4"/>
  <c r="M540" i="4"/>
  <c r="N540" i="4"/>
  <c r="P540" i="4"/>
  <c r="A541" i="4"/>
  <c r="B541" i="4"/>
  <c r="E541" i="4"/>
  <c r="H541" i="4"/>
  <c r="L541" i="4"/>
  <c r="M541" i="4"/>
  <c r="N541" i="4"/>
  <c r="P541" i="4"/>
  <c r="A542" i="4"/>
  <c r="B542" i="4"/>
  <c r="E542" i="4"/>
  <c r="H542" i="4"/>
  <c r="L542" i="4"/>
  <c r="M542" i="4"/>
  <c r="N542" i="4"/>
  <c r="P542" i="4"/>
  <c r="A543" i="4"/>
  <c r="B543" i="4"/>
  <c r="E543" i="4"/>
  <c r="H543" i="4"/>
  <c r="L543" i="4"/>
  <c r="M543" i="4"/>
  <c r="N543" i="4"/>
  <c r="P543" i="4"/>
  <c r="A544" i="4"/>
  <c r="B544" i="4"/>
  <c r="E544" i="4"/>
  <c r="H544" i="4"/>
  <c r="L544" i="4"/>
  <c r="M544" i="4"/>
  <c r="N544" i="4"/>
  <c r="P544" i="4"/>
  <c r="A545" i="4"/>
  <c r="B545" i="4"/>
  <c r="E545" i="4"/>
  <c r="H545" i="4"/>
  <c r="L545" i="4"/>
  <c r="M545" i="4"/>
  <c r="N545" i="4"/>
  <c r="P545" i="4"/>
  <c r="A546" i="4"/>
  <c r="B546" i="4"/>
  <c r="E546" i="4"/>
  <c r="H546" i="4"/>
  <c r="L546" i="4"/>
  <c r="M546" i="4"/>
  <c r="N546" i="4"/>
  <c r="P546" i="4"/>
  <c r="A547" i="4"/>
  <c r="B547" i="4"/>
  <c r="E547" i="4"/>
  <c r="H547" i="4"/>
  <c r="L547" i="4"/>
  <c r="M547" i="4"/>
  <c r="N547" i="4"/>
  <c r="P547" i="4"/>
  <c r="A548" i="4"/>
  <c r="B548" i="4"/>
  <c r="E548" i="4"/>
  <c r="H548" i="4"/>
  <c r="L548" i="4"/>
  <c r="M548" i="4"/>
  <c r="N548" i="4"/>
  <c r="P548" i="4"/>
  <c r="A549" i="4"/>
  <c r="B549" i="4"/>
  <c r="E549" i="4"/>
  <c r="H549" i="4"/>
  <c r="L549" i="4"/>
  <c r="M549" i="4"/>
  <c r="N549" i="4"/>
  <c r="P549" i="4"/>
  <c r="A550" i="4"/>
  <c r="B550" i="4"/>
  <c r="E550" i="4"/>
  <c r="H550" i="4"/>
  <c r="L550" i="4"/>
  <c r="M550" i="4"/>
  <c r="N550" i="4"/>
  <c r="P550" i="4"/>
  <c r="A551" i="4"/>
  <c r="B551" i="4"/>
  <c r="E551" i="4"/>
  <c r="H551" i="4"/>
  <c r="L551" i="4"/>
  <c r="M551" i="4"/>
  <c r="N551" i="4"/>
  <c r="P551" i="4"/>
  <c r="A552" i="4"/>
  <c r="B552" i="4"/>
  <c r="E552" i="4"/>
  <c r="H552" i="4"/>
  <c r="L552" i="4"/>
  <c r="M552" i="4"/>
  <c r="N552" i="4"/>
  <c r="P552" i="4"/>
  <c r="A553" i="4"/>
  <c r="B553" i="4"/>
  <c r="E553" i="4"/>
  <c r="H553" i="4"/>
  <c r="L553" i="4"/>
  <c r="M553" i="4"/>
  <c r="N553" i="4"/>
  <c r="P553" i="4"/>
  <c r="A554" i="4"/>
  <c r="B554" i="4"/>
  <c r="E554" i="4"/>
  <c r="H554" i="4"/>
  <c r="L554" i="4"/>
  <c r="M554" i="4"/>
  <c r="N554" i="4"/>
  <c r="P554" i="4"/>
  <c r="A555" i="4"/>
  <c r="B555" i="4"/>
  <c r="E555" i="4"/>
  <c r="H555" i="4"/>
  <c r="L555" i="4"/>
  <c r="M555" i="4"/>
  <c r="N555" i="4"/>
  <c r="P555" i="4"/>
  <c r="A556" i="4"/>
  <c r="B556" i="4"/>
  <c r="E556" i="4"/>
  <c r="H556" i="4"/>
  <c r="L556" i="4"/>
  <c r="M556" i="4"/>
  <c r="N556" i="4"/>
  <c r="P556" i="4"/>
  <c r="A557" i="4"/>
  <c r="B557" i="4"/>
  <c r="E557" i="4"/>
  <c r="H557" i="4"/>
  <c r="L557" i="4"/>
  <c r="M557" i="4"/>
  <c r="N557" i="4"/>
  <c r="P557" i="4"/>
  <c r="A558" i="4"/>
  <c r="B558" i="4"/>
  <c r="E558" i="4"/>
  <c r="H558" i="4"/>
  <c r="L558" i="4"/>
  <c r="M558" i="4"/>
  <c r="N558" i="4"/>
  <c r="P558" i="4"/>
  <c r="A559" i="4"/>
  <c r="B559" i="4"/>
  <c r="E559" i="4"/>
  <c r="H559" i="4"/>
  <c r="L559" i="4"/>
  <c r="M559" i="4"/>
  <c r="N559" i="4"/>
  <c r="P559" i="4"/>
  <c r="A560" i="4"/>
  <c r="B560" i="4"/>
  <c r="E560" i="4"/>
  <c r="H560" i="4"/>
  <c r="L560" i="4"/>
  <c r="M560" i="4"/>
  <c r="N560" i="4"/>
  <c r="P560" i="4"/>
  <c r="A561" i="4"/>
  <c r="B561" i="4"/>
  <c r="E561" i="4"/>
  <c r="H561" i="4"/>
  <c r="L561" i="4"/>
  <c r="M561" i="4"/>
  <c r="N561" i="4"/>
  <c r="P561" i="4"/>
  <c r="A562" i="4"/>
  <c r="B562" i="4"/>
  <c r="E562" i="4"/>
  <c r="H562" i="4"/>
  <c r="L562" i="4"/>
  <c r="M562" i="4"/>
  <c r="N562" i="4"/>
  <c r="P562" i="4"/>
  <c r="A563" i="4"/>
  <c r="B563" i="4"/>
  <c r="E563" i="4"/>
  <c r="H563" i="4"/>
  <c r="L563" i="4"/>
  <c r="M563" i="4"/>
  <c r="N563" i="4"/>
  <c r="P563" i="4"/>
  <c r="A564" i="4"/>
  <c r="B564" i="4"/>
  <c r="E564" i="4"/>
  <c r="H564" i="4"/>
  <c r="L564" i="4"/>
  <c r="M564" i="4"/>
  <c r="N564" i="4"/>
  <c r="P564" i="4"/>
  <c r="A565" i="4"/>
  <c r="B565" i="4"/>
  <c r="E565" i="4"/>
  <c r="H565" i="4"/>
  <c r="L565" i="4"/>
  <c r="M565" i="4"/>
  <c r="N565" i="4"/>
  <c r="P565" i="4"/>
  <c r="A566" i="4"/>
  <c r="B566" i="4"/>
  <c r="E566" i="4"/>
  <c r="H566" i="4"/>
  <c r="L566" i="4"/>
  <c r="M566" i="4"/>
  <c r="N566" i="4"/>
  <c r="P566" i="4"/>
  <c r="A567" i="4"/>
  <c r="B567" i="4"/>
  <c r="E567" i="4"/>
  <c r="H567" i="4"/>
  <c r="L567" i="4"/>
  <c r="M567" i="4"/>
  <c r="N567" i="4"/>
  <c r="P567" i="4"/>
  <c r="A568" i="4"/>
  <c r="B568" i="4"/>
  <c r="E568" i="4"/>
  <c r="H568" i="4"/>
  <c r="L568" i="4"/>
  <c r="M568" i="4"/>
  <c r="N568" i="4"/>
  <c r="P568" i="4"/>
  <c r="A569" i="4"/>
  <c r="B569" i="4"/>
  <c r="E569" i="4"/>
  <c r="H569" i="4"/>
  <c r="L569" i="4"/>
  <c r="M569" i="4"/>
  <c r="N569" i="4"/>
  <c r="P569" i="4"/>
  <c r="A570" i="4"/>
  <c r="B570" i="4"/>
  <c r="E570" i="4"/>
  <c r="H570" i="4"/>
  <c r="L570" i="4"/>
  <c r="M570" i="4"/>
  <c r="N570" i="4"/>
  <c r="P570" i="4"/>
  <c r="A571" i="4"/>
  <c r="B571" i="4"/>
  <c r="E571" i="4"/>
  <c r="H571" i="4"/>
  <c r="L571" i="4"/>
  <c r="M571" i="4"/>
  <c r="N571" i="4"/>
  <c r="P571" i="4"/>
  <c r="A572" i="4"/>
  <c r="B572" i="4"/>
  <c r="E572" i="4"/>
  <c r="H572" i="4"/>
  <c r="L572" i="4"/>
  <c r="M572" i="4"/>
  <c r="N572" i="4"/>
  <c r="P572" i="4"/>
  <c r="A573" i="4"/>
  <c r="B573" i="4"/>
  <c r="E573" i="4"/>
  <c r="H573" i="4"/>
  <c r="L573" i="4"/>
  <c r="M573" i="4"/>
  <c r="N573" i="4"/>
  <c r="P573" i="4"/>
  <c r="A574" i="4"/>
  <c r="B574" i="4"/>
  <c r="E574" i="4"/>
  <c r="H574" i="4"/>
  <c r="L574" i="4"/>
  <c r="M574" i="4"/>
  <c r="N574" i="4"/>
  <c r="P574" i="4"/>
  <c r="A575" i="4"/>
  <c r="B575" i="4"/>
  <c r="E575" i="4"/>
  <c r="H575" i="4"/>
  <c r="L575" i="4"/>
  <c r="M575" i="4"/>
  <c r="N575" i="4"/>
  <c r="P575" i="4"/>
  <c r="A576" i="4"/>
  <c r="B576" i="4"/>
  <c r="E576" i="4"/>
  <c r="H576" i="4"/>
  <c r="L576" i="4"/>
  <c r="M576" i="4"/>
  <c r="N576" i="4"/>
  <c r="P576" i="4"/>
  <c r="A577" i="4"/>
  <c r="B577" i="4"/>
  <c r="E577" i="4"/>
  <c r="H577" i="4"/>
  <c r="L577" i="4"/>
  <c r="M577" i="4"/>
  <c r="N577" i="4"/>
  <c r="P577" i="4"/>
  <c r="A578" i="4"/>
  <c r="B578" i="4"/>
  <c r="E578" i="4"/>
  <c r="H578" i="4"/>
  <c r="L578" i="4"/>
  <c r="M578" i="4"/>
  <c r="N578" i="4"/>
  <c r="P578" i="4"/>
  <c r="A579" i="4"/>
  <c r="B579" i="4"/>
  <c r="E579" i="4"/>
  <c r="H579" i="4"/>
  <c r="L579" i="4"/>
  <c r="M579" i="4"/>
  <c r="N579" i="4"/>
  <c r="P579" i="4"/>
  <c r="A580" i="4"/>
  <c r="B580" i="4"/>
  <c r="E580" i="4"/>
  <c r="H580" i="4"/>
  <c r="L580" i="4"/>
  <c r="M580" i="4"/>
  <c r="N580" i="4"/>
  <c r="P580" i="4"/>
  <c r="A581" i="4"/>
  <c r="B581" i="4"/>
  <c r="E581" i="4"/>
  <c r="H581" i="4"/>
  <c r="L581" i="4"/>
  <c r="M581" i="4"/>
  <c r="N581" i="4"/>
  <c r="P581" i="4"/>
  <c r="A582" i="4"/>
  <c r="B582" i="4"/>
  <c r="E582" i="4"/>
  <c r="H582" i="4"/>
  <c r="L582" i="4"/>
  <c r="M582" i="4"/>
  <c r="N582" i="4"/>
  <c r="P582" i="4"/>
  <c r="A583" i="4"/>
  <c r="B583" i="4"/>
  <c r="E583" i="4"/>
  <c r="H583" i="4"/>
  <c r="L583" i="4"/>
  <c r="M583" i="4"/>
  <c r="N583" i="4"/>
  <c r="P583" i="4"/>
  <c r="A584" i="4"/>
  <c r="B584" i="4"/>
  <c r="E584" i="4"/>
  <c r="H584" i="4"/>
  <c r="L584" i="4"/>
  <c r="M584" i="4"/>
  <c r="N584" i="4"/>
  <c r="P584" i="4"/>
  <c r="A585" i="4"/>
  <c r="B585" i="4"/>
  <c r="E585" i="4"/>
  <c r="H585" i="4"/>
  <c r="L585" i="4"/>
  <c r="M585" i="4"/>
  <c r="N585" i="4"/>
  <c r="P585" i="4"/>
  <c r="A586" i="4"/>
  <c r="B586" i="4"/>
  <c r="E586" i="4"/>
  <c r="H586" i="4"/>
  <c r="L586" i="4"/>
  <c r="M586" i="4"/>
  <c r="N586" i="4"/>
  <c r="P586" i="4"/>
  <c r="A587" i="4"/>
  <c r="B587" i="4"/>
  <c r="E587" i="4"/>
  <c r="H587" i="4"/>
  <c r="L587" i="4"/>
  <c r="M587" i="4"/>
  <c r="N587" i="4"/>
  <c r="P587" i="4"/>
  <c r="A588" i="4"/>
  <c r="B588" i="4"/>
  <c r="E588" i="4"/>
  <c r="H588" i="4"/>
  <c r="L588" i="4"/>
  <c r="M588" i="4"/>
  <c r="N588" i="4"/>
  <c r="P588" i="4"/>
  <c r="A589" i="4"/>
  <c r="B589" i="4"/>
  <c r="E589" i="4"/>
  <c r="H589" i="4"/>
  <c r="L589" i="4"/>
  <c r="M589" i="4"/>
  <c r="N589" i="4"/>
  <c r="P589" i="4"/>
  <c r="A590" i="4"/>
  <c r="B590" i="4"/>
  <c r="E590" i="4"/>
  <c r="H590" i="4"/>
  <c r="L590" i="4"/>
  <c r="M590" i="4"/>
  <c r="N590" i="4"/>
  <c r="P590" i="4"/>
  <c r="A591" i="4"/>
  <c r="B591" i="4"/>
  <c r="E591" i="4"/>
  <c r="H591" i="4"/>
  <c r="L591" i="4"/>
  <c r="M591" i="4"/>
  <c r="N591" i="4"/>
  <c r="P591" i="4"/>
  <c r="A592" i="4"/>
  <c r="B592" i="4"/>
  <c r="E592" i="4"/>
  <c r="H592" i="4"/>
  <c r="L592" i="4"/>
  <c r="M592" i="4"/>
  <c r="N592" i="4"/>
  <c r="P592" i="4"/>
  <c r="A593" i="4"/>
  <c r="B593" i="4"/>
  <c r="E593" i="4"/>
  <c r="H593" i="4"/>
  <c r="L593" i="4"/>
  <c r="M593" i="4"/>
  <c r="N593" i="4"/>
  <c r="P593" i="4"/>
  <c r="A594" i="4"/>
  <c r="B594" i="4"/>
  <c r="E594" i="4"/>
  <c r="H594" i="4"/>
  <c r="L594" i="4"/>
  <c r="M594" i="4"/>
  <c r="N594" i="4"/>
  <c r="P594" i="4"/>
  <c r="A595" i="4"/>
  <c r="B595" i="4"/>
  <c r="E595" i="4"/>
  <c r="H595" i="4"/>
  <c r="L595" i="4"/>
  <c r="M595" i="4"/>
  <c r="N595" i="4"/>
  <c r="P595" i="4"/>
  <c r="A596" i="4"/>
  <c r="B596" i="4"/>
  <c r="E596" i="4"/>
  <c r="H596" i="4"/>
  <c r="L596" i="4"/>
  <c r="M596" i="4"/>
  <c r="N596" i="4"/>
  <c r="P596" i="4"/>
  <c r="A597" i="4"/>
  <c r="B597" i="4"/>
  <c r="E597" i="4"/>
  <c r="H597" i="4"/>
  <c r="L597" i="4"/>
  <c r="M597" i="4"/>
  <c r="N597" i="4"/>
  <c r="P597" i="4"/>
  <c r="A598" i="4"/>
  <c r="B598" i="4"/>
  <c r="E598" i="4"/>
  <c r="H598" i="4"/>
  <c r="L598" i="4"/>
  <c r="M598" i="4"/>
  <c r="N598" i="4"/>
  <c r="P598" i="4"/>
  <c r="A599" i="4"/>
  <c r="B599" i="4"/>
  <c r="E599" i="4"/>
  <c r="H599" i="4"/>
  <c r="L599" i="4"/>
  <c r="M599" i="4"/>
  <c r="N599" i="4"/>
  <c r="P599" i="4"/>
  <c r="A600" i="4"/>
  <c r="B600" i="4"/>
  <c r="E600" i="4"/>
  <c r="H600" i="4"/>
  <c r="L600" i="4"/>
  <c r="M600" i="4"/>
  <c r="N600" i="4"/>
  <c r="P600" i="4"/>
  <c r="A601" i="4"/>
  <c r="B601" i="4"/>
  <c r="E601" i="4"/>
  <c r="H601" i="4"/>
  <c r="L601" i="4"/>
  <c r="M601" i="4"/>
  <c r="N601" i="4"/>
  <c r="P601" i="4"/>
  <c r="A602" i="4"/>
  <c r="B602" i="4"/>
  <c r="E602" i="4"/>
  <c r="H602" i="4"/>
  <c r="L602" i="4"/>
  <c r="M602" i="4"/>
  <c r="N602" i="4"/>
  <c r="P602" i="4"/>
  <c r="A603" i="4"/>
  <c r="B603" i="4"/>
  <c r="E603" i="4"/>
  <c r="H603" i="4"/>
  <c r="L603" i="4"/>
  <c r="M603" i="4"/>
  <c r="N603" i="4"/>
  <c r="P603" i="4"/>
  <c r="A604" i="4"/>
  <c r="B604" i="4"/>
  <c r="E604" i="4"/>
  <c r="H604" i="4"/>
  <c r="L604" i="4"/>
  <c r="M604" i="4"/>
  <c r="N604" i="4"/>
  <c r="P604" i="4"/>
  <c r="A605" i="4"/>
  <c r="B605" i="4"/>
  <c r="E605" i="4"/>
  <c r="H605" i="4"/>
  <c r="L605" i="4"/>
  <c r="M605" i="4"/>
  <c r="N605" i="4"/>
  <c r="P605" i="4"/>
  <c r="A606" i="4"/>
  <c r="B606" i="4"/>
  <c r="E606" i="4"/>
  <c r="H606" i="4"/>
  <c r="L606" i="4"/>
  <c r="M606" i="4"/>
  <c r="N606" i="4"/>
  <c r="P606" i="4"/>
  <c r="A607" i="4"/>
  <c r="B607" i="4"/>
  <c r="E607" i="4"/>
  <c r="H607" i="4"/>
  <c r="L607" i="4"/>
  <c r="M607" i="4"/>
  <c r="N607" i="4"/>
  <c r="P607" i="4"/>
  <c r="A608" i="4"/>
  <c r="B608" i="4"/>
  <c r="E608" i="4"/>
  <c r="H608" i="4"/>
  <c r="L608" i="4"/>
  <c r="M608" i="4"/>
  <c r="N608" i="4"/>
  <c r="P608" i="4"/>
  <c r="A609" i="4"/>
  <c r="B609" i="4"/>
  <c r="E609" i="4"/>
  <c r="H609" i="4"/>
  <c r="L609" i="4"/>
  <c r="M609" i="4"/>
  <c r="N609" i="4"/>
  <c r="P609" i="4"/>
  <c r="A610" i="4"/>
  <c r="B610" i="4"/>
  <c r="E610" i="4"/>
  <c r="H610" i="4"/>
  <c r="L610" i="4"/>
  <c r="M610" i="4"/>
  <c r="N610" i="4"/>
  <c r="P610" i="4"/>
  <c r="A611" i="4"/>
  <c r="B611" i="4"/>
  <c r="E611" i="4"/>
  <c r="H611" i="4"/>
  <c r="L611" i="4"/>
  <c r="M611" i="4"/>
  <c r="N611" i="4"/>
  <c r="P611" i="4"/>
  <c r="A612" i="4"/>
  <c r="B612" i="4"/>
  <c r="E612" i="4"/>
  <c r="H612" i="4"/>
  <c r="L612" i="4"/>
  <c r="M612" i="4"/>
  <c r="N612" i="4"/>
  <c r="P612" i="4"/>
  <c r="A613" i="4"/>
  <c r="B613" i="4"/>
  <c r="E613" i="4"/>
  <c r="H613" i="4"/>
  <c r="L613" i="4"/>
  <c r="M613" i="4"/>
  <c r="N613" i="4"/>
  <c r="P613" i="4"/>
  <c r="A614" i="4"/>
  <c r="B614" i="4"/>
  <c r="E614" i="4"/>
  <c r="H614" i="4"/>
  <c r="L614" i="4"/>
  <c r="M614" i="4"/>
  <c r="N614" i="4"/>
  <c r="P614" i="4"/>
  <c r="A615" i="4"/>
  <c r="B615" i="4"/>
  <c r="E615" i="4"/>
  <c r="H615" i="4"/>
  <c r="L615" i="4"/>
  <c r="M615" i="4"/>
  <c r="N615" i="4"/>
  <c r="P615" i="4"/>
  <c r="A616" i="4"/>
  <c r="B616" i="4"/>
  <c r="E616" i="4"/>
  <c r="H616" i="4"/>
  <c r="L616" i="4"/>
  <c r="M616" i="4"/>
  <c r="N616" i="4"/>
  <c r="P616" i="4"/>
  <c r="A617" i="4"/>
  <c r="B617" i="4"/>
  <c r="E617" i="4"/>
  <c r="H617" i="4"/>
  <c r="L617" i="4"/>
  <c r="M617" i="4"/>
  <c r="N617" i="4"/>
  <c r="P617" i="4"/>
  <c r="A618" i="4"/>
  <c r="B618" i="4"/>
  <c r="E618" i="4"/>
  <c r="H618" i="4"/>
  <c r="L618" i="4"/>
  <c r="M618" i="4"/>
  <c r="N618" i="4"/>
  <c r="P618" i="4"/>
  <c r="A619" i="4"/>
  <c r="B619" i="4"/>
  <c r="E619" i="4"/>
  <c r="H619" i="4"/>
  <c r="L619" i="4"/>
  <c r="M619" i="4"/>
  <c r="N619" i="4"/>
  <c r="P619" i="4"/>
  <c r="A620" i="4"/>
  <c r="B620" i="4"/>
  <c r="E620" i="4"/>
  <c r="H620" i="4"/>
  <c r="L620" i="4"/>
  <c r="M620" i="4"/>
  <c r="N620" i="4"/>
  <c r="P620" i="4"/>
  <c r="A621" i="4"/>
  <c r="B621" i="4"/>
  <c r="E621" i="4"/>
  <c r="H621" i="4"/>
  <c r="L621" i="4"/>
  <c r="M621" i="4"/>
  <c r="N621" i="4"/>
  <c r="P621" i="4"/>
  <c r="A622" i="4"/>
  <c r="B622" i="4"/>
  <c r="E622" i="4"/>
  <c r="H622" i="4"/>
  <c r="L622" i="4"/>
  <c r="M622" i="4"/>
  <c r="N622" i="4"/>
  <c r="P622" i="4"/>
  <c r="A623" i="4"/>
  <c r="B623" i="4"/>
  <c r="E623" i="4"/>
  <c r="H623" i="4"/>
  <c r="L623" i="4"/>
  <c r="M623" i="4"/>
  <c r="N623" i="4"/>
  <c r="P623" i="4"/>
  <c r="A624" i="4"/>
  <c r="B624" i="4"/>
  <c r="E624" i="4"/>
  <c r="H624" i="4"/>
  <c r="L624" i="4"/>
  <c r="M624" i="4"/>
  <c r="N624" i="4"/>
  <c r="P624" i="4"/>
  <c r="A625" i="4"/>
  <c r="B625" i="4"/>
  <c r="E625" i="4"/>
  <c r="H625" i="4"/>
  <c r="L625" i="4"/>
  <c r="M625" i="4"/>
  <c r="N625" i="4"/>
  <c r="P625" i="4"/>
  <c r="A626" i="4"/>
  <c r="B626" i="4"/>
  <c r="E626" i="4"/>
  <c r="H626" i="4"/>
  <c r="L626" i="4"/>
  <c r="M626" i="4"/>
  <c r="N626" i="4"/>
  <c r="P626" i="4"/>
  <c r="A627" i="4"/>
  <c r="B627" i="4"/>
  <c r="E627" i="4"/>
  <c r="H627" i="4"/>
  <c r="L627" i="4"/>
  <c r="M627" i="4"/>
  <c r="N627" i="4"/>
  <c r="P627" i="4"/>
  <c r="A628" i="4"/>
  <c r="B628" i="4"/>
  <c r="E628" i="4"/>
  <c r="H628" i="4"/>
  <c r="L628" i="4"/>
  <c r="M628" i="4"/>
  <c r="N628" i="4"/>
  <c r="P628" i="4"/>
  <c r="A629" i="4"/>
  <c r="B629" i="4"/>
  <c r="E629" i="4"/>
  <c r="H629" i="4"/>
  <c r="L629" i="4"/>
  <c r="M629" i="4"/>
  <c r="N629" i="4"/>
  <c r="P629" i="4"/>
  <c r="A630" i="4"/>
  <c r="B630" i="4"/>
  <c r="E630" i="4"/>
  <c r="H630" i="4"/>
  <c r="L630" i="4"/>
  <c r="M630" i="4"/>
  <c r="N630" i="4"/>
  <c r="P630" i="4"/>
  <c r="A631" i="4"/>
  <c r="B631" i="4"/>
  <c r="E631" i="4"/>
  <c r="H631" i="4"/>
  <c r="L631" i="4"/>
  <c r="M631" i="4"/>
  <c r="N631" i="4"/>
  <c r="P631" i="4"/>
  <c r="A632" i="4"/>
  <c r="B632" i="4"/>
  <c r="E632" i="4"/>
  <c r="H632" i="4"/>
  <c r="L632" i="4"/>
  <c r="M632" i="4"/>
  <c r="N632" i="4"/>
  <c r="P632" i="4"/>
  <c r="A633" i="4"/>
  <c r="B633" i="4"/>
  <c r="E633" i="4"/>
  <c r="H633" i="4"/>
  <c r="L633" i="4"/>
  <c r="M633" i="4"/>
  <c r="N633" i="4"/>
  <c r="P633" i="4"/>
  <c r="A634" i="4"/>
  <c r="B634" i="4"/>
  <c r="E634" i="4"/>
  <c r="H634" i="4"/>
  <c r="L634" i="4"/>
  <c r="M634" i="4"/>
  <c r="N634" i="4"/>
  <c r="P634" i="4"/>
  <c r="A635" i="4"/>
  <c r="B635" i="4"/>
  <c r="E635" i="4"/>
  <c r="H635" i="4"/>
  <c r="L635" i="4"/>
  <c r="M635" i="4"/>
  <c r="N635" i="4"/>
  <c r="P635" i="4"/>
  <c r="A636" i="4"/>
  <c r="B636" i="4"/>
  <c r="E636" i="4"/>
  <c r="H636" i="4"/>
  <c r="L636" i="4"/>
  <c r="M636" i="4"/>
  <c r="N636" i="4"/>
  <c r="P636" i="4"/>
  <c r="A637" i="4"/>
  <c r="B637" i="4"/>
  <c r="E637" i="4"/>
  <c r="H637" i="4"/>
  <c r="L637" i="4"/>
  <c r="M637" i="4"/>
  <c r="N637" i="4"/>
  <c r="P637" i="4"/>
  <c r="A638" i="4"/>
  <c r="B638" i="4"/>
  <c r="E638" i="4"/>
  <c r="H638" i="4"/>
  <c r="L638" i="4"/>
  <c r="M638" i="4"/>
  <c r="N638" i="4"/>
  <c r="P638" i="4"/>
  <c r="A639" i="4"/>
  <c r="B639" i="4"/>
  <c r="E639" i="4"/>
  <c r="H639" i="4"/>
  <c r="L639" i="4"/>
  <c r="M639" i="4"/>
  <c r="N639" i="4"/>
  <c r="P639" i="4"/>
  <c r="A640" i="4"/>
  <c r="B640" i="4"/>
  <c r="E640" i="4"/>
  <c r="H640" i="4"/>
  <c r="L640" i="4"/>
  <c r="M640" i="4"/>
  <c r="N640" i="4"/>
  <c r="P640" i="4"/>
  <c r="A641" i="4"/>
  <c r="B641" i="4"/>
  <c r="E641" i="4"/>
  <c r="H641" i="4"/>
  <c r="L641" i="4"/>
  <c r="M641" i="4"/>
  <c r="N641" i="4"/>
  <c r="P641" i="4"/>
  <c r="A642" i="4"/>
  <c r="B642" i="4"/>
  <c r="E642" i="4"/>
  <c r="H642" i="4"/>
  <c r="L642" i="4"/>
  <c r="M642" i="4"/>
  <c r="N642" i="4"/>
  <c r="P642" i="4"/>
  <c r="A643" i="4"/>
  <c r="B643" i="4"/>
  <c r="E643" i="4"/>
  <c r="H643" i="4"/>
  <c r="L643" i="4"/>
  <c r="M643" i="4"/>
  <c r="N643" i="4"/>
  <c r="P643" i="4"/>
  <c r="A644" i="4"/>
  <c r="B644" i="4"/>
  <c r="E644" i="4"/>
  <c r="H644" i="4"/>
  <c r="L644" i="4"/>
  <c r="M644" i="4"/>
  <c r="N644" i="4"/>
  <c r="P644" i="4"/>
  <c r="A645" i="4"/>
  <c r="B645" i="4"/>
  <c r="E645" i="4"/>
  <c r="H645" i="4"/>
  <c r="L645" i="4"/>
  <c r="M645" i="4"/>
  <c r="N645" i="4"/>
  <c r="P645" i="4"/>
  <c r="A646" i="4"/>
  <c r="B646" i="4"/>
  <c r="E646" i="4"/>
  <c r="H646" i="4"/>
  <c r="L646" i="4"/>
  <c r="M646" i="4"/>
  <c r="N646" i="4"/>
  <c r="P646" i="4"/>
  <c r="A647" i="4"/>
  <c r="B647" i="4"/>
  <c r="E647" i="4"/>
  <c r="H647" i="4"/>
  <c r="L647" i="4"/>
  <c r="M647" i="4"/>
  <c r="N647" i="4"/>
  <c r="P647" i="4"/>
  <c r="A648" i="4"/>
  <c r="B648" i="4"/>
  <c r="E648" i="4"/>
  <c r="H648" i="4"/>
  <c r="L648" i="4"/>
  <c r="M648" i="4"/>
  <c r="N648" i="4"/>
  <c r="P648" i="4"/>
  <c r="A649" i="4"/>
  <c r="B649" i="4"/>
  <c r="E649" i="4"/>
  <c r="H649" i="4"/>
  <c r="L649" i="4"/>
  <c r="M649" i="4"/>
  <c r="N649" i="4"/>
  <c r="P649" i="4"/>
  <c r="A650" i="4"/>
  <c r="B650" i="4"/>
  <c r="E650" i="4"/>
  <c r="H650" i="4"/>
  <c r="L650" i="4"/>
  <c r="M650" i="4"/>
  <c r="N650" i="4"/>
  <c r="P650" i="4"/>
  <c r="A651" i="4"/>
  <c r="B651" i="4"/>
  <c r="E651" i="4"/>
  <c r="H651" i="4"/>
  <c r="L651" i="4"/>
  <c r="M651" i="4"/>
  <c r="N651" i="4"/>
  <c r="P651" i="4"/>
  <c r="A652" i="4"/>
  <c r="B652" i="4"/>
  <c r="E652" i="4"/>
  <c r="H652" i="4"/>
  <c r="L652" i="4"/>
  <c r="M652" i="4"/>
  <c r="N652" i="4"/>
  <c r="P652" i="4"/>
  <c r="A653" i="4"/>
  <c r="B653" i="4"/>
  <c r="E653" i="4"/>
  <c r="H653" i="4"/>
  <c r="L653" i="4"/>
  <c r="M653" i="4"/>
  <c r="N653" i="4"/>
  <c r="P653" i="4"/>
  <c r="A654" i="4"/>
  <c r="B654" i="4"/>
  <c r="E654" i="4"/>
  <c r="H654" i="4"/>
  <c r="L654" i="4"/>
  <c r="M654" i="4"/>
  <c r="N654" i="4"/>
  <c r="P654" i="4"/>
  <c r="A655" i="4"/>
  <c r="B655" i="4"/>
  <c r="E655" i="4"/>
  <c r="H655" i="4"/>
  <c r="L655" i="4"/>
  <c r="M655" i="4"/>
  <c r="N655" i="4"/>
  <c r="P655" i="4"/>
  <c r="A656" i="4"/>
  <c r="B656" i="4"/>
  <c r="E656" i="4"/>
  <c r="H656" i="4"/>
  <c r="L656" i="4"/>
  <c r="M656" i="4"/>
  <c r="N656" i="4"/>
  <c r="P656" i="4"/>
  <c r="A657" i="4"/>
  <c r="B657" i="4"/>
  <c r="E657" i="4"/>
  <c r="H657" i="4"/>
  <c r="L657" i="4"/>
  <c r="M657" i="4"/>
  <c r="N657" i="4"/>
  <c r="P657" i="4"/>
  <c r="A658" i="4"/>
  <c r="B658" i="4"/>
  <c r="E658" i="4"/>
  <c r="H658" i="4"/>
  <c r="L658" i="4"/>
  <c r="M658" i="4"/>
  <c r="N658" i="4"/>
  <c r="P658" i="4"/>
  <c r="A659" i="4"/>
  <c r="B659" i="4"/>
  <c r="E659" i="4"/>
  <c r="H659" i="4"/>
  <c r="L659" i="4"/>
  <c r="M659" i="4"/>
  <c r="N659" i="4"/>
  <c r="P659" i="4"/>
  <c r="A660" i="4"/>
  <c r="B660" i="4"/>
  <c r="E660" i="4"/>
  <c r="H660" i="4"/>
  <c r="L660" i="4"/>
  <c r="M660" i="4"/>
  <c r="N660" i="4"/>
  <c r="P660" i="4"/>
  <c r="A661" i="4"/>
  <c r="B661" i="4"/>
  <c r="E661" i="4"/>
  <c r="H661" i="4"/>
  <c r="L661" i="4"/>
  <c r="M661" i="4"/>
  <c r="N661" i="4"/>
  <c r="P661" i="4"/>
  <c r="A662" i="4"/>
  <c r="B662" i="4"/>
  <c r="E662" i="4"/>
  <c r="H662" i="4"/>
  <c r="L662" i="4"/>
  <c r="M662" i="4"/>
  <c r="N662" i="4"/>
  <c r="P662" i="4"/>
  <c r="A663" i="4"/>
  <c r="B663" i="4"/>
  <c r="E663" i="4"/>
  <c r="H663" i="4"/>
  <c r="L663" i="4"/>
  <c r="M663" i="4"/>
  <c r="N663" i="4"/>
  <c r="P663" i="4"/>
  <c r="A664" i="4"/>
  <c r="B664" i="4"/>
  <c r="E664" i="4"/>
  <c r="H664" i="4"/>
  <c r="L664" i="4"/>
  <c r="M664" i="4"/>
  <c r="N664" i="4"/>
  <c r="P664" i="4"/>
  <c r="A665" i="4"/>
  <c r="B665" i="4"/>
  <c r="E665" i="4"/>
  <c r="H665" i="4"/>
  <c r="L665" i="4"/>
  <c r="M665" i="4"/>
  <c r="N665" i="4"/>
  <c r="P665" i="4"/>
  <c r="A666" i="4"/>
  <c r="B666" i="4"/>
  <c r="E666" i="4"/>
  <c r="H666" i="4"/>
  <c r="L666" i="4"/>
  <c r="M666" i="4"/>
  <c r="N666" i="4"/>
  <c r="P666" i="4"/>
  <c r="A667" i="4"/>
  <c r="B667" i="4"/>
  <c r="E667" i="4"/>
  <c r="H667" i="4"/>
  <c r="L667" i="4"/>
  <c r="M667" i="4"/>
  <c r="N667" i="4"/>
  <c r="P667" i="4"/>
  <c r="A668" i="4"/>
  <c r="B668" i="4"/>
  <c r="E668" i="4"/>
  <c r="H668" i="4"/>
  <c r="L668" i="4"/>
  <c r="M668" i="4"/>
  <c r="N668" i="4"/>
  <c r="P668" i="4"/>
  <c r="A669" i="4"/>
  <c r="B669" i="4"/>
  <c r="E669" i="4"/>
  <c r="H669" i="4"/>
  <c r="L669" i="4"/>
  <c r="M669" i="4"/>
  <c r="N669" i="4"/>
  <c r="P669" i="4"/>
  <c r="A670" i="4"/>
  <c r="B670" i="4"/>
  <c r="E670" i="4"/>
  <c r="H670" i="4"/>
  <c r="L670" i="4"/>
  <c r="M670" i="4"/>
  <c r="N670" i="4"/>
  <c r="P670" i="4"/>
  <c r="A671" i="4"/>
  <c r="B671" i="4"/>
  <c r="E671" i="4"/>
  <c r="H671" i="4"/>
  <c r="L671" i="4"/>
  <c r="M671" i="4"/>
  <c r="N671" i="4"/>
  <c r="P671" i="4"/>
  <c r="A672" i="4"/>
  <c r="B672" i="4"/>
  <c r="E672" i="4"/>
  <c r="H672" i="4"/>
  <c r="L672" i="4"/>
  <c r="M672" i="4"/>
  <c r="N672" i="4"/>
  <c r="P672" i="4"/>
  <c r="A673" i="4"/>
  <c r="B673" i="4"/>
  <c r="E673" i="4"/>
  <c r="H673" i="4"/>
  <c r="L673" i="4"/>
  <c r="M673" i="4"/>
  <c r="N673" i="4"/>
  <c r="P673" i="4"/>
  <c r="A674" i="4"/>
  <c r="B674" i="4"/>
  <c r="E674" i="4"/>
  <c r="H674" i="4"/>
  <c r="L674" i="4"/>
  <c r="M674" i="4"/>
  <c r="N674" i="4"/>
  <c r="P674" i="4"/>
  <c r="A675" i="4"/>
  <c r="B675" i="4"/>
  <c r="E675" i="4"/>
  <c r="H675" i="4"/>
  <c r="L675" i="4"/>
  <c r="M675" i="4"/>
  <c r="N675" i="4"/>
  <c r="P675" i="4"/>
  <c r="A676" i="4"/>
  <c r="B676" i="4"/>
  <c r="E676" i="4"/>
  <c r="H676" i="4"/>
  <c r="L676" i="4"/>
  <c r="M676" i="4"/>
  <c r="N676" i="4"/>
  <c r="P676" i="4"/>
  <c r="A677" i="4"/>
  <c r="B677" i="4"/>
  <c r="E677" i="4"/>
  <c r="H677" i="4"/>
  <c r="L677" i="4"/>
  <c r="M677" i="4"/>
  <c r="N677" i="4"/>
  <c r="P677" i="4"/>
  <c r="A678" i="4"/>
  <c r="B678" i="4"/>
  <c r="E678" i="4"/>
  <c r="H678" i="4"/>
  <c r="L678" i="4"/>
  <c r="M678" i="4"/>
  <c r="N678" i="4"/>
  <c r="P678" i="4"/>
  <c r="A679" i="4"/>
  <c r="B679" i="4"/>
  <c r="E679" i="4"/>
  <c r="H679" i="4"/>
  <c r="L679" i="4"/>
  <c r="M679" i="4"/>
  <c r="N679" i="4"/>
  <c r="P679" i="4"/>
  <c r="A680" i="4"/>
  <c r="B680" i="4"/>
  <c r="E680" i="4"/>
  <c r="H680" i="4"/>
  <c r="L680" i="4"/>
  <c r="M680" i="4"/>
  <c r="N680" i="4"/>
  <c r="P680" i="4"/>
  <c r="A681" i="4"/>
  <c r="B681" i="4"/>
  <c r="E681" i="4"/>
  <c r="H681" i="4"/>
  <c r="L681" i="4"/>
  <c r="M681" i="4"/>
  <c r="N681" i="4"/>
  <c r="P681" i="4"/>
  <c r="A682" i="4"/>
  <c r="B682" i="4"/>
  <c r="E682" i="4"/>
  <c r="H682" i="4"/>
  <c r="L682" i="4"/>
  <c r="M682" i="4"/>
  <c r="N682" i="4"/>
  <c r="P682" i="4"/>
  <c r="A683" i="4"/>
  <c r="B683" i="4"/>
  <c r="E683" i="4"/>
  <c r="H683" i="4"/>
  <c r="L683" i="4"/>
  <c r="M683" i="4"/>
  <c r="N683" i="4"/>
  <c r="P683" i="4"/>
  <c r="A684" i="4"/>
  <c r="B684" i="4"/>
  <c r="E684" i="4"/>
  <c r="H684" i="4"/>
  <c r="L684" i="4"/>
  <c r="M684" i="4"/>
  <c r="N684" i="4"/>
  <c r="P684" i="4"/>
  <c r="A685" i="4"/>
  <c r="B685" i="4"/>
  <c r="E685" i="4"/>
  <c r="H685" i="4"/>
  <c r="L685" i="4"/>
  <c r="M685" i="4"/>
  <c r="N685" i="4"/>
  <c r="P685" i="4"/>
  <c r="A686" i="4"/>
  <c r="B686" i="4"/>
  <c r="E686" i="4"/>
  <c r="H686" i="4"/>
  <c r="L686" i="4"/>
  <c r="M686" i="4"/>
  <c r="N686" i="4"/>
  <c r="P686" i="4"/>
  <c r="A687" i="4"/>
  <c r="B687" i="4"/>
  <c r="E687" i="4"/>
  <c r="H687" i="4"/>
  <c r="L687" i="4"/>
  <c r="M687" i="4"/>
  <c r="N687" i="4"/>
  <c r="P687" i="4"/>
  <c r="A688" i="4"/>
  <c r="B688" i="4"/>
  <c r="E688" i="4"/>
  <c r="H688" i="4"/>
  <c r="L688" i="4"/>
  <c r="M688" i="4"/>
  <c r="N688" i="4"/>
  <c r="P688" i="4"/>
  <c r="A689" i="4"/>
  <c r="B689" i="4"/>
  <c r="E689" i="4"/>
  <c r="H689" i="4"/>
  <c r="L689" i="4"/>
  <c r="M689" i="4"/>
  <c r="N689" i="4"/>
  <c r="P689" i="4"/>
  <c r="A690" i="4"/>
  <c r="B690" i="4"/>
  <c r="E690" i="4"/>
  <c r="H690" i="4"/>
  <c r="L690" i="4"/>
  <c r="M690" i="4"/>
  <c r="N690" i="4"/>
  <c r="P690" i="4"/>
  <c r="A691" i="4"/>
  <c r="B691" i="4"/>
  <c r="E691" i="4"/>
  <c r="H691" i="4"/>
  <c r="L691" i="4"/>
  <c r="M691" i="4"/>
  <c r="N691" i="4"/>
  <c r="P691" i="4"/>
  <c r="A692" i="4"/>
  <c r="B692" i="4"/>
  <c r="E692" i="4"/>
  <c r="H692" i="4"/>
  <c r="L692" i="4"/>
  <c r="M692" i="4"/>
  <c r="N692" i="4"/>
  <c r="P692" i="4"/>
  <c r="A693" i="4"/>
  <c r="B693" i="4"/>
  <c r="E693" i="4"/>
  <c r="H693" i="4"/>
  <c r="L693" i="4"/>
  <c r="M693" i="4"/>
  <c r="N693" i="4"/>
  <c r="P693" i="4"/>
  <c r="A694" i="4"/>
  <c r="B694" i="4"/>
  <c r="E694" i="4"/>
  <c r="H694" i="4"/>
  <c r="L694" i="4"/>
  <c r="M694" i="4"/>
  <c r="N694" i="4"/>
  <c r="P694" i="4"/>
  <c r="A695" i="4"/>
  <c r="B695" i="4"/>
  <c r="E695" i="4"/>
  <c r="H695" i="4"/>
  <c r="L695" i="4"/>
  <c r="M695" i="4"/>
  <c r="N695" i="4"/>
  <c r="P695" i="4"/>
  <c r="A696" i="4"/>
  <c r="B696" i="4"/>
  <c r="E696" i="4"/>
  <c r="H696" i="4"/>
  <c r="L696" i="4"/>
  <c r="M696" i="4"/>
  <c r="N696" i="4"/>
  <c r="P696" i="4"/>
  <c r="A697" i="4"/>
  <c r="B697" i="4"/>
  <c r="E697" i="4"/>
  <c r="H697" i="4"/>
  <c r="L697" i="4"/>
  <c r="M697" i="4"/>
  <c r="N697" i="4"/>
  <c r="P697" i="4"/>
  <c r="A698" i="4"/>
  <c r="B698" i="4"/>
  <c r="E698" i="4"/>
  <c r="H698" i="4"/>
  <c r="L698" i="4"/>
  <c r="M698" i="4"/>
  <c r="N698" i="4"/>
  <c r="P698" i="4"/>
  <c r="A699" i="4"/>
  <c r="B699" i="4"/>
  <c r="E699" i="4"/>
  <c r="H699" i="4"/>
  <c r="L699" i="4"/>
  <c r="M699" i="4"/>
  <c r="N699" i="4"/>
  <c r="P699" i="4"/>
  <c r="A700" i="4"/>
  <c r="B700" i="4"/>
  <c r="E700" i="4"/>
  <c r="H700" i="4"/>
  <c r="L700" i="4"/>
  <c r="M700" i="4"/>
  <c r="N700" i="4"/>
  <c r="P700" i="4"/>
  <c r="A701" i="4"/>
  <c r="B701" i="4"/>
  <c r="E701" i="4"/>
  <c r="H701" i="4"/>
  <c r="L701" i="4"/>
  <c r="M701" i="4"/>
  <c r="N701" i="4"/>
  <c r="P701" i="4"/>
  <c r="A702" i="4"/>
  <c r="B702" i="4"/>
  <c r="E702" i="4"/>
  <c r="H702" i="4"/>
  <c r="L702" i="4"/>
  <c r="M702" i="4"/>
  <c r="N702" i="4"/>
  <c r="P702" i="4"/>
  <c r="A703" i="4"/>
  <c r="B703" i="4"/>
  <c r="E703" i="4"/>
  <c r="H703" i="4"/>
  <c r="L703" i="4"/>
  <c r="M703" i="4"/>
  <c r="N703" i="4"/>
  <c r="P703" i="4"/>
  <c r="A704" i="4"/>
  <c r="B704" i="4"/>
  <c r="E704" i="4"/>
  <c r="H704" i="4"/>
  <c r="L704" i="4"/>
  <c r="M704" i="4"/>
  <c r="N704" i="4"/>
  <c r="P704" i="4"/>
  <c r="A705" i="4"/>
  <c r="B705" i="4"/>
  <c r="E705" i="4"/>
  <c r="H705" i="4"/>
  <c r="L705" i="4"/>
  <c r="M705" i="4"/>
  <c r="N705" i="4"/>
  <c r="P705" i="4"/>
  <c r="A706" i="4"/>
  <c r="B706" i="4"/>
  <c r="E706" i="4"/>
  <c r="H706" i="4"/>
  <c r="L706" i="4"/>
  <c r="M706" i="4"/>
  <c r="N706" i="4"/>
  <c r="P706" i="4"/>
  <c r="A707" i="4"/>
  <c r="B707" i="4"/>
  <c r="E707" i="4"/>
  <c r="H707" i="4"/>
  <c r="L707" i="4"/>
  <c r="M707" i="4"/>
  <c r="N707" i="4"/>
  <c r="P707" i="4"/>
  <c r="A708" i="4"/>
  <c r="B708" i="4"/>
  <c r="E708" i="4"/>
  <c r="H708" i="4"/>
  <c r="L708" i="4"/>
  <c r="M708" i="4"/>
  <c r="N708" i="4"/>
  <c r="P708" i="4"/>
  <c r="A709" i="4"/>
  <c r="B709" i="4"/>
  <c r="E709" i="4"/>
  <c r="H709" i="4"/>
  <c r="L709" i="4"/>
  <c r="M709" i="4"/>
  <c r="N709" i="4"/>
  <c r="P709" i="4"/>
  <c r="A710" i="4"/>
  <c r="B710" i="4"/>
  <c r="E710" i="4"/>
  <c r="H710" i="4"/>
  <c r="L710" i="4"/>
  <c r="M710" i="4"/>
  <c r="N710" i="4"/>
  <c r="P710" i="4"/>
  <c r="A711" i="4"/>
  <c r="B711" i="4"/>
  <c r="E711" i="4"/>
  <c r="H711" i="4"/>
  <c r="L711" i="4"/>
  <c r="M711" i="4"/>
  <c r="N711" i="4"/>
  <c r="P711" i="4"/>
  <c r="A712" i="4"/>
  <c r="B712" i="4"/>
  <c r="E712" i="4"/>
  <c r="H712" i="4"/>
  <c r="L712" i="4"/>
  <c r="M712" i="4"/>
  <c r="N712" i="4"/>
  <c r="P712" i="4"/>
  <c r="A713" i="4"/>
  <c r="B713" i="4"/>
  <c r="E713" i="4"/>
  <c r="H713" i="4"/>
  <c r="L713" i="4"/>
  <c r="M713" i="4"/>
  <c r="N713" i="4"/>
  <c r="P713" i="4"/>
  <c r="A714" i="4"/>
  <c r="B714" i="4"/>
  <c r="E714" i="4"/>
  <c r="H714" i="4"/>
  <c r="L714" i="4"/>
  <c r="M714" i="4"/>
  <c r="N714" i="4"/>
  <c r="P714" i="4"/>
  <c r="A715" i="4"/>
  <c r="B715" i="4"/>
  <c r="E715" i="4"/>
  <c r="H715" i="4"/>
  <c r="L715" i="4"/>
  <c r="M715" i="4"/>
  <c r="N715" i="4"/>
  <c r="P715" i="4"/>
  <c r="A716" i="4"/>
  <c r="B716" i="4"/>
  <c r="E716" i="4"/>
  <c r="H716" i="4"/>
  <c r="L716" i="4"/>
  <c r="M716" i="4"/>
  <c r="N716" i="4"/>
  <c r="P716" i="4"/>
  <c r="A717" i="4"/>
  <c r="B717" i="4"/>
  <c r="E717" i="4"/>
  <c r="H717" i="4"/>
  <c r="L717" i="4"/>
  <c r="M717" i="4"/>
  <c r="N717" i="4"/>
  <c r="P717" i="4"/>
  <c r="A718" i="4"/>
  <c r="B718" i="4"/>
  <c r="E718" i="4"/>
  <c r="H718" i="4"/>
  <c r="L718" i="4"/>
  <c r="M718" i="4"/>
  <c r="N718" i="4"/>
  <c r="P718" i="4"/>
  <c r="A719" i="4"/>
  <c r="B719" i="4"/>
  <c r="E719" i="4"/>
  <c r="H719" i="4"/>
  <c r="L719" i="4"/>
  <c r="M719" i="4"/>
  <c r="N719" i="4"/>
  <c r="P719" i="4"/>
  <c r="A720" i="4"/>
  <c r="B720" i="4"/>
  <c r="E720" i="4"/>
  <c r="H720" i="4"/>
  <c r="L720" i="4"/>
  <c r="M720" i="4"/>
  <c r="N720" i="4"/>
  <c r="P720" i="4"/>
  <c r="A721" i="4"/>
  <c r="B721" i="4"/>
  <c r="E721" i="4"/>
  <c r="H721" i="4"/>
  <c r="L721" i="4"/>
  <c r="M721" i="4"/>
  <c r="N721" i="4"/>
  <c r="P721" i="4"/>
  <c r="A722" i="4"/>
  <c r="B722" i="4"/>
  <c r="E722" i="4"/>
  <c r="H722" i="4"/>
  <c r="L722" i="4"/>
  <c r="M722" i="4"/>
  <c r="N722" i="4"/>
  <c r="P722" i="4"/>
  <c r="A723" i="4"/>
  <c r="B723" i="4"/>
  <c r="E723" i="4"/>
  <c r="H723" i="4"/>
  <c r="L723" i="4"/>
  <c r="M723" i="4"/>
  <c r="N723" i="4"/>
  <c r="P723" i="4"/>
  <c r="A724" i="4"/>
  <c r="B724" i="4"/>
  <c r="E724" i="4"/>
  <c r="H724" i="4"/>
  <c r="L724" i="4"/>
  <c r="M724" i="4"/>
  <c r="N724" i="4"/>
  <c r="P724" i="4"/>
  <c r="A725" i="4"/>
  <c r="B725" i="4"/>
  <c r="E725" i="4"/>
  <c r="H725" i="4"/>
  <c r="L725" i="4"/>
  <c r="M725" i="4"/>
  <c r="N725" i="4"/>
  <c r="P725" i="4"/>
  <c r="A726" i="4"/>
  <c r="B726" i="4"/>
  <c r="E726" i="4"/>
  <c r="H726" i="4"/>
  <c r="L726" i="4"/>
  <c r="M726" i="4"/>
  <c r="N726" i="4"/>
  <c r="P726" i="4"/>
  <c r="A727" i="4"/>
  <c r="B727" i="4"/>
  <c r="E727" i="4"/>
  <c r="H727" i="4"/>
  <c r="L727" i="4"/>
  <c r="M727" i="4"/>
  <c r="N727" i="4"/>
  <c r="P727" i="4"/>
  <c r="A728" i="4"/>
  <c r="B728" i="4"/>
  <c r="E728" i="4"/>
  <c r="H728" i="4"/>
  <c r="L728" i="4"/>
  <c r="M728" i="4"/>
  <c r="N728" i="4"/>
  <c r="P728" i="4"/>
  <c r="A729" i="4"/>
  <c r="B729" i="4"/>
  <c r="E729" i="4"/>
  <c r="H729" i="4"/>
  <c r="L729" i="4"/>
  <c r="M729" i="4"/>
  <c r="N729" i="4"/>
  <c r="P729" i="4"/>
  <c r="A730" i="4"/>
  <c r="B730" i="4"/>
  <c r="E730" i="4"/>
  <c r="H730" i="4"/>
  <c r="L730" i="4"/>
  <c r="M730" i="4"/>
  <c r="N730" i="4"/>
  <c r="P730" i="4"/>
  <c r="A731" i="4"/>
  <c r="B731" i="4"/>
  <c r="E731" i="4"/>
  <c r="H731" i="4"/>
  <c r="L731" i="4"/>
  <c r="M731" i="4"/>
  <c r="N731" i="4"/>
  <c r="P731" i="4"/>
  <c r="A732" i="4"/>
  <c r="B732" i="4"/>
  <c r="E732" i="4"/>
  <c r="H732" i="4"/>
  <c r="L732" i="4"/>
  <c r="M732" i="4"/>
  <c r="N732" i="4"/>
  <c r="P732" i="4"/>
  <c r="A733" i="4"/>
  <c r="B733" i="4"/>
  <c r="E733" i="4"/>
  <c r="H733" i="4"/>
  <c r="L733" i="4"/>
  <c r="M733" i="4"/>
  <c r="N733" i="4"/>
  <c r="P733" i="4"/>
  <c r="A734" i="4"/>
  <c r="B734" i="4"/>
  <c r="E734" i="4"/>
  <c r="H734" i="4"/>
  <c r="L734" i="4"/>
  <c r="M734" i="4"/>
  <c r="N734" i="4"/>
  <c r="P734" i="4"/>
  <c r="A735" i="4"/>
  <c r="B735" i="4"/>
  <c r="E735" i="4"/>
  <c r="H735" i="4"/>
  <c r="L735" i="4"/>
  <c r="M735" i="4"/>
  <c r="N735" i="4"/>
  <c r="P735" i="4"/>
  <c r="A736" i="4"/>
  <c r="B736" i="4"/>
  <c r="E736" i="4"/>
  <c r="H736" i="4"/>
  <c r="L736" i="4"/>
  <c r="M736" i="4"/>
  <c r="N736" i="4"/>
  <c r="P736" i="4"/>
  <c r="A737" i="4"/>
  <c r="B737" i="4"/>
  <c r="E737" i="4"/>
  <c r="H737" i="4"/>
  <c r="L737" i="4"/>
  <c r="M737" i="4"/>
  <c r="N737" i="4"/>
  <c r="P737" i="4"/>
  <c r="A738" i="4"/>
  <c r="B738" i="4"/>
  <c r="E738" i="4"/>
  <c r="H738" i="4"/>
  <c r="L738" i="4"/>
  <c r="M738" i="4"/>
  <c r="N738" i="4"/>
  <c r="P738" i="4"/>
  <c r="A739" i="4"/>
  <c r="B739" i="4"/>
  <c r="E739" i="4"/>
  <c r="H739" i="4"/>
  <c r="L739" i="4"/>
  <c r="M739" i="4"/>
  <c r="N739" i="4"/>
  <c r="P739" i="4"/>
  <c r="A740" i="4"/>
  <c r="B740" i="4"/>
  <c r="E740" i="4"/>
  <c r="H740" i="4"/>
  <c r="L740" i="4"/>
  <c r="M740" i="4"/>
  <c r="N740" i="4"/>
  <c r="P740" i="4"/>
  <c r="A741" i="4"/>
  <c r="B741" i="4"/>
  <c r="E741" i="4"/>
  <c r="H741" i="4"/>
  <c r="L741" i="4"/>
  <c r="M741" i="4"/>
  <c r="N741" i="4"/>
  <c r="P741" i="4"/>
  <c r="A742" i="4"/>
  <c r="B742" i="4"/>
  <c r="E742" i="4"/>
  <c r="H742" i="4"/>
  <c r="L742" i="4"/>
  <c r="M742" i="4"/>
  <c r="N742" i="4"/>
  <c r="P742" i="4"/>
  <c r="A743" i="4"/>
  <c r="B743" i="4"/>
  <c r="E743" i="4"/>
  <c r="H743" i="4"/>
  <c r="L743" i="4"/>
  <c r="M743" i="4"/>
  <c r="N743" i="4"/>
  <c r="P743" i="4"/>
  <c r="A744" i="4"/>
  <c r="B744" i="4"/>
  <c r="E744" i="4"/>
  <c r="H744" i="4"/>
  <c r="L744" i="4"/>
  <c r="M744" i="4"/>
  <c r="N744" i="4"/>
  <c r="P744" i="4"/>
  <c r="A745" i="4"/>
  <c r="B745" i="4"/>
  <c r="E745" i="4"/>
  <c r="H745" i="4"/>
  <c r="L745" i="4"/>
  <c r="M745" i="4"/>
  <c r="N745" i="4"/>
  <c r="P745" i="4"/>
  <c r="A746" i="4"/>
  <c r="B746" i="4"/>
  <c r="E746" i="4"/>
  <c r="H746" i="4"/>
  <c r="L746" i="4"/>
  <c r="M746" i="4"/>
  <c r="N746" i="4"/>
  <c r="P746" i="4"/>
  <c r="A747" i="4"/>
  <c r="B747" i="4"/>
  <c r="E747" i="4"/>
  <c r="H747" i="4"/>
  <c r="L747" i="4"/>
  <c r="M747" i="4"/>
  <c r="N747" i="4"/>
  <c r="P747" i="4"/>
  <c r="A748" i="4"/>
  <c r="B748" i="4"/>
  <c r="E748" i="4"/>
  <c r="H748" i="4"/>
  <c r="L748" i="4"/>
  <c r="M748" i="4"/>
  <c r="N748" i="4"/>
  <c r="P748" i="4"/>
  <c r="A749" i="4"/>
  <c r="B749" i="4"/>
  <c r="E749" i="4"/>
  <c r="H749" i="4"/>
  <c r="L749" i="4"/>
  <c r="M749" i="4"/>
  <c r="N749" i="4"/>
  <c r="P749" i="4"/>
  <c r="A750" i="4"/>
  <c r="B750" i="4"/>
  <c r="E750" i="4"/>
  <c r="H750" i="4"/>
  <c r="L750" i="4"/>
  <c r="M750" i="4"/>
  <c r="N750" i="4"/>
  <c r="P750" i="4"/>
  <c r="A751" i="4"/>
  <c r="B751" i="4"/>
  <c r="E751" i="4"/>
  <c r="H751" i="4"/>
  <c r="L751" i="4"/>
  <c r="M751" i="4"/>
  <c r="N751" i="4"/>
  <c r="P751" i="4"/>
  <c r="A752" i="4"/>
  <c r="B752" i="4"/>
  <c r="E752" i="4"/>
  <c r="H752" i="4"/>
  <c r="L752" i="4"/>
  <c r="M752" i="4"/>
  <c r="N752" i="4"/>
  <c r="P752" i="4"/>
  <c r="A753" i="4"/>
  <c r="B753" i="4"/>
  <c r="E753" i="4"/>
  <c r="H753" i="4"/>
  <c r="L753" i="4"/>
  <c r="M753" i="4"/>
  <c r="N753" i="4"/>
  <c r="P753" i="4"/>
  <c r="A754" i="4"/>
  <c r="B754" i="4"/>
  <c r="E754" i="4"/>
  <c r="H754" i="4"/>
  <c r="L754" i="4"/>
  <c r="M754" i="4"/>
  <c r="N754" i="4"/>
  <c r="P754" i="4"/>
  <c r="A755" i="4"/>
  <c r="B755" i="4"/>
  <c r="E755" i="4"/>
  <c r="H755" i="4"/>
  <c r="L755" i="4"/>
  <c r="M755" i="4"/>
  <c r="N755" i="4"/>
  <c r="P755" i="4"/>
  <c r="A756" i="4"/>
  <c r="B756" i="4"/>
  <c r="E756" i="4"/>
  <c r="H756" i="4"/>
  <c r="L756" i="4"/>
  <c r="M756" i="4"/>
  <c r="N756" i="4"/>
  <c r="P756" i="4"/>
  <c r="A757" i="4"/>
  <c r="B757" i="4"/>
  <c r="E757" i="4"/>
  <c r="H757" i="4"/>
  <c r="L757" i="4"/>
  <c r="M757" i="4"/>
  <c r="N757" i="4"/>
  <c r="P757" i="4"/>
  <c r="A758" i="4"/>
  <c r="B758" i="4"/>
  <c r="E758" i="4"/>
  <c r="H758" i="4"/>
  <c r="L758" i="4"/>
  <c r="M758" i="4"/>
  <c r="N758" i="4"/>
  <c r="P758" i="4"/>
  <c r="A759" i="4"/>
  <c r="B759" i="4"/>
  <c r="E759" i="4"/>
  <c r="H759" i="4"/>
  <c r="L759" i="4"/>
  <c r="M759" i="4"/>
  <c r="N759" i="4"/>
  <c r="P759" i="4"/>
  <c r="A760" i="4"/>
  <c r="B760" i="4"/>
  <c r="E760" i="4"/>
  <c r="H760" i="4"/>
  <c r="L760" i="4"/>
  <c r="M760" i="4"/>
  <c r="N760" i="4"/>
  <c r="P760" i="4"/>
  <c r="A761" i="4"/>
  <c r="B761" i="4"/>
  <c r="E761" i="4"/>
  <c r="H761" i="4"/>
  <c r="L761" i="4"/>
  <c r="M761" i="4"/>
  <c r="N761" i="4"/>
  <c r="P761" i="4"/>
  <c r="A762" i="4"/>
  <c r="B762" i="4"/>
  <c r="E762" i="4"/>
  <c r="H762" i="4"/>
  <c r="L762" i="4"/>
  <c r="M762" i="4"/>
  <c r="N762" i="4"/>
  <c r="P762" i="4"/>
  <c r="A763" i="4"/>
  <c r="B763" i="4"/>
  <c r="E763" i="4"/>
  <c r="H763" i="4"/>
  <c r="L763" i="4"/>
  <c r="M763" i="4"/>
  <c r="N763" i="4"/>
  <c r="P763" i="4"/>
  <c r="A764" i="4"/>
  <c r="B764" i="4"/>
  <c r="E764" i="4"/>
  <c r="H764" i="4"/>
  <c r="L764" i="4"/>
  <c r="M764" i="4"/>
  <c r="N764" i="4"/>
  <c r="P764" i="4"/>
  <c r="A765" i="4"/>
  <c r="B765" i="4"/>
  <c r="E765" i="4"/>
  <c r="H765" i="4"/>
  <c r="L765" i="4"/>
  <c r="M765" i="4"/>
  <c r="N765" i="4"/>
  <c r="P765" i="4"/>
  <c r="A766" i="4"/>
  <c r="B766" i="4"/>
  <c r="E766" i="4"/>
  <c r="H766" i="4"/>
  <c r="L766" i="4"/>
  <c r="M766" i="4"/>
  <c r="N766" i="4"/>
  <c r="P766" i="4"/>
  <c r="A767" i="4"/>
  <c r="B767" i="4"/>
  <c r="E767" i="4"/>
  <c r="H767" i="4"/>
  <c r="L767" i="4"/>
  <c r="M767" i="4"/>
  <c r="N767" i="4"/>
  <c r="P767" i="4"/>
  <c r="A768" i="4"/>
  <c r="B768" i="4"/>
  <c r="E768" i="4"/>
  <c r="H768" i="4"/>
  <c r="L768" i="4"/>
  <c r="M768" i="4"/>
  <c r="N768" i="4"/>
  <c r="P768" i="4"/>
  <c r="A769" i="4"/>
  <c r="B769" i="4"/>
  <c r="E769" i="4"/>
  <c r="H769" i="4"/>
  <c r="L769" i="4"/>
  <c r="M769" i="4"/>
  <c r="N769" i="4"/>
  <c r="P769" i="4"/>
  <c r="A770" i="4"/>
  <c r="B770" i="4"/>
  <c r="E770" i="4"/>
  <c r="H770" i="4"/>
  <c r="L770" i="4"/>
  <c r="M770" i="4"/>
  <c r="N770" i="4"/>
  <c r="P770" i="4"/>
  <c r="A771" i="4"/>
  <c r="B771" i="4"/>
  <c r="E771" i="4"/>
  <c r="H771" i="4"/>
  <c r="L771" i="4"/>
  <c r="M771" i="4"/>
  <c r="N771" i="4"/>
  <c r="P771" i="4"/>
  <c r="A772" i="4"/>
  <c r="B772" i="4"/>
  <c r="E772" i="4"/>
  <c r="H772" i="4"/>
  <c r="L772" i="4"/>
  <c r="M772" i="4"/>
  <c r="N772" i="4"/>
  <c r="P772" i="4"/>
  <c r="A773" i="4"/>
  <c r="B773" i="4"/>
  <c r="E773" i="4"/>
  <c r="H773" i="4"/>
  <c r="L773" i="4"/>
  <c r="M773" i="4"/>
  <c r="N773" i="4"/>
  <c r="P773" i="4"/>
  <c r="A774" i="4"/>
  <c r="B774" i="4"/>
  <c r="E774" i="4"/>
  <c r="H774" i="4"/>
  <c r="L774" i="4"/>
  <c r="M774" i="4"/>
  <c r="N774" i="4"/>
  <c r="P774" i="4"/>
  <c r="A775" i="4"/>
  <c r="B775" i="4"/>
  <c r="E775" i="4"/>
  <c r="H775" i="4"/>
  <c r="L775" i="4"/>
  <c r="M775" i="4"/>
  <c r="N775" i="4"/>
  <c r="P775" i="4"/>
  <c r="A776" i="4"/>
  <c r="B776" i="4"/>
  <c r="E776" i="4"/>
  <c r="H776" i="4"/>
  <c r="L776" i="4"/>
  <c r="M776" i="4"/>
  <c r="N776" i="4"/>
  <c r="P776" i="4"/>
  <c r="A777" i="4"/>
  <c r="B777" i="4"/>
  <c r="E777" i="4"/>
  <c r="H777" i="4"/>
  <c r="L777" i="4"/>
  <c r="M777" i="4"/>
  <c r="N777" i="4"/>
  <c r="P777" i="4"/>
  <c r="A778" i="4"/>
  <c r="B778" i="4"/>
  <c r="E778" i="4"/>
  <c r="H778" i="4"/>
  <c r="L778" i="4"/>
  <c r="M778" i="4"/>
  <c r="N778" i="4"/>
  <c r="P778" i="4"/>
  <c r="A779" i="4"/>
  <c r="B779" i="4"/>
  <c r="E779" i="4"/>
  <c r="H779" i="4"/>
  <c r="L779" i="4"/>
  <c r="M779" i="4"/>
  <c r="N779" i="4"/>
  <c r="P779" i="4"/>
  <c r="A780" i="4"/>
  <c r="B780" i="4"/>
  <c r="E780" i="4"/>
  <c r="H780" i="4"/>
  <c r="L780" i="4"/>
  <c r="M780" i="4"/>
  <c r="N780" i="4"/>
  <c r="P780" i="4"/>
  <c r="A781" i="4"/>
  <c r="B781" i="4"/>
  <c r="E781" i="4"/>
  <c r="H781" i="4"/>
  <c r="L781" i="4"/>
  <c r="M781" i="4"/>
  <c r="N781" i="4"/>
  <c r="P781" i="4"/>
  <c r="A782" i="4"/>
  <c r="B782" i="4"/>
  <c r="E782" i="4"/>
  <c r="H782" i="4"/>
  <c r="L782" i="4"/>
  <c r="M782" i="4"/>
  <c r="N782" i="4"/>
  <c r="P782" i="4"/>
  <c r="A783" i="4"/>
  <c r="B783" i="4"/>
  <c r="E783" i="4"/>
  <c r="H783" i="4"/>
  <c r="L783" i="4"/>
  <c r="M783" i="4"/>
  <c r="N783" i="4"/>
  <c r="P783" i="4"/>
  <c r="A784" i="4"/>
  <c r="B784" i="4"/>
  <c r="E784" i="4"/>
  <c r="H784" i="4"/>
  <c r="L784" i="4"/>
  <c r="M784" i="4"/>
  <c r="N784" i="4"/>
  <c r="P784" i="4"/>
  <c r="A785" i="4"/>
  <c r="B785" i="4"/>
  <c r="E785" i="4"/>
  <c r="H785" i="4"/>
  <c r="L785" i="4"/>
  <c r="M785" i="4"/>
  <c r="N785" i="4"/>
  <c r="P785" i="4"/>
  <c r="A786" i="4"/>
  <c r="B786" i="4"/>
  <c r="E786" i="4"/>
  <c r="H786" i="4"/>
  <c r="L786" i="4"/>
  <c r="M786" i="4"/>
  <c r="N786" i="4"/>
  <c r="P786" i="4"/>
  <c r="A787" i="4"/>
  <c r="B787" i="4"/>
  <c r="E787" i="4"/>
  <c r="H787" i="4"/>
  <c r="L787" i="4"/>
  <c r="M787" i="4"/>
  <c r="N787" i="4"/>
  <c r="P787" i="4"/>
  <c r="A788" i="4"/>
  <c r="B788" i="4"/>
  <c r="E788" i="4"/>
  <c r="H788" i="4"/>
  <c r="L788" i="4"/>
  <c r="M788" i="4"/>
  <c r="N788" i="4"/>
  <c r="P788" i="4"/>
  <c r="A789" i="4"/>
  <c r="B789" i="4"/>
  <c r="E789" i="4"/>
  <c r="H789" i="4"/>
  <c r="L789" i="4"/>
  <c r="M789" i="4"/>
  <c r="N789" i="4"/>
  <c r="P789" i="4"/>
  <c r="A790" i="4"/>
  <c r="B790" i="4"/>
  <c r="E790" i="4"/>
  <c r="H790" i="4"/>
  <c r="L790" i="4"/>
  <c r="M790" i="4"/>
  <c r="N790" i="4"/>
  <c r="P790" i="4"/>
  <c r="A791" i="4"/>
  <c r="B791" i="4"/>
  <c r="E791" i="4"/>
  <c r="H791" i="4"/>
  <c r="L791" i="4"/>
  <c r="M791" i="4"/>
  <c r="N791" i="4"/>
  <c r="P791" i="4"/>
  <c r="A792" i="4"/>
  <c r="B792" i="4"/>
  <c r="E792" i="4"/>
  <c r="H792" i="4"/>
  <c r="L792" i="4"/>
  <c r="M792" i="4"/>
  <c r="N792" i="4"/>
  <c r="P792" i="4"/>
  <c r="A793" i="4"/>
  <c r="B793" i="4"/>
  <c r="E793" i="4"/>
  <c r="H793" i="4"/>
  <c r="L793" i="4"/>
  <c r="M793" i="4"/>
  <c r="N793" i="4"/>
  <c r="P793" i="4"/>
  <c r="A794" i="4"/>
  <c r="B794" i="4"/>
  <c r="E794" i="4"/>
  <c r="H794" i="4"/>
  <c r="L794" i="4"/>
  <c r="M794" i="4"/>
  <c r="N794" i="4"/>
  <c r="P794" i="4"/>
  <c r="A795" i="4"/>
  <c r="B795" i="4"/>
  <c r="E795" i="4"/>
  <c r="H795" i="4"/>
  <c r="L795" i="4"/>
  <c r="M795" i="4"/>
  <c r="N795" i="4"/>
  <c r="P795" i="4"/>
  <c r="A796" i="4"/>
  <c r="B796" i="4"/>
  <c r="E796" i="4"/>
  <c r="H796" i="4"/>
  <c r="L796" i="4"/>
  <c r="M796" i="4"/>
  <c r="N796" i="4"/>
  <c r="P796" i="4"/>
  <c r="A797" i="4"/>
  <c r="B797" i="4"/>
  <c r="E797" i="4"/>
  <c r="H797" i="4"/>
  <c r="L797" i="4"/>
  <c r="M797" i="4"/>
  <c r="N797" i="4"/>
  <c r="P797" i="4"/>
  <c r="A798" i="4"/>
  <c r="B798" i="4"/>
  <c r="E798" i="4"/>
  <c r="H798" i="4"/>
  <c r="L798" i="4"/>
  <c r="M798" i="4"/>
  <c r="N798" i="4"/>
  <c r="P798" i="4"/>
  <c r="A799" i="4"/>
  <c r="B799" i="4"/>
  <c r="E799" i="4"/>
  <c r="H799" i="4"/>
  <c r="L799" i="4"/>
  <c r="M799" i="4"/>
  <c r="N799" i="4"/>
  <c r="P799" i="4"/>
  <c r="A800" i="4"/>
  <c r="B800" i="4"/>
  <c r="E800" i="4"/>
  <c r="H800" i="4"/>
  <c r="L800" i="4"/>
  <c r="M800" i="4"/>
  <c r="N800" i="4"/>
  <c r="P800" i="4"/>
  <c r="A801" i="4"/>
  <c r="B801" i="4"/>
  <c r="E801" i="4"/>
  <c r="H801" i="4"/>
  <c r="L801" i="4"/>
  <c r="M801" i="4"/>
  <c r="N801" i="4"/>
  <c r="P801" i="4"/>
  <c r="A802" i="4"/>
  <c r="B802" i="4"/>
  <c r="E802" i="4"/>
  <c r="H802" i="4"/>
  <c r="L802" i="4"/>
  <c r="M802" i="4"/>
  <c r="N802" i="4"/>
  <c r="P802" i="4"/>
  <c r="A803" i="4"/>
  <c r="B803" i="4"/>
  <c r="E803" i="4"/>
  <c r="H803" i="4"/>
  <c r="L803" i="4"/>
  <c r="M803" i="4"/>
  <c r="N803" i="4"/>
  <c r="P803" i="4"/>
  <c r="A804" i="4"/>
  <c r="B804" i="4"/>
  <c r="E804" i="4"/>
  <c r="H804" i="4"/>
  <c r="L804" i="4"/>
  <c r="M804" i="4"/>
  <c r="N804" i="4"/>
  <c r="P804" i="4"/>
  <c r="A805" i="4"/>
  <c r="B805" i="4"/>
  <c r="E805" i="4"/>
  <c r="H805" i="4"/>
  <c r="L805" i="4"/>
  <c r="M805" i="4"/>
  <c r="N805" i="4"/>
  <c r="P805" i="4"/>
  <c r="A806" i="4"/>
  <c r="B806" i="4"/>
  <c r="E806" i="4"/>
  <c r="H806" i="4"/>
  <c r="L806" i="4"/>
  <c r="M806" i="4"/>
  <c r="N806" i="4"/>
  <c r="P806" i="4"/>
  <c r="A807" i="4"/>
  <c r="B807" i="4"/>
  <c r="E807" i="4"/>
  <c r="H807" i="4"/>
  <c r="L807" i="4"/>
  <c r="M807" i="4"/>
  <c r="N807" i="4"/>
  <c r="P807" i="4"/>
  <c r="A808" i="4"/>
  <c r="B808" i="4"/>
  <c r="E808" i="4"/>
  <c r="H808" i="4"/>
  <c r="L808" i="4"/>
  <c r="M808" i="4"/>
  <c r="N808" i="4"/>
  <c r="P808" i="4"/>
  <c r="A809" i="4"/>
  <c r="B809" i="4"/>
  <c r="E809" i="4"/>
  <c r="H809" i="4"/>
  <c r="L809" i="4"/>
  <c r="M809" i="4"/>
  <c r="N809" i="4"/>
  <c r="P809" i="4"/>
  <c r="A810" i="4"/>
  <c r="B810" i="4"/>
  <c r="E810" i="4"/>
  <c r="H810" i="4"/>
  <c r="L810" i="4"/>
  <c r="M810" i="4"/>
  <c r="N810" i="4"/>
  <c r="P810" i="4"/>
  <c r="A811" i="4"/>
  <c r="B811" i="4"/>
  <c r="E811" i="4"/>
  <c r="H811" i="4"/>
  <c r="L811" i="4"/>
  <c r="M811" i="4"/>
  <c r="N811" i="4"/>
  <c r="P811" i="4"/>
  <c r="A812" i="4"/>
  <c r="B812" i="4"/>
  <c r="E812" i="4"/>
  <c r="H812" i="4"/>
  <c r="L812" i="4"/>
  <c r="M812" i="4"/>
  <c r="N812" i="4"/>
  <c r="P812" i="4"/>
  <c r="A813" i="4"/>
  <c r="B813" i="4"/>
  <c r="E813" i="4"/>
  <c r="H813" i="4"/>
  <c r="L813" i="4"/>
  <c r="M813" i="4"/>
  <c r="N813" i="4"/>
  <c r="P813" i="4"/>
  <c r="A814" i="4"/>
  <c r="B814" i="4"/>
  <c r="E814" i="4"/>
  <c r="H814" i="4"/>
  <c r="L814" i="4"/>
  <c r="M814" i="4"/>
  <c r="N814" i="4"/>
  <c r="P814" i="4"/>
  <c r="A815" i="4"/>
  <c r="B815" i="4"/>
  <c r="E815" i="4"/>
  <c r="H815" i="4"/>
  <c r="L815" i="4"/>
  <c r="M815" i="4"/>
  <c r="N815" i="4"/>
  <c r="P815" i="4"/>
  <c r="A816" i="4"/>
  <c r="B816" i="4"/>
  <c r="E816" i="4"/>
  <c r="H816" i="4"/>
  <c r="L816" i="4"/>
  <c r="M816" i="4"/>
  <c r="N816" i="4"/>
  <c r="P816" i="4"/>
  <c r="A817" i="4"/>
  <c r="B817" i="4"/>
  <c r="E817" i="4"/>
  <c r="H817" i="4"/>
  <c r="L817" i="4"/>
  <c r="M817" i="4"/>
  <c r="N817" i="4"/>
  <c r="P817" i="4"/>
  <c r="A818" i="4"/>
  <c r="B818" i="4"/>
  <c r="E818" i="4"/>
  <c r="H818" i="4"/>
  <c r="L818" i="4"/>
  <c r="M818" i="4"/>
  <c r="N818" i="4"/>
  <c r="P818" i="4"/>
  <c r="A819" i="4"/>
  <c r="B819" i="4"/>
  <c r="E819" i="4"/>
  <c r="H819" i="4"/>
  <c r="L819" i="4"/>
  <c r="M819" i="4"/>
  <c r="N819" i="4"/>
  <c r="P819" i="4"/>
  <c r="A820" i="4"/>
  <c r="B820" i="4"/>
  <c r="E820" i="4"/>
  <c r="H820" i="4"/>
  <c r="L820" i="4"/>
  <c r="M820" i="4"/>
  <c r="N820" i="4"/>
  <c r="P820" i="4"/>
  <c r="A821" i="4"/>
  <c r="B821" i="4"/>
  <c r="E821" i="4"/>
  <c r="H821" i="4"/>
  <c r="L821" i="4"/>
  <c r="M821" i="4"/>
  <c r="N821" i="4"/>
  <c r="P821" i="4"/>
  <c r="A822" i="4"/>
  <c r="B822" i="4"/>
  <c r="E822" i="4"/>
  <c r="H822" i="4"/>
  <c r="L822" i="4"/>
  <c r="M822" i="4"/>
  <c r="N822" i="4"/>
  <c r="P822" i="4"/>
  <c r="A823" i="4"/>
  <c r="B823" i="4"/>
  <c r="E823" i="4"/>
  <c r="H823" i="4"/>
  <c r="L823" i="4"/>
  <c r="M823" i="4"/>
  <c r="N823" i="4"/>
  <c r="P823" i="4"/>
  <c r="A824" i="4"/>
  <c r="B824" i="4"/>
  <c r="E824" i="4"/>
  <c r="H824" i="4"/>
  <c r="L824" i="4"/>
  <c r="M824" i="4"/>
  <c r="N824" i="4"/>
  <c r="P824" i="4"/>
  <c r="A825" i="4"/>
  <c r="B825" i="4"/>
  <c r="E825" i="4"/>
  <c r="H825" i="4"/>
  <c r="L825" i="4"/>
  <c r="M825" i="4"/>
  <c r="N825" i="4"/>
  <c r="P825" i="4"/>
  <c r="A826" i="4"/>
  <c r="B826" i="4"/>
  <c r="E826" i="4"/>
  <c r="H826" i="4"/>
  <c r="L826" i="4"/>
  <c r="M826" i="4"/>
  <c r="N826" i="4"/>
  <c r="P826" i="4"/>
  <c r="A827" i="4"/>
  <c r="B827" i="4"/>
  <c r="E827" i="4"/>
  <c r="H827" i="4"/>
  <c r="L827" i="4"/>
  <c r="M827" i="4"/>
  <c r="N827" i="4"/>
  <c r="P827" i="4"/>
  <c r="A828" i="4"/>
  <c r="B828" i="4"/>
  <c r="E828" i="4"/>
  <c r="H828" i="4"/>
  <c r="L828" i="4"/>
  <c r="M828" i="4"/>
  <c r="N828" i="4"/>
  <c r="P828" i="4"/>
  <c r="A829" i="4"/>
  <c r="B829" i="4"/>
  <c r="E829" i="4"/>
  <c r="H829" i="4"/>
  <c r="L829" i="4"/>
  <c r="M829" i="4"/>
  <c r="N829" i="4"/>
  <c r="P829" i="4"/>
  <c r="A830" i="4"/>
  <c r="B830" i="4"/>
  <c r="E830" i="4"/>
  <c r="H830" i="4"/>
  <c r="L830" i="4"/>
  <c r="M830" i="4"/>
  <c r="N830" i="4"/>
  <c r="P830" i="4"/>
  <c r="A831" i="4"/>
  <c r="B831" i="4"/>
  <c r="E831" i="4"/>
  <c r="H831" i="4"/>
  <c r="L831" i="4"/>
  <c r="M831" i="4"/>
  <c r="N831" i="4"/>
  <c r="P831" i="4"/>
  <c r="A832" i="4"/>
  <c r="B832" i="4"/>
  <c r="E832" i="4"/>
  <c r="H832" i="4"/>
  <c r="L832" i="4"/>
  <c r="M832" i="4"/>
  <c r="N832" i="4"/>
  <c r="P832" i="4"/>
  <c r="A833" i="4"/>
  <c r="B833" i="4"/>
  <c r="E833" i="4"/>
  <c r="H833" i="4"/>
  <c r="L833" i="4"/>
  <c r="M833" i="4"/>
  <c r="N833" i="4"/>
  <c r="P833" i="4"/>
  <c r="A834" i="4"/>
  <c r="B834" i="4"/>
  <c r="E834" i="4"/>
  <c r="H834" i="4"/>
  <c r="L834" i="4"/>
  <c r="M834" i="4"/>
  <c r="N834" i="4"/>
  <c r="P834" i="4"/>
  <c r="A835" i="4"/>
  <c r="B835" i="4"/>
  <c r="E835" i="4"/>
  <c r="H835" i="4"/>
  <c r="L835" i="4"/>
  <c r="M835" i="4"/>
  <c r="N835" i="4"/>
  <c r="P835" i="4"/>
  <c r="A836" i="4"/>
  <c r="B836" i="4"/>
  <c r="E836" i="4"/>
  <c r="H836" i="4"/>
  <c r="L836" i="4"/>
  <c r="M836" i="4"/>
  <c r="N836" i="4"/>
  <c r="P836" i="4"/>
  <c r="A837" i="4"/>
  <c r="B837" i="4"/>
  <c r="E837" i="4"/>
  <c r="H837" i="4"/>
  <c r="L837" i="4"/>
  <c r="M837" i="4"/>
  <c r="N837" i="4"/>
  <c r="P837" i="4"/>
  <c r="A838" i="4"/>
  <c r="B838" i="4"/>
  <c r="E838" i="4"/>
  <c r="H838" i="4"/>
  <c r="L838" i="4"/>
  <c r="M838" i="4"/>
  <c r="N838" i="4"/>
  <c r="P838" i="4"/>
  <c r="A839" i="4"/>
  <c r="B839" i="4"/>
  <c r="E839" i="4"/>
  <c r="H839" i="4"/>
  <c r="L839" i="4"/>
  <c r="M839" i="4"/>
  <c r="N839" i="4"/>
  <c r="P839" i="4"/>
  <c r="A840" i="4"/>
  <c r="B840" i="4"/>
  <c r="E840" i="4"/>
  <c r="H840" i="4"/>
  <c r="L840" i="4"/>
  <c r="M840" i="4"/>
  <c r="N840" i="4"/>
  <c r="P840" i="4"/>
  <c r="A841" i="4"/>
  <c r="B841" i="4"/>
  <c r="E841" i="4"/>
  <c r="H841" i="4"/>
  <c r="L841" i="4"/>
  <c r="M841" i="4"/>
  <c r="N841" i="4"/>
  <c r="P841" i="4"/>
  <c r="A842" i="4"/>
  <c r="B842" i="4"/>
  <c r="E842" i="4"/>
  <c r="H842" i="4"/>
  <c r="L842" i="4"/>
  <c r="M842" i="4"/>
  <c r="N842" i="4"/>
  <c r="P842" i="4"/>
  <c r="A843" i="4"/>
  <c r="B843" i="4"/>
  <c r="E843" i="4"/>
  <c r="H843" i="4"/>
  <c r="L843" i="4"/>
  <c r="M843" i="4"/>
  <c r="N843" i="4"/>
  <c r="P843" i="4"/>
  <c r="A844" i="4"/>
  <c r="B844" i="4"/>
  <c r="E844" i="4"/>
  <c r="H844" i="4"/>
  <c r="L844" i="4"/>
  <c r="M844" i="4"/>
  <c r="N844" i="4"/>
  <c r="P844" i="4"/>
  <c r="A845" i="4"/>
  <c r="B845" i="4"/>
  <c r="E845" i="4"/>
  <c r="H845" i="4"/>
  <c r="L845" i="4"/>
  <c r="M845" i="4"/>
  <c r="N845" i="4"/>
  <c r="P845" i="4"/>
  <c r="A846" i="4"/>
  <c r="B846" i="4"/>
  <c r="E846" i="4"/>
  <c r="H846" i="4"/>
  <c r="L846" i="4"/>
  <c r="M846" i="4"/>
  <c r="N846" i="4"/>
  <c r="P846" i="4"/>
  <c r="A847" i="4"/>
  <c r="B847" i="4"/>
  <c r="E847" i="4"/>
  <c r="H847" i="4"/>
  <c r="L847" i="4"/>
  <c r="M847" i="4"/>
  <c r="N847" i="4"/>
  <c r="P847" i="4"/>
  <c r="A848" i="4"/>
  <c r="B848" i="4"/>
  <c r="E848" i="4"/>
  <c r="H848" i="4"/>
  <c r="L848" i="4"/>
  <c r="M848" i="4"/>
  <c r="N848" i="4"/>
  <c r="P848" i="4"/>
  <c r="A849" i="4"/>
  <c r="B849" i="4"/>
  <c r="E849" i="4"/>
  <c r="H849" i="4"/>
  <c r="L849" i="4"/>
  <c r="M849" i="4"/>
  <c r="N849" i="4"/>
  <c r="P849" i="4"/>
  <c r="A850" i="4"/>
  <c r="B850" i="4"/>
  <c r="E850" i="4"/>
  <c r="H850" i="4"/>
  <c r="L850" i="4"/>
  <c r="M850" i="4"/>
  <c r="N850" i="4"/>
  <c r="P850" i="4"/>
  <c r="A851" i="4"/>
  <c r="B851" i="4"/>
  <c r="E851" i="4"/>
  <c r="H851" i="4"/>
  <c r="L851" i="4"/>
  <c r="M851" i="4"/>
  <c r="N851" i="4"/>
  <c r="P851" i="4"/>
  <c r="A852" i="4"/>
  <c r="B852" i="4"/>
  <c r="E852" i="4"/>
  <c r="H852" i="4"/>
  <c r="L852" i="4"/>
  <c r="M852" i="4"/>
  <c r="N852" i="4"/>
  <c r="P852" i="4"/>
  <c r="A853" i="4"/>
  <c r="B853" i="4"/>
  <c r="E853" i="4"/>
  <c r="H853" i="4"/>
  <c r="L853" i="4"/>
  <c r="M853" i="4"/>
  <c r="N853" i="4"/>
  <c r="P853" i="4"/>
  <c r="A854" i="4"/>
  <c r="B854" i="4"/>
  <c r="E854" i="4"/>
  <c r="H854" i="4"/>
  <c r="L854" i="4"/>
  <c r="M854" i="4"/>
  <c r="N854" i="4"/>
  <c r="P854" i="4"/>
  <c r="A855" i="4"/>
  <c r="B855" i="4"/>
  <c r="E855" i="4"/>
  <c r="H855" i="4"/>
  <c r="L855" i="4"/>
  <c r="M855" i="4"/>
  <c r="N855" i="4"/>
  <c r="P855" i="4"/>
  <c r="A856" i="4"/>
  <c r="B856" i="4"/>
  <c r="E856" i="4"/>
  <c r="H856" i="4"/>
  <c r="L856" i="4"/>
  <c r="M856" i="4"/>
  <c r="N856" i="4"/>
  <c r="P856" i="4"/>
  <c r="A857" i="4"/>
  <c r="B857" i="4"/>
  <c r="E857" i="4"/>
  <c r="H857" i="4"/>
  <c r="L857" i="4"/>
  <c r="M857" i="4"/>
  <c r="N857" i="4"/>
  <c r="P857" i="4"/>
  <c r="A858" i="4"/>
  <c r="B858" i="4"/>
  <c r="E858" i="4"/>
  <c r="H858" i="4"/>
  <c r="L858" i="4"/>
  <c r="M858" i="4"/>
  <c r="N858" i="4"/>
  <c r="P858" i="4"/>
  <c r="A859" i="4"/>
  <c r="B859" i="4"/>
  <c r="E859" i="4"/>
  <c r="H859" i="4"/>
  <c r="L859" i="4"/>
  <c r="M859" i="4"/>
  <c r="N859" i="4"/>
  <c r="P859" i="4"/>
  <c r="A860" i="4"/>
  <c r="B860" i="4"/>
  <c r="E860" i="4"/>
  <c r="H860" i="4"/>
  <c r="L860" i="4"/>
  <c r="M860" i="4"/>
  <c r="N860" i="4"/>
  <c r="P860" i="4"/>
  <c r="A861" i="4"/>
  <c r="B861" i="4"/>
  <c r="E861" i="4"/>
  <c r="H861" i="4"/>
  <c r="L861" i="4"/>
  <c r="M861" i="4"/>
  <c r="N861" i="4"/>
  <c r="P861" i="4"/>
  <c r="A862" i="4"/>
  <c r="B862" i="4"/>
  <c r="E862" i="4"/>
  <c r="H862" i="4"/>
  <c r="L862" i="4"/>
  <c r="M862" i="4"/>
  <c r="N862" i="4"/>
  <c r="P862" i="4"/>
  <c r="A863" i="4"/>
  <c r="B863" i="4"/>
  <c r="E863" i="4"/>
  <c r="H863" i="4"/>
  <c r="L863" i="4"/>
  <c r="M863" i="4"/>
  <c r="N863" i="4"/>
  <c r="P863" i="4"/>
  <c r="A864" i="4"/>
  <c r="B864" i="4"/>
  <c r="E864" i="4"/>
  <c r="H864" i="4"/>
  <c r="L864" i="4"/>
  <c r="M864" i="4"/>
  <c r="N864" i="4"/>
  <c r="P864" i="4"/>
  <c r="A865" i="4"/>
  <c r="B865" i="4"/>
  <c r="E865" i="4"/>
  <c r="H865" i="4"/>
  <c r="L865" i="4"/>
  <c r="M865" i="4"/>
  <c r="N865" i="4"/>
  <c r="P865" i="4"/>
  <c r="A866" i="4"/>
  <c r="B866" i="4"/>
  <c r="E866" i="4"/>
  <c r="H866" i="4"/>
  <c r="L866" i="4"/>
  <c r="M866" i="4"/>
  <c r="N866" i="4"/>
  <c r="P866" i="4"/>
  <c r="A867" i="4"/>
  <c r="B867" i="4"/>
  <c r="E867" i="4"/>
  <c r="H867" i="4"/>
  <c r="L867" i="4"/>
  <c r="M867" i="4"/>
  <c r="N867" i="4"/>
  <c r="P867" i="4"/>
  <c r="A868" i="4"/>
  <c r="B868" i="4"/>
  <c r="E868" i="4"/>
  <c r="H868" i="4"/>
  <c r="L868" i="4"/>
  <c r="M868" i="4"/>
  <c r="N868" i="4"/>
  <c r="P868" i="4"/>
  <c r="A869" i="4"/>
  <c r="B869" i="4"/>
  <c r="E869" i="4"/>
  <c r="H869" i="4"/>
  <c r="L869" i="4"/>
  <c r="M869" i="4"/>
  <c r="N869" i="4"/>
  <c r="P869" i="4"/>
  <c r="A870" i="4"/>
  <c r="B870" i="4"/>
  <c r="E870" i="4"/>
  <c r="H870" i="4"/>
  <c r="L870" i="4"/>
  <c r="M870" i="4"/>
  <c r="N870" i="4"/>
  <c r="P870" i="4"/>
  <c r="A871" i="4"/>
  <c r="B871" i="4"/>
  <c r="E871" i="4"/>
  <c r="H871" i="4"/>
  <c r="L871" i="4"/>
  <c r="M871" i="4"/>
  <c r="N871" i="4"/>
  <c r="P871" i="4"/>
  <c r="A872" i="4"/>
  <c r="B872" i="4"/>
  <c r="E872" i="4"/>
  <c r="H872" i="4"/>
  <c r="L872" i="4"/>
  <c r="M872" i="4"/>
  <c r="N872" i="4"/>
  <c r="P872" i="4"/>
  <c r="A873" i="4"/>
  <c r="B873" i="4"/>
  <c r="E873" i="4"/>
  <c r="H873" i="4"/>
  <c r="L873" i="4"/>
  <c r="M873" i="4"/>
  <c r="N873" i="4"/>
  <c r="P873" i="4"/>
  <c r="A874" i="4"/>
  <c r="B874" i="4"/>
  <c r="E874" i="4"/>
  <c r="H874" i="4"/>
  <c r="L874" i="4"/>
  <c r="M874" i="4"/>
  <c r="N874" i="4"/>
  <c r="P874" i="4"/>
  <c r="A875" i="4"/>
  <c r="B875" i="4"/>
  <c r="E875" i="4"/>
  <c r="H875" i="4"/>
  <c r="L875" i="4"/>
  <c r="M875" i="4"/>
  <c r="N875" i="4"/>
  <c r="P875" i="4"/>
  <c r="A876" i="4"/>
  <c r="B876" i="4"/>
  <c r="E876" i="4"/>
  <c r="H876" i="4"/>
  <c r="L876" i="4"/>
  <c r="M876" i="4"/>
  <c r="N876" i="4"/>
  <c r="P876" i="4"/>
  <c r="A877" i="4"/>
  <c r="B877" i="4"/>
  <c r="E877" i="4"/>
  <c r="H877" i="4"/>
  <c r="L877" i="4"/>
  <c r="M877" i="4"/>
  <c r="N877" i="4"/>
  <c r="P877" i="4"/>
  <c r="A878" i="4"/>
  <c r="B878" i="4"/>
  <c r="E878" i="4"/>
  <c r="H878" i="4"/>
  <c r="L878" i="4"/>
  <c r="M878" i="4"/>
  <c r="N878" i="4"/>
  <c r="P878" i="4"/>
  <c r="A879" i="4"/>
  <c r="B879" i="4"/>
  <c r="E879" i="4"/>
  <c r="H879" i="4"/>
  <c r="L879" i="4"/>
  <c r="M879" i="4"/>
  <c r="N879" i="4"/>
  <c r="P879" i="4"/>
  <c r="A880" i="4"/>
  <c r="B880" i="4"/>
  <c r="E880" i="4"/>
  <c r="H880" i="4"/>
  <c r="L880" i="4"/>
  <c r="M880" i="4"/>
  <c r="N880" i="4"/>
  <c r="P880" i="4"/>
  <c r="A881" i="4"/>
  <c r="B881" i="4"/>
  <c r="E881" i="4"/>
  <c r="H881" i="4"/>
  <c r="L881" i="4"/>
  <c r="M881" i="4"/>
  <c r="N881" i="4"/>
  <c r="P881" i="4"/>
  <c r="A882" i="4"/>
  <c r="B882" i="4"/>
  <c r="E882" i="4"/>
  <c r="H882" i="4"/>
  <c r="L882" i="4"/>
  <c r="M882" i="4"/>
  <c r="N882" i="4"/>
  <c r="P882" i="4"/>
  <c r="A883" i="4"/>
  <c r="B883" i="4"/>
  <c r="E883" i="4"/>
  <c r="H883" i="4"/>
  <c r="L883" i="4"/>
  <c r="M883" i="4"/>
  <c r="N883" i="4"/>
  <c r="P883" i="4"/>
  <c r="A884" i="4"/>
  <c r="B884" i="4"/>
  <c r="E884" i="4"/>
  <c r="H884" i="4"/>
  <c r="L884" i="4"/>
  <c r="M884" i="4"/>
  <c r="N884" i="4"/>
  <c r="P884" i="4"/>
  <c r="A885" i="4"/>
  <c r="B885" i="4"/>
  <c r="E885" i="4"/>
  <c r="H885" i="4"/>
  <c r="L885" i="4"/>
  <c r="M885" i="4"/>
  <c r="N885" i="4"/>
  <c r="P885" i="4"/>
  <c r="A886" i="4"/>
  <c r="B886" i="4"/>
  <c r="E886" i="4"/>
  <c r="H886" i="4"/>
  <c r="L886" i="4"/>
  <c r="M886" i="4"/>
  <c r="N886" i="4"/>
  <c r="P886" i="4"/>
  <c r="A887" i="4"/>
  <c r="B887" i="4"/>
  <c r="E887" i="4"/>
  <c r="H887" i="4"/>
  <c r="L887" i="4"/>
  <c r="M887" i="4"/>
  <c r="N887" i="4"/>
  <c r="P887" i="4"/>
  <c r="A888" i="4"/>
  <c r="B888" i="4"/>
  <c r="E888" i="4"/>
  <c r="H888" i="4"/>
  <c r="L888" i="4"/>
  <c r="M888" i="4"/>
  <c r="N888" i="4"/>
  <c r="P888" i="4"/>
  <c r="A889" i="4"/>
  <c r="B889" i="4"/>
  <c r="E889" i="4"/>
  <c r="H889" i="4"/>
  <c r="L889" i="4"/>
  <c r="M889" i="4"/>
  <c r="N889" i="4"/>
  <c r="P889" i="4"/>
  <c r="A890" i="4"/>
  <c r="B890" i="4"/>
  <c r="E890" i="4"/>
  <c r="H890" i="4"/>
  <c r="L890" i="4"/>
  <c r="M890" i="4"/>
  <c r="N890" i="4"/>
  <c r="P890" i="4"/>
  <c r="A891" i="4"/>
  <c r="B891" i="4"/>
  <c r="E891" i="4"/>
  <c r="H891" i="4"/>
  <c r="L891" i="4"/>
  <c r="M891" i="4"/>
  <c r="N891" i="4"/>
  <c r="P891" i="4"/>
  <c r="A892" i="4"/>
  <c r="B892" i="4"/>
  <c r="E892" i="4"/>
  <c r="H892" i="4"/>
  <c r="L892" i="4"/>
  <c r="M892" i="4"/>
  <c r="N892" i="4"/>
  <c r="P892" i="4"/>
  <c r="A893" i="4"/>
  <c r="B893" i="4"/>
  <c r="E893" i="4"/>
  <c r="H893" i="4"/>
  <c r="L893" i="4"/>
  <c r="M893" i="4"/>
  <c r="N893" i="4"/>
  <c r="P893" i="4"/>
  <c r="A894" i="4"/>
  <c r="B894" i="4"/>
  <c r="E894" i="4"/>
  <c r="H894" i="4"/>
  <c r="L894" i="4"/>
  <c r="M894" i="4"/>
  <c r="N894" i="4"/>
  <c r="P894" i="4"/>
  <c r="A895" i="4"/>
  <c r="B895" i="4"/>
  <c r="E895" i="4"/>
  <c r="H895" i="4"/>
  <c r="L895" i="4"/>
  <c r="M895" i="4"/>
  <c r="N895" i="4"/>
  <c r="P895" i="4"/>
  <c r="A896" i="4"/>
  <c r="B896" i="4"/>
  <c r="E896" i="4"/>
  <c r="H896" i="4"/>
  <c r="L896" i="4"/>
  <c r="M896" i="4"/>
  <c r="N896" i="4"/>
  <c r="P896" i="4"/>
  <c r="A897" i="4"/>
  <c r="B897" i="4"/>
  <c r="E897" i="4"/>
  <c r="H897" i="4"/>
  <c r="L897" i="4"/>
  <c r="M897" i="4"/>
  <c r="N897" i="4"/>
  <c r="P897" i="4"/>
  <c r="A898" i="4"/>
  <c r="B898" i="4"/>
  <c r="E898" i="4"/>
  <c r="H898" i="4"/>
  <c r="L898" i="4"/>
  <c r="M898" i="4"/>
  <c r="N898" i="4"/>
  <c r="P898" i="4"/>
  <c r="A899" i="4"/>
  <c r="B899" i="4"/>
  <c r="E899" i="4"/>
  <c r="H899" i="4"/>
  <c r="L899" i="4"/>
  <c r="M899" i="4"/>
  <c r="N899" i="4"/>
  <c r="P899" i="4"/>
  <c r="A900" i="4"/>
  <c r="B900" i="4"/>
  <c r="E900" i="4"/>
  <c r="H900" i="4"/>
  <c r="L900" i="4"/>
  <c r="M900" i="4"/>
  <c r="N900" i="4"/>
  <c r="P900" i="4"/>
  <c r="A901" i="4"/>
  <c r="B901" i="4"/>
  <c r="E901" i="4"/>
  <c r="H901" i="4"/>
  <c r="L901" i="4"/>
  <c r="M901" i="4"/>
  <c r="N901" i="4"/>
  <c r="P901" i="4"/>
  <c r="A902" i="4"/>
  <c r="B902" i="4"/>
  <c r="E902" i="4"/>
  <c r="H902" i="4"/>
  <c r="L902" i="4"/>
  <c r="M902" i="4"/>
  <c r="N902" i="4"/>
  <c r="P902" i="4"/>
  <c r="A903" i="4"/>
  <c r="B903" i="4"/>
  <c r="E903" i="4"/>
  <c r="H903" i="4"/>
  <c r="L903" i="4"/>
  <c r="M903" i="4"/>
  <c r="N903" i="4"/>
  <c r="P903" i="4"/>
  <c r="A904" i="4"/>
  <c r="B904" i="4"/>
  <c r="E904" i="4"/>
  <c r="H904" i="4"/>
  <c r="L904" i="4"/>
  <c r="M904" i="4"/>
  <c r="N904" i="4"/>
  <c r="P904" i="4"/>
  <c r="A905" i="4"/>
  <c r="B905" i="4"/>
  <c r="E905" i="4"/>
  <c r="H905" i="4"/>
  <c r="L905" i="4"/>
  <c r="M905" i="4"/>
  <c r="N905" i="4"/>
  <c r="P905" i="4"/>
  <c r="A906" i="4"/>
  <c r="B906" i="4"/>
  <c r="E906" i="4"/>
  <c r="H906" i="4"/>
  <c r="L906" i="4"/>
  <c r="M906" i="4"/>
  <c r="N906" i="4"/>
  <c r="P906" i="4"/>
  <c r="A907" i="4"/>
  <c r="B907" i="4"/>
  <c r="E907" i="4"/>
  <c r="H907" i="4"/>
  <c r="L907" i="4"/>
  <c r="M907" i="4"/>
  <c r="N907" i="4"/>
  <c r="P907" i="4"/>
  <c r="A908" i="4"/>
  <c r="B908" i="4"/>
  <c r="E908" i="4"/>
  <c r="H908" i="4"/>
  <c r="L908" i="4"/>
  <c r="M908" i="4"/>
  <c r="N908" i="4"/>
  <c r="P908" i="4"/>
  <c r="A909" i="4"/>
  <c r="B909" i="4"/>
  <c r="E909" i="4"/>
  <c r="H909" i="4"/>
  <c r="L909" i="4"/>
  <c r="M909" i="4"/>
  <c r="N909" i="4"/>
  <c r="P909" i="4"/>
  <c r="A910" i="4"/>
  <c r="B910" i="4"/>
  <c r="E910" i="4"/>
  <c r="H910" i="4"/>
  <c r="L910" i="4"/>
  <c r="M910" i="4"/>
  <c r="N910" i="4"/>
  <c r="P910" i="4"/>
  <c r="A911" i="4"/>
  <c r="B911" i="4"/>
  <c r="E911" i="4"/>
  <c r="H911" i="4"/>
  <c r="L911" i="4"/>
  <c r="M911" i="4"/>
  <c r="N911" i="4"/>
  <c r="P911" i="4"/>
  <c r="A912" i="4"/>
  <c r="B912" i="4"/>
  <c r="E912" i="4"/>
  <c r="H912" i="4"/>
  <c r="L912" i="4"/>
  <c r="M912" i="4"/>
  <c r="N912" i="4"/>
  <c r="P912" i="4"/>
  <c r="A913" i="4"/>
  <c r="B913" i="4"/>
  <c r="E913" i="4"/>
  <c r="H913" i="4"/>
  <c r="L913" i="4"/>
  <c r="M913" i="4"/>
  <c r="N913" i="4"/>
  <c r="P913" i="4"/>
  <c r="A914" i="4"/>
  <c r="B914" i="4"/>
  <c r="E914" i="4"/>
  <c r="H914" i="4"/>
  <c r="L914" i="4"/>
  <c r="M914" i="4"/>
  <c r="N914" i="4"/>
  <c r="P914" i="4"/>
  <c r="A915" i="4"/>
  <c r="B915" i="4"/>
  <c r="E915" i="4"/>
  <c r="H915" i="4"/>
  <c r="L915" i="4"/>
  <c r="M915" i="4"/>
  <c r="N915" i="4"/>
  <c r="P915" i="4"/>
  <c r="A916" i="4"/>
  <c r="B916" i="4"/>
  <c r="E916" i="4"/>
  <c r="H916" i="4"/>
  <c r="L916" i="4"/>
  <c r="M916" i="4"/>
  <c r="N916" i="4"/>
  <c r="P916" i="4"/>
  <c r="A917" i="4"/>
  <c r="B917" i="4"/>
  <c r="E917" i="4"/>
  <c r="H917" i="4"/>
  <c r="L917" i="4"/>
  <c r="M917" i="4"/>
  <c r="N917" i="4"/>
  <c r="P917" i="4"/>
  <c r="A918" i="4"/>
  <c r="B918" i="4"/>
  <c r="E918" i="4"/>
  <c r="H918" i="4"/>
  <c r="L918" i="4"/>
  <c r="M918" i="4"/>
  <c r="N918" i="4"/>
  <c r="P918" i="4"/>
  <c r="A919" i="4"/>
  <c r="B919" i="4"/>
  <c r="E919" i="4"/>
  <c r="H919" i="4"/>
  <c r="L919" i="4"/>
  <c r="M919" i="4"/>
  <c r="N919" i="4"/>
  <c r="P919" i="4"/>
  <c r="A920" i="4"/>
  <c r="B920" i="4"/>
  <c r="E920" i="4"/>
  <c r="H920" i="4"/>
  <c r="L920" i="4"/>
  <c r="M920" i="4"/>
  <c r="N920" i="4"/>
  <c r="P920" i="4"/>
  <c r="A921" i="4"/>
  <c r="B921" i="4"/>
  <c r="E921" i="4"/>
  <c r="H921" i="4"/>
  <c r="L921" i="4"/>
  <c r="M921" i="4"/>
  <c r="N921" i="4"/>
  <c r="P921" i="4"/>
  <c r="A922" i="4"/>
  <c r="B922" i="4"/>
  <c r="E922" i="4"/>
  <c r="H922" i="4"/>
  <c r="L922" i="4"/>
  <c r="M922" i="4"/>
  <c r="N922" i="4"/>
  <c r="P922" i="4"/>
  <c r="A923" i="4"/>
  <c r="B923" i="4"/>
  <c r="E923" i="4"/>
  <c r="H923" i="4"/>
  <c r="L923" i="4"/>
  <c r="M923" i="4"/>
  <c r="N923" i="4"/>
  <c r="P923" i="4"/>
  <c r="A924" i="4"/>
  <c r="B924" i="4"/>
  <c r="E924" i="4"/>
  <c r="H924" i="4"/>
  <c r="L924" i="4"/>
  <c r="M924" i="4"/>
  <c r="N924" i="4"/>
  <c r="P924" i="4"/>
  <c r="A925" i="4"/>
  <c r="B925" i="4"/>
  <c r="E925" i="4"/>
  <c r="H925" i="4"/>
  <c r="L925" i="4"/>
  <c r="M925" i="4"/>
  <c r="N925" i="4"/>
  <c r="P925" i="4"/>
  <c r="A926" i="4"/>
  <c r="B926" i="4"/>
  <c r="E926" i="4"/>
  <c r="H926" i="4"/>
  <c r="L926" i="4"/>
  <c r="M926" i="4"/>
  <c r="N926" i="4"/>
  <c r="P926" i="4"/>
  <c r="A927" i="4"/>
  <c r="B927" i="4"/>
  <c r="E927" i="4"/>
  <c r="H927" i="4"/>
  <c r="L927" i="4"/>
  <c r="M927" i="4"/>
  <c r="N927" i="4"/>
  <c r="P927" i="4"/>
  <c r="A928" i="4"/>
  <c r="B928" i="4"/>
  <c r="E928" i="4"/>
  <c r="H928" i="4"/>
  <c r="L928" i="4"/>
  <c r="M928" i="4"/>
  <c r="N928" i="4"/>
  <c r="P928" i="4"/>
  <c r="A929" i="4"/>
  <c r="B929" i="4"/>
  <c r="E929" i="4"/>
  <c r="H929" i="4"/>
  <c r="L929" i="4"/>
  <c r="M929" i="4"/>
  <c r="N929" i="4"/>
  <c r="P929" i="4"/>
  <c r="A930" i="4"/>
  <c r="B930" i="4"/>
  <c r="E930" i="4"/>
  <c r="H930" i="4"/>
  <c r="L930" i="4"/>
  <c r="M930" i="4"/>
  <c r="N930" i="4"/>
  <c r="P930" i="4"/>
  <c r="A931" i="4"/>
  <c r="B931" i="4"/>
  <c r="E931" i="4"/>
  <c r="H931" i="4"/>
  <c r="L931" i="4"/>
  <c r="M931" i="4"/>
  <c r="N931" i="4"/>
  <c r="P931" i="4"/>
  <c r="A932" i="4"/>
  <c r="B932" i="4"/>
  <c r="E932" i="4"/>
  <c r="H932" i="4"/>
  <c r="L932" i="4"/>
  <c r="M932" i="4"/>
  <c r="N932" i="4"/>
  <c r="P932" i="4"/>
  <c r="A933" i="4"/>
  <c r="B933" i="4"/>
  <c r="E933" i="4"/>
  <c r="H933" i="4"/>
  <c r="L933" i="4"/>
  <c r="M933" i="4"/>
  <c r="N933" i="4"/>
  <c r="P933" i="4"/>
  <c r="A934" i="4"/>
  <c r="B934" i="4"/>
  <c r="E934" i="4"/>
  <c r="H934" i="4"/>
  <c r="L934" i="4"/>
  <c r="M934" i="4"/>
  <c r="N934" i="4"/>
  <c r="P934" i="4"/>
  <c r="A935" i="4"/>
  <c r="B935" i="4"/>
  <c r="E935" i="4"/>
  <c r="H935" i="4"/>
  <c r="L935" i="4"/>
  <c r="M935" i="4"/>
  <c r="N935" i="4"/>
  <c r="P935" i="4"/>
  <c r="A936" i="4"/>
  <c r="B936" i="4"/>
  <c r="E936" i="4"/>
  <c r="H936" i="4"/>
  <c r="L936" i="4"/>
  <c r="M936" i="4"/>
  <c r="N936" i="4"/>
  <c r="P936" i="4"/>
  <c r="A937" i="4"/>
  <c r="B937" i="4"/>
  <c r="E937" i="4"/>
  <c r="H937" i="4"/>
  <c r="L937" i="4"/>
  <c r="M937" i="4"/>
  <c r="N937" i="4"/>
  <c r="P937" i="4"/>
  <c r="A938" i="4"/>
  <c r="B938" i="4"/>
  <c r="E938" i="4"/>
  <c r="H938" i="4"/>
  <c r="L938" i="4"/>
  <c r="M938" i="4"/>
  <c r="N938" i="4"/>
  <c r="P938" i="4"/>
  <c r="A939" i="4"/>
  <c r="B939" i="4"/>
  <c r="E939" i="4"/>
  <c r="H939" i="4"/>
  <c r="L939" i="4"/>
  <c r="M939" i="4"/>
  <c r="N939" i="4"/>
  <c r="P939" i="4"/>
  <c r="A940" i="4"/>
  <c r="B940" i="4"/>
  <c r="E940" i="4"/>
  <c r="H940" i="4"/>
  <c r="L940" i="4"/>
  <c r="M940" i="4"/>
  <c r="N940" i="4"/>
  <c r="P940" i="4"/>
  <c r="A941" i="4"/>
  <c r="B941" i="4"/>
  <c r="E941" i="4"/>
  <c r="H941" i="4"/>
  <c r="L941" i="4"/>
  <c r="M941" i="4"/>
  <c r="N941" i="4"/>
  <c r="P941" i="4"/>
  <c r="A942" i="4"/>
  <c r="B942" i="4"/>
  <c r="E942" i="4"/>
  <c r="H942" i="4"/>
  <c r="L942" i="4"/>
  <c r="M942" i="4"/>
  <c r="N942" i="4"/>
  <c r="P942" i="4"/>
  <c r="A943" i="4"/>
  <c r="B943" i="4"/>
  <c r="E943" i="4"/>
  <c r="H943" i="4"/>
  <c r="L943" i="4"/>
  <c r="M943" i="4"/>
  <c r="N943" i="4"/>
  <c r="P943" i="4"/>
  <c r="A944" i="4"/>
  <c r="B944" i="4"/>
  <c r="E944" i="4"/>
  <c r="H944" i="4"/>
  <c r="L944" i="4"/>
  <c r="M944" i="4"/>
  <c r="N944" i="4"/>
  <c r="P944" i="4"/>
  <c r="A945" i="4"/>
  <c r="B945" i="4"/>
  <c r="E945" i="4"/>
  <c r="H945" i="4"/>
  <c r="L945" i="4"/>
  <c r="M945" i="4"/>
  <c r="N945" i="4"/>
  <c r="P945" i="4"/>
  <c r="A946" i="4"/>
  <c r="B946" i="4"/>
  <c r="E946" i="4"/>
  <c r="H946" i="4"/>
  <c r="L946" i="4"/>
  <c r="M946" i="4"/>
  <c r="N946" i="4"/>
  <c r="P946" i="4"/>
  <c r="A947" i="4"/>
  <c r="B947" i="4"/>
  <c r="E947" i="4"/>
  <c r="H947" i="4"/>
  <c r="L947" i="4"/>
  <c r="M947" i="4"/>
  <c r="N947" i="4"/>
  <c r="P947" i="4"/>
  <c r="A948" i="4"/>
  <c r="B948" i="4"/>
  <c r="E948" i="4"/>
  <c r="H948" i="4"/>
  <c r="L948" i="4"/>
  <c r="M948" i="4"/>
  <c r="N948" i="4"/>
  <c r="P948" i="4"/>
  <c r="A949" i="4"/>
  <c r="B949" i="4"/>
  <c r="E949" i="4"/>
  <c r="H949" i="4"/>
  <c r="L949" i="4"/>
  <c r="M949" i="4"/>
  <c r="N949" i="4"/>
  <c r="P949" i="4"/>
  <c r="A950" i="4"/>
  <c r="B950" i="4"/>
  <c r="E950" i="4"/>
  <c r="H950" i="4"/>
  <c r="L950" i="4"/>
  <c r="M950" i="4"/>
  <c r="N950" i="4"/>
  <c r="P950" i="4"/>
  <c r="A951" i="4"/>
  <c r="B951" i="4"/>
  <c r="E951" i="4"/>
  <c r="H951" i="4"/>
  <c r="L951" i="4"/>
  <c r="M951" i="4"/>
  <c r="N951" i="4"/>
  <c r="P951" i="4"/>
  <c r="A952" i="4"/>
  <c r="B952" i="4"/>
  <c r="E952" i="4"/>
  <c r="H952" i="4"/>
  <c r="L952" i="4"/>
  <c r="M952" i="4"/>
  <c r="N952" i="4"/>
  <c r="P952" i="4"/>
  <c r="A953" i="4"/>
  <c r="B953" i="4"/>
  <c r="E953" i="4"/>
  <c r="H953" i="4"/>
  <c r="L953" i="4"/>
  <c r="M953" i="4"/>
  <c r="N953" i="4"/>
  <c r="P953" i="4"/>
  <c r="A954" i="4"/>
  <c r="B954" i="4"/>
  <c r="E954" i="4"/>
  <c r="H954" i="4"/>
  <c r="L954" i="4"/>
  <c r="M954" i="4"/>
  <c r="N954" i="4"/>
  <c r="P954" i="4"/>
  <c r="A955" i="4"/>
  <c r="B955" i="4"/>
  <c r="E955" i="4"/>
  <c r="H955" i="4"/>
  <c r="L955" i="4"/>
  <c r="M955" i="4"/>
  <c r="N955" i="4"/>
  <c r="P955" i="4"/>
  <c r="A956" i="4"/>
  <c r="B956" i="4"/>
  <c r="E956" i="4"/>
  <c r="H956" i="4"/>
  <c r="L956" i="4"/>
  <c r="M956" i="4"/>
  <c r="N956" i="4"/>
  <c r="P956" i="4"/>
  <c r="A957" i="4"/>
  <c r="B957" i="4"/>
  <c r="E957" i="4"/>
  <c r="H957" i="4"/>
  <c r="L957" i="4"/>
  <c r="M957" i="4"/>
  <c r="N957" i="4"/>
  <c r="P957" i="4"/>
  <c r="A958" i="4"/>
  <c r="B958" i="4"/>
  <c r="E958" i="4"/>
  <c r="H958" i="4"/>
  <c r="L958" i="4"/>
  <c r="M958" i="4"/>
  <c r="N958" i="4"/>
  <c r="P958" i="4"/>
  <c r="A959" i="4"/>
  <c r="B959" i="4"/>
  <c r="E959" i="4"/>
  <c r="H959" i="4"/>
  <c r="L959" i="4"/>
  <c r="M959" i="4"/>
  <c r="N959" i="4"/>
  <c r="P959" i="4"/>
  <c r="A960" i="4"/>
  <c r="B960" i="4"/>
  <c r="E960" i="4"/>
  <c r="H960" i="4"/>
  <c r="L960" i="4"/>
  <c r="M960" i="4"/>
  <c r="N960" i="4"/>
  <c r="P960" i="4"/>
  <c r="A961" i="4"/>
  <c r="B961" i="4"/>
  <c r="E961" i="4"/>
  <c r="H961" i="4"/>
  <c r="L961" i="4"/>
  <c r="M961" i="4"/>
  <c r="N961" i="4"/>
  <c r="P961" i="4"/>
  <c r="A962" i="4"/>
  <c r="B962" i="4"/>
  <c r="E962" i="4"/>
  <c r="H962" i="4"/>
  <c r="L962" i="4"/>
  <c r="M962" i="4"/>
  <c r="N962" i="4"/>
  <c r="P962" i="4"/>
  <c r="A963" i="4"/>
  <c r="B963" i="4"/>
  <c r="E963" i="4"/>
  <c r="H963" i="4"/>
  <c r="L963" i="4"/>
  <c r="M963" i="4"/>
  <c r="N963" i="4"/>
  <c r="P963" i="4"/>
  <c r="A964" i="4"/>
  <c r="B964" i="4"/>
  <c r="E964" i="4"/>
  <c r="H964" i="4"/>
  <c r="L964" i="4"/>
  <c r="M964" i="4"/>
  <c r="N964" i="4"/>
  <c r="P964" i="4"/>
  <c r="A965" i="4"/>
  <c r="B965" i="4"/>
  <c r="E965" i="4"/>
  <c r="H965" i="4"/>
  <c r="L965" i="4"/>
  <c r="M965" i="4"/>
  <c r="N965" i="4"/>
  <c r="P965" i="4"/>
  <c r="A966" i="4"/>
  <c r="B966" i="4"/>
  <c r="E966" i="4"/>
  <c r="H966" i="4"/>
  <c r="L966" i="4"/>
  <c r="M966" i="4"/>
  <c r="N966" i="4"/>
  <c r="P966" i="4"/>
  <c r="A967" i="4"/>
  <c r="B967" i="4"/>
  <c r="E967" i="4"/>
  <c r="H967" i="4"/>
  <c r="L967" i="4"/>
  <c r="M967" i="4"/>
  <c r="N967" i="4"/>
  <c r="P967" i="4"/>
  <c r="A968" i="4"/>
  <c r="B968" i="4"/>
  <c r="E968" i="4"/>
  <c r="H968" i="4"/>
  <c r="L968" i="4"/>
  <c r="M968" i="4"/>
  <c r="N968" i="4"/>
  <c r="P968" i="4"/>
  <c r="A969" i="4"/>
  <c r="B969" i="4"/>
  <c r="E969" i="4"/>
  <c r="H969" i="4"/>
  <c r="L969" i="4"/>
  <c r="M969" i="4"/>
  <c r="N969" i="4"/>
  <c r="P969" i="4"/>
  <c r="A970" i="4"/>
  <c r="B970" i="4"/>
  <c r="E970" i="4"/>
  <c r="H970" i="4"/>
  <c r="L970" i="4"/>
  <c r="M970" i="4"/>
  <c r="N970" i="4"/>
  <c r="P970" i="4"/>
  <c r="A971" i="4"/>
  <c r="B971" i="4"/>
  <c r="E971" i="4"/>
  <c r="H971" i="4"/>
  <c r="L971" i="4"/>
  <c r="M971" i="4"/>
  <c r="N971" i="4"/>
  <c r="P971" i="4"/>
  <c r="A972" i="4"/>
  <c r="B972" i="4"/>
  <c r="E972" i="4"/>
  <c r="H972" i="4"/>
  <c r="L972" i="4"/>
  <c r="M972" i="4"/>
  <c r="N972" i="4"/>
  <c r="P972" i="4"/>
  <c r="A973" i="4"/>
  <c r="B973" i="4"/>
  <c r="E973" i="4"/>
  <c r="H973" i="4"/>
  <c r="L973" i="4"/>
  <c r="M973" i="4"/>
  <c r="N973" i="4"/>
  <c r="P973" i="4"/>
  <c r="A974" i="4"/>
  <c r="B974" i="4"/>
  <c r="E974" i="4"/>
  <c r="H974" i="4"/>
  <c r="L974" i="4"/>
  <c r="M974" i="4"/>
  <c r="N974" i="4"/>
  <c r="P974" i="4"/>
  <c r="A975" i="4"/>
  <c r="B975" i="4"/>
  <c r="E975" i="4"/>
  <c r="H975" i="4"/>
  <c r="L975" i="4"/>
  <c r="M975" i="4"/>
  <c r="N975" i="4"/>
  <c r="P975" i="4"/>
  <c r="A976" i="4"/>
  <c r="B976" i="4"/>
  <c r="E976" i="4"/>
  <c r="H976" i="4"/>
  <c r="L976" i="4"/>
  <c r="M976" i="4"/>
  <c r="N976" i="4"/>
  <c r="P976" i="4"/>
  <c r="A977" i="4"/>
  <c r="B977" i="4"/>
  <c r="E977" i="4"/>
  <c r="H977" i="4"/>
  <c r="L977" i="4"/>
  <c r="M977" i="4"/>
  <c r="N977" i="4"/>
  <c r="P977" i="4"/>
  <c r="A978" i="4"/>
  <c r="B978" i="4"/>
  <c r="E978" i="4"/>
  <c r="H978" i="4"/>
  <c r="L978" i="4"/>
  <c r="M978" i="4"/>
  <c r="N978" i="4"/>
  <c r="P978" i="4"/>
  <c r="A979" i="4"/>
  <c r="B979" i="4"/>
  <c r="E979" i="4"/>
  <c r="H979" i="4"/>
  <c r="L979" i="4"/>
  <c r="M979" i="4"/>
  <c r="N979" i="4"/>
  <c r="P979" i="4"/>
  <c r="A980" i="4"/>
  <c r="B980" i="4"/>
  <c r="E980" i="4"/>
  <c r="H980" i="4"/>
  <c r="L980" i="4"/>
  <c r="M980" i="4"/>
  <c r="N980" i="4"/>
  <c r="P980" i="4"/>
  <c r="A981" i="4"/>
  <c r="B981" i="4"/>
  <c r="E981" i="4"/>
  <c r="H981" i="4"/>
  <c r="L981" i="4"/>
  <c r="M981" i="4"/>
  <c r="N981" i="4"/>
  <c r="P981" i="4"/>
  <c r="A982" i="4"/>
  <c r="B982" i="4"/>
  <c r="E982" i="4"/>
  <c r="H982" i="4"/>
  <c r="L982" i="4"/>
  <c r="M982" i="4"/>
  <c r="N982" i="4"/>
  <c r="P982" i="4"/>
  <c r="A983" i="4"/>
  <c r="B983" i="4"/>
  <c r="E983" i="4"/>
  <c r="H983" i="4"/>
  <c r="L983" i="4"/>
  <c r="M983" i="4"/>
  <c r="N983" i="4"/>
  <c r="P983" i="4"/>
  <c r="A984" i="4"/>
  <c r="B984" i="4"/>
  <c r="E984" i="4"/>
  <c r="H984" i="4"/>
  <c r="L984" i="4"/>
  <c r="M984" i="4"/>
  <c r="N984" i="4"/>
  <c r="P984" i="4"/>
  <c r="A985" i="4"/>
  <c r="B985" i="4"/>
  <c r="E985" i="4"/>
  <c r="H985" i="4"/>
  <c r="L985" i="4"/>
  <c r="M985" i="4"/>
  <c r="N985" i="4"/>
  <c r="P985" i="4"/>
  <c r="A986" i="4"/>
  <c r="B986" i="4"/>
  <c r="E986" i="4"/>
  <c r="H986" i="4"/>
  <c r="L986" i="4"/>
  <c r="M986" i="4"/>
  <c r="N986" i="4"/>
  <c r="P986" i="4"/>
  <c r="A987" i="4"/>
  <c r="B987" i="4"/>
  <c r="E987" i="4"/>
  <c r="H987" i="4"/>
  <c r="L987" i="4"/>
  <c r="M987" i="4"/>
  <c r="N987" i="4"/>
  <c r="P987" i="4"/>
  <c r="A988" i="4"/>
  <c r="B988" i="4"/>
  <c r="E988" i="4"/>
  <c r="H988" i="4"/>
  <c r="L988" i="4"/>
  <c r="M988" i="4"/>
  <c r="N988" i="4"/>
  <c r="P988" i="4"/>
  <c r="A989" i="4"/>
  <c r="B989" i="4"/>
  <c r="E989" i="4"/>
  <c r="H989" i="4"/>
  <c r="L989" i="4"/>
  <c r="M989" i="4"/>
  <c r="N989" i="4"/>
  <c r="P989" i="4"/>
  <c r="A990" i="4"/>
  <c r="B990" i="4"/>
  <c r="E990" i="4"/>
  <c r="H990" i="4"/>
  <c r="L990" i="4"/>
  <c r="M990" i="4"/>
  <c r="N990" i="4"/>
  <c r="P990" i="4"/>
  <c r="A991" i="4"/>
  <c r="B991" i="4"/>
  <c r="E991" i="4"/>
  <c r="H991" i="4"/>
  <c r="L991" i="4"/>
  <c r="M991" i="4"/>
  <c r="N991" i="4"/>
  <c r="P991" i="4"/>
  <c r="A992" i="4"/>
  <c r="B992" i="4"/>
  <c r="E992" i="4"/>
  <c r="H992" i="4"/>
  <c r="L992" i="4"/>
  <c r="M992" i="4"/>
  <c r="N992" i="4"/>
  <c r="P992" i="4"/>
  <c r="A993" i="4"/>
  <c r="B993" i="4"/>
  <c r="E993" i="4"/>
  <c r="H993" i="4"/>
  <c r="L993" i="4"/>
  <c r="M993" i="4"/>
  <c r="N993" i="4"/>
  <c r="P993" i="4"/>
  <c r="A994" i="4"/>
  <c r="B994" i="4"/>
  <c r="E994" i="4"/>
  <c r="H994" i="4"/>
  <c r="L994" i="4"/>
  <c r="M994" i="4"/>
  <c r="N994" i="4"/>
  <c r="P994" i="4"/>
  <c r="A995" i="4"/>
  <c r="B995" i="4"/>
  <c r="E995" i="4"/>
  <c r="H995" i="4"/>
  <c r="L995" i="4"/>
  <c r="M995" i="4"/>
  <c r="N995" i="4"/>
  <c r="P995" i="4"/>
  <c r="A996" i="4"/>
  <c r="B996" i="4"/>
  <c r="E996" i="4"/>
  <c r="H996" i="4"/>
  <c r="L996" i="4"/>
  <c r="M996" i="4"/>
  <c r="N996" i="4"/>
  <c r="P996" i="4"/>
  <c r="A997" i="4"/>
  <c r="B997" i="4"/>
  <c r="E997" i="4"/>
  <c r="H997" i="4"/>
  <c r="L997" i="4"/>
  <c r="M997" i="4"/>
  <c r="N997" i="4"/>
  <c r="P997" i="4"/>
  <c r="A998" i="4"/>
  <c r="B998" i="4"/>
  <c r="E998" i="4"/>
  <c r="H998" i="4"/>
  <c r="L998" i="4"/>
  <c r="M998" i="4"/>
  <c r="N998" i="4"/>
  <c r="P998" i="4"/>
  <c r="A999" i="4"/>
  <c r="B999" i="4"/>
  <c r="E999" i="4"/>
  <c r="H999" i="4"/>
  <c r="L999" i="4"/>
  <c r="M999" i="4"/>
  <c r="N999" i="4"/>
  <c r="P999" i="4"/>
  <c r="A1000" i="4"/>
  <c r="B1000" i="4"/>
  <c r="E1000" i="4"/>
  <c r="H1000" i="4"/>
  <c r="L1000" i="4"/>
  <c r="M1000" i="4"/>
  <c r="N1000" i="4"/>
  <c r="P1000" i="4"/>
  <c r="A1001" i="4"/>
  <c r="B1001" i="4"/>
  <c r="E1001" i="4"/>
  <c r="H1001" i="4"/>
  <c r="L1001" i="4"/>
  <c r="M1001" i="4"/>
  <c r="N1001" i="4"/>
  <c r="P1001" i="4"/>
  <c r="A1002" i="4"/>
  <c r="B1002" i="4"/>
  <c r="E1002" i="4"/>
  <c r="H1002" i="4"/>
  <c r="L1002" i="4"/>
  <c r="M1002" i="4"/>
  <c r="N1002" i="4"/>
  <c r="P1002" i="4"/>
  <c r="A1003" i="4"/>
  <c r="B1003" i="4"/>
  <c r="E1003" i="4"/>
  <c r="H1003" i="4"/>
  <c r="L1003" i="4"/>
  <c r="M1003" i="4"/>
  <c r="N1003" i="4"/>
  <c r="P1003" i="4"/>
  <c r="A1004" i="4"/>
  <c r="B1004" i="4"/>
  <c r="E1004" i="4"/>
  <c r="H1004" i="4"/>
  <c r="L1004" i="4"/>
  <c r="M1004" i="4"/>
  <c r="N1004" i="4"/>
  <c r="P1004" i="4"/>
  <c r="A1005" i="4"/>
  <c r="B1005" i="4"/>
  <c r="E1005" i="4"/>
  <c r="H1005" i="4"/>
  <c r="L1005" i="4"/>
  <c r="M1005" i="4"/>
  <c r="N1005" i="4"/>
  <c r="P1005" i="4"/>
  <c r="A1006" i="4"/>
  <c r="B1006" i="4"/>
  <c r="E1006" i="4"/>
  <c r="H1006" i="4"/>
  <c r="L1006" i="4"/>
  <c r="M1006" i="4"/>
  <c r="N1006" i="4"/>
  <c r="P1006" i="4"/>
  <c r="A1007" i="4"/>
  <c r="B1007" i="4"/>
  <c r="E1007" i="4"/>
  <c r="H1007" i="4"/>
  <c r="L1007" i="4"/>
  <c r="M1007" i="4"/>
  <c r="N1007" i="4"/>
  <c r="P1007" i="4"/>
  <c r="A1008" i="4"/>
  <c r="B1008" i="4"/>
  <c r="E1008" i="4"/>
  <c r="H1008" i="4"/>
  <c r="L1008" i="4"/>
  <c r="M1008" i="4"/>
  <c r="N1008" i="4"/>
  <c r="P1008" i="4"/>
  <c r="A1009" i="4"/>
  <c r="B1009" i="4"/>
  <c r="E1009" i="4"/>
  <c r="H1009" i="4"/>
  <c r="L1009" i="4"/>
  <c r="M1009" i="4"/>
  <c r="N1009" i="4"/>
  <c r="P1009" i="4"/>
  <c r="A1010" i="4"/>
  <c r="B1010" i="4"/>
  <c r="E1010" i="4"/>
  <c r="H1010" i="4"/>
  <c r="L1010" i="4"/>
  <c r="M1010" i="4"/>
  <c r="N1010" i="4"/>
  <c r="P1010" i="4"/>
  <c r="A1011" i="4"/>
  <c r="B1011" i="4"/>
  <c r="E1011" i="4"/>
  <c r="H1011" i="4"/>
  <c r="L1011" i="4"/>
  <c r="M1011" i="4"/>
  <c r="N1011" i="4"/>
  <c r="P1011" i="4"/>
  <c r="A1012" i="4"/>
  <c r="B1012" i="4"/>
  <c r="E1012" i="4"/>
  <c r="H1012" i="4"/>
  <c r="L1012" i="4"/>
  <c r="M1012" i="4"/>
  <c r="N1012" i="4"/>
  <c r="P1012" i="4"/>
  <c r="A1013" i="4"/>
  <c r="B1013" i="4"/>
  <c r="E1013" i="4"/>
  <c r="H1013" i="4"/>
  <c r="L1013" i="4"/>
  <c r="M1013" i="4"/>
  <c r="N1013" i="4"/>
  <c r="P1013" i="4"/>
  <c r="A1014" i="4"/>
  <c r="B1014" i="4"/>
  <c r="E1014" i="4"/>
  <c r="H1014" i="4"/>
  <c r="L1014" i="4"/>
  <c r="M1014" i="4"/>
  <c r="N1014" i="4"/>
  <c r="P1014" i="4"/>
  <c r="A1015" i="4"/>
  <c r="B1015" i="4"/>
  <c r="E1015" i="4"/>
  <c r="H1015" i="4"/>
  <c r="L1015" i="4"/>
  <c r="M1015" i="4"/>
  <c r="N1015" i="4"/>
  <c r="P1015" i="4"/>
  <c r="A1016" i="4"/>
  <c r="B1016" i="4"/>
  <c r="E1016" i="4"/>
  <c r="H1016" i="4"/>
  <c r="L1016" i="4"/>
  <c r="M1016" i="4"/>
  <c r="N1016" i="4"/>
  <c r="P1016" i="4"/>
  <c r="A1017" i="4"/>
  <c r="B1017" i="4"/>
  <c r="E1017" i="4"/>
  <c r="H1017" i="4"/>
  <c r="L1017" i="4"/>
  <c r="M1017" i="4"/>
  <c r="N1017" i="4"/>
  <c r="P1017" i="4"/>
  <c r="A1018" i="4"/>
  <c r="B1018" i="4"/>
  <c r="E1018" i="4"/>
  <c r="H1018" i="4"/>
  <c r="L1018" i="4"/>
  <c r="M1018" i="4"/>
  <c r="N1018" i="4"/>
  <c r="P1018" i="4"/>
  <c r="A1019" i="4"/>
  <c r="B1019" i="4"/>
  <c r="E1019" i="4"/>
  <c r="H1019" i="4"/>
  <c r="L1019" i="4"/>
  <c r="M1019" i="4"/>
  <c r="N1019" i="4"/>
  <c r="P1019" i="4"/>
  <c r="A1020" i="4"/>
  <c r="B1020" i="4"/>
  <c r="E1020" i="4"/>
  <c r="H1020" i="4"/>
  <c r="L1020" i="4"/>
  <c r="M1020" i="4"/>
  <c r="N1020" i="4"/>
  <c r="P1020" i="4"/>
  <c r="A1021" i="4"/>
  <c r="B1021" i="4"/>
  <c r="E1021" i="4"/>
  <c r="H1021" i="4"/>
  <c r="L1021" i="4"/>
  <c r="M1021" i="4"/>
  <c r="N1021" i="4"/>
  <c r="P1021" i="4"/>
  <c r="A1022" i="4"/>
  <c r="B1022" i="4"/>
  <c r="E1022" i="4"/>
  <c r="H1022" i="4"/>
  <c r="L1022" i="4"/>
  <c r="M1022" i="4"/>
  <c r="N1022" i="4"/>
  <c r="P1022" i="4"/>
  <c r="A1023" i="4"/>
  <c r="B1023" i="4"/>
  <c r="E1023" i="4"/>
  <c r="H1023" i="4"/>
  <c r="L1023" i="4"/>
  <c r="M1023" i="4"/>
  <c r="N1023" i="4"/>
  <c r="P1023" i="4"/>
  <c r="A1024" i="4"/>
  <c r="B1024" i="4"/>
  <c r="E1024" i="4"/>
  <c r="H1024" i="4"/>
  <c r="L1024" i="4"/>
  <c r="M1024" i="4"/>
  <c r="N1024" i="4"/>
  <c r="P1024" i="4"/>
  <c r="A1025" i="4"/>
  <c r="B1025" i="4"/>
  <c r="E1025" i="4"/>
  <c r="H1025" i="4"/>
  <c r="L1025" i="4"/>
  <c r="M1025" i="4"/>
  <c r="N1025" i="4"/>
  <c r="P1025" i="4"/>
  <c r="A1026" i="4"/>
  <c r="B1026" i="4"/>
  <c r="E1026" i="4"/>
  <c r="H1026" i="4"/>
  <c r="L1026" i="4"/>
  <c r="M1026" i="4"/>
  <c r="N1026" i="4"/>
  <c r="P1026" i="4"/>
  <c r="A1027" i="4"/>
  <c r="B1027" i="4"/>
  <c r="E1027" i="4"/>
  <c r="H1027" i="4"/>
  <c r="L1027" i="4"/>
  <c r="M1027" i="4"/>
  <c r="N1027" i="4"/>
  <c r="P1027" i="4"/>
  <c r="A1028" i="4"/>
  <c r="B1028" i="4"/>
  <c r="E1028" i="4"/>
  <c r="H1028" i="4"/>
  <c r="L1028" i="4"/>
  <c r="M1028" i="4"/>
  <c r="N1028" i="4"/>
  <c r="P1028" i="4"/>
  <c r="A1029" i="4"/>
  <c r="B1029" i="4"/>
  <c r="E1029" i="4"/>
  <c r="H1029" i="4"/>
  <c r="L1029" i="4"/>
  <c r="M1029" i="4"/>
  <c r="N1029" i="4"/>
  <c r="P1029" i="4"/>
  <c r="A1030" i="4"/>
  <c r="B1030" i="4"/>
  <c r="E1030" i="4"/>
  <c r="H1030" i="4"/>
  <c r="L1030" i="4"/>
  <c r="M1030" i="4"/>
  <c r="N1030" i="4"/>
  <c r="P1030" i="4"/>
  <c r="A1031" i="4"/>
  <c r="B1031" i="4"/>
  <c r="E1031" i="4"/>
  <c r="H1031" i="4"/>
  <c r="L1031" i="4"/>
  <c r="M1031" i="4"/>
  <c r="N1031" i="4"/>
  <c r="P1031" i="4"/>
  <c r="A1032" i="4"/>
  <c r="B1032" i="4"/>
  <c r="E1032" i="4"/>
  <c r="H1032" i="4"/>
  <c r="L1032" i="4"/>
  <c r="M1032" i="4"/>
  <c r="N1032" i="4"/>
  <c r="P1032" i="4"/>
  <c r="A1033" i="4"/>
  <c r="B1033" i="4"/>
  <c r="E1033" i="4"/>
  <c r="H1033" i="4"/>
  <c r="L1033" i="4"/>
  <c r="M1033" i="4"/>
  <c r="N1033" i="4"/>
  <c r="P1033" i="4"/>
  <c r="A1034" i="4"/>
  <c r="B1034" i="4"/>
  <c r="E1034" i="4"/>
  <c r="H1034" i="4"/>
  <c r="L1034" i="4"/>
  <c r="M1034" i="4"/>
  <c r="N1034" i="4"/>
  <c r="P1034" i="4"/>
  <c r="A1035" i="4"/>
  <c r="B1035" i="4"/>
  <c r="E1035" i="4"/>
  <c r="H1035" i="4"/>
  <c r="L1035" i="4"/>
  <c r="M1035" i="4"/>
  <c r="N1035" i="4"/>
  <c r="P1035" i="4"/>
  <c r="A1036" i="4"/>
  <c r="B1036" i="4"/>
  <c r="E1036" i="4"/>
  <c r="H1036" i="4"/>
  <c r="L1036" i="4"/>
  <c r="M1036" i="4"/>
  <c r="N1036" i="4"/>
  <c r="P1036" i="4"/>
  <c r="A1037" i="4"/>
  <c r="B1037" i="4"/>
  <c r="E1037" i="4"/>
  <c r="H1037" i="4"/>
  <c r="L1037" i="4"/>
  <c r="M1037" i="4"/>
  <c r="N1037" i="4"/>
  <c r="P1037" i="4"/>
  <c r="A1038" i="4"/>
  <c r="B1038" i="4"/>
  <c r="E1038" i="4"/>
  <c r="H1038" i="4"/>
  <c r="L1038" i="4"/>
  <c r="M1038" i="4"/>
  <c r="N1038" i="4"/>
  <c r="P1038" i="4"/>
  <c r="A1039" i="4"/>
  <c r="B1039" i="4"/>
  <c r="E1039" i="4"/>
  <c r="H1039" i="4"/>
  <c r="L1039" i="4"/>
  <c r="M1039" i="4"/>
  <c r="N1039" i="4"/>
  <c r="P1039" i="4"/>
  <c r="A1040" i="4"/>
  <c r="B1040" i="4"/>
  <c r="E1040" i="4"/>
  <c r="H1040" i="4"/>
  <c r="L1040" i="4"/>
  <c r="M1040" i="4"/>
  <c r="N1040" i="4"/>
  <c r="P1040" i="4"/>
  <c r="A1041" i="4"/>
  <c r="B1041" i="4"/>
  <c r="E1041" i="4"/>
  <c r="H1041" i="4"/>
  <c r="L1041" i="4"/>
  <c r="M1041" i="4"/>
  <c r="N1041" i="4"/>
  <c r="P1041" i="4"/>
  <c r="A1042" i="4"/>
  <c r="B1042" i="4"/>
  <c r="E1042" i="4"/>
  <c r="H1042" i="4"/>
  <c r="L1042" i="4"/>
  <c r="M1042" i="4"/>
  <c r="N1042" i="4"/>
  <c r="P1042" i="4"/>
  <c r="A1043" i="4"/>
  <c r="B1043" i="4"/>
  <c r="E1043" i="4"/>
  <c r="H1043" i="4"/>
  <c r="L1043" i="4"/>
  <c r="M1043" i="4"/>
  <c r="N1043" i="4"/>
  <c r="P1043" i="4"/>
  <c r="A1044" i="4"/>
  <c r="B1044" i="4"/>
  <c r="E1044" i="4"/>
  <c r="H1044" i="4"/>
  <c r="L1044" i="4"/>
  <c r="M1044" i="4"/>
  <c r="N1044" i="4"/>
  <c r="P1044" i="4"/>
  <c r="A1045" i="4"/>
  <c r="B1045" i="4"/>
  <c r="E1045" i="4"/>
  <c r="H1045" i="4"/>
  <c r="L1045" i="4"/>
  <c r="M1045" i="4"/>
  <c r="N1045" i="4"/>
  <c r="P1045" i="4"/>
  <c r="A1046" i="4"/>
  <c r="B1046" i="4"/>
  <c r="E1046" i="4"/>
  <c r="H1046" i="4"/>
  <c r="L1046" i="4"/>
  <c r="M1046" i="4"/>
  <c r="N1046" i="4"/>
  <c r="P1046" i="4"/>
  <c r="A1047" i="4"/>
  <c r="B1047" i="4"/>
  <c r="E1047" i="4"/>
  <c r="H1047" i="4"/>
  <c r="L1047" i="4"/>
  <c r="M1047" i="4"/>
  <c r="N1047" i="4"/>
  <c r="P1047" i="4"/>
  <c r="A1048" i="4"/>
  <c r="B1048" i="4"/>
  <c r="E1048" i="4"/>
  <c r="H1048" i="4"/>
  <c r="L1048" i="4"/>
  <c r="M1048" i="4"/>
  <c r="N1048" i="4"/>
  <c r="P1048" i="4"/>
  <c r="A1049" i="4"/>
  <c r="B1049" i="4"/>
  <c r="E1049" i="4"/>
  <c r="H1049" i="4"/>
  <c r="L1049" i="4"/>
  <c r="M1049" i="4"/>
  <c r="N1049" i="4"/>
  <c r="P1049" i="4"/>
  <c r="A1050" i="4"/>
  <c r="B1050" i="4"/>
  <c r="E1050" i="4"/>
  <c r="H1050" i="4"/>
  <c r="L1050" i="4"/>
  <c r="M1050" i="4"/>
  <c r="N1050" i="4"/>
  <c r="P1050" i="4"/>
  <c r="A1051" i="4"/>
  <c r="B1051" i="4"/>
  <c r="E1051" i="4"/>
  <c r="H1051" i="4"/>
  <c r="L1051" i="4"/>
  <c r="M1051" i="4"/>
  <c r="N1051" i="4"/>
  <c r="P1051" i="4"/>
  <c r="A1052" i="4"/>
  <c r="B1052" i="4"/>
  <c r="E1052" i="4"/>
  <c r="H1052" i="4"/>
  <c r="L1052" i="4"/>
  <c r="M1052" i="4"/>
  <c r="N1052" i="4"/>
  <c r="P1052" i="4"/>
  <c r="A1053" i="4"/>
  <c r="B1053" i="4"/>
  <c r="E1053" i="4"/>
  <c r="H1053" i="4"/>
  <c r="L1053" i="4"/>
  <c r="M1053" i="4"/>
  <c r="N1053" i="4"/>
  <c r="P1053" i="4"/>
  <c r="A1054" i="4"/>
  <c r="B1054" i="4"/>
  <c r="E1054" i="4"/>
  <c r="H1054" i="4"/>
  <c r="L1054" i="4"/>
  <c r="M1054" i="4"/>
  <c r="N1054" i="4"/>
  <c r="P1054" i="4"/>
  <c r="A1055" i="4"/>
  <c r="B1055" i="4"/>
  <c r="E1055" i="4"/>
  <c r="H1055" i="4"/>
  <c r="L1055" i="4"/>
  <c r="M1055" i="4"/>
  <c r="N1055" i="4"/>
  <c r="P1055" i="4"/>
  <c r="A1056" i="4"/>
  <c r="B1056" i="4"/>
  <c r="E1056" i="4"/>
  <c r="H1056" i="4"/>
  <c r="L1056" i="4"/>
  <c r="M1056" i="4"/>
  <c r="N1056" i="4"/>
  <c r="P1056" i="4"/>
  <c r="A1057" i="4"/>
  <c r="B1057" i="4"/>
  <c r="E1057" i="4"/>
  <c r="H1057" i="4"/>
  <c r="L1057" i="4"/>
  <c r="M1057" i="4"/>
  <c r="N1057" i="4"/>
  <c r="P1057" i="4"/>
  <c r="A1058" i="4"/>
  <c r="B1058" i="4"/>
  <c r="E1058" i="4"/>
  <c r="H1058" i="4"/>
  <c r="L1058" i="4"/>
  <c r="M1058" i="4"/>
  <c r="N1058" i="4"/>
  <c r="P1058" i="4"/>
  <c r="A1059" i="4"/>
  <c r="B1059" i="4"/>
  <c r="E1059" i="4"/>
  <c r="H1059" i="4"/>
  <c r="L1059" i="4"/>
  <c r="M1059" i="4"/>
  <c r="N1059" i="4"/>
  <c r="P1059" i="4"/>
  <c r="A1060" i="4"/>
  <c r="B1060" i="4"/>
  <c r="E1060" i="4"/>
  <c r="H1060" i="4"/>
  <c r="L1060" i="4"/>
  <c r="M1060" i="4"/>
  <c r="N1060" i="4"/>
  <c r="P1060" i="4"/>
  <c r="A1061" i="4"/>
  <c r="B1061" i="4"/>
  <c r="E1061" i="4"/>
  <c r="H1061" i="4"/>
  <c r="L1061" i="4"/>
  <c r="M1061" i="4"/>
  <c r="N1061" i="4"/>
  <c r="P1061" i="4"/>
  <c r="A1062" i="4"/>
  <c r="B1062" i="4"/>
  <c r="E1062" i="4"/>
  <c r="H1062" i="4"/>
  <c r="L1062" i="4"/>
  <c r="M1062" i="4"/>
  <c r="N1062" i="4"/>
  <c r="P1062" i="4"/>
  <c r="A1063" i="4"/>
  <c r="B1063" i="4"/>
  <c r="E1063" i="4"/>
  <c r="H1063" i="4"/>
  <c r="L1063" i="4"/>
  <c r="M1063" i="4"/>
  <c r="N1063" i="4"/>
  <c r="P1063" i="4"/>
  <c r="A1064" i="4"/>
  <c r="B1064" i="4"/>
  <c r="E1064" i="4"/>
  <c r="H1064" i="4"/>
  <c r="L1064" i="4"/>
  <c r="M1064" i="4"/>
  <c r="N1064" i="4"/>
  <c r="P1064" i="4"/>
  <c r="A1065" i="4"/>
  <c r="B1065" i="4"/>
  <c r="E1065" i="4"/>
  <c r="H1065" i="4"/>
  <c r="L1065" i="4"/>
  <c r="M1065" i="4"/>
  <c r="N1065" i="4"/>
  <c r="P1065" i="4"/>
  <c r="A1066" i="4"/>
  <c r="B1066" i="4"/>
  <c r="E1066" i="4"/>
  <c r="H1066" i="4"/>
  <c r="L1066" i="4"/>
  <c r="M1066" i="4"/>
  <c r="N1066" i="4"/>
  <c r="P1066" i="4"/>
  <c r="A1067" i="4"/>
  <c r="B1067" i="4"/>
  <c r="E1067" i="4"/>
  <c r="H1067" i="4"/>
  <c r="L1067" i="4"/>
  <c r="M1067" i="4"/>
  <c r="N1067" i="4"/>
  <c r="P1067" i="4"/>
  <c r="A1068" i="4"/>
  <c r="B1068" i="4"/>
  <c r="E1068" i="4"/>
  <c r="H1068" i="4"/>
  <c r="L1068" i="4"/>
  <c r="M1068" i="4"/>
  <c r="N1068" i="4"/>
  <c r="P1068" i="4"/>
  <c r="A1069" i="4"/>
  <c r="B1069" i="4"/>
  <c r="E1069" i="4"/>
  <c r="H1069" i="4"/>
  <c r="L1069" i="4"/>
  <c r="M1069" i="4"/>
  <c r="N1069" i="4"/>
  <c r="P1069" i="4"/>
  <c r="A1070" i="4"/>
  <c r="B1070" i="4"/>
  <c r="E1070" i="4"/>
  <c r="H1070" i="4"/>
  <c r="L1070" i="4"/>
  <c r="M1070" i="4"/>
  <c r="N1070" i="4"/>
  <c r="P1070" i="4"/>
  <c r="A1071" i="4"/>
  <c r="B1071" i="4"/>
  <c r="E1071" i="4"/>
  <c r="H1071" i="4"/>
  <c r="L1071" i="4"/>
  <c r="M1071" i="4"/>
  <c r="N1071" i="4"/>
  <c r="P1071" i="4"/>
  <c r="A1072" i="4"/>
  <c r="B1072" i="4"/>
  <c r="E1072" i="4"/>
  <c r="H1072" i="4"/>
  <c r="L1072" i="4"/>
  <c r="M1072" i="4"/>
  <c r="N1072" i="4"/>
  <c r="P1072" i="4"/>
  <c r="A1073" i="4"/>
  <c r="B1073" i="4"/>
  <c r="E1073" i="4"/>
  <c r="H1073" i="4"/>
  <c r="L1073" i="4"/>
  <c r="M1073" i="4"/>
  <c r="N1073" i="4"/>
  <c r="P1073" i="4"/>
  <c r="A1074" i="4"/>
  <c r="B1074" i="4"/>
  <c r="E1074" i="4"/>
  <c r="H1074" i="4"/>
  <c r="L1074" i="4"/>
  <c r="M1074" i="4"/>
  <c r="N1074" i="4"/>
  <c r="P1074" i="4"/>
  <c r="A1075" i="4"/>
  <c r="B1075" i="4"/>
  <c r="E1075" i="4"/>
  <c r="H1075" i="4"/>
  <c r="L1075" i="4"/>
  <c r="M1075" i="4"/>
  <c r="N1075" i="4"/>
  <c r="P1075" i="4"/>
  <c r="A1076" i="4"/>
  <c r="B1076" i="4"/>
  <c r="E1076" i="4"/>
  <c r="H1076" i="4"/>
  <c r="L1076" i="4"/>
  <c r="M1076" i="4"/>
  <c r="N1076" i="4"/>
  <c r="P1076" i="4"/>
  <c r="A1077" i="4"/>
  <c r="B1077" i="4"/>
  <c r="E1077" i="4"/>
  <c r="H1077" i="4"/>
  <c r="L1077" i="4"/>
  <c r="M1077" i="4"/>
  <c r="N1077" i="4"/>
  <c r="P1077" i="4"/>
  <c r="A1078" i="4"/>
  <c r="B1078" i="4"/>
  <c r="E1078" i="4"/>
  <c r="H1078" i="4"/>
  <c r="L1078" i="4"/>
  <c r="M1078" i="4"/>
  <c r="N1078" i="4"/>
  <c r="P1078" i="4"/>
  <c r="A1079" i="4"/>
  <c r="B1079" i="4"/>
  <c r="E1079" i="4"/>
  <c r="H1079" i="4"/>
  <c r="L1079" i="4"/>
  <c r="M1079" i="4"/>
  <c r="N1079" i="4"/>
  <c r="P1079" i="4"/>
  <c r="A1080" i="4"/>
  <c r="B1080" i="4"/>
  <c r="E1080" i="4"/>
  <c r="H1080" i="4"/>
  <c r="L1080" i="4"/>
  <c r="M1080" i="4"/>
  <c r="N1080" i="4"/>
  <c r="P1080" i="4"/>
  <c r="A1081" i="4"/>
  <c r="B1081" i="4"/>
  <c r="E1081" i="4"/>
  <c r="H1081" i="4"/>
  <c r="L1081" i="4"/>
  <c r="M1081" i="4"/>
  <c r="N1081" i="4"/>
  <c r="P1081" i="4"/>
  <c r="A1082" i="4"/>
  <c r="B1082" i="4"/>
  <c r="E1082" i="4"/>
  <c r="H1082" i="4"/>
  <c r="L1082" i="4"/>
  <c r="M1082" i="4"/>
  <c r="N1082" i="4"/>
  <c r="P1082" i="4"/>
  <c r="A1083" i="4"/>
  <c r="B1083" i="4"/>
  <c r="E1083" i="4"/>
  <c r="H1083" i="4"/>
  <c r="L1083" i="4"/>
  <c r="M1083" i="4"/>
  <c r="N1083" i="4"/>
  <c r="P1083" i="4"/>
  <c r="A1084" i="4"/>
  <c r="B1084" i="4"/>
  <c r="E1084" i="4"/>
  <c r="H1084" i="4"/>
  <c r="L1084" i="4"/>
  <c r="M1084" i="4"/>
  <c r="N1084" i="4"/>
  <c r="P1084" i="4"/>
  <c r="A1085" i="4"/>
  <c r="B1085" i="4"/>
  <c r="E1085" i="4"/>
  <c r="H1085" i="4"/>
  <c r="L1085" i="4"/>
  <c r="M1085" i="4"/>
  <c r="N1085" i="4"/>
  <c r="P1085" i="4"/>
  <c r="A1086" i="4"/>
  <c r="B1086" i="4"/>
  <c r="E1086" i="4"/>
  <c r="H1086" i="4"/>
  <c r="L1086" i="4"/>
  <c r="M1086" i="4"/>
  <c r="N1086" i="4"/>
  <c r="P1086" i="4"/>
  <c r="A1087" i="4"/>
  <c r="B1087" i="4"/>
  <c r="E1087" i="4"/>
  <c r="H1087" i="4"/>
  <c r="L1087" i="4"/>
  <c r="M1087" i="4"/>
  <c r="N1087" i="4"/>
  <c r="P1087" i="4"/>
  <c r="A1088" i="4"/>
  <c r="B1088" i="4"/>
  <c r="E1088" i="4"/>
  <c r="H1088" i="4"/>
  <c r="L1088" i="4"/>
  <c r="M1088" i="4"/>
  <c r="N1088" i="4"/>
  <c r="P1088" i="4"/>
  <c r="A1089" i="4"/>
  <c r="B1089" i="4"/>
  <c r="E1089" i="4"/>
  <c r="H1089" i="4"/>
  <c r="L1089" i="4"/>
  <c r="M1089" i="4"/>
  <c r="N1089" i="4"/>
  <c r="P1089" i="4"/>
  <c r="A1090" i="4"/>
  <c r="B1090" i="4"/>
  <c r="E1090" i="4"/>
  <c r="H1090" i="4"/>
  <c r="L1090" i="4"/>
  <c r="M1090" i="4"/>
  <c r="N1090" i="4"/>
  <c r="P1090" i="4"/>
  <c r="A1091" i="4"/>
  <c r="B1091" i="4"/>
  <c r="E1091" i="4"/>
  <c r="H1091" i="4"/>
  <c r="L1091" i="4"/>
  <c r="M1091" i="4"/>
  <c r="N1091" i="4"/>
  <c r="P1091" i="4"/>
  <c r="A1092" i="4"/>
  <c r="B1092" i="4"/>
  <c r="E1092" i="4"/>
  <c r="H1092" i="4"/>
  <c r="L1092" i="4"/>
  <c r="M1092" i="4"/>
  <c r="N1092" i="4"/>
  <c r="P1092" i="4"/>
  <c r="A1093" i="4"/>
  <c r="B1093" i="4"/>
  <c r="E1093" i="4"/>
  <c r="H1093" i="4"/>
  <c r="L1093" i="4"/>
  <c r="M1093" i="4"/>
  <c r="N1093" i="4"/>
  <c r="P1093" i="4"/>
  <c r="A1094" i="4"/>
  <c r="B1094" i="4"/>
  <c r="E1094" i="4"/>
  <c r="H1094" i="4"/>
  <c r="L1094" i="4"/>
  <c r="M1094" i="4"/>
  <c r="N1094" i="4"/>
  <c r="P1094" i="4"/>
  <c r="A1095" i="4"/>
  <c r="B1095" i="4"/>
  <c r="E1095" i="4"/>
  <c r="H1095" i="4"/>
  <c r="L1095" i="4"/>
  <c r="M1095" i="4"/>
  <c r="N1095" i="4"/>
  <c r="P1095" i="4"/>
  <c r="A1096" i="4"/>
  <c r="B1096" i="4"/>
  <c r="E1096" i="4"/>
  <c r="H1096" i="4"/>
  <c r="L1096" i="4"/>
  <c r="M1096" i="4"/>
  <c r="N1096" i="4"/>
  <c r="P1096" i="4"/>
  <c r="A1097" i="4"/>
  <c r="B1097" i="4"/>
  <c r="E1097" i="4"/>
  <c r="H1097" i="4"/>
  <c r="L1097" i="4"/>
  <c r="M1097" i="4"/>
  <c r="N1097" i="4"/>
  <c r="P1097" i="4"/>
  <c r="A1098" i="4"/>
  <c r="B1098" i="4"/>
  <c r="E1098" i="4"/>
  <c r="H1098" i="4"/>
  <c r="L1098" i="4"/>
  <c r="M1098" i="4"/>
  <c r="N1098" i="4"/>
  <c r="P1098" i="4"/>
  <c r="A1099" i="4"/>
  <c r="B1099" i="4"/>
  <c r="E1099" i="4"/>
  <c r="H1099" i="4"/>
  <c r="L1099" i="4"/>
  <c r="M1099" i="4"/>
  <c r="N1099" i="4"/>
  <c r="P1099" i="4"/>
  <c r="A1100" i="4"/>
  <c r="B1100" i="4"/>
  <c r="E1100" i="4"/>
  <c r="H1100" i="4"/>
  <c r="L1100" i="4"/>
  <c r="M1100" i="4"/>
  <c r="N1100" i="4"/>
  <c r="P1100" i="4"/>
  <c r="A1101" i="4"/>
  <c r="B1101" i="4"/>
  <c r="E1101" i="4"/>
  <c r="H1101" i="4"/>
  <c r="L1101" i="4"/>
  <c r="M1101" i="4"/>
  <c r="N1101" i="4"/>
  <c r="P1101" i="4"/>
  <c r="A1102" i="4"/>
  <c r="B1102" i="4"/>
  <c r="E1102" i="4"/>
  <c r="H1102" i="4"/>
  <c r="L1102" i="4"/>
  <c r="M1102" i="4"/>
  <c r="N1102" i="4"/>
  <c r="P1102" i="4"/>
  <c r="A1103" i="4"/>
  <c r="B1103" i="4"/>
  <c r="E1103" i="4"/>
  <c r="H1103" i="4"/>
  <c r="L1103" i="4"/>
  <c r="M1103" i="4"/>
  <c r="N1103" i="4"/>
  <c r="P1103" i="4"/>
  <c r="A1104" i="4"/>
  <c r="B1104" i="4"/>
  <c r="E1104" i="4"/>
  <c r="H1104" i="4"/>
  <c r="L1104" i="4"/>
  <c r="M1104" i="4"/>
  <c r="N1104" i="4"/>
  <c r="P1104" i="4"/>
  <c r="A1105" i="4"/>
  <c r="B1105" i="4"/>
  <c r="E1105" i="4"/>
  <c r="H1105" i="4"/>
  <c r="L1105" i="4"/>
  <c r="M1105" i="4"/>
  <c r="N1105" i="4"/>
  <c r="P1105" i="4"/>
  <c r="A1106" i="4"/>
  <c r="B1106" i="4"/>
  <c r="E1106" i="4"/>
  <c r="H1106" i="4"/>
  <c r="L1106" i="4"/>
  <c r="M1106" i="4"/>
  <c r="N1106" i="4"/>
  <c r="P1106" i="4"/>
  <c r="A1107" i="4"/>
  <c r="B1107" i="4"/>
  <c r="E1107" i="4"/>
  <c r="H1107" i="4"/>
  <c r="L1107" i="4"/>
  <c r="M1107" i="4"/>
  <c r="N1107" i="4"/>
  <c r="P1107" i="4"/>
  <c r="A1108" i="4"/>
  <c r="B1108" i="4"/>
  <c r="E1108" i="4"/>
  <c r="H1108" i="4"/>
  <c r="L1108" i="4"/>
  <c r="M1108" i="4"/>
  <c r="N1108" i="4"/>
  <c r="P1108" i="4"/>
  <c r="A1109" i="4"/>
  <c r="B1109" i="4"/>
  <c r="E1109" i="4"/>
  <c r="H1109" i="4"/>
  <c r="L1109" i="4"/>
  <c r="M1109" i="4"/>
  <c r="N1109" i="4"/>
  <c r="P1109" i="4"/>
  <c r="A1110" i="4"/>
  <c r="B1110" i="4"/>
  <c r="E1110" i="4"/>
  <c r="H1110" i="4"/>
  <c r="L1110" i="4"/>
  <c r="M1110" i="4"/>
  <c r="N1110" i="4"/>
  <c r="P1110" i="4"/>
  <c r="A1111" i="4"/>
  <c r="B1111" i="4"/>
  <c r="E1111" i="4"/>
  <c r="H1111" i="4"/>
  <c r="L1111" i="4"/>
  <c r="M1111" i="4"/>
  <c r="N1111" i="4"/>
  <c r="P1111" i="4"/>
  <c r="A1112" i="4"/>
  <c r="B1112" i="4"/>
  <c r="E1112" i="4"/>
  <c r="H1112" i="4"/>
  <c r="L1112" i="4"/>
  <c r="M1112" i="4"/>
  <c r="N1112" i="4"/>
  <c r="P1112" i="4"/>
  <c r="A1113" i="4"/>
  <c r="B1113" i="4"/>
  <c r="E1113" i="4"/>
  <c r="H1113" i="4"/>
  <c r="L1113" i="4"/>
  <c r="M1113" i="4"/>
  <c r="N1113" i="4"/>
  <c r="P1113" i="4"/>
  <c r="A1114" i="4"/>
  <c r="B1114" i="4"/>
  <c r="E1114" i="4"/>
  <c r="H1114" i="4"/>
  <c r="L1114" i="4"/>
  <c r="M1114" i="4"/>
  <c r="N1114" i="4"/>
  <c r="P1114" i="4"/>
  <c r="A1115" i="4"/>
  <c r="B1115" i="4"/>
  <c r="E1115" i="4"/>
  <c r="H1115" i="4"/>
  <c r="L1115" i="4"/>
  <c r="M1115" i="4"/>
  <c r="N1115" i="4"/>
  <c r="P1115" i="4"/>
  <c r="A1116" i="4"/>
  <c r="B1116" i="4"/>
  <c r="E1116" i="4"/>
  <c r="H1116" i="4"/>
  <c r="L1116" i="4"/>
  <c r="M1116" i="4"/>
  <c r="N1116" i="4"/>
  <c r="P1116" i="4"/>
  <c r="A1117" i="4"/>
  <c r="B1117" i="4"/>
  <c r="E1117" i="4"/>
  <c r="H1117" i="4"/>
  <c r="L1117" i="4"/>
  <c r="M1117" i="4"/>
  <c r="N1117" i="4"/>
  <c r="P1117" i="4"/>
  <c r="A1118" i="4"/>
  <c r="B1118" i="4"/>
  <c r="E1118" i="4"/>
  <c r="H1118" i="4"/>
  <c r="L1118" i="4"/>
  <c r="M1118" i="4"/>
  <c r="N1118" i="4"/>
  <c r="P1118" i="4"/>
  <c r="A1119" i="4"/>
  <c r="B1119" i="4"/>
  <c r="E1119" i="4"/>
  <c r="H1119" i="4"/>
  <c r="L1119" i="4"/>
  <c r="M1119" i="4"/>
  <c r="N1119" i="4"/>
  <c r="P1119" i="4"/>
  <c r="A1120" i="4"/>
  <c r="B1120" i="4"/>
  <c r="E1120" i="4"/>
  <c r="H1120" i="4"/>
  <c r="L1120" i="4"/>
  <c r="M1120" i="4"/>
  <c r="N1120" i="4"/>
  <c r="P1120" i="4"/>
  <c r="A1121" i="4"/>
  <c r="B1121" i="4"/>
  <c r="E1121" i="4"/>
  <c r="H1121" i="4"/>
  <c r="L1121" i="4"/>
  <c r="M1121" i="4"/>
  <c r="N1121" i="4"/>
  <c r="P1121" i="4"/>
  <c r="A1122" i="4"/>
  <c r="B1122" i="4"/>
  <c r="E1122" i="4"/>
  <c r="H1122" i="4"/>
  <c r="L1122" i="4"/>
  <c r="M1122" i="4"/>
  <c r="N1122" i="4"/>
  <c r="P1122" i="4"/>
  <c r="A1123" i="4"/>
  <c r="B1123" i="4"/>
  <c r="E1123" i="4"/>
  <c r="H1123" i="4"/>
  <c r="L1123" i="4"/>
  <c r="M1123" i="4"/>
  <c r="N1123" i="4"/>
  <c r="P1123" i="4"/>
  <c r="A1124" i="4"/>
  <c r="B1124" i="4"/>
  <c r="E1124" i="4"/>
  <c r="H1124" i="4"/>
  <c r="L1124" i="4"/>
  <c r="M1124" i="4"/>
  <c r="N1124" i="4"/>
  <c r="P1124" i="4"/>
  <c r="A1125" i="4"/>
  <c r="B1125" i="4"/>
  <c r="E1125" i="4"/>
  <c r="H1125" i="4"/>
  <c r="L1125" i="4"/>
  <c r="M1125" i="4"/>
  <c r="N1125" i="4"/>
  <c r="P1125" i="4"/>
  <c r="A1126" i="4"/>
  <c r="B1126" i="4"/>
  <c r="E1126" i="4"/>
  <c r="H1126" i="4"/>
  <c r="L1126" i="4"/>
  <c r="M1126" i="4"/>
  <c r="N1126" i="4"/>
  <c r="P1126" i="4"/>
  <c r="A1127" i="4"/>
  <c r="B1127" i="4"/>
  <c r="E1127" i="4"/>
  <c r="H1127" i="4"/>
  <c r="L1127" i="4"/>
  <c r="M1127" i="4"/>
  <c r="N1127" i="4"/>
  <c r="P1127" i="4"/>
  <c r="A1128" i="4"/>
  <c r="B1128" i="4"/>
  <c r="E1128" i="4"/>
  <c r="H1128" i="4"/>
  <c r="L1128" i="4"/>
  <c r="M1128" i="4"/>
  <c r="N1128" i="4"/>
  <c r="P1128" i="4"/>
  <c r="A1129" i="4"/>
  <c r="B1129" i="4"/>
  <c r="E1129" i="4"/>
  <c r="H1129" i="4"/>
  <c r="L1129" i="4"/>
  <c r="M1129" i="4"/>
  <c r="N1129" i="4"/>
  <c r="P1129" i="4"/>
  <c r="A1130" i="4"/>
  <c r="B1130" i="4"/>
  <c r="E1130" i="4"/>
  <c r="H1130" i="4"/>
  <c r="L1130" i="4"/>
  <c r="M1130" i="4"/>
  <c r="N1130" i="4"/>
  <c r="P1130" i="4"/>
  <c r="A1131" i="4"/>
  <c r="B1131" i="4"/>
  <c r="E1131" i="4"/>
  <c r="H1131" i="4"/>
  <c r="L1131" i="4"/>
  <c r="M1131" i="4"/>
  <c r="N1131" i="4"/>
  <c r="P1131" i="4"/>
  <c r="A1132" i="4"/>
  <c r="B1132" i="4"/>
  <c r="E1132" i="4"/>
  <c r="H1132" i="4"/>
  <c r="L1132" i="4"/>
  <c r="M1132" i="4"/>
  <c r="N1132" i="4"/>
  <c r="P1132" i="4"/>
  <c r="A1133" i="4"/>
  <c r="B1133" i="4"/>
  <c r="E1133" i="4"/>
  <c r="H1133" i="4"/>
  <c r="L1133" i="4"/>
  <c r="M1133" i="4"/>
  <c r="N1133" i="4"/>
  <c r="P1133" i="4"/>
  <c r="A1134" i="4"/>
  <c r="B1134" i="4"/>
  <c r="E1134" i="4"/>
  <c r="H1134" i="4"/>
  <c r="L1134" i="4"/>
  <c r="M1134" i="4"/>
  <c r="N1134" i="4"/>
  <c r="P1134" i="4"/>
  <c r="A1135" i="4"/>
  <c r="B1135" i="4"/>
  <c r="E1135" i="4"/>
  <c r="H1135" i="4"/>
  <c r="L1135" i="4"/>
  <c r="M1135" i="4"/>
  <c r="N1135" i="4"/>
  <c r="P1135" i="4"/>
  <c r="A1136" i="4"/>
  <c r="B1136" i="4"/>
  <c r="E1136" i="4"/>
  <c r="H1136" i="4"/>
  <c r="L1136" i="4"/>
  <c r="M1136" i="4"/>
  <c r="N1136" i="4"/>
  <c r="P1136" i="4"/>
  <c r="A1137" i="4"/>
  <c r="B1137" i="4"/>
  <c r="E1137" i="4"/>
  <c r="H1137" i="4"/>
  <c r="L1137" i="4"/>
  <c r="M1137" i="4"/>
  <c r="N1137" i="4"/>
  <c r="P1137" i="4"/>
  <c r="A1138" i="4"/>
  <c r="B1138" i="4"/>
  <c r="E1138" i="4"/>
  <c r="H1138" i="4"/>
  <c r="L1138" i="4"/>
  <c r="M1138" i="4"/>
  <c r="N1138" i="4"/>
  <c r="P1138" i="4"/>
  <c r="A1139" i="4"/>
  <c r="B1139" i="4"/>
  <c r="E1139" i="4"/>
  <c r="H1139" i="4"/>
  <c r="L1139" i="4"/>
  <c r="M1139" i="4"/>
  <c r="N1139" i="4"/>
  <c r="P1139" i="4"/>
  <c r="A1140" i="4"/>
  <c r="B1140" i="4"/>
  <c r="E1140" i="4"/>
  <c r="H1140" i="4"/>
  <c r="L1140" i="4"/>
  <c r="M1140" i="4"/>
  <c r="N1140" i="4"/>
  <c r="P1140" i="4"/>
  <c r="A1141" i="4"/>
  <c r="B1141" i="4"/>
  <c r="E1141" i="4"/>
  <c r="H1141" i="4"/>
  <c r="L1141" i="4"/>
  <c r="M1141" i="4"/>
  <c r="N1141" i="4"/>
  <c r="P1141" i="4"/>
  <c r="A1142" i="4"/>
  <c r="B1142" i="4"/>
  <c r="E1142" i="4"/>
  <c r="H1142" i="4"/>
  <c r="L1142" i="4"/>
  <c r="M1142" i="4"/>
  <c r="N1142" i="4"/>
  <c r="P1142" i="4"/>
  <c r="A1143" i="4"/>
  <c r="B1143" i="4"/>
  <c r="E1143" i="4"/>
  <c r="H1143" i="4"/>
  <c r="L1143" i="4"/>
  <c r="M1143" i="4"/>
  <c r="N1143" i="4"/>
  <c r="P1143" i="4"/>
  <c r="A1144" i="4"/>
  <c r="B1144" i="4"/>
  <c r="E1144" i="4"/>
  <c r="H1144" i="4"/>
  <c r="L1144" i="4"/>
  <c r="M1144" i="4"/>
  <c r="N1144" i="4"/>
  <c r="P1144" i="4"/>
  <c r="A1145" i="4"/>
  <c r="B1145" i="4"/>
  <c r="E1145" i="4"/>
  <c r="H1145" i="4"/>
  <c r="L1145" i="4"/>
  <c r="M1145" i="4"/>
  <c r="N1145" i="4"/>
  <c r="P1145" i="4"/>
  <c r="A1146" i="4"/>
  <c r="B1146" i="4"/>
  <c r="E1146" i="4"/>
  <c r="H1146" i="4"/>
  <c r="L1146" i="4"/>
  <c r="M1146" i="4"/>
  <c r="N1146" i="4"/>
  <c r="P1146" i="4"/>
  <c r="A1147" i="4"/>
  <c r="B1147" i="4"/>
  <c r="E1147" i="4"/>
  <c r="H1147" i="4"/>
  <c r="L1147" i="4"/>
  <c r="M1147" i="4"/>
  <c r="N1147" i="4"/>
  <c r="P1147" i="4"/>
  <c r="A1148" i="4"/>
  <c r="B1148" i="4"/>
  <c r="E1148" i="4"/>
  <c r="H1148" i="4"/>
  <c r="L1148" i="4"/>
  <c r="M1148" i="4"/>
  <c r="N1148" i="4"/>
  <c r="P1148" i="4"/>
  <c r="A1149" i="4"/>
  <c r="B1149" i="4"/>
  <c r="E1149" i="4"/>
  <c r="H1149" i="4"/>
  <c r="L1149" i="4"/>
  <c r="M1149" i="4"/>
  <c r="N1149" i="4"/>
  <c r="P1149" i="4"/>
  <c r="A1150" i="4"/>
  <c r="B1150" i="4"/>
  <c r="E1150" i="4"/>
  <c r="H1150" i="4"/>
  <c r="L1150" i="4"/>
  <c r="M1150" i="4"/>
  <c r="N1150" i="4"/>
  <c r="P1150" i="4"/>
  <c r="A1151" i="4"/>
  <c r="B1151" i="4"/>
  <c r="E1151" i="4"/>
  <c r="H1151" i="4"/>
  <c r="L1151" i="4"/>
  <c r="M1151" i="4"/>
  <c r="N1151" i="4"/>
  <c r="P1151" i="4"/>
  <c r="A1152" i="4"/>
  <c r="B1152" i="4"/>
  <c r="E1152" i="4"/>
  <c r="H1152" i="4"/>
  <c r="L1152" i="4"/>
  <c r="M1152" i="4"/>
  <c r="N1152" i="4"/>
  <c r="P1152" i="4"/>
  <c r="A1153" i="4"/>
  <c r="B1153" i="4"/>
  <c r="E1153" i="4"/>
  <c r="H1153" i="4"/>
  <c r="L1153" i="4"/>
  <c r="M1153" i="4"/>
  <c r="N1153" i="4"/>
  <c r="P1153" i="4"/>
  <c r="A1154" i="4"/>
  <c r="B1154" i="4"/>
  <c r="E1154" i="4"/>
  <c r="H1154" i="4"/>
  <c r="L1154" i="4"/>
  <c r="M1154" i="4"/>
  <c r="N1154" i="4"/>
  <c r="P1154" i="4"/>
  <c r="A1155" i="4"/>
  <c r="B1155" i="4"/>
  <c r="E1155" i="4"/>
  <c r="H1155" i="4"/>
  <c r="L1155" i="4"/>
  <c r="M1155" i="4"/>
  <c r="N1155" i="4"/>
  <c r="P1155" i="4"/>
  <c r="A1156" i="4"/>
  <c r="B1156" i="4"/>
  <c r="E1156" i="4"/>
  <c r="H1156" i="4"/>
  <c r="L1156" i="4"/>
  <c r="M1156" i="4"/>
  <c r="N1156" i="4"/>
  <c r="P1156" i="4"/>
  <c r="A1157" i="4"/>
  <c r="B1157" i="4"/>
  <c r="E1157" i="4"/>
  <c r="H1157" i="4"/>
  <c r="L1157" i="4"/>
  <c r="M1157" i="4"/>
  <c r="N1157" i="4"/>
  <c r="P1157" i="4"/>
  <c r="A1158" i="4"/>
  <c r="B1158" i="4"/>
  <c r="E1158" i="4"/>
  <c r="H1158" i="4"/>
  <c r="L1158" i="4"/>
  <c r="M1158" i="4"/>
  <c r="N1158" i="4"/>
  <c r="P1158" i="4"/>
  <c r="A1159" i="4"/>
  <c r="B1159" i="4"/>
  <c r="E1159" i="4"/>
  <c r="H1159" i="4"/>
  <c r="L1159" i="4"/>
  <c r="M1159" i="4"/>
  <c r="N1159" i="4"/>
  <c r="P1159" i="4"/>
  <c r="A1160" i="4"/>
  <c r="B1160" i="4"/>
  <c r="E1160" i="4"/>
  <c r="H1160" i="4"/>
  <c r="L1160" i="4"/>
  <c r="M1160" i="4"/>
  <c r="N1160" i="4"/>
  <c r="P1160" i="4"/>
  <c r="A1161" i="4"/>
  <c r="B1161" i="4"/>
  <c r="E1161" i="4"/>
  <c r="H1161" i="4"/>
  <c r="L1161" i="4"/>
  <c r="M1161" i="4"/>
  <c r="N1161" i="4"/>
  <c r="P1161" i="4"/>
  <c r="A1162" i="4"/>
  <c r="B1162" i="4"/>
  <c r="E1162" i="4"/>
  <c r="H1162" i="4"/>
  <c r="L1162" i="4"/>
  <c r="M1162" i="4"/>
  <c r="N1162" i="4"/>
  <c r="P1162" i="4"/>
  <c r="A1163" i="4"/>
  <c r="B1163" i="4"/>
  <c r="E1163" i="4"/>
  <c r="H1163" i="4"/>
  <c r="L1163" i="4"/>
  <c r="M1163" i="4"/>
  <c r="N1163" i="4"/>
  <c r="P1163" i="4"/>
  <c r="A1164" i="4"/>
  <c r="B1164" i="4"/>
  <c r="E1164" i="4"/>
  <c r="H1164" i="4"/>
  <c r="L1164" i="4"/>
  <c r="M1164" i="4"/>
  <c r="N1164" i="4"/>
  <c r="P1164" i="4"/>
  <c r="A1165" i="4"/>
  <c r="B1165" i="4"/>
  <c r="E1165" i="4"/>
  <c r="H1165" i="4"/>
  <c r="L1165" i="4"/>
  <c r="M1165" i="4"/>
  <c r="N1165" i="4"/>
  <c r="P1165" i="4"/>
  <c r="A1166" i="4"/>
  <c r="B1166" i="4"/>
  <c r="E1166" i="4"/>
  <c r="H1166" i="4"/>
  <c r="L1166" i="4"/>
  <c r="M1166" i="4"/>
  <c r="N1166" i="4"/>
  <c r="P1166" i="4"/>
  <c r="A1167" i="4"/>
  <c r="B1167" i="4"/>
  <c r="E1167" i="4"/>
  <c r="H1167" i="4"/>
  <c r="L1167" i="4"/>
  <c r="M1167" i="4"/>
  <c r="N1167" i="4"/>
  <c r="P1167" i="4"/>
  <c r="A1168" i="4"/>
  <c r="B1168" i="4"/>
  <c r="E1168" i="4"/>
  <c r="H1168" i="4"/>
  <c r="L1168" i="4"/>
  <c r="M1168" i="4"/>
  <c r="N1168" i="4"/>
  <c r="P1168" i="4"/>
  <c r="A1169" i="4"/>
  <c r="B1169" i="4"/>
  <c r="E1169" i="4"/>
  <c r="H1169" i="4"/>
  <c r="L1169" i="4"/>
  <c r="M1169" i="4"/>
  <c r="N1169" i="4"/>
  <c r="P1169" i="4"/>
  <c r="A1170" i="4"/>
  <c r="B1170" i="4"/>
  <c r="E1170" i="4"/>
  <c r="H1170" i="4"/>
  <c r="L1170" i="4"/>
  <c r="M1170" i="4"/>
  <c r="N1170" i="4"/>
  <c r="P1170" i="4"/>
  <c r="A1171" i="4"/>
  <c r="B1171" i="4"/>
  <c r="E1171" i="4"/>
  <c r="H1171" i="4"/>
  <c r="L1171" i="4"/>
  <c r="M1171" i="4"/>
  <c r="N1171" i="4"/>
  <c r="P1171" i="4"/>
  <c r="A1172" i="4"/>
  <c r="B1172" i="4"/>
  <c r="E1172" i="4"/>
  <c r="H1172" i="4"/>
  <c r="L1172" i="4"/>
  <c r="M1172" i="4"/>
  <c r="N1172" i="4"/>
  <c r="P1172" i="4"/>
  <c r="A1173" i="4"/>
  <c r="B1173" i="4"/>
  <c r="E1173" i="4"/>
  <c r="H1173" i="4"/>
  <c r="L1173" i="4"/>
  <c r="M1173" i="4"/>
  <c r="N1173" i="4"/>
  <c r="P1173" i="4"/>
  <c r="A1174" i="4"/>
  <c r="B1174" i="4"/>
  <c r="E1174" i="4"/>
  <c r="H1174" i="4"/>
  <c r="L1174" i="4"/>
  <c r="M1174" i="4"/>
  <c r="N1174" i="4"/>
  <c r="P1174" i="4"/>
  <c r="A1175" i="4"/>
  <c r="B1175" i="4"/>
  <c r="E1175" i="4"/>
  <c r="H1175" i="4"/>
  <c r="L1175" i="4"/>
  <c r="M1175" i="4"/>
  <c r="N1175" i="4"/>
  <c r="P1175" i="4"/>
  <c r="A1176" i="4"/>
  <c r="B1176" i="4"/>
  <c r="E1176" i="4"/>
  <c r="H1176" i="4"/>
  <c r="L1176" i="4"/>
  <c r="M1176" i="4"/>
  <c r="N1176" i="4"/>
  <c r="P1176" i="4"/>
  <c r="A1177" i="4"/>
  <c r="B1177" i="4"/>
  <c r="E1177" i="4"/>
  <c r="H1177" i="4"/>
  <c r="L1177" i="4"/>
  <c r="M1177" i="4"/>
  <c r="N1177" i="4"/>
  <c r="P1177" i="4"/>
  <c r="A1178" i="4"/>
  <c r="B1178" i="4"/>
  <c r="E1178" i="4"/>
  <c r="H1178" i="4"/>
  <c r="L1178" i="4"/>
  <c r="M1178" i="4"/>
  <c r="N1178" i="4"/>
  <c r="P1178" i="4"/>
  <c r="A1179" i="4"/>
  <c r="B1179" i="4"/>
  <c r="E1179" i="4"/>
  <c r="H1179" i="4"/>
  <c r="L1179" i="4"/>
  <c r="M1179" i="4"/>
  <c r="N1179" i="4"/>
  <c r="P1179" i="4"/>
  <c r="A1180" i="4"/>
  <c r="B1180" i="4"/>
  <c r="E1180" i="4"/>
  <c r="H1180" i="4"/>
  <c r="L1180" i="4"/>
  <c r="M1180" i="4"/>
  <c r="N1180" i="4"/>
  <c r="P1180" i="4"/>
  <c r="A1181" i="4"/>
  <c r="B1181" i="4"/>
  <c r="E1181" i="4"/>
  <c r="H1181" i="4"/>
  <c r="L1181" i="4"/>
  <c r="M1181" i="4"/>
  <c r="N1181" i="4"/>
  <c r="P1181" i="4"/>
  <c r="A1182" i="4"/>
  <c r="B1182" i="4"/>
  <c r="E1182" i="4"/>
  <c r="H1182" i="4"/>
  <c r="L1182" i="4"/>
  <c r="M1182" i="4"/>
  <c r="N1182" i="4"/>
  <c r="P1182" i="4"/>
  <c r="A1183" i="4"/>
  <c r="B1183" i="4"/>
  <c r="E1183" i="4"/>
  <c r="H1183" i="4"/>
  <c r="L1183" i="4"/>
  <c r="M1183" i="4"/>
  <c r="N1183" i="4"/>
  <c r="P1183" i="4"/>
  <c r="A1184" i="4"/>
  <c r="B1184" i="4"/>
  <c r="E1184" i="4"/>
  <c r="H1184" i="4"/>
  <c r="L1184" i="4"/>
  <c r="M1184" i="4"/>
  <c r="N1184" i="4"/>
  <c r="P1184" i="4"/>
  <c r="A1185" i="4"/>
  <c r="B1185" i="4"/>
  <c r="E1185" i="4"/>
  <c r="H1185" i="4"/>
  <c r="L1185" i="4"/>
  <c r="M1185" i="4"/>
  <c r="N1185" i="4"/>
  <c r="P1185" i="4"/>
  <c r="A1186" i="4"/>
  <c r="B1186" i="4"/>
  <c r="E1186" i="4"/>
  <c r="H1186" i="4"/>
  <c r="L1186" i="4"/>
  <c r="M1186" i="4"/>
  <c r="N1186" i="4"/>
  <c r="P1186" i="4"/>
  <c r="A1187" i="4"/>
  <c r="B1187" i="4"/>
  <c r="E1187" i="4"/>
  <c r="H1187" i="4"/>
  <c r="L1187" i="4"/>
  <c r="M1187" i="4"/>
  <c r="N1187" i="4"/>
  <c r="P1187" i="4"/>
  <c r="A1188" i="4"/>
  <c r="B1188" i="4"/>
  <c r="E1188" i="4"/>
  <c r="H1188" i="4"/>
  <c r="L1188" i="4"/>
  <c r="M1188" i="4"/>
  <c r="N1188" i="4"/>
  <c r="P1188" i="4"/>
  <c r="A1189" i="4"/>
  <c r="B1189" i="4"/>
  <c r="E1189" i="4"/>
  <c r="H1189" i="4"/>
  <c r="L1189" i="4"/>
  <c r="M1189" i="4"/>
  <c r="N1189" i="4"/>
  <c r="P1189" i="4"/>
  <c r="A1190" i="4"/>
  <c r="B1190" i="4"/>
  <c r="E1190" i="4"/>
  <c r="H1190" i="4"/>
  <c r="L1190" i="4"/>
  <c r="M1190" i="4"/>
  <c r="N1190" i="4"/>
  <c r="P1190" i="4"/>
  <c r="A1191" i="4"/>
  <c r="B1191" i="4"/>
  <c r="E1191" i="4"/>
  <c r="H1191" i="4"/>
  <c r="L1191" i="4"/>
  <c r="M1191" i="4"/>
  <c r="N1191" i="4"/>
  <c r="P1191" i="4"/>
  <c r="A1192" i="4"/>
  <c r="B1192" i="4"/>
  <c r="E1192" i="4"/>
  <c r="H1192" i="4"/>
  <c r="L1192" i="4"/>
  <c r="M1192" i="4"/>
  <c r="N1192" i="4"/>
  <c r="P1192" i="4"/>
  <c r="A1193" i="4"/>
  <c r="B1193" i="4"/>
  <c r="E1193" i="4"/>
  <c r="H1193" i="4"/>
  <c r="L1193" i="4"/>
  <c r="M1193" i="4"/>
  <c r="N1193" i="4"/>
  <c r="P1193" i="4"/>
  <c r="A1194" i="4"/>
  <c r="B1194" i="4"/>
  <c r="E1194" i="4"/>
  <c r="H1194" i="4"/>
  <c r="L1194" i="4"/>
  <c r="M1194" i="4"/>
  <c r="N1194" i="4"/>
  <c r="P1194" i="4"/>
  <c r="A1195" i="4"/>
  <c r="B1195" i="4"/>
  <c r="E1195" i="4"/>
  <c r="H1195" i="4"/>
  <c r="L1195" i="4"/>
  <c r="M1195" i="4"/>
  <c r="N1195" i="4"/>
  <c r="P1195" i="4"/>
  <c r="A1196" i="4"/>
  <c r="B1196" i="4"/>
  <c r="E1196" i="4"/>
  <c r="H1196" i="4"/>
  <c r="L1196" i="4"/>
  <c r="M1196" i="4"/>
  <c r="N1196" i="4"/>
  <c r="P1196" i="4"/>
  <c r="A1197" i="4"/>
  <c r="B1197" i="4"/>
  <c r="E1197" i="4"/>
  <c r="H1197" i="4"/>
  <c r="L1197" i="4"/>
  <c r="M1197" i="4"/>
  <c r="N1197" i="4"/>
  <c r="P1197" i="4"/>
  <c r="A1198" i="4"/>
  <c r="B1198" i="4"/>
  <c r="E1198" i="4"/>
  <c r="H1198" i="4"/>
  <c r="L1198" i="4"/>
  <c r="M1198" i="4"/>
  <c r="N1198" i="4"/>
  <c r="P1198" i="4"/>
  <c r="A1199" i="4"/>
  <c r="B1199" i="4"/>
  <c r="E1199" i="4"/>
  <c r="H1199" i="4"/>
  <c r="L1199" i="4"/>
  <c r="M1199" i="4"/>
  <c r="N1199" i="4"/>
  <c r="P1199" i="4"/>
  <c r="A1200" i="4"/>
  <c r="B1200" i="4"/>
  <c r="E1200" i="4"/>
  <c r="H1200" i="4"/>
  <c r="L1200" i="4"/>
  <c r="M1200" i="4"/>
  <c r="N1200" i="4"/>
  <c r="P1200" i="4"/>
  <c r="A1201" i="4"/>
  <c r="B1201" i="4"/>
  <c r="E1201" i="4"/>
  <c r="H1201" i="4"/>
  <c r="L1201" i="4"/>
  <c r="M1201" i="4"/>
  <c r="N1201" i="4"/>
  <c r="P1201" i="4"/>
  <c r="A1202" i="4"/>
  <c r="B1202" i="4"/>
  <c r="E1202" i="4"/>
  <c r="H1202" i="4"/>
  <c r="L1202" i="4"/>
  <c r="M1202" i="4"/>
  <c r="N1202" i="4"/>
  <c r="P1202" i="4"/>
  <c r="A1203" i="4"/>
  <c r="B1203" i="4"/>
  <c r="E1203" i="4"/>
  <c r="H1203" i="4"/>
  <c r="L1203" i="4"/>
  <c r="M1203" i="4"/>
  <c r="N1203" i="4"/>
  <c r="P1203" i="4"/>
  <c r="A1204" i="4"/>
  <c r="B1204" i="4"/>
  <c r="E1204" i="4"/>
  <c r="H1204" i="4"/>
  <c r="L1204" i="4"/>
  <c r="M1204" i="4"/>
  <c r="N1204" i="4"/>
  <c r="P1204" i="4"/>
  <c r="A1205" i="4"/>
  <c r="B1205" i="4"/>
  <c r="E1205" i="4"/>
  <c r="H1205" i="4"/>
  <c r="L1205" i="4"/>
  <c r="M1205" i="4"/>
  <c r="N1205" i="4"/>
  <c r="P1205" i="4"/>
  <c r="A1206" i="4"/>
  <c r="B1206" i="4"/>
  <c r="E1206" i="4"/>
  <c r="H1206" i="4"/>
  <c r="L1206" i="4"/>
  <c r="M1206" i="4"/>
  <c r="N1206" i="4"/>
  <c r="P1206" i="4"/>
  <c r="A1207" i="4"/>
  <c r="B1207" i="4"/>
  <c r="E1207" i="4"/>
  <c r="H1207" i="4"/>
  <c r="L1207" i="4"/>
  <c r="M1207" i="4"/>
  <c r="N1207" i="4"/>
  <c r="P1207" i="4"/>
  <c r="A1208" i="4"/>
  <c r="B1208" i="4"/>
  <c r="E1208" i="4"/>
  <c r="H1208" i="4"/>
  <c r="L1208" i="4"/>
  <c r="M1208" i="4"/>
  <c r="N1208" i="4"/>
  <c r="P1208" i="4"/>
  <c r="A1209" i="4"/>
  <c r="B1209" i="4"/>
  <c r="E1209" i="4"/>
  <c r="H1209" i="4"/>
  <c r="L1209" i="4"/>
  <c r="M1209" i="4"/>
  <c r="N1209" i="4"/>
  <c r="P1209" i="4"/>
  <c r="A1210" i="4"/>
  <c r="B1210" i="4"/>
  <c r="E1210" i="4"/>
  <c r="H1210" i="4"/>
  <c r="L1210" i="4"/>
  <c r="M1210" i="4"/>
  <c r="N1210" i="4"/>
  <c r="P1210" i="4"/>
  <c r="A1211" i="4"/>
  <c r="B1211" i="4"/>
  <c r="E1211" i="4"/>
  <c r="H1211" i="4"/>
  <c r="L1211" i="4"/>
  <c r="M1211" i="4"/>
  <c r="N1211" i="4"/>
  <c r="P1211" i="4"/>
  <c r="A1212" i="4"/>
  <c r="B1212" i="4"/>
  <c r="E1212" i="4"/>
  <c r="H1212" i="4"/>
  <c r="L1212" i="4"/>
  <c r="M1212" i="4"/>
  <c r="N1212" i="4"/>
  <c r="P1212" i="4"/>
  <c r="A1213" i="4"/>
  <c r="B1213" i="4"/>
  <c r="E1213" i="4"/>
  <c r="H1213" i="4"/>
  <c r="L1213" i="4"/>
  <c r="M1213" i="4"/>
  <c r="N1213" i="4"/>
  <c r="P1213" i="4"/>
  <c r="A1214" i="4"/>
  <c r="B1214" i="4"/>
  <c r="E1214" i="4"/>
  <c r="H1214" i="4"/>
  <c r="L1214" i="4"/>
  <c r="M1214" i="4"/>
  <c r="N1214" i="4"/>
  <c r="P1214" i="4"/>
  <c r="A1215" i="4"/>
  <c r="B1215" i="4"/>
  <c r="E1215" i="4"/>
  <c r="H1215" i="4"/>
  <c r="L1215" i="4"/>
  <c r="M1215" i="4"/>
  <c r="N1215" i="4"/>
  <c r="P1215" i="4"/>
  <c r="A1216" i="4"/>
  <c r="B1216" i="4"/>
  <c r="E1216" i="4"/>
  <c r="H1216" i="4"/>
  <c r="L1216" i="4"/>
  <c r="M1216" i="4"/>
  <c r="N1216" i="4"/>
  <c r="P1216" i="4"/>
  <c r="A1217" i="4"/>
  <c r="B1217" i="4"/>
  <c r="E1217" i="4"/>
  <c r="H1217" i="4"/>
  <c r="L1217" i="4"/>
  <c r="M1217" i="4"/>
  <c r="N1217" i="4"/>
  <c r="P1217" i="4"/>
  <c r="A1218" i="4"/>
  <c r="B1218" i="4"/>
  <c r="E1218" i="4"/>
  <c r="H1218" i="4"/>
  <c r="L1218" i="4"/>
  <c r="M1218" i="4"/>
  <c r="N1218" i="4"/>
  <c r="P1218" i="4"/>
  <c r="A1219" i="4"/>
  <c r="B1219" i="4"/>
  <c r="E1219" i="4"/>
  <c r="H1219" i="4"/>
  <c r="L1219" i="4"/>
  <c r="M1219" i="4"/>
  <c r="N1219" i="4"/>
  <c r="P1219" i="4"/>
  <c r="A1220" i="4"/>
  <c r="B1220" i="4"/>
  <c r="E1220" i="4"/>
  <c r="H1220" i="4"/>
  <c r="L1220" i="4"/>
  <c r="M1220" i="4"/>
  <c r="N1220" i="4"/>
  <c r="P1220" i="4"/>
  <c r="A1221" i="4"/>
  <c r="B1221" i="4"/>
  <c r="E1221" i="4"/>
  <c r="H1221" i="4"/>
  <c r="L1221" i="4"/>
  <c r="M1221" i="4"/>
  <c r="N1221" i="4"/>
  <c r="P1221" i="4"/>
  <c r="A1222" i="4"/>
  <c r="B1222" i="4"/>
  <c r="E1222" i="4"/>
  <c r="H1222" i="4"/>
  <c r="L1222" i="4"/>
  <c r="M1222" i="4"/>
  <c r="N1222" i="4"/>
  <c r="P1222" i="4"/>
  <c r="A1223" i="4"/>
  <c r="B1223" i="4"/>
  <c r="E1223" i="4"/>
  <c r="H1223" i="4"/>
  <c r="L1223" i="4"/>
  <c r="M1223" i="4"/>
  <c r="N1223" i="4"/>
  <c r="P1223" i="4"/>
  <c r="A1224" i="4"/>
  <c r="B1224" i="4"/>
  <c r="E1224" i="4"/>
  <c r="H1224" i="4"/>
  <c r="L1224" i="4"/>
  <c r="M1224" i="4"/>
  <c r="N1224" i="4"/>
  <c r="P1224" i="4"/>
  <c r="A1225" i="4"/>
  <c r="B1225" i="4"/>
  <c r="E1225" i="4"/>
  <c r="H1225" i="4"/>
  <c r="L1225" i="4"/>
  <c r="M1225" i="4"/>
  <c r="N1225" i="4"/>
  <c r="P1225" i="4"/>
  <c r="A1226" i="4"/>
  <c r="B1226" i="4"/>
  <c r="E1226" i="4"/>
  <c r="H1226" i="4"/>
  <c r="L1226" i="4"/>
  <c r="M1226" i="4"/>
  <c r="N1226" i="4"/>
  <c r="P1226" i="4"/>
  <c r="A1227" i="4"/>
  <c r="B1227" i="4"/>
  <c r="E1227" i="4"/>
  <c r="H1227" i="4"/>
  <c r="L1227" i="4"/>
  <c r="M1227" i="4"/>
  <c r="N1227" i="4"/>
  <c r="P1227" i="4"/>
  <c r="A1228" i="4"/>
  <c r="B1228" i="4"/>
  <c r="E1228" i="4"/>
  <c r="H1228" i="4"/>
  <c r="L1228" i="4"/>
  <c r="M1228" i="4"/>
  <c r="N1228" i="4"/>
  <c r="P1228" i="4"/>
  <c r="A1229" i="4"/>
  <c r="B1229" i="4"/>
  <c r="E1229" i="4"/>
  <c r="H1229" i="4"/>
  <c r="L1229" i="4"/>
  <c r="M1229" i="4"/>
  <c r="N1229" i="4"/>
  <c r="P1229" i="4"/>
  <c r="A1230" i="4"/>
  <c r="B1230" i="4"/>
  <c r="E1230" i="4"/>
  <c r="H1230" i="4"/>
  <c r="L1230" i="4"/>
  <c r="M1230" i="4"/>
  <c r="N1230" i="4"/>
  <c r="P1230" i="4"/>
  <c r="A1231" i="4"/>
  <c r="B1231" i="4"/>
  <c r="E1231" i="4"/>
  <c r="H1231" i="4"/>
  <c r="L1231" i="4"/>
  <c r="M1231" i="4"/>
  <c r="N1231" i="4"/>
  <c r="P1231" i="4"/>
  <c r="A1232" i="4"/>
  <c r="B1232" i="4"/>
  <c r="E1232" i="4"/>
  <c r="H1232" i="4"/>
  <c r="L1232" i="4"/>
  <c r="M1232" i="4"/>
  <c r="N1232" i="4"/>
  <c r="P1232" i="4"/>
  <c r="A1233" i="4"/>
  <c r="B1233" i="4"/>
  <c r="E1233" i="4"/>
  <c r="H1233" i="4"/>
  <c r="L1233" i="4"/>
  <c r="M1233" i="4"/>
  <c r="N1233" i="4"/>
  <c r="P1233" i="4"/>
  <c r="A1234" i="4"/>
  <c r="B1234" i="4"/>
  <c r="E1234" i="4"/>
  <c r="H1234" i="4"/>
  <c r="L1234" i="4"/>
  <c r="M1234" i="4"/>
  <c r="N1234" i="4"/>
  <c r="P1234" i="4"/>
  <c r="A1235" i="4"/>
  <c r="B1235" i="4"/>
  <c r="E1235" i="4"/>
  <c r="H1235" i="4"/>
  <c r="L1235" i="4"/>
  <c r="M1235" i="4"/>
  <c r="N1235" i="4"/>
  <c r="P1235" i="4"/>
  <c r="A1236" i="4"/>
  <c r="B1236" i="4"/>
  <c r="E1236" i="4"/>
  <c r="H1236" i="4"/>
  <c r="L1236" i="4"/>
  <c r="M1236" i="4"/>
  <c r="N1236" i="4"/>
  <c r="P1236" i="4"/>
  <c r="A1237" i="4"/>
  <c r="B1237" i="4"/>
  <c r="E1237" i="4"/>
  <c r="H1237" i="4"/>
  <c r="L1237" i="4"/>
  <c r="M1237" i="4"/>
  <c r="N1237" i="4"/>
  <c r="P1237" i="4"/>
  <c r="A1238" i="4"/>
  <c r="B1238" i="4"/>
  <c r="E1238" i="4"/>
  <c r="H1238" i="4"/>
  <c r="L1238" i="4"/>
  <c r="M1238" i="4"/>
  <c r="N1238" i="4"/>
  <c r="P1238" i="4"/>
  <c r="A1239" i="4"/>
  <c r="B1239" i="4"/>
  <c r="E1239" i="4"/>
  <c r="H1239" i="4"/>
  <c r="L1239" i="4"/>
  <c r="M1239" i="4"/>
  <c r="N1239" i="4"/>
  <c r="P1239" i="4"/>
  <c r="A1240" i="4"/>
  <c r="B1240" i="4"/>
  <c r="E1240" i="4"/>
  <c r="H1240" i="4"/>
  <c r="L1240" i="4"/>
  <c r="M1240" i="4"/>
  <c r="N1240" i="4"/>
  <c r="P1240" i="4"/>
  <c r="A1241" i="4"/>
  <c r="B1241" i="4"/>
  <c r="E1241" i="4"/>
  <c r="H1241" i="4"/>
  <c r="L1241" i="4"/>
  <c r="M1241" i="4"/>
  <c r="N1241" i="4"/>
  <c r="P1241" i="4"/>
  <c r="A1242" i="4"/>
  <c r="B1242" i="4"/>
  <c r="E1242" i="4"/>
  <c r="H1242" i="4"/>
  <c r="L1242" i="4"/>
  <c r="M1242" i="4"/>
  <c r="N1242" i="4"/>
  <c r="P1242" i="4"/>
  <c r="A1243" i="4"/>
  <c r="B1243" i="4"/>
  <c r="E1243" i="4"/>
  <c r="H1243" i="4"/>
  <c r="L1243" i="4"/>
  <c r="M1243" i="4"/>
  <c r="N1243" i="4"/>
  <c r="P1243" i="4"/>
  <c r="A1244" i="4"/>
  <c r="B1244" i="4"/>
  <c r="E1244" i="4"/>
  <c r="H1244" i="4"/>
  <c r="L1244" i="4"/>
  <c r="M1244" i="4"/>
  <c r="N1244" i="4"/>
  <c r="P1244" i="4"/>
  <c r="A1245" i="4"/>
  <c r="B1245" i="4"/>
  <c r="E1245" i="4"/>
  <c r="H1245" i="4"/>
  <c r="L1245" i="4"/>
  <c r="M1245" i="4"/>
  <c r="N1245" i="4"/>
  <c r="P1245" i="4"/>
  <c r="A1246" i="4"/>
  <c r="B1246" i="4"/>
  <c r="E1246" i="4"/>
  <c r="H1246" i="4"/>
  <c r="L1246" i="4"/>
  <c r="M1246" i="4"/>
  <c r="N1246" i="4"/>
  <c r="P1246" i="4"/>
  <c r="A1247" i="4"/>
  <c r="B1247" i="4"/>
  <c r="E1247" i="4"/>
  <c r="H1247" i="4"/>
  <c r="L1247" i="4"/>
  <c r="M1247" i="4"/>
  <c r="N1247" i="4"/>
  <c r="P1247" i="4"/>
  <c r="A1248" i="4"/>
  <c r="B1248" i="4"/>
  <c r="E1248" i="4"/>
  <c r="H1248" i="4"/>
  <c r="L1248" i="4"/>
  <c r="M1248" i="4"/>
  <c r="N1248" i="4"/>
  <c r="P1248" i="4"/>
  <c r="A1249" i="4"/>
  <c r="B1249" i="4"/>
  <c r="E1249" i="4"/>
  <c r="H1249" i="4"/>
  <c r="L1249" i="4"/>
  <c r="M1249" i="4"/>
  <c r="N1249" i="4"/>
  <c r="P1249" i="4"/>
  <c r="A1250" i="4"/>
  <c r="B1250" i="4"/>
  <c r="E1250" i="4"/>
  <c r="H1250" i="4"/>
  <c r="L1250" i="4"/>
  <c r="M1250" i="4"/>
  <c r="N1250" i="4"/>
  <c r="P1250" i="4"/>
  <c r="A1251" i="4"/>
  <c r="B1251" i="4"/>
  <c r="E1251" i="4"/>
  <c r="H1251" i="4"/>
  <c r="L1251" i="4"/>
  <c r="M1251" i="4"/>
  <c r="N1251" i="4"/>
  <c r="P1251" i="4"/>
  <c r="A1252" i="4"/>
  <c r="B1252" i="4"/>
  <c r="E1252" i="4"/>
  <c r="H1252" i="4"/>
  <c r="L1252" i="4"/>
  <c r="M1252" i="4"/>
  <c r="N1252" i="4"/>
  <c r="P1252" i="4"/>
  <c r="A1253" i="4"/>
  <c r="B1253" i="4"/>
  <c r="E1253" i="4"/>
  <c r="H1253" i="4"/>
  <c r="L1253" i="4"/>
  <c r="M1253" i="4"/>
  <c r="N1253" i="4"/>
  <c r="P1253" i="4"/>
  <c r="A1254" i="4"/>
  <c r="B1254" i="4"/>
  <c r="E1254" i="4"/>
  <c r="H1254" i="4"/>
  <c r="L1254" i="4"/>
  <c r="M1254" i="4"/>
  <c r="N1254" i="4"/>
  <c r="P1254" i="4"/>
  <c r="A1255" i="4"/>
  <c r="B1255" i="4"/>
  <c r="E1255" i="4"/>
  <c r="H1255" i="4"/>
  <c r="L1255" i="4"/>
  <c r="M1255" i="4"/>
  <c r="N1255" i="4"/>
  <c r="P1255" i="4"/>
  <c r="A1256" i="4"/>
  <c r="B1256" i="4"/>
  <c r="E1256" i="4"/>
  <c r="H1256" i="4"/>
  <c r="L1256" i="4"/>
  <c r="M1256" i="4"/>
  <c r="N1256" i="4"/>
  <c r="P1256" i="4"/>
  <c r="A1257" i="4"/>
  <c r="B1257" i="4"/>
  <c r="E1257" i="4"/>
  <c r="H1257" i="4"/>
  <c r="L1257" i="4"/>
  <c r="M1257" i="4"/>
  <c r="N1257" i="4"/>
  <c r="P1257" i="4"/>
  <c r="A1258" i="4"/>
  <c r="B1258" i="4"/>
  <c r="E1258" i="4"/>
  <c r="H1258" i="4"/>
  <c r="L1258" i="4"/>
  <c r="M1258" i="4"/>
  <c r="N1258" i="4"/>
  <c r="P1258" i="4"/>
  <c r="A1259" i="4"/>
  <c r="B1259" i="4"/>
  <c r="E1259" i="4"/>
  <c r="H1259" i="4"/>
  <c r="L1259" i="4"/>
  <c r="M1259" i="4"/>
  <c r="N1259" i="4"/>
  <c r="P1259" i="4"/>
  <c r="A1260" i="4"/>
  <c r="B1260" i="4"/>
  <c r="E1260" i="4"/>
  <c r="H1260" i="4"/>
  <c r="L1260" i="4"/>
  <c r="M1260" i="4"/>
  <c r="N1260" i="4"/>
  <c r="P1260" i="4"/>
  <c r="A1261" i="4"/>
  <c r="B1261" i="4"/>
  <c r="E1261" i="4"/>
  <c r="H1261" i="4"/>
  <c r="L1261" i="4"/>
  <c r="M1261" i="4"/>
  <c r="N1261" i="4"/>
  <c r="P1261" i="4"/>
  <c r="A1262" i="4"/>
  <c r="B1262" i="4"/>
  <c r="E1262" i="4"/>
  <c r="H1262" i="4"/>
  <c r="L1262" i="4"/>
  <c r="M1262" i="4"/>
  <c r="N1262" i="4"/>
  <c r="P1262" i="4"/>
  <c r="A1263" i="4"/>
  <c r="B1263" i="4"/>
  <c r="E1263" i="4"/>
  <c r="H1263" i="4"/>
  <c r="L1263" i="4"/>
  <c r="M1263" i="4"/>
  <c r="N1263" i="4"/>
  <c r="P1263" i="4"/>
  <c r="A1264" i="4"/>
  <c r="B1264" i="4"/>
  <c r="E1264" i="4"/>
  <c r="H1264" i="4"/>
  <c r="L1264" i="4"/>
  <c r="M1264" i="4"/>
  <c r="N1264" i="4"/>
  <c r="P1264" i="4"/>
  <c r="A1265" i="4"/>
  <c r="B1265" i="4"/>
  <c r="E1265" i="4"/>
  <c r="H1265" i="4"/>
  <c r="L1265" i="4"/>
  <c r="M1265" i="4"/>
  <c r="N1265" i="4"/>
  <c r="P1265" i="4"/>
  <c r="A1266" i="4"/>
  <c r="B1266" i="4"/>
  <c r="E1266" i="4"/>
  <c r="H1266" i="4"/>
  <c r="L1266" i="4"/>
  <c r="M1266" i="4"/>
  <c r="N1266" i="4"/>
  <c r="P1266" i="4"/>
  <c r="A1267" i="4"/>
  <c r="B1267" i="4"/>
  <c r="E1267" i="4"/>
  <c r="H1267" i="4"/>
  <c r="L1267" i="4"/>
  <c r="M1267" i="4"/>
  <c r="N1267" i="4"/>
  <c r="P1267" i="4"/>
  <c r="A1268" i="4"/>
  <c r="B1268" i="4"/>
  <c r="E1268" i="4"/>
  <c r="H1268" i="4"/>
  <c r="L1268" i="4"/>
  <c r="M1268" i="4"/>
  <c r="N1268" i="4"/>
  <c r="P1268" i="4"/>
  <c r="A1269" i="4"/>
  <c r="B1269" i="4"/>
  <c r="E1269" i="4"/>
  <c r="H1269" i="4"/>
  <c r="L1269" i="4"/>
  <c r="M1269" i="4"/>
  <c r="N1269" i="4"/>
  <c r="P1269" i="4"/>
  <c r="A1270" i="4"/>
  <c r="B1270" i="4"/>
  <c r="E1270" i="4"/>
  <c r="H1270" i="4"/>
  <c r="L1270" i="4"/>
  <c r="M1270" i="4"/>
  <c r="N1270" i="4"/>
  <c r="P1270" i="4"/>
  <c r="A1271" i="4"/>
  <c r="B1271" i="4"/>
  <c r="E1271" i="4"/>
  <c r="H1271" i="4"/>
  <c r="L1271" i="4"/>
  <c r="M1271" i="4"/>
  <c r="N1271" i="4"/>
  <c r="P1271" i="4"/>
  <c r="A1272" i="4"/>
  <c r="B1272" i="4"/>
  <c r="E1272" i="4"/>
  <c r="H1272" i="4"/>
  <c r="L1272" i="4"/>
  <c r="M1272" i="4"/>
  <c r="N1272" i="4"/>
  <c r="P1272" i="4"/>
  <c r="A1273" i="4"/>
  <c r="B1273" i="4"/>
  <c r="E1273" i="4"/>
  <c r="H1273" i="4"/>
  <c r="L1273" i="4"/>
  <c r="M1273" i="4"/>
  <c r="N1273" i="4"/>
  <c r="P1273" i="4"/>
  <c r="A1274" i="4"/>
  <c r="B1274" i="4"/>
  <c r="E1274" i="4"/>
  <c r="H1274" i="4"/>
  <c r="L1274" i="4"/>
  <c r="M1274" i="4"/>
  <c r="N1274" i="4"/>
  <c r="P1274" i="4"/>
  <c r="A1275" i="4"/>
  <c r="B1275" i="4"/>
  <c r="E1275" i="4"/>
  <c r="H1275" i="4"/>
  <c r="L1275" i="4"/>
  <c r="M1275" i="4"/>
  <c r="N1275" i="4"/>
  <c r="P1275" i="4"/>
  <c r="A1276" i="4"/>
  <c r="B1276" i="4"/>
  <c r="E1276" i="4"/>
  <c r="H1276" i="4"/>
  <c r="L1276" i="4"/>
  <c r="M1276" i="4"/>
  <c r="N1276" i="4"/>
  <c r="P1276" i="4"/>
  <c r="A1277" i="4"/>
  <c r="B1277" i="4"/>
  <c r="E1277" i="4"/>
  <c r="H1277" i="4"/>
  <c r="L1277" i="4"/>
  <c r="M1277" i="4"/>
  <c r="N1277" i="4"/>
  <c r="P1277" i="4"/>
  <c r="A1278" i="4"/>
  <c r="B1278" i="4"/>
  <c r="E1278" i="4"/>
  <c r="H1278" i="4"/>
  <c r="L1278" i="4"/>
  <c r="M1278" i="4"/>
  <c r="N1278" i="4"/>
  <c r="P1278" i="4"/>
  <c r="A1279" i="4"/>
  <c r="B1279" i="4"/>
  <c r="E1279" i="4"/>
  <c r="H1279" i="4"/>
  <c r="L1279" i="4"/>
  <c r="M1279" i="4"/>
  <c r="N1279" i="4"/>
  <c r="P1279" i="4"/>
  <c r="A1280" i="4"/>
  <c r="B1280" i="4"/>
  <c r="E1280" i="4"/>
  <c r="H1280" i="4"/>
  <c r="L1280" i="4"/>
  <c r="M1280" i="4"/>
  <c r="N1280" i="4"/>
  <c r="P1280" i="4"/>
  <c r="A1281" i="4"/>
  <c r="B1281" i="4"/>
  <c r="E1281" i="4"/>
  <c r="H1281" i="4"/>
  <c r="L1281" i="4"/>
  <c r="M1281" i="4"/>
  <c r="N1281" i="4"/>
  <c r="P1281" i="4"/>
  <c r="A1282" i="4"/>
  <c r="B1282" i="4"/>
  <c r="E1282" i="4"/>
  <c r="H1282" i="4"/>
  <c r="L1282" i="4"/>
  <c r="M1282" i="4"/>
  <c r="N1282" i="4"/>
  <c r="P1282" i="4"/>
  <c r="A1283" i="4"/>
  <c r="B1283" i="4"/>
  <c r="E1283" i="4"/>
  <c r="H1283" i="4"/>
  <c r="L1283" i="4"/>
  <c r="M1283" i="4"/>
  <c r="N1283" i="4"/>
  <c r="P1283" i="4"/>
  <c r="A1284" i="4"/>
  <c r="B1284" i="4"/>
  <c r="E1284" i="4"/>
  <c r="H1284" i="4"/>
  <c r="L1284" i="4"/>
  <c r="M1284" i="4"/>
  <c r="N1284" i="4"/>
  <c r="P1284" i="4"/>
  <c r="A1285" i="4"/>
  <c r="B1285" i="4"/>
  <c r="E1285" i="4"/>
  <c r="H1285" i="4"/>
  <c r="L1285" i="4"/>
  <c r="M1285" i="4"/>
  <c r="N1285" i="4"/>
  <c r="P1285" i="4"/>
  <c r="A1286" i="4"/>
  <c r="B1286" i="4"/>
  <c r="E1286" i="4"/>
  <c r="H1286" i="4"/>
  <c r="L1286" i="4"/>
  <c r="M1286" i="4"/>
  <c r="N1286" i="4"/>
  <c r="P1286" i="4"/>
  <c r="A1287" i="4"/>
  <c r="B1287" i="4"/>
  <c r="E1287" i="4"/>
  <c r="H1287" i="4"/>
  <c r="L1287" i="4"/>
  <c r="M1287" i="4"/>
  <c r="N1287" i="4"/>
  <c r="P1287" i="4"/>
  <c r="A1288" i="4"/>
  <c r="B1288" i="4"/>
  <c r="E1288" i="4"/>
  <c r="H1288" i="4"/>
  <c r="L1288" i="4"/>
  <c r="M1288" i="4"/>
  <c r="N1288" i="4"/>
  <c r="P1288" i="4"/>
  <c r="A1289" i="4"/>
  <c r="B1289" i="4"/>
  <c r="E1289" i="4"/>
  <c r="H1289" i="4"/>
  <c r="L1289" i="4"/>
  <c r="M1289" i="4"/>
  <c r="N1289" i="4"/>
  <c r="P1289" i="4"/>
  <c r="A1290" i="4"/>
  <c r="B1290" i="4"/>
  <c r="E1290" i="4"/>
  <c r="H1290" i="4"/>
  <c r="L1290" i="4"/>
  <c r="M1290" i="4"/>
  <c r="N1290" i="4"/>
  <c r="P1290" i="4"/>
  <c r="A1291" i="4"/>
  <c r="B1291" i="4"/>
  <c r="E1291" i="4"/>
  <c r="H1291" i="4"/>
  <c r="L1291" i="4"/>
  <c r="M1291" i="4"/>
  <c r="N1291" i="4"/>
  <c r="P1291" i="4"/>
  <c r="A1292" i="4"/>
  <c r="B1292" i="4"/>
  <c r="E1292" i="4"/>
  <c r="H1292" i="4"/>
  <c r="L1292" i="4"/>
  <c r="M1292" i="4"/>
  <c r="N1292" i="4"/>
  <c r="P1292" i="4"/>
  <c r="A1293" i="4"/>
  <c r="B1293" i="4"/>
  <c r="E1293" i="4"/>
  <c r="H1293" i="4"/>
  <c r="L1293" i="4"/>
  <c r="M1293" i="4"/>
  <c r="N1293" i="4"/>
  <c r="P1293" i="4"/>
  <c r="A1294" i="4"/>
  <c r="B1294" i="4"/>
  <c r="E1294" i="4"/>
  <c r="H1294" i="4"/>
  <c r="L1294" i="4"/>
  <c r="M1294" i="4"/>
  <c r="N1294" i="4"/>
  <c r="P1294" i="4"/>
  <c r="A1295" i="4"/>
  <c r="B1295" i="4"/>
  <c r="E1295" i="4"/>
  <c r="H1295" i="4"/>
  <c r="L1295" i="4"/>
  <c r="M1295" i="4"/>
  <c r="N1295" i="4"/>
  <c r="P1295" i="4"/>
  <c r="A1296" i="4"/>
  <c r="B1296" i="4"/>
  <c r="E1296" i="4"/>
  <c r="H1296" i="4"/>
  <c r="L1296" i="4"/>
  <c r="M1296" i="4"/>
  <c r="N1296" i="4"/>
  <c r="P1296" i="4"/>
  <c r="A1297" i="4"/>
  <c r="B1297" i="4"/>
  <c r="E1297" i="4"/>
  <c r="H1297" i="4"/>
  <c r="L1297" i="4"/>
  <c r="M1297" i="4"/>
  <c r="N1297" i="4"/>
  <c r="P1297" i="4"/>
  <c r="A1298" i="4"/>
  <c r="B1298" i="4"/>
  <c r="E1298" i="4"/>
  <c r="H1298" i="4"/>
  <c r="L1298" i="4"/>
  <c r="M1298" i="4"/>
  <c r="N1298" i="4"/>
  <c r="P1298" i="4"/>
  <c r="A1299" i="4"/>
  <c r="B1299" i="4"/>
  <c r="E1299" i="4"/>
  <c r="H1299" i="4"/>
  <c r="L1299" i="4"/>
  <c r="M1299" i="4"/>
  <c r="N1299" i="4"/>
  <c r="P1299" i="4"/>
  <c r="A1300" i="4"/>
  <c r="B1300" i="4"/>
  <c r="E1300" i="4"/>
  <c r="H1300" i="4"/>
  <c r="L1300" i="4"/>
  <c r="M1300" i="4"/>
  <c r="N1300" i="4"/>
  <c r="P1300" i="4"/>
  <c r="A1301" i="4"/>
  <c r="B1301" i="4"/>
  <c r="E1301" i="4"/>
  <c r="H1301" i="4"/>
  <c r="L1301" i="4"/>
  <c r="M1301" i="4"/>
  <c r="N1301" i="4"/>
  <c r="P1301" i="4"/>
  <c r="A1302" i="4"/>
  <c r="B1302" i="4"/>
  <c r="E1302" i="4"/>
  <c r="H1302" i="4"/>
  <c r="L1302" i="4"/>
  <c r="M1302" i="4"/>
  <c r="N1302" i="4"/>
  <c r="P1302" i="4"/>
  <c r="A1303" i="4"/>
  <c r="B1303" i="4"/>
  <c r="E1303" i="4"/>
  <c r="H1303" i="4"/>
  <c r="L1303" i="4"/>
  <c r="M1303" i="4"/>
  <c r="N1303" i="4"/>
  <c r="P1303" i="4"/>
  <c r="A1304" i="4"/>
  <c r="B1304" i="4"/>
  <c r="E1304" i="4"/>
  <c r="H1304" i="4"/>
  <c r="L1304" i="4"/>
  <c r="M1304" i="4"/>
  <c r="N1304" i="4"/>
  <c r="P1304" i="4"/>
  <c r="A1305" i="4"/>
  <c r="B1305" i="4"/>
  <c r="E1305" i="4"/>
  <c r="H1305" i="4"/>
  <c r="L1305" i="4"/>
  <c r="M1305" i="4"/>
  <c r="N1305" i="4"/>
  <c r="P1305" i="4"/>
  <c r="A1306" i="4"/>
  <c r="B1306" i="4"/>
  <c r="E1306" i="4"/>
  <c r="H1306" i="4"/>
  <c r="L1306" i="4"/>
  <c r="M1306" i="4"/>
  <c r="N1306" i="4"/>
  <c r="P1306" i="4"/>
  <c r="A1307" i="4"/>
  <c r="B1307" i="4"/>
  <c r="E1307" i="4"/>
  <c r="H1307" i="4"/>
  <c r="L1307" i="4"/>
  <c r="M1307" i="4"/>
  <c r="N1307" i="4"/>
  <c r="P1307" i="4"/>
  <c r="A1308" i="4"/>
  <c r="B1308" i="4"/>
  <c r="E1308" i="4"/>
  <c r="H1308" i="4"/>
  <c r="L1308" i="4"/>
  <c r="M1308" i="4"/>
  <c r="N1308" i="4"/>
  <c r="P1308" i="4"/>
  <c r="A1309" i="4"/>
  <c r="B1309" i="4"/>
  <c r="E1309" i="4"/>
  <c r="H1309" i="4"/>
  <c r="L1309" i="4"/>
  <c r="M1309" i="4"/>
  <c r="N1309" i="4"/>
  <c r="P1309" i="4"/>
  <c r="A1310" i="4"/>
  <c r="B1310" i="4"/>
  <c r="E1310" i="4"/>
  <c r="H1310" i="4"/>
  <c r="L1310" i="4"/>
  <c r="M1310" i="4"/>
  <c r="N1310" i="4"/>
  <c r="P1310" i="4"/>
  <c r="A1311" i="4"/>
  <c r="B1311" i="4"/>
  <c r="E1311" i="4"/>
  <c r="H1311" i="4"/>
  <c r="L1311" i="4"/>
  <c r="M1311" i="4"/>
  <c r="N1311" i="4"/>
  <c r="P1311" i="4"/>
  <c r="A1312" i="4"/>
  <c r="B1312" i="4"/>
  <c r="E1312" i="4"/>
  <c r="H1312" i="4"/>
  <c r="L1312" i="4"/>
  <c r="M1312" i="4"/>
  <c r="N1312" i="4"/>
  <c r="P1312" i="4"/>
  <c r="A1313" i="4"/>
  <c r="B1313" i="4"/>
  <c r="E1313" i="4"/>
  <c r="H1313" i="4"/>
  <c r="L1313" i="4"/>
  <c r="M1313" i="4"/>
  <c r="N1313" i="4"/>
  <c r="P1313" i="4"/>
  <c r="A1314" i="4"/>
  <c r="B1314" i="4"/>
  <c r="E1314" i="4"/>
  <c r="H1314" i="4"/>
  <c r="L1314" i="4"/>
  <c r="M1314" i="4"/>
  <c r="N1314" i="4"/>
  <c r="P1314" i="4"/>
  <c r="A1315" i="4"/>
  <c r="B1315" i="4"/>
  <c r="E1315" i="4"/>
  <c r="H1315" i="4"/>
  <c r="L1315" i="4"/>
  <c r="M1315" i="4"/>
  <c r="N1315" i="4"/>
  <c r="P1315" i="4"/>
  <c r="A1316" i="4"/>
  <c r="B1316" i="4"/>
  <c r="E1316" i="4"/>
  <c r="H1316" i="4"/>
  <c r="L1316" i="4"/>
  <c r="M1316" i="4"/>
  <c r="N1316" i="4"/>
  <c r="P1316" i="4"/>
  <c r="A1317" i="4"/>
  <c r="B1317" i="4"/>
  <c r="E1317" i="4"/>
  <c r="H1317" i="4"/>
  <c r="L1317" i="4"/>
  <c r="M1317" i="4"/>
  <c r="N1317" i="4"/>
  <c r="P1317" i="4"/>
  <c r="A1318" i="4"/>
  <c r="B1318" i="4"/>
  <c r="E1318" i="4"/>
  <c r="H1318" i="4"/>
  <c r="L1318" i="4"/>
  <c r="M1318" i="4"/>
  <c r="N1318" i="4"/>
  <c r="P1318" i="4"/>
  <c r="A1319" i="4"/>
  <c r="B1319" i="4"/>
  <c r="E1319" i="4"/>
  <c r="H1319" i="4"/>
  <c r="L1319" i="4"/>
  <c r="M1319" i="4"/>
  <c r="N1319" i="4"/>
  <c r="P1319" i="4"/>
  <c r="A1320" i="4"/>
  <c r="B1320" i="4"/>
  <c r="E1320" i="4"/>
  <c r="H1320" i="4"/>
  <c r="L1320" i="4"/>
  <c r="M1320" i="4"/>
  <c r="N1320" i="4"/>
  <c r="P1320" i="4"/>
  <c r="A1321" i="4"/>
  <c r="B1321" i="4"/>
  <c r="E1321" i="4"/>
  <c r="H1321" i="4"/>
  <c r="L1321" i="4"/>
  <c r="M1321" i="4"/>
  <c r="N1321" i="4"/>
  <c r="P1321" i="4"/>
  <c r="A1322" i="4"/>
  <c r="B1322" i="4"/>
  <c r="E1322" i="4"/>
  <c r="H1322" i="4"/>
  <c r="L1322" i="4"/>
  <c r="M1322" i="4"/>
  <c r="N1322" i="4"/>
  <c r="P1322" i="4"/>
  <c r="A1323" i="4"/>
  <c r="B1323" i="4"/>
  <c r="E1323" i="4"/>
  <c r="H1323" i="4"/>
  <c r="L1323" i="4"/>
  <c r="M1323" i="4"/>
  <c r="N1323" i="4"/>
  <c r="P1323" i="4"/>
  <c r="A1324" i="4"/>
  <c r="B1324" i="4"/>
  <c r="E1324" i="4"/>
  <c r="H1324" i="4"/>
  <c r="L1324" i="4"/>
  <c r="M1324" i="4"/>
  <c r="N1324" i="4"/>
  <c r="P1324" i="4"/>
  <c r="A1325" i="4"/>
  <c r="B1325" i="4"/>
  <c r="E1325" i="4"/>
  <c r="H1325" i="4"/>
  <c r="L1325" i="4"/>
  <c r="M1325" i="4"/>
  <c r="N1325" i="4"/>
  <c r="P1325" i="4"/>
  <c r="A1326" i="4"/>
  <c r="B1326" i="4"/>
  <c r="E1326" i="4"/>
  <c r="H1326" i="4"/>
  <c r="L1326" i="4"/>
  <c r="M1326" i="4"/>
  <c r="N1326" i="4"/>
  <c r="P1326" i="4"/>
  <c r="A1327" i="4"/>
  <c r="B1327" i="4"/>
  <c r="E1327" i="4"/>
  <c r="H1327" i="4"/>
  <c r="L1327" i="4"/>
  <c r="M1327" i="4"/>
  <c r="N1327" i="4"/>
  <c r="P1327" i="4"/>
  <c r="A1328" i="4"/>
  <c r="B1328" i="4"/>
  <c r="E1328" i="4"/>
  <c r="H1328" i="4"/>
  <c r="L1328" i="4"/>
  <c r="M1328" i="4"/>
  <c r="N1328" i="4"/>
  <c r="P1328" i="4"/>
  <c r="A1329" i="4"/>
  <c r="B1329" i="4"/>
  <c r="E1329" i="4"/>
  <c r="H1329" i="4"/>
  <c r="L1329" i="4"/>
  <c r="M1329" i="4"/>
  <c r="N1329" i="4"/>
  <c r="P1329" i="4"/>
  <c r="A1330" i="4"/>
  <c r="B1330" i="4"/>
  <c r="E1330" i="4"/>
  <c r="H1330" i="4"/>
  <c r="L1330" i="4"/>
  <c r="M1330" i="4"/>
  <c r="N1330" i="4"/>
  <c r="P1330" i="4"/>
  <c r="A1331" i="4"/>
  <c r="B1331" i="4"/>
  <c r="E1331" i="4"/>
  <c r="H1331" i="4"/>
  <c r="L1331" i="4"/>
  <c r="M1331" i="4"/>
  <c r="N1331" i="4"/>
  <c r="P1331" i="4"/>
  <c r="A1332" i="4"/>
  <c r="B1332" i="4"/>
  <c r="E1332" i="4"/>
  <c r="H1332" i="4"/>
  <c r="L1332" i="4"/>
  <c r="M1332" i="4"/>
  <c r="N1332" i="4"/>
  <c r="P1332" i="4"/>
  <c r="A1333" i="4"/>
  <c r="B1333" i="4"/>
  <c r="E1333" i="4"/>
  <c r="H1333" i="4"/>
  <c r="L1333" i="4"/>
  <c r="M1333" i="4"/>
  <c r="N1333" i="4"/>
  <c r="P1333" i="4"/>
  <c r="A1334" i="4"/>
  <c r="B1334" i="4"/>
  <c r="E1334" i="4"/>
  <c r="H1334" i="4"/>
  <c r="L1334" i="4"/>
  <c r="M1334" i="4"/>
  <c r="N1334" i="4"/>
  <c r="P1334" i="4"/>
  <c r="A1335" i="4"/>
  <c r="B1335" i="4"/>
  <c r="E1335" i="4"/>
  <c r="H1335" i="4"/>
  <c r="L1335" i="4"/>
  <c r="M1335" i="4"/>
  <c r="N1335" i="4"/>
  <c r="P1335" i="4"/>
  <c r="A1336" i="4"/>
  <c r="B1336" i="4"/>
  <c r="E1336" i="4"/>
  <c r="H1336" i="4"/>
  <c r="L1336" i="4"/>
  <c r="M1336" i="4"/>
  <c r="N1336" i="4"/>
  <c r="P1336" i="4"/>
  <c r="A1337" i="4"/>
  <c r="B1337" i="4"/>
  <c r="E1337" i="4"/>
  <c r="H1337" i="4"/>
  <c r="L1337" i="4"/>
  <c r="M1337" i="4"/>
  <c r="N1337" i="4"/>
  <c r="P1337" i="4"/>
  <c r="A1338" i="4"/>
  <c r="B1338" i="4"/>
  <c r="E1338" i="4"/>
  <c r="H1338" i="4"/>
  <c r="L1338" i="4"/>
  <c r="M1338" i="4"/>
  <c r="N1338" i="4"/>
  <c r="P1338" i="4"/>
  <c r="A1339" i="4"/>
  <c r="B1339" i="4"/>
  <c r="E1339" i="4"/>
  <c r="H1339" i="4"/>
  <c r="L1339" i="4"/>
  <c r="M1339" i="4"/>
  <c r="N1339" i="4"/>
  <c r="P1339" i="4"/>
  <c r="A1340" i="4"/>
  <c r="B1340" i="4"/>
  <c r="E1340" i="4"/>
  <c r="H1340" i="4"/>
  <c r="L1340" i="4"/>
  <c r="M1340" i="4"/>
  <c r="N1340" i="4"/>
  <c r="P1340" i="4"/>
  <c r="A1341" i="4"/>
  <c r="B1341" i="4"/>
  <c r="E1341" i="4"/>
  <c r="H1341" i="4"/>
  <c r="L1341" i="4"/>
  <c r="M1341" i="4"/>
  <c r="N1341" i="4"/>
  <c r="P1341" i="4"/>
  <c r="A1342" i="4"/>
  <c r="B1342" i="4"/>
  <c r="E1342" i="4"/>
  <c r="H1342" i="4"/>
  <c r="L1342" i="4"/>
  <c r="M1342" i="4"/>
  <c r="N1342" i="4"/>
  <c r="P1342" i="4"/>
  <c r="A1343" i="4"/>
  <c r="B1343" i="4"/>
  <c r="E1343" i="4"/>
  <c r="H1343" i="4"/>
  <c r="L1343" i="4"/>
  <c r="M1343" i="4"/>
  <c r="N1343" i="4"/>
  <c r="P1343" i="4"/>
  <c r="A1344" i="4"/>
  <c r="B1344" i="4"/>
  <c r="E1344" i="4"/>
  <c r="H1344" i="4"/>
  <c r="L1344" i="4"/>
  <c r="M1344" i="4"/>
  <c r="N1344" i="4"/>
  <c r="P1344" i="4"/>
  <c r="A1345" i="4"/>
  <c r="B1345" i="4"/>
  <c r="E1345" i="4"/>
  <c r="H1345" i="4"/>
  <c r="L1345" i="4"/>
  <c r="M1345" i="4"/>
  <c r="N1345" i="4"/>
  <c r="P1345" i="4"/>
  <c r="A1346" i="4"/>
  <c r="B1346" i="4"/>
  <c r="E1346" i="4"/>
  <c r="H1346" i="4"/>
  <c r="L1346" i="4"/>
  <c r="M1346" i="4"/>
  <c r="N1346" i="4"/>
  <c r="P1346" i="4"/>
  <c r="A1347" i="4"/>
  <c r="B1347" i="4"/>
  <c r="E1347" i="4"/>
  <c r="H1347" i="4"/>
  <c r="L1347" i="4"/>
  <c r="M1347" i="4"/>
  <c r="N1347" i="4"/>
  <c r="P1347" i="4"/>
  <c r="A1348" i="4"/>
  <c r="B1348" i="4"/>
  <c r="E1348" i="4"/>
  <c r="H1348" i="4"/>
  <c r="L1348" i="4"/>
  <c r="M1348" i="4"/>
  <c r="N1348" i="4"/>
  <c r="P1348" i="4"/>
  <c r="A1349" i="4"/>
  <c r="B1349" i="4"/>
  <c r="E1349" i="4"/>
  <c r="H1349" i="4"/>
  <c r="L1349" i="4"/>
  <c r="M1349" i="4"/>
  <c r="N1349" i="4"/>
  <c r="P1349" i="4"/>
  <c r="A1350" i="4"/>
  <c r="B1350" i="4"/>
  <c r="E1350" i="4"/>
  <c r="H1350" i="4"/>
  <c r="L1350" i="4"/>
  <c r="M1350" i="4"/>
  <c r="N1350" i="4"/>
  <c r="P1350" i="4"/>
  <c r="A1351" i="4"/>
  <c r="B1351" i="4"/>
  <c r="E1351" i="4"/>
  <c r="H1351" i="4"/>
  <c r="L1351" i="4"/>
  <c r="M1351" i="4"/>
  <c r="N1351" i="4"/>
  <c r="P1351" i="4"/>
  <c r="A1352" i="4"/>
  <c r="B1352" i="4"/>
  <c r="E1352" i="4"/>
  <c r="H1352" i="4"/>
  <c r="L1352" i="4"/>
  <c r="M1352" i="4"/>
  <c r="N1352" i="4"/>
  <c r="P1352" i="4"/>
  <c r="A1353" i="4"/>
  <c r="B1353" i="4"/>
  <c r="E1353" i="4"/>
  <c r="H1353" i="4"/>
  <c r="L1353" i="4"/>
  <c r="M1353" i="4"/>
  <c r="N1353" i="4"/>
  <c r="P1353" i="4"/>
  <c r="A1354" i="4"/>
  <c r="B1354" i="4"/>
  <c r="E1354" i="4"/>
  <c r="H1354" i="4"/>
  <c r="L1354" i="4"/>
  <c r="M1354" i="4"/>
  <c r="N1354" i="4"/>
  <c r="P1354" i="4"/>
  <c r="A1355" i="4"/>
  <c r="B1355" i="4"/>
  <c r="E1355" i="4"/>
  <c r="H1355" i="4"/>
  <c r="L1355" i="4"/>
  <c r="M1355" i="4"/>
  <c r="N1355" i="4"/>
  <c r="P1355" i="4"/>
  <c r="A1356" i="4"/>
  <c r="B1356" i="4"/>
  <c r="E1356" i="4"/>
  <c r="H1356" i="4"/>
  <c r="L1356" i="4"/>
  <c r="M1356" i="4"/>
  <c r="N1356" i="4"/>
  <c r="P1356" i="4"/>
  <c r="A1357" i="4"/>
  <c r="B1357" i="4"/>
  <c r="E1357" i="4"/>
  <c r="H1357" i="4"/>
  <c r="L1357" i="4"/>
  <c r="M1357" i="4"/>
  <c r="N1357" i="4"/>
  <c r="P1357" i="4"/>
  <c r="A1358" i="4"/>
  <c r="B1358" i="4"/>
  <c r="E1358" i="4"/>
  <c r="H1358" i="4"/>
  <c r="L1358" i="4"/>
  <c r="M1358" i="4"/>
  <c r="N1358" i="4"/>
  <c r="P1358" i="4"/>
  <c r="A1359" i="4"/>
  <c r="B1359" i="4"/>
  <c r="E1359" i="4"/>
  <c r="H1359" i="4"/>
  <c r="L1359" i="4"/>
  <c r="M1359" i="4"/>
  <c r="N1359" i="4"/>
  <c r="P1359" i="4"/>
  <c r="A1360" i="4"/>
  <c r="B1360" i="4"/>
  <c r="E1360" i="4"/>
  <c r="H1360" i="4"/>
  <c r="L1360" i="4"/>
  <c r="M1360" i="4"/>
  <c r="N1360" i="4"/>
  <c r="P1360" i="4"/>
  <c r="A1361" i="4"/>
  <c r="B1361" i="4"/>
  <c r="E1361" i="4"/>
  <c r="H1361" i="4"/>
  <c r="L1361" i="4"/>
  <c r="M1361" i="4"/>
  <c r="N1361" i="4"/>
  <c r="P1361" i="4"/>
  <c r="A1362" i="4"/>
  <c r="B1362" i="4"/>
  <c r="E1362" i="4"/>
  <c r="H1362" i="4"/>
  <c r="L1362" i="4"/>
  <c r="M1362" i="4"/>
  <c r="N1362" i="4"/>
  <c r="P1362" i="4"/>
  <c r="A1363" i="4"/>
  <c r="B1363" i="4"/>
  <c r="E1363" i="4"/>
  <c r="H1363" i="4"/>
  <c r="L1363" i="4"/>
  <c r="M1363" i="4"/>
  <c r="N1363" i="4"/>
  <c r="P1363" i="4"/>
  <c r="A1364" i="4"/>
  <c r="B1364" i="4"/>
  <c r="E1364" i="4"/>
  <c r="H1364" i="4"/>
  <c r="L1364" i="4"/>
  <c r="M1364" i="4"/>
  <c r="N1364" i="4"/>
  <c r="P1364" i="4"/>
  <c r="A1365" i="4"/>
  <c r="B1365" i="4"/>
  <c r="E1365" i="4"/>
  <c r="H1365" i="4"/>
  <c r="L1365" i="4"/>
  <c r="M1365" i="4"/>
  <c r="N1365" i="4"/>
  <c r="P1365" i="4"/>
  <c r="A1366" i="4"/>
  <c r="B1366" i="4"/>
  <c r="E1366" i="4"/>
  <c r="H1366" i="4"/>
  <c r="L1366" i="4"/>
  <c r="M1366" i="4"/>
  <c r="N1366" i="4"/>
  <c r="P1366" i="4"/>
  <c r="A1367" i="4"/>
  <c r="B1367" i="4"/>
  <c r="E1367" i="4"/>
  <c r="H1367" i="4"/>
  <c r="L1367" i="4"/>
  <c r="M1367" i="4"/>
  <c r="N1367" i="4"/>
  <c r="P1367" i="4"/>
  <c r="A1368" i="4"/>
  <c r="B1368" i="4"/>
  <c r="E1368" i="4"/>
  <c r="H1368" i="4"/>
  <c r="L1368" i="4"/>
  <c r="M1368" i="4"/>
  <c r="N1368" i="4"/>
  <c r="P1368" i="4"/>
  <c r="A1369" i="4"/>
  <c r="B1369" i="4"/>
  <c r="E1369" i="4"/>
  <c r="H1369" i="4"/>
  <c r="L1369" i="4"/>
  <c r="M1369" i="4"/>
  <c r="N1369" i="4"/>
  <c r="P1369" i="4"/>
  <c r="A1370" i="4"/>
  <c r="B1370" i="4"/>
  <c r="E1370" i="4"/>
  <c r="H1370" i="4"/>
  <c r="L1370" i="4"/>
  <c r="M1370" i="4"/>
  <c r="N1370" i="4"/>
  <c r="P1370" i="4"/>
  <c r="A1371" i="4"/>
  <c r="B1371" i="4"/>
  <c r="E1371" i="4"/>
  <c r="H1371" i="4"/>
  <c r="L1371" i="4"/>
  <c r="M1371" i="4"/>
  <c r="N1371" i="4"/>
  <c r="P1371" i="4"/>
  <c r="A1372" i="4"/>
  <c r="B1372" i="4"/>
  <c r="E1372" i="4"/>
  <c r="H1372" i="4"/>
  <c r="L1372" i="4"/>
  <c r="M1372" i="4"/>
  <c r="N1372" i="4"/>
  <c r="P1372" i="4"/>
  <c r="A1373" i="4"/>
  <c r="B1373" i="4"/>
  <c r="E1373" i="4"/>
  <c r="H1373" i="4"/>
  <c r="L1373" i="4"/>
  <c r="M1373" i="4"/>
  <c r="N1373" i="4"/>
  <c r="P1373" i="4"/>
  <c r="A1374" i="4"/>
  <c r="B1374" i="4"/>
  <c r="E1374" i="4"/>
  <c r="H1374" i="4"/>
  <c r="L1374" i="4"/>
  <c r="M1374" i="4"/>
  <c r="N1374" i="4"/>
  <c r="P1374" i="4"/>
  <c r="A1375" i="4"/>
  <c r="B1375" i="4"/>
  <c r="E1375" i="4"/>
  <c r="H1375" i="4"/>
  <c r="L1375" i="4"/>
  <c r="M1375" i="4"/>
  <c r="N1375" i="4"/>
  <c r="P1375" i="4"/>
  <c r="A1376" i="4"/>
  <c r="B1376" i="4"/>
  <c r="E1376" i="4"/>
  <c r="H1376" i="4"/>
  <c r="L1376" i="4"/>
  <c r="M1376" i="4"/>
  <c r="N1376" i="4"/>
  <c r="P1376" i="4"/>
  <c r="A1377" i="4"/>
  <c r="B1377" i="4"/>
  <c r="E1377" i="4"/>
  <c r="H1377" i="4"/>
  <c r="L1377" i="4"/>
  <c r="M1377" i="4"/>
  <c r="N1377" i="4"/>
  <c r="P1377" i="4"/>
  <c r="A1378" i="4"/>
  <c r="B1378" i="4"/>
  <c r="E1378" i="4"/>
  <c r="H1378" i="4"/>
  <c r="L1378" i="4"/>
  <c r="M1378" i="4"/>
  <c r="N1378" i="4"/>
  <c r="P1378" i="4"/>
  <c r="A1379" i="4"/>
  <c r="B1379" i="4"/>
  <c r="E1379" i="4"/>
  <c r="H1379" i="4"/>
  <c r="L1379" i="4"/>
  <c r="M1379" i="4"/>
  <c r="N1379" i="4"/>
  <c r="P1379" i="4"/>
  <c r="A1380" i="4"/>
  <c r="B1380" i="4"/>
  <c r="E1380" i="4"/>
  <c r="H1380" i="4"/>
  <c r="L1380" i="4"/>
  <c r="M1380" i="4"/>
  <c r="N1380" i="4"/>
  <c r="P1380" i="4"/>
  <c r="A1381" i="4"/>
  <c r="B1381" i="4"/>
  <c r="E1381" i="4"/>
  <c r="H1381" i="4"/>
  <c r="L1381" i="4"/>
  <c r="M1381" i="4"/>
  <c r="N1381" i="4"/>
  <c r="P1381" i="4"/>
  <c r="A1382" i="4"/>
  <c r="B1382" i="4"/>
  <c r="E1382" i="4"/>
  <c r="H1382" i="4"/>
  <c r="L1382" i="4"/>
  <c r="M1382" i="4"/>
  <c r="N1382" i="4"/>
  <c r="P1382" i="4"/>
  <c r="A1383" i="4"/>
  <c r="B1383" i="4"/>
  <c r="E1383" i="4"/>
  <c r="H1383" i="4"/>
  <c r="L1383" i="4"/>
  <c r="M1383" i="4"/>
  <c r="N1383" i="4"/>
  <c r="P1383" i="4"/>
  <c r="A1384" i="4"/>
  <c r="B1384" i="4"/>
  <c r="E1384" i="4"/>
  <c r="H1384" i="4"/>
  <c r="L1384" i="4"/>
  <c r="M1384" i="4"/>
  <c r="N1384" i="4"/>
  <c r="P1384" i="4"/>
  <c r="A1385" i="4"/>
  <c r="B1385" i="4"/>
  <c r="E1385" i="4"/>
  <c r="H1385" i="4"/>
  <c r="L1385" i="4"/>
  <c r="M1385" i="4"/>
  <c r="N1385" i="4"/>
  <c r="P1385" i="4"/>
  <c r="A1386" i="4"/>
  <c r="B1386" i="4"/>
  <c r="E1386" i="4"/>
  <c r="H1386" i="4"/>
  <c r="L1386" i="4"/>
  <c r="M1386" i="4"/>
  <c r="N1386" i="4"/>
  <c r="P1386" i="4"/>
  <c r="A1387" i="4"/>
  <c r="B1387" i="4"/>
  <c r="E1387" i="4"/>
  <c r="H1387" i="4"/>
  <c r="L1387" i="4"/>
  <c r="M1387" i="4"/>
  <c r="N1387" i="4"/>
  <c r="P1387" i="4"/>
  <c r="A1388" i="4"/>
  <c r="B1388" i="4"/>
  <c r="E1388" i="4"/>
  <c r="H1388" i="4"/>
  <c r="L1388" i="4"/>
  <c r="M1388" i="4"/>
  <c r="N1388" i="4"/>
  <c r="P1388" i="4"/>
  <c r="A1389" i="4"/>
  <c r="B1389" i="4"/>
  <c r="E1389" i="4"/>
  <c r="H1389" i="4"/>
  <c r="L1389" i="4"/>
  <c r="M1389" i="4"/>
  <c r="N1389" i="4"/>
  <c r="P1389" i="4"/>
  <c r="A1390" i="4"/>
  <c r="B1390" i="4"/>
  <c r="E1390" i="4"/>
  <c r="H1390" i="4"/>
  <c r="L1390" i="4"/>
  <c r="M1390" i="4"/>
  <c r="N1390" i="4"/>
  <c r="P1390" i="4"/>
  <c r="A1391" i="4"/>
  <c r="B1391" i="4"/>
  <c r="E1391" i="4"/>
  <c r="H1391" i="4"/>
  <c r="L1391" i="4"/>
  <c r="M1391" i="4"/>
  <c r="N1391" i="4"/>
  <c r="P1391" i="4"/>
  <c r="A1392" i="4"/>
  <c r="B1392" i="4"/>
  <c r="E1392" i="4"/>
  <c r="H1392" i="4"/>
  <c r="L1392" i="4"/>
  <c r="M1392" i="4"/>
  <c r="N1392" i="4"/>
  <c r="P1392" i="4"/>
  <c r="A1393" i="4"/>
  <c r="B1393" i="4"/>
  <c r="E1393" i="4"/>
  <c r="H1393" i="4"/>
  <c r="L1393" i="4"/>
  <c r="M1393" i="4"/>
  <c r="N1393" i="4"/>
  <c r="P1393" i="4"/>
  <c r="A1394" i="4"/>
  <c r="B1394" i="4"/>
  <c r="E1394" i="4"/>
  <c r="H1394" i="4"/>
  <c r="L1394" i="4"/>
  <c r="M1394" i="4"/>
  <c r="N1394" i="4"/>
  <c r="P1394" i="4"/>
  <c r="A1395" i="4"/>
  <c r="B1395" i="4"/>
  <c r="E1395" i="4"/>
  <c r="H1395" i="4"/>
  <c r="L1395" i="4"/>
  <c r="M1395" i="4"/>
  <c r="N1395" i="4"/>
  <c r="P1395" i="4"/>
  <c r="A1396" i="4"/>
  <c r="B1396" i="4"/>
  <c r="E1396" i="4"/>
  <c r="H1396" i="4"/>
  <c r="L1396" i="4"/>
  <c r="M1396" i="4"/>
  <c r="N1396" i="4"/>
  <c r="P1396" i="4"/>
  <c r="A1397" i="4"/>
  <c r="B1397" i="4"/>
  <c r="E1397" i="4"/>
  <c r="H1397" i="4"/>
  <c r="L1397" i="4"/>
  <c r="M1397" i="4"/>
  <c r="N1397" i="4"/>
  <c r="P1397" i="4"/>
  <c r="A1398" i="4"/>
  <c r="B1398" i="4"/>
  <c r="E1398" i="4"/>
  <c r="H1398" i="4"/>
  <c r="L1398" i="4"/>
  <c r="M1398" i="4"/>
  <c r="N1398" i="4"/>
  <c r="P1398" i="4"/>
  <c r="A1399" i="4"/>
  <c r="B1399" i="4"/>
  <c r="E1399" i="4"/>
  <c r="H1399" i="4"/>
  <c r="L1399" i="4"/>
  <c r="M1399" i="4"/>
  <c r="N1399" i="4"/>
  <c r="P1399" i="4"/>
  <c r="A1400" i="4"/>
  <c r="B1400" i="4"/>
  <c r="E1400" i="4"/>
  <c r="H1400" i="4"/>
  <c r="L1400" i="4"/>
  <c r="M1400" i="4"/>
  <c r="N1400" i="4"/>
  <c r="P1400" i="4"/>
  <c r="A1401" i="4"/>
  <c r="B1401" i="4"/>
  <c r="E1401" i="4"/>
  <c r="H1401" i="4"/>
  <c r="L1401" i="4"/>
  <c r="M1401" i="4"/>
  <c r="N1401" i="4"/>
  <c r="P1401" i="4"/>
  <c r="A1402" i="4"/>
  <c r="B1402" i="4"/>
  <c r="E1402" i="4"/>
  <c r="H1402" i="4"/>
  <c r="L1402" i="4"/>
  <c r="M1402" i="4"/>
  <c r="N1402" i="4"/>
  <c r="P1402" i="4"/>
  <c r="A1403" i="4"/>
  <c r="B1403" i="4"/>
  <c r="E1403" i="4"/>
  <c r="H1403" i="4"/>
  <c r="L1403" i="4"/>
  <c r="M1403" i="4"/>
  <c r="N1403" i="4"/>
  <c r="P1403" i="4"/>
  <c r="A1404" i="4"/>
  <c r="B1404" i="4"/>
  <c r="E1404" i="4"/>
  <c r="H1404" i="4"/>
  <c r="L1404" i="4"/>
  <c r="M1404" i="4"/>
  <c r="N1404" i="4"/>
  <c r="P1404" i="4"/>
  <c r="A1405" i="4"/>
  <c r="B1405" i="4"/>
  <c r="E1405" i="4"/>
  <c r="H1405" i="4"/>
  <c r="L1405" i="4"/>
  <c r="M1405" i="4"/>
  <c r="N1405" i="4"/>
  <c r="P1405" i="4"/>
  <c r="A1406" i="4"/>
  <c r="B1406" i="4"/>
  <c r="E1406" i="4"/>
  <c r="H1406" i="4"/>
  <c r="L1406" i="4"/>
  <c r="M1406" i="4"/>
  <c r="N1406" i="4"/>
  <c r="P1406" i="4"/>
  <c r="A1407" i="4"/>
  <c r="B1407" i="4"/>
  <c r="E1407" i="4"/>
  <c r="H1407" i="4"/>
  <c r="L1407" i="4"/>
  <c r="M1407" i="4"/>
  <c r="N1407" i="4"/>
  <c r="P1407" i="4"/>
  <c r="A1408" i="4"/>
  <c r="B1408" i="4"/>
  <c r="E1408" i="4"/>
  <c r="H1408" i="4"/>
  <c r="L1408" i="4"/>
  <c r="M1408" i="4"/>
  <c r="N1408" i="4"/>
  <c r="P1408" i="4"/>
  <c r="A1409" i="4"/>
  <c r="B1409" i="4"/>
  <c r="E1409" i="4"/>
  <c r="H1409" i="4"/>
  <c r="L1409" i="4"/>
  <c r="M1409" i="4"/>
  <c r="N1409" i="4"/>
  <c r="P1409" i="4"/>
  <c r="A1410" i="4"/>
  <c r="B1410" i="4"/>
  <c r="E1410" i="4"/>
  <c r="H1410" i="4"/>
  <c r="L1410" i="4"/>
  <c r="M1410" i="4"/>
  <c r="N1410" i="4"/>
  <c r="P1410" i="4"/>
  <c r="A1411" i="4"/>
  <c r="B1411" i="4"/>
  <c r="E1411" i="4"/>
  <c r="H1411" i="4"/>
  <c r="L1411" i="4"/>
  <c r="M1411" i="4"/>
  <c r="N1411" i="4"/>
  <c r="P1411" i="4"/>
  <c r="A1412" i="4"/>
  <c r="B1412" i="4"/>
  <c r="E1412" i="4"/>
  <c r="H1412" i="4"/>
  <c r="L1412" i="4"/>
  <c r="M1412" i="4"/>
  <c r="N1412" i="4"/>
  <c r="P1412" i="4"/>
  <c r="A1413" i="4"/>
  <c r="B1413" i="4"/>
  <c r="E1413" i="4"/>
  <c r="H1413" i="4"/>
  <c r="L1413" i="4"/>
  <c r="M1413" i="4"/>
  <c r="N1413" i="4"/>
  <c r="P1413" i="4"/>
  <c r="A1414" i="4"/>
  <c r="B1414" i="4"/>
  <c r="E1414" i="4"/>
  <c r="H1414" i="4"/>
  <c r="L1414" i="4"/>
  <c r="M1414" i="4"/>
  <c r="N1414" i="4"/>
  <c r="P1414" i="4"/>
  <c r="A1415" i="4"/>
  <c r="B1415" i="4"/>
  <c r="E1415" i="4"/>
  <c r="H1415" i="4"/>
  <c r="L1415" i="4"/>
  <c r="M1415" i="4"/>
  <c r="N1415" i="4"/>
  <c r="P1415" i="4"/>
  <c r="A1416" i="4"/>
  <c r="B1416" i="4"/>
  <c r="E1416" i="4"/>
  <c r="H1416" i="4"/>
  <c r="L1416" i="4"/>
  <c r="M1416" i="4"/>
  <c r="N1416" i="4"/>
  <c r="P1416" i="4"/>
  <c r="A1417" i="4"/>
  <c r="B1417" i="4"/>
  <c r="E1417" i="4"/>
  <c r="H1417" i="4"/>
  <c r="L1417" i="4"/>
  <c r="M1417" i="4"/>
  <c r="N1417" i="4"/>
  <c r="P1417" i="4"/>
  <c r="A1418" i="4"/>
  <c r="B1418" i="4"/>
  <c r="E1418" i="4"/>
  <c r="H1418" i="4"/>
  <c r="L1418" i="4"/>
  <c r="M1418" i="4"/>
  <c r="N1418" i="4"/>
  <c r="P1418" i="4"/>
  <c r="A1419" i="4"/>
  <c r="B1419" i="4"/>
  <c r="E1419" i="4"/>
  <c r="H1419" i="4"/>
  <c r="L1419" i="4"/>
  <c r="M1419" i="4"/>
  <c r="N1419" i="4"/>
  <c r="P1419" i="4"/>
  <c r="A1420" i="4"/>
  <c r="B1420" i="4"/>
  <c r="E1420" i="4"/>
  <c r="H1420" i="4"/>
  <c r="L1420" i="4"/>
  <c r="M1420" i="4"/>
  <c r="N1420" i="4"/>
  <c r="P1420" i="4"/>
  <c r="A1421" i="4"/>
  <c r="B1421" i="4"/>
  <c r="E1421" i="4"/>
  <c r="H1421" i="4"/>
  <c r="L1421" i="4"/>
  <c r="M1421" i="4"/>
  <c r="N1421" i="4"/>
  <c r="P1421" i="4"/>
  <c r="A1422" i="4"/>
  <c r="B1422" i="4"/>
  <c r="E1422" i="4"/>
  <c r="H1422" i="4"/>
  <c r="L1422" i="4"/>
  <c r="M1422" i="4"/>
  <c r="N1422" i="4"/>
  <c r="P1422" i="4"/>
  <c r="A1423" i="4"/>
  <c r="B1423" i="4"/>
  <c r="E1423" i="4"/>
  <c r="H1423" i="4"/>
  <c r="L1423" i="4"/>
  <c r="M1423" i="4"/>
  <c r="N1423" i="4"/>
  <c r="P1423" i="4"/>
  <c r="A1424" i="4"/>
  <c r="B1424" i="4"/>
  <c r="E1424" i="4"/>
  <c r="H1424" i="4"/>
  <c r="L1424" i="4"/>
  <c r="M1424" i="4"/>
  <c r="N1424" i="4"/>
  <c r="P1424" i="4"/>
  <c r="A1425" i="4"/>
  <c r="B1425" i="4"/>
  <c r="E1425" i="4"/>
  <c r="H1425" i="4"/>
  <c r="L1425" i="4"/>
  <c r="M1425" i="4"/>
  <c r="N1425" i="4"/>
  <c r="P1425" i="4"/>
  <c r="A1426" i="4"/>
  <c r="B1426" i="4"/>
  <c r="E1426" i="4"/>
  <c r="H1426" i="4"/>
  <c r="L1426" i="4"/>
  <c r="M1426" i="4"/>
  <c r="N1426" i="4"/>
  <c r="P1426" i="4"/>
  <c r="A1427" i="4"/>
  <c r="B1427" i="4"/>
  <c r="E1427" i="4"/>
  <c r="H1427" i="4"/>
  <c r="L1427" i="4"/>
  <c r="M1427" i="4"/>
  <c r="N1427" i="4"/>
  <c r="P1427" i="4"/>
  <c r="A1428" i="4"/>
  <c r="B1428" i="4"/>
  <c r="E1428" i="4"/>
  <c r="H1428" i="4"/>
  <c r="L1428" i="4"/>
  <c r="M1428" i="4"/>
  <c r="N1428" i="4"/>
  <c r="P1428" i="4"/>
  <c r="A1429" i="4"/>
  <c r="B1429" i="4"/>
  <c r="E1429" i="4"/>
  <c r="H1429" i="4"/>
  <c r="L1429" i="4"/>
  <c r="M1429" i="4"/>
  <c r="N1429" i="4"/>
  <c r="P1429" i="4"/>
  <c r="A1430" i="4"/>
  <c r="B1430" i="4"/>
  <c r="E1430" i="4"/>
  <c r="H1430" i="4"/>
  <c r="L1430" i="4"/>
  <c r="M1430" i="4"/>
  <c r="N1430" i="4"/>
  <c r="P1430" i="4"/>
  <c r="A1431" i="4"/>
  <c r="B1431" i="4"/>
  <c r="E1431" i="4"/>
  <c r="H1431" i="4"/>
  <c r="L1431" i="4"/>
  <c r="M1431" i="4"/>
  <c r="N1431" i="4"/>
  <c r="P1431" i="4"/>
  <c r="A1432" i="4"/>
  <c r="B1432" i="4"/>
  <c r="E1432" i="4"/>
  <c r="H1432" i="4"/>
  <c r="L1432" i="4"/>
  <c r="M1432" i="4"/>
  <c r="N1432" i="4"/>
  <c r="P1432" i="4"/>
  <c r="A1433" i="4"/>
  <c r="B1433" i="4"/>
  <c r="E1433" i="4"/>
  <c r="H1433" i="4"/>
  <c r="L1433" i="4"/>
  <c r="M1433" i="4"/>
  <c r="N1433" i="4"/>
  <c r="P1433" i="4"/>
  <c r="A1434" i="4"/>
  <c r="B1434" i="4"/>
  <c r="E1434" i="4"/>
  <c r="H1434" i="4"/>
  <c r="L1434" i="4"/>
  <c r="M1434" i="4"/>
  <c r="N1434" i="4"/>
  <c r="P1434" i="4"/>
  <c r="A1435" i="4"/>
  <c r="B1435" i="4"/>
  <c r="E1435" i="4"/>
  <c r="H1435" i="4"/>
  <c r="L1435" i="4"/>
  <c r="M1435" i="4"/>
  <c r="N1435" i="4"/>
  <c r="P1435" i="4"/>
  <c r="A1436" i="4"/>
  <c r="B1436" i="4"/>
  <c r="E1436" i="4"/>
  <c r="H1436" i="4"/>
  <c r="L1436" i="4"/>
  <c r="M1436" i="4"/>
  <c r="N1436" i="4"/>
  <c r="P1436" i="4"/>
  <c r="A1437" i="4"/>
  <c r="B1437" i="4"/>
  <c r="E1437" i="4"/>
  <c r="H1437" i="4"/>
  <c r="L1437" i="4"/>
  <c r="M1437" i="4"/>
  <c r="N1437" i="4"/>
  <c r="P1437" i="4"/>
  <c r="A1438" i="4"/>
  <c r="B1438" i="4"/>
  <c r="E1438" i="4"/>
  <c r="H1438" i="4"/>
  <c r="L1438" i="4"/>
  <c r="M1438" i="4"/>
  <c r="N1438" i="4"/>
  <c r="P1438" i="4"/>
  <c r="A1439" i="4"/>
  <c r="B1439" i="4"/>
  <c r="E1439" i="4"/>
  <c r="H1439" i="4"/>
  <c r="L1439" i="4"/>
  <c r="M1439" i="4"/>
  <c r="N1439" i="4"/>
  <c r="P1439" i="4"/>
  <c r="A1440" i="4"/>
  <c r="B1440" i="4"/>
  <c r="E1440" i="4"/>
  <c r="H1440" i="4"/>
  <c r="L1440" i="4"/>
  <c r="M1440" i="4"/>
  <c r="N1440" i="4"/>
  <c r="P1440" i="4"/>
  <c r="A1441" i="4"/>
  <c r="B1441" i="4"/>
  <c r="E1441" i="4"/>
  <c r="H1441" i="4"/>
  <c r="L1441" i="4"/>
  <c r="M1441" i="4"/>
  <c r="N1441" i="4"/>
  <c r="P1441" i="4"/>
  <c r="A1442" i="4"/>
  <c r="B1442" i="4"/>
  <c r="E1442" i="4"/>
  <c r="H1442" i="4"/>
  <c r="L1442" i="4"/>
  <c r="M1442" i="4"/>
  <c r="N1442" i="4"/>
  <c r="P1442" i="4"/>
  <c r="A1443" i="4"/>
  <c r="B1443" i="4"/>
  <c r="E1443" i="4"/>
  <c r="H1443" i="4"/>
  <c r="L1443" i="4"/>
  <c r="M1443" i="4"/>
  <c r="N1443" i="4"/>
  <c r="P1443" i="4"/>
  <c r="A1444" i="4"/>
  <c r="B1444" i="4"/>
  <c r="E1444" i="4"/>
  <c r="H1444" i="4"/>
  <c r="L1444" i="4"/>
  <c r="M1444" i="4"/>
  <c r="N1444" i="4"/>
  <c r="P1444" i="4"/>
  <c r="A1445" i="4"/>
  <c r="B1445" i="4"/>
  <c r="E1445" i="4"/>
  <c r="H1445" i="4"/>
  <c r="L1445" i="4"/>
  <c r="M1445" i="4"/>
  <c r="N1445" i="4"/>
  <c r="P1445" i="4"/>
  <c r="A1446" i="4"/>
  <c r="B1446" i="4"/>
  <c r="E1446" i="4"/>
  <c r="H1446" i="4"/>
  <c r="L1446" i="4"/>
  <c r="M1446" i="4"/>
  <c r="N1446" i="4"/>
  <c r="P1446" i="4"/>
  <c r="A1447" i="4"/>
  <c r="B1447" i="4"/>
  <c r="E1447" i="4"/>
  <c r="H1447" i="4"/>
  <c r="L1447" i="4"/>
  <c r="M1447" i="4"/>
  <c r="N1447" i="4"/>
  <c r="P1447" i="4"/>
  <c r="A1448" i="4"/>
  <c r="B1448" i="4"/>
  <c r="E1448" i="4"/>
  <c r="H1448" i="4"/>
  <c r="L1448" i="4"/>
  <c r="M1448" i="4"/>
  <c r="N1448" i="4"/>
  <c r="P1448" i="4"/>
  <c r="A1449" i="4"/>
  <c r="B1449" i="4"/>
  <c r="E1449" i="4"/>
  <c r="H1449" i="4"/>
  <c r="L1449" i="4"/>
  <c r="M1449" i="4"/>
  <c r="N1449" i="4"/>
  <c r="P1449" i="4"/>
  <c r="A1450" i="4"/>
  <c r="B1450" i="4"/>
  <c r="E1450" i="4"/>
  <c r="H1450" i="4"/>
  <c r="L1450" i="4"/>
  <c r="M1450" i="4"/>
  <c r="N1450" i="4"/>
  <c r="P1450" i="4"/>
  <c r="A1451" i="4"/>
  <c r="B1451" i="4"/>
  <c r="E1451" i="4"/>
  <c r="H1451" i="4"/>
  <c r="L1451" i="4"/>
  <c r="M1451" i="4"/>
  <c r="N1451" i="4"/>
  <c r="P1451" i="4"/>
  <c r="A1452" i="4"/>
  <c r="B1452" i="4"/>
  <c r="E1452" i="4"/>
  <c r="H1452" i="4"/>
  <c r="L1452" i="4"/>
  <c r="M1452" i="4"/>
  <c r="N1452" i="4"/>
  <c r="P1452" i="4"/>
  <c r="A1453" i="4"/>
  <c r="B1453" i="4"/>
  <c r="E1453" i="4"/>
  <c r="H1453" i="4"/>
  <c r="L1453" i="4"/>
  <c r="M1453" i="4"/>
  <c r="N1453" i="4"/>
  <c r="P1453" i="4"/>
  <c r="A1454" i="4"/>
  <c r="B1454" i="4"/>
  <c r="E1454" i="4"/>
  <c r="H1454" i="4"/>
  <c r="L1454" i="4"/>
  <c r="M1454" i="4"/>
  <c r="N1454" i="4"/>
  <c r="P1454" i="4"/>
  <c r="A1455" i="4"/>
  <c r="B1455" i="4"/>
  <c r="E1455" i="4"/>
  <c r="H1455" i="4"/>
  <c r="L1455" i="4"/>
  <c r="M1455" i="4"/>
  <c r="N1455" i="4"/>
  <c r="P1455" i="4"/>
  <c r="A1456" i="4"/>
  <c r="B1456" i="4"/>
  <c r="E1456" i="4"/>
  <c r="H1456" i="4"/>
  <c r="L1456" i="4"/>
  <c r="M1456" i="4"/>
  <c r="N1456" i="4"/>
  <c r="P1456" i="4"/>
  <c r="A1457" i="4"/>
  <c r="B1457" i="4"/>
  <c r="E1457" i="4"/>
  <c r="H1457" i="4"/>
  <c r="L1457" i="4"/>
  <c r="M1457" i="4"/>
  <c r="N1457" i="4"/>
  <c r="P1457" i="4"/>
  <c r="A1458" i="4"/>
  <c r="B1458" i="4"/>
  <c r="E1458" i="4"/>
  <c r="H1458" i="4"/>
  <c r="L1458" i="4"/>
  <c r="M1458" i="4"/>
  <c r="N1458" i="4"/>
  <c r="P1458" i="4"/>
  <c r="A1459" i="4"/>
  <c r="B1459" i="4"/>
  <c r="E1459" i="4"/>
  <c r="H1459" i="4"/>
  <c r="L1459" i="4"/>
  <c r="M1459" i="4"/>
  <c r="N1459" i="4"/>
  <c r="P1459" i="4"/>
  <c r="A1460" i="4"/>
  <c r="B1460" i="4"/>
  <c r="E1460" i="4"/>
  <c r="H1460" i="4"/>
  <c r="L1460" i="4"/>
  <c r="M1460" i="4"/>
  <c r="N1460" i="4"/>
  <c r="P1460" i="4"/>
  <c r="A1461" i="4"/>
  <c r="B1461" i="4"/>
  <c r="E1461" i="4"/>
  <c r="H1461" i="4"/>
  <c r="L1461" i="4"/>
  <c r="M1461" i="4"/>
  <c r="N1461" i="4"/>
  <c r="P1461" i="4"/>
  <c r="A1462" i="4"/>
  <c r="B1462" i="4"/>
  <c r="E1462" i="4"/>
  <c r="H1462" i="4"/>
  <c r="L1462" i="4"/>
  <c r="M1462" i="4"/>
  <c r="N1462" i="4"/>
  <c r="P1462" i="4"/>
  <c r="A1463" i="4"/>
  <c r="B1463" i="4"/>
  <c r="E1463" i="4"/>
  <c r="H1463" i="4"/>
  <c r="L1463" i="4"/>
  <c r="M1463" i="4"/>
  <c r="N1463" i="4"/>
  <c r="P1463" i="4"/>
  <c r="A1464" i="4"/>
  <c r="B1464" i="4"/>
  <c r="E1464" i="4"/>
  <c r="H1464" i="4"/>
  <c r="L1464" i="4"/>
  <c r="M1464" i="4"/>
  <c r="N1464" i="4"/>
  <c r="P1464" i="4"/>
  <c r="A1465" i="4"/>
  <c r="B1465" i="4"/>
  <c r="E1465" i="4"/>
  <c r="H1465" i="4"/>
  <c r="L1465" i="4"/>
  <c r="M1465" i="4"/>
  <c r="N1465" i="4"/>
  <c r="P1465" i="4"/>
  <c r="A1466" i="4"/>
  <c r="B1466" i="4"/>
  <c r="E1466" i="4"/>
  <c r="H1466" i="4"/>
  <c r="L1466" i="4"/>
  <c r="M1466" i="4"/>
  <c r="N1466" i="4"/>
  <c r="P1466" i="4"/>
  <c r="A1467" i="4"/>
  <c r="B1467" i="4"/>
  <c r="E1467" i="4"/>
  <c r="H1467" i="4"/>
  <c r="L1467" i="4"/>
  <c r="M1467" i="4"/>
  <c r="N1467" i="4"/>
  <c r="P1467" i="4"/>
  <c r="A1468" i="4"/>
  <c r="B1468" i="4"/>
  <c r="E1468" i="4"/>
  <c r="H1468" i="4"/>
  <c r="L1468" i="4"/>
  <c r="M1468" i="4"/>
  <c r="N1468" i="4"/>
  <c r="P1468" i="4"/>
  <c r="A1469" i="4"/>
  <c r="B1469" i="4"/>
  <c r="E1469" i="4"/>
  <c r="H1469" i="4"/>
  <c r="L1469" i="4"/>
  <c r="M1469" i="4"/>
  <c r="N1469" i="4"/>
  <c r="P1469" i="4"/>
  <c r="A1470" i="4"/>
  <c r="B1470" i="4"/>
  <c r="E1470" i="4"/>
  <c r="H1470" i="4"/>
  <c r="L1470" i="4"/>
  <c r="M1470" i="4"/>
  <c r="N1470" i="4"/>
  <c r="P1470" i="4"/>
  <c r="A1471" i="4"/>
  <c r="B1471" i="4"/>
  <c r="E1471" i="4"/>
  <c r="H1471" i="4"/>
  <c r="L1471" i="4"/>
  <c r="M1471" i="4"/>
  <c r="N1471" i="4"/>
  <c r="P1471" i="4"/>
  <c r="A1472" i="4"/>
  <c r="B1472" i="4"/>
  <c r="E1472" i="4"/>
  <c r="H1472" i="4"/>
  <c r="L1472" i="4"/>
  <c r="M1472" i="4"/>
  <c r="N1472" i="4"/>
  <c r="P1472" i="4"/>
  <c r="A1473" i="4"/>
  <c r="B1473" i="4"/>
  <c r="E1473" i="4"/>
  <c r="H1473" i="4"/>
  <c r="L1473" i="4"/>
  <c r="M1473" i="4"/>
  <c r="N1473" i="4"/>
  <c r="P1473" i="4"/>
  <c r="A1474" i="4"/>
  <c r="B1474" i="4"/>
  <c r="E1474" i="4"/>
  <c r="H1474" i="4"/>
  <c r="L1474" i="4"/>
  <c r="M1474" i="4"/>
  <c r="N1474" i="4"/>
  <c r="P1474" i="4"/>
  <c r="A1475" i="4"/>
  <c r="B1475" i="4"/>
  <c r="E1475" i="4"/>
  <c r="H1475" i="4"/>
  <c r="L1475" i="4"/>
  <c r="M1475" i="4"/>
  <c r="N1475" i="4"/>
  <c r="P1475" i="4"/>
  <c r="A1476" i="4"/>
  <c r="B1476" i="4"/>
  <c r="E1476" i="4"/>
  <c r="H1476" i="4"/>
  <c r="L1476" i="4"/>
  <c r="M1476" i="4"/>
  <c r="N1476" i="4"/>
  <c r="P1476" i="4"/>
  <c r="A1477" i="4"/>
  <c r="B1477" i="4"/>
  <c r="E1477" i="4"/>
  <c r="H1477" i="4"/>
  <c r="L1477" i="4"/>
  <c r="M1477" i="4"/>
  <c r="N1477" i="4"/>
  <c r="P1477" i="4"/>
  <c r="A1478" i="4"/>
  <c r="B1478" i="4"/>
  <c r="E1478" i="4"/>
  <c r="H1478" i="4"/>
  <c r="L1478" i="4"/>
  <c r="M1478" i="4"/>
  <c r="N1478" i="4"/>
  <c r="P1478" i="4"/>
  <c r="A1479" i="4"/>
  <c r="B1479" i="4"/>
  <c r="E1479" i="4"/>
  <c r="H1479" i="4"/>
  <c r="L1479" i="4"/>
  <c r="M1479" i="4"/>
  <c r="N1479" i="4"/>
  <c r="P1479" i="4"/>
  <c r="A1480" i="4"/>
  <c r="B1480" i="4"/>
  <c r="E1480" i="4"/>
  <c r="H1480" i="4"/>
  <c r="L1480" i="4"/>
  <c r="M1480" i="4"/>
  <c r="N1480" i="4"/>
  <c r="P1480" i="4"/>
  <c r="A1481" i="4"/>
  <c r="B1481" i="4"/>
  <c r="E1481" i="4"/>
  <c r="H1481" i="4"/>
  <c r="L1481" i="4"/>
  <c r="M1481" i="4"/>
  <c r="N1481" i="4"/>
  <c r="P1481" i="4"/>
  <c r="A1482" i="4"/>
  <c r="B1482" i="4"/>
  <c r="E1482" i="4"/>
  <c r="H1482" i="4"/>
  <c r="L1482" i="4"/>
  <c r="M1482" i="4"/>
  <c r="N1482" i="4"/>
  <c r="P1482" i="4"/>
  <c r="A1483" i="4"/>
  <c r="B1483" i="4"/>
  <c r="E1483" i="4"/>
  <c r="H1483" i="4"/>
  <c r="L1483" i="4"/>
  <c r="M1483" i="4"/>
  <c r="N1483" i="4"/>
  <c r="P1483" i="4"/>
  <c r="A1484" i="4"/>
  <c r="B1484" i="4"/>
  <c r="E1484" i="4"/>
  <c r="H1484" i="4"/>
  <c r="L1484" i="4"/>
  <c r="M1484" i="4"/>
  <c r="N1484" i="4"/>
  <c r="P1484" i="4"/>
  <c r="A1485" i="4"/>
  <c r="B1485" i="4"/>
  <c r="E1485" i="4"/>
  <c r="H1485" i="4"/>
  <c r="L1485" i="4"/>
  <c r="M1485" i="4"/>
  <c r="N1485" i="4"/>
  <c r="P1485" i="4"/>
  <c r="A1486" i="4"/>
  <c r="B1486" i="4"/>
  <c r="E1486" i="4"/>
  <c r="H1486" i="4"/>
  <c r="L1486" i="4"/>
  <c r="M1486" i="4"/>
  <c r="N1486" i="4"/>
  <c r="P1486" i="4"/>
  <c r="A1487" i="4"/>
  <c r="B1487" i="4"/>
  <c r="E1487" i="4"/>
  <c r="H1487" i="4"/>
  <c r="L1487" i="4"/>
  <c r="M1487" i="4"/>
  <c r="N1487" i="4"/>
  <c r="P1487" i="4"/>
  <c r="A1488" i="4"/>
  <c r="B1488" i="4"/>
  <c r="E1488" i="4"/>
  <c r="H1488" i="4"/>
  <c r="L1488" i="4"/>
  <c r="M1488" i="4"/>
  <c r="N1488" i="4"/>
  <c r="P1488" i="4"/>
  <c r="A1489" i="4"/>
  <c r="B1489" i="4"/>
  <c r="E1489" i="4"/>
  <c r="H1489" i="4"/>
  <c r="L1489" i="4"/>
  <c r="M1489" i="4"/>
  <c r="N1489" i="4"/>
  <c r="P1489" i="4"/>
  <c r="A1490" i="4"/>
  <c r="B1490" i="4"/>
  <c r="E1490" i="4"/>
  <c r="H1490" i="4"/>
  <c r="L1490" i="4"/>
  <c r="M1490" i="4"/>
  <c r="N1490" i="4"/>
  <c r="P1490" i="4"/>
  <c r="A1491" i="4"/>
  <c r="B1491" i="4"/>
  <c r="E1491" i="4"/>
  <c r="H1491" i="4"/>
  <c r="L1491" i="4"/>
  <c r="M1491" i="4"/>
  <c r="N1491" i="4"/>
  <c r="P1491" i="4"/>
  <c r="A1492" i="4"/>
  <c r="B1492" i="4"/>
  <c r="E1492" i="4"/>
  <c r="H1492" i="4"/>
  <c r="L1492" i="4"/>
  <c r="M1492" i="4"/>
  <c r="N1492" i="4"/>
  <c r="P1492" i="4"/>
  <c r="A1493" i="4"/>
  <c r="B1493" i="4"/>
  <c r="E1493" i="4"/>
  <c r="H1493" i="4"/>
  <c r="L1493" i="4"/>
  <c r="M1493" i="4"/>
  <c r="N1493" i="4"/>
  <c r="P1493" i="4"/>
  <c r="A1494" i="4"/>
  <c r="B1494" i="4"/>
  <c r="E1494" i="4"/>
  <c r="H1494" i="4"/>
  <c r="L1494" i="4"/>
  <c r="M1494" i="4"/>
  <c r="N1494" i="4"/>
  <c r="P1494" i="4"/>
  <c r="A1495" i="4"/>
  <c r="B1495" i="4"/>
  <c r="E1495" i="4"/>
  <c r="H1495" i="4"/>
  <c r="L1495" i="4"/>
  <c r="M1495" i="4"/>
  <c r="N1495" i="4"/>
  <c r="P1495" i="4"/>
  <c r="A1496" i="4"/>
  <c r="B1496" i="4"/>
  <c r="E1496" i="4"/>
  <c r="H1496" i="4"/>
  <c r="L1496" i="4"/>
  <c r="M1496" i="4"/>
  <c r="N1496" i="4"/>
  <c r="P1496" i="4"/>
  <c r="A1497" i="4"/>
  <c r="B1497" i="4"/>
  <c r="E1497" i="4"/>
  <c r="H1497" i="4"/>
  <c r="L1497" i="4"/>
  <c r="M1497" i="4"/>
  <c r="N1497" i="4"/>
  <c r="P1497" i="4"/>
  <c r="A1498" i="4"/>
  <c r="B1498" i="4"/>
  <c r="E1498" i="4"/>
  <c r="H1498" i="4"/>
  <c r="L1498" i="4"/>
  <c r="M1498" i="4"/>
  <c r="N1498" i="4"/>
  <c r="P1498" i="4"/>
  <c r="A1499" i="4"/>
  <c r="B1499" i="4"/>
  <c r="E1499" i="4"/>
  <c r="H1499" i="4"/>
  <c r="L1499" i="4"/>
  <c r="M1499" i="4"/>
  <c r="N1499" i="4"/>
  <c r="P1499" i="4"/>
  <c r="A1500" i="4"/>
  <c r="B1500" i="4"/>
  <c r="E1500" i="4"/>
  <c r="H1500" i="4"/>
  <c r="L1500" i="4"/>
  <c r="M1500" i="4"/>
  <c r="N1500" i="4"/>
  <c r="P1500" i="4"/>
  <c r="A1501" i="4"/>
  <c r="B1501" i="4"/>
  <c r="E1501" i="4"/>
  <c r="H1501" i="4"/>
  <c r="L1501" i="4"/>
  <c r="M1501" i="4"/>
  <c r="N1501" i="4"/>
  <c r="P1501" i="4"/>
  <c r="A1502" i="4"/>
  <c r="B1502" i="4"/>
  <c r="E1502" i="4"/>
  <c r="H1502" i="4"/>
  <c r="L1502" i="4"/>
  <c r="M1502" i="4"/>
  <c r="N1502" i="4"/>
  <c r="P1502" i="4"/>
  <c r="A1503" i="4"/>
  <c r="B1503" i="4"/>
  <c r="E1503" i="4"/>
  <c r="H1503" i="4"/>
  <c r="L1503" i="4"/>
  <c r="M1503" i="4"/>
  <c r="N1503" i="4"/>
  <c r="P1503" i="4"/>
  <c r="A1504" i="4"/>
  <c r="B1504" i="4"/>
  <c r="E1504" i="4"/>
  <c r="H1504" i="4"/>
  <c r="L1504" i="4"/>
  <c r="M1504" i="4"/>
  <c r="N1504" i="4"/>
  <c r="P1504" i="4"/>
  <c r="A1505" i="4"/>
  <c r="B1505" i="4"/>
  <c r="E1505" i="4"/>
  <c r="H1505" i="4"/>
  <c r="L1505" i="4"/>
  <c r="M1505" i="4"/>
  <c r="N1505" i="4"/>
  <c r="P1505" i="4"/>
  <c r="A1506" i="4"/>
  <c r="B1506" i="4"/>
  <c r="E1506" i="4"/>
  <c r="H1506" i="4"/>
  <c r="L1506" i="4"/>
  <c r="M1506" i="4"/>
  <c r="N1506" i="4"/>
  <c r="P1506" i="4"/>
  <c r="A1507" i="4"/>
  <c r="B1507" i="4"/>
  <c r="E1507" i="4"/>
  <c r="H1507" i="4"/>
  <c r="L1507" i="4"/>
  <c r="M1507" i="4"/>
  <c r="N1507" i="4"/>
  <c r="P1507" i="4"/>
  <c r="A1508" i="4"/>
  <c r="B1508" i="4"/>
  <c r="E1508" i="4"/>
  <c r="H1508" i="4"/>
  <c r="L1508" i="4"/>
  <c r="M1508" i="4"/>
  <c r="N1508" i="4"/>
  <c r="P1508" i="4"/>
  <c r="A1509" i="4"/>
  <c r="B1509" i="4"/>
  <c r="E1509" i="4"/>
  <c r="H1509" i="4"/>
  <c r="L1509" i="4"/>
  <c r="M1509" i="4"/>
  <c r="N1509" i="4"/>
  <c r="P1509" i="4"/>
  <c r="A1510" i="4"/>
  <c r="B1510" i="4"/>
  <c r="E1510" i="4"/>
  <c r="H1510" i="4"/>
  <c r="L1510" i="4"/>
  <c r="M1510" i="4"/>
  <c r="N1510" i="4"/>
  <c r="P1510" i="4"/>
  <c r="A1511" i="4"/>
  <c r="B1511" i="4"/>
  <c r="E1511" i="4"/>
  <c r="H1511" i="4"/>
  <c r="L1511" i="4"/>
  <c r="M1511" i="4"/>
  <c r="N1511" i="4"/>
  <c r="P1511" i="4"/>
  <c r="A1512" i="4"/>
  <c r="B1512" i="4"/>
  <c r="E1512" i="4"/>
  <c r="H1512" i="4"/>
  <c r="L1512" i="4"/>
  <c r="M1512" i="4"/>
  <c r="N1512" i="4"/>
  <c r="P1512" i="4"/>
  <c r="A1513" i="4"/>
  <c r="B1513" i="4"/>
  <c r="E1513" i="4"/>
  <c r="H1513" i="4"/>
  <c r="L1513" i="4"/>
  <c r="M1513" i="4"/>
  <c r="N1513" i="4"/>
  <c r="P1513" i="4"/>
  <c r="A1514" i="4"/>
  <c r="B1514" i="4"/>
  <c r="E1514" i="4"/>
  <c r="H1514" i="4"/>
  <c r="L1514" i="4"/>
  <c r="M1514" i="4"/>
  <c r="N1514" i="4"/>
  <c r="P1514" i="4"/>
  <c r="A1515" i="4"/>
  <c r="B1515" i="4"/>
  <c r="E1515" i="4"/>
  <c r="H1515" i="4"/>
  <c r="L1515" i="4"/>
  <c r="M1515" i="4"/>
  <c r="N1515" i="4"/>
  <c r="P1515" i="4"/>
  <c r="A1516" i="4"/>
  <c r="B1516" i="4"/>
  <c r="E1516" i="4"/>
  <c r="H1516" i="4"/>
  <c r="L1516" i="4"/>
  <c r="M1516" i="4"/>
  <c r="N1516" i="4"/>
  <c r="P1516" i="4"/>
  <c r="A1517" i="4"/>
  <c r="B1517" i="4"/>
  <c r="E1517" i="4"/>
  <c r="H1517" i="4"/>
  <c r="L1517" i="4"/>
  <c r="M1517" i="4"/>
  <c r="N1517" i="4"/>
  <c r="P1517" i="4"/>
  <c r="A1518" i="4"/>
  <c r="B1518" i="4"/>
  <c r="E1518" i="4"/>
  <c r="H1518" i="4"/>
  <c r="L1518" i="4"/>
  <c r="M1518" i="4"/>
  <c r="N1518" i="4"/>
  <c r="P1518" i="4"/>
  <c r="A1519" i="4"/>
  <c r="B1519" i="4"/>
  <c r="E1519" i="4"/>
  <c r="H1519" i="4"/>
  <c r="L1519" i="4"/>
  <c r="M1519" i="4"/>
  <c r="N1519" i="4"/>
  <c r="P1519" i="4"/>
  <c r="A1520" i="4"/>
  <c r="B1520" i="4"/>
  <c r="E1520" i="4"/>
  <c r="H1520" i="4"/>
  <c r="L1520" i="4"/>
  <c r="M1520" i="4"/>
  <c r="N1520" i="4"/>
  <c r="P1520" i="4"/>
  <c r="A1521" i="4"/>
  <c r="B1521" i="4"/>
  <c r="E1521" i="4"/>
  <c r="H1521" i="4"/>
  <c r="L1521" i="4"/>
  <c r="M1521" i="4"/>
  <c r="N1521" i="4"/>
  <c r="P1521" i="4"/>
  <c r="A1522" i="4"/>
  <c r="B1522" i="4"/>
  <c r="E1522" i="4"/>
  <c r="H1522" i="4"/>
  <c r="L1522" i="4"/>
  <c r="M1522" i="4"/>
  <c r="N1522" i="4"/>
  <c r="P1522" i="4"/>
  <c r="A1523" i="4"/>
  <c r="B1523" i="4"/>
  <c r="E1523" i="4"/>
  <c r="H1523" i="4"/>
  <c r="L1523" i="4"/>
  <c r="M1523" i="4"/>
  <c r="N1523" i="4"/>
  <c r="P1523" i="4"/>
  <c r="A1524" i="4"/>
  <c r="B1524" i="4"/>
  <c r="E1524" i="4"/>
  <c r="H1524" i="4"/>
  <c r="L1524" i="4"/>
  <c r="M1524" i="4"/>
  <c r="N1524" i="4"/>
  <c r="P1524" i="4"/>
  <c r="A1525" i="4"/>
  <c r="B1525" i="4"/>
  <c r="E1525" i="4"/>
  <c r="H1525" i="4"/>
  <c r="L1525" i="4"/>
  <c r="M1525" i="4"/>
  <c r="N1525" i="4"/>
  <c r="P1525" i="4"/>
  <c r="A1526" i="4"/>
  <c r="B1526" i="4"/>
  <c r="E1526" i="4"/>
  <c r="H1526" i="4"/>
  <c r="L1526" i="4"/>
  <c r="M1526" i="4"/>
  <c r="N1526" i="4"/>
  <c r="P1526" i="4"/>
  <c r="A1527" i="4"/>
  <c r="B1527" i="4"/>
  <c r="E1527" i="4"/>
  <c r="H1527" i="4"/>
  <c r="L1527" i="4"/>
  <c r="M1527" i="4"/>
  <c r="N1527" i="4"/>
  <c r="P1527" i="4"/>
  <c r="A1528" i="4"/>
  <c r="B1528" i="4"/>
  <c r="E1528" i="4"/>
  <c r="H1528" i="4"/>
  <c r="L1528" i="4"/>
  <c r="M1528" i="4"/>
  <c r="N1528" i="4"/>
  <c r="P1528" i="4"/>
  <c r="A1529" i="4"/>
  <c r="B1529" i="4"/>
  <c r="E1529" i="4"/>
  <c r="H1529" i="4"/>
  <c r="L1529" i="4"/>
  <c r="M1529" i="4"/>
  <c r="N1529" i="4"/>
  <c r="P1529" i="4"/>
  <c r="A1530" i="4"/>
  <c r="B1530" i="4"/>
  <c r="E1530" i="4"/>
  <c r="H1530" i="4"/>
  <c r="L1530" i="4"/>
  <c r="M1530" i="4"/>
  <c r="N1530" i="4"/>
  <c r="P1530" i="4"/>
  <c r="A1531" i="4"/>
  <c r="B1531" i="4"/>
  <c r="E1531" i="4"/>
  <c r="H1531" i="4"/>
  <c r="L1531" i="4"/>
  <c r="M1531" i="4"/>
  <c r="N1531" i="4"/>
  <c r="P1531" i="4"/>
  <c r="A1532" i="4"/>
  <c r="B1532" i="4"/>
  <c r="E1532" i="4"/>
  <c r="H1532" i="4"/>
  <c r="L1532" i="4"/>
  <c r="M1532" i="4"/>
  <c r="N1532" i="4"/>
  <c r="P1532" i="4"/>
  <c r="A1533" i="4"/>
  <c r="B1533" i="4"/>
  <c r="E1533" i="4"/>
  <c r="H1533" i="4"/>
  <c r="L1533" i="4"/>
  <c r="M1533" i="4"/>
  <c r="N1533" i="4"/>
  <c r="P1533" i="4"/>
  <c r="A1534" i="4"/>
  <c r="B1534" i="4"/>
  <c r="E1534" i="4"/>
  <c r="H1534" i="4"/>
  <c r="L1534" i="4"/>
  <c r="M1534" i="4"/>
  <c r="N1534" i="4"/>
  <c r="P1534" i="4"/>
  <c r="A1535" i="4"/>
  <c r="B1535" i="4"/>
  <c r="E1535" i="4"/>
  <c r="H1535" i="4"/>
  <c r="L1535" i="4"/>
  <c r="M1535" i="4"/>
  <c r="N1535" i="4"/>
  <c r="P1535" i="4"/>
  <c r="A1536" i="4"/>
  <c r="B1536" i="4"/>
  <c r="E1536" i="4"/>
  <c r="H1536" i="4"/>
  <c r="L1536" i="4"/>
  <c r="M1536" i="4"/>
  <c r="N1536" i="4"/>
  <c r="P1536" i="4"/>
  <c r="A1537" i="4"/>
  <c r="B1537" i="4"/>
  <c r="E1537" i="4"/>
  <c r="H1537" i="4"/>
  <c r="L1537" i="4"/>
  <c r="M1537" i="4"/>
  <c r="N1537" i="4"/>
  <c r="P1537" i="4"/>
  <c r="A1538" i="4"/>
  <c r="B1538" i="4"/>
  <c r="E1538" i="4"/>
  <c r="H1538" i="4"/>
  <c r="L1538" i="4"/>
  <c r="M1538" i="4"/>
  <c r="N1538" i="4"/>
  <c r="P1538" i="4"/>
  <c r="A1539" i="4"/>
  <c r="B1539" i="4"/>
  <c r="E1539" i="4"/>
  <c r="H1539" i="4"/>
  <c r="L1539" i="4"/>
  <c r="M1539" i="4"/>
  <c r="N1539" i="4"/>
  <c r="P1539" i="4"/>
  <c r="A1540" i="4"/>
  <c r="B1540" i="4"/>
  <c r="E1540" i="4"/>
  <c r="H1540" i="4"/>
  <c r="L1540" i="4"/>
  <c r="M1540" i="4"/>
  <c r="N1540" i="4"/>
  <c r="P1540" i="4"/>
  <c r="A1541" i="4"/>
  <c r="B1541" i="4"/>
  <c r="E1541" i="4"/>
  <c r="H1541" i="4"/>
  <c r="L1541" i="4"/>
  <c r="M1541" i="4"/>
  <c r="N1541" i="4"/>
  <c r="P1541" i="4"/>
  <c r="A1542" i="4"/>
  <c r="B1542" i="4"/>
  <c r="E1542" i="4"/>
  <c r="H1542" i="4"/>
  <c r="L1542" i="4"/>
  <c r="M1542" i="4"/>
  <c r="N1542" i="4"/>
  <c r="P1542" i="4"/>
  <c r="A1543" i="4"/>
  <c r="B1543" i="4"/>
  <c r="E1543" i="4"/>
  <c r="H1543" i="4"/>
  <c r="L1543" i="4"/>
  <c r="M1543" i="4"/>
  <c r="N1543" i="4"/>
  <c r="P1543" i="4"/>
  <c r="A1544" i="4"/>
  <c r="B1544" i="4"/>
  <c r="E1544" i="4"/>
  <c r="H1544" i="4"/>
  <c r="L1544" i="4"/>
  <c r="M1544" i="4"/>
  <c r="N1544" i="4"/>
  <c r="P1544" i="4"/>
  <c r="A1545" i="4"/>
  <c r="B1545" i="4"/>
  <c r="E1545" i="4"/>
  <c r="H1545" i="4"/>
  <c r="L1545" i="4"/>
  <c r="M1545" i="4"/>
  <c r="N1545" i="4"/>
  <c r="P1545" i="4"/>
  <c r="A1546" i="4"/>
  <c r="B1546" i="4"/>
  <c r="E1546" i="4"/>
  <c r="H1546" i="4"/>
  <c r="L1546" i="4"/>
  <c r="M1546" i="4"/>
  <c r="N1546" i="4"/>
  <c r="P1546" i="4"/>
  <c r="A1547" i="4"/>
  <c r="B1547" i="4"/>
  <c r="E1547" i="4"/>
  <c r="H1547" i="4"/>
  <c r="L1547" i="4"/>
  <c r="M1547" i="4"/>
  <c r="N1547" i="4"/>
  <c r="P1547" i="4"/>
  <c r="A1548" i="4"/>
  <c r="B1548" i="4"/>
  <c r="E1548" i="4"/>
  <c r="H1548" i="4"/>
  <c r="L1548" i="4"/>
  <c r="M1548" i="4"/>
  <c r="N1548" i="4"/>
  <c r="P1548" i="4"/>
  <c r="A1549" i="4"/>
  <c r="B1549" i="4"/>
  <c r="E1549" i="4"/>
  <c r="H1549" i="4"/>
  <c r="L1549" i="4"/>
  <c r="M1549" i="4"/>
  <c r="N1549" i="4"/>
  <c r="P1549" i="4"/>
  <c r="A1550" i="4"/>
  <c r="B1550" i="4"/>
  <c r="E1550" i="4"/>
  <c r="H1550" i="4"/>
  <c r="L1550" i="4"/>
  <c r="M1550" i="4"/>
  <c r="N1550" i="4"/>
  <c r="P1550" i="4"/>
  <c r="A1551" i="4"/>
  <c r="B1551" i="4"/>
  <c r="E1551" i="4"/>
  <c r="H1551" i="4"/>
  <c r="L1551" i="4"/>
  <c r="M1551" i="4"/>
  <c r="N1551" i="4"/>
  <c r="P1551" i="4"/>
  <c r="A1552" i="4"/>
  <c r="B1552" i="4"/>
  <c r="E1552" i="4"/>
  <c r="H1552" i="4"/>
  <c r="L1552" i="4"/>
  <c r="M1552" i="4"/>
  <c r="N1552" i="4"/>
  <c r="P1552" i="4"/>
  <c r="A1553" i="4"/>
  <c r="B1553" i="4"/>
  <c r="E1553" i="4"/>
  <c r="H1553" i="4"/>
  <c r="L1553" i="4"/>
  <c r="M1553" i="4"/>
  <c r="N1553" i="4"/>
  <c r="P1553" i="4"/>
  <c r="A1554" i="4"/>
  <c r="B1554" i="4"/>
  <c r="E1554" i="4"/>
  <c r="H1554" i="4"/>
  <c r="L1554" i="4"/>
  <c r="M1554" i="4"/>
  <c r="N1554" i="4"/>
  <c r="P1554" i="4"/>
  <c r="A1555" i="4"/>
  <c r="B1555" i="4"/>
  <c r="E1555" i="4"/>
  <c r="H1555" i="4"/>
  <c r="L1555" i="4"/>
  <c r="M1555" i="4"/>
  <c r="N1555" i="4"/>
  <c r="P1555" i="4"/>
  <c r="A1556" i="4"/>
  <c r="B1556" i="4"/>
  <c r="E1556" i="4"/>
  <c r="H1556" i="4"/>
  <c r="L1556" i="4"/>
  <c r="M1556" i="4"/>
  <c r="N1556" i="4"/>
  <c r="P1556" i="4"/>
  <c r="A1557" i="4"/>
  <c r="B1557" i="4"/>
  <c r="E1557" i="4"/>
  <c r="H1557" i="4"/>
  <c r="L1557" i="4"/>
  <c r="M1557" i="4"/>
  <c r="N1557" i="4"/>
  <c r="P1557" i="4"/>
  <c r="A1558" i="4"/>
  <c r="B1558" i="4"/>
  <c r="E1558" i="4"/>
  <c r="H1558" i="4"/>
  <c r="L1558" i="4"/>
  <c r="M1558" i="4"/>
  <c r="N1558" i="4"/>
  <c r="P1558" i="4"/>
  <c r="A1559" i="4"/>
  <c r="B1559" i="4"/>
  <c r="E1559" i="4"/>
  <c r="H1559" i="4"/>
  <c r="L1559" i="4"/>
  <c r="M1559" i="4"/>
  <c r="N1559" i="4"/>
  <c r="P1559" i="4"/>
  <c r="A1560" i="4"/>
  <c r="B1560" i="4"/>
  <c r="E1560" i="4"/>
  <c r="H1560" i="4"/>
  <c r="L1560" i="4"/>
  <c r="M1560" i="4"/>
  <c r="N1560" i="4"/>
  <c r="P1560" i="4"/>
  <c r="A1561" i="4"/>
  <c r="B1561" i="4"/>
  <c r="E1561" i="4"/>
  <c r="H1561" i="4"/>
  <c r="L1561" i="4"/>
  <c r="M1561" i="4"/>
  <c r="N1561" i="4"/>
  <c r="P1561" i="4"/>
  <c r="A1562" i="4"/>
  <c r="B1562" i="4"/>
  <c r="E1562" i="4"/>
  <c r="H1562" i="4"/>
  <c r="L1562" i="4"/>
  <c r="M1562" i="4"/>
  <c r="N1562" i="4"/>
  <c r="P1562" i="4"/>
  <c r="A1563" i="4"/>
  <c r="B1563" i="4"/>
  <c r="E1563" i="4"/>
  <c r="H1563" i="4"/>
  <c r="L1563" i="4"/>
  <c r="M1563" i="4"/>
  <c r="N1563" i="4"/>
  <c r="P1563" i="4"/>
  <c r="A1564" i="4"/>
  <c r="B1564" i="4"/>
  <c r="E1564" i="4"/>
  <c r="H1564" i="4"/>
  <c r="L1564" i="4"/>
  <c r="M1564" i="4"/>
  <c r="N1564" i="4"/>
  <c r="P1564" i="4"/>
  <c r="A1565" i="4"/>
  <c r="B1565" i="4"/>
  <c r="E1565" i="4"/>
  <c r="H1565" i="4"/>
  <c r="L1565" i="4"/>
  <c r="M1565" i="4"/>
  <c r="N1565" i="4"/>
  <c r="P1565" i="4"/>
  <c r="A1566" i="4"/>
  <c r="B1566" i="4"/>
  <c r="E1566" i="4"/>
  <c r="H1566" i="4"/>
  <c r="L1566" i="4"/>
  <c r="M1566" i="4"/>
  <c r="N1566" i="4"/>
  <c r="P1566" i="4"/>
  <c r="A1567" i="4"/>
  <c r="B1567" i="4"/>
  <c r="E1567" i="4"/>
  <c r="H1567" i="4"/>
  <c r="L1567" i="4"/>
  <c r="M1567" i="4"/>
  <c r="N1567" i="4"/>
  <c r="P1567" i="4"/>
  <c r="A1568" i="4"/>
  <c r="B1568" i="4"/>
  <c r="E1568" i="4"/>
  <c r="H1568" i="4"/>
  <c r="L1568" i="4"/>
  <c r="M1568" i="4"/>
  <c r="N1568" i="4"/>
  <c r="P1568" i="4"/>
  <c r="A1569" i="4"/>
  <c r="B1569" i="4"/>
  <c r="E1569" i="4"/>
  <c r="H1569" i="4"/>
  <c r="L1569" i="4"/>
  <c r="M1569" i="4"/>
  <c r="N1569" i="4"/>
  <c r="P1569" i="4"/>
  <c r="A1570" i="4"/>
  <c r="B1570" i="4"/>
  <c r="E1570" i="4"/>
  <c r="H1570" i="4"/>
  <c r="L1570" i="4"/>
  <c r="M1570" i="4"/>
  <c r="N1570" i="4"/>
  <c r="P1570" i="4"/>
  <c r="A1571" i="4"/>
  <c r="B1571" i="4"/>
  <c r="E1571" i="4"/>
  <c r="H1571" i="4"/>
  <c r="L1571" i="4"/>
  <c r="M1571" i="4"/>
  <c r="N1571" i="4"/>
  <c r="P1571" i="4"/>
  <c r="A1572" i="4"/>
  <c r="B1572" i="4"/>
  <c r="E1572" i="4"/>
  <c r="H1572" i="4"/>
  <c r="L1572" i="4"/>
  <c r="M1572" i="4"/>
  <c r="N1572" i="4"/>
  <c r="P1572" i="4"/>
  <c r="A1573" i="4"/>
  <c r="B1573" i="4"/>
  <c r="E1573" i="4"/>
  <c r="H1573" i="4"/>
  <c r="L1573" i="4"/>
  <c r="M1573" i="4"/>
  <c r="N1573" i="4"/>
  <c r="P1573" i="4"/>
  <c r="A1574" i="4"/>
  <c r="B1574" i="4"/>
  <c r="E1574" i="4"/>
  <c r="H1574" i="4"/>
  <c r="L1574" i="4"/>
  <c r="M1574" i="4"/>
  <c r="N1574" i="4"/>
  <c r="P1574" i="4"/>
  <c r="A1575" i="4"/>
  <c r="B1575" i="4"/>
  <c r="E1575" i="4"/>
  <c r="H1575" i="4"/>
  <c r="L1575" i="4"/>
  <c r="M1575" i="4"/>
  <c r="N1575" i="4"/>
  <c r="P1575" i="4"/>
  <c r="A1576" i="4"/>
  <c r="B1576" i="4"/>
  <c r="E1576" i="4"/>
  <c r="H1576" i="4"/>
  <c r="L1576" i="4"/>
  <c r="M1576" i="4"/>
  <c r="N1576" i="4"/>
  <c r="P1576" i="4"/>
  <c r="A1577" i="4"/>
  <c r="B1577" i="4"/>
  <c r="E1577" i="4"/>
  <c r="H1577" i="4"/>
  <c r="L1577" i="4"/>
  <c r="M1577" i="4"/>
  <c r="N1577" i="4"/>
  <c r="P1577" i="4"/>
  <c r="A1578" i="4"/>
  <c r="B1578" i="4"/>
  <c r="E1578" i="4"/>
  <c r="H1578" i="4"/>
  <c r="L1578" i="4"/>
  <c r="M1578" i="4"/>
  <c r="N1578" i="4"/>
  <c r="P1578" i="4"/>
  <c r="A1579" i="4"/>
  <c r="B1579" i="4"/>
  <c r="E1579" i="4"/>
  <c r="H1579" i="4"/>
  <c r="L1579" i="4"/>
  <c r="M1579" i="4"/>
  <c r="N1579" i="4"/>
  <c r="P1579" i="4"/>
  <c r="A1580" i="4"/>
  <c r="B1580" i="4"/>
  <c r="E1580" i="4"/>
  <c r="H1580" i="4"/>
  <c r="L1580" i="4"/>
  <c r="M1580" i="4"/>
  <c r="N1580" i="4"/>
  <c r="P1580" i="4"/>
  <c r="A1581" i="4"/>
  <c r="B1581" i="4"/>
  <c r="E1581" i="4"/>
  <c r="H1581" i="4"/>
  <c r="L1581" i="4"/>
  <c r="M1581" i="4"/>
  <c r="N1581" i="4"/>
  <c r="P1581" i="4"/>
  <c r="A1582" i="4"/>
  <c r="B1582" i="4"/>
  <c r="E1582" i="4"/>
  <c r="H1582" i="4"/>
  <c r="L1582" i="4"/>
  <c r="M1582" i="4"/>
  <c r="N1582" i="4"/>
  <c r="P1582" i="4"/>
  <c r="A1583" i="4"/>
  <c r="B1583" i="4"/>
  <c r="E1583" i="4"/>
  <c r="H1583" i="4"/>
  <c r="L1583" i="4"/>
  <c r="M1583" i="4"/>
  <c r="N1583" i="4"/>
  <c r="P1583" i="4"/>
  <c r="A1584" i="4"/>
  <c r="B1584" i="4"/>
  <c r="E1584" i="4"/>
  <c r="H1584" i="4"/>
  <c r="L1584" i="4"/>
  <c r="M1584" i="4"/>
  <c r="N1584" i="4"/>
  <c r="P1584" i="4"/>
  <c r="A1585" i="4"/>
  <c r="B1585" i="4"/>
  <c r="E1585" i="4"/>
  <c r="H1585" i="4"/>
  <c r="L1585" i="4"/>
  <c r="M1585" i="4"/>
  <c r="N1585" i="4"/>
  <c r="P1585" i="4"/>
  <c r="A1586" i="4"/>
  <c r="B1586" i="4"/>
  <c r="E1586" i="4"/>
  <c r="H1586" i="4"/>
  <c r="L1586" i="4"/>
  <c r="M1586" i="4"/>
  <c r="N1586" i="4"/>
  <c r="P1586" i="4"/>
  <c r="A1587" i="4"/>
  <c r="B1587" i="4"/>
  <c r="E1587" i="4"/>
  <c r="H1587" i="4"/>
  <c r="L1587" i="4"/>
  <c r="M1587" i="4"/>
  <c r="N1587" i="4"/>
  <c r="P1587" i="4"/>
  <c r="A1588" i="4"/>
  <c r="B1588" i="4"/>
  <c r="E1588" i="4"/>
  <c r="H1588" i="4"/>
  <c r="L1588" i="4"/>
  <c r="M1588" i="4"/>
  <c r="N1588" i="4"/>
  <c r="P1588" i="4"/>
  <c r="A1589" i="4"/>
  <c r="B1589" i="4"/>
  <c r="E1589" i="4"/>
  <c r="H1589" i="4"/>
  <c r="L1589" i="4"/>
  <c r="M1589" i="4"/>
  <c r="N1589" i="4"/>
  <c r="P1589" i="4"/>
  <c r="A1590" i="4"/>
  <c r="B1590" i="4"/>
  <c r="E1590" i="4"/>
  <c r="H1590" i="4"/>
  <c r="L1590" i="4"/>
  <c r="M1590" i="4"/>
  <c r="N1590" i="4"/>
  <c r="P1590" i="4"/>
  <c r="A1591" i="4"/>
  <c r="B1591" i="4"/>
  <c r="E1591" i="4"/>
  <c r="H1591" i="4"/>
  <c r="L1591" i="4"/>
  <c r="M1591" i="4"/>
  <c r="N1591" i="4"/>
  <c r="P1591" i="4"/>
  <c r="A1592" i="4"/>
  <c r="B1592" i="4"/>
  <c r="E1592" i="4"/>
  <c r="H1592" i="4"/>
  <c r="L1592" i="4"/>
  <c r="M1592" i="4"/>
  <c r="N1592" i="4"/>
  <c r="P1592" i="4"/>
  <c r="A1593" i="4"/>
  <c r="B1593" i="4"/>
  <c r="E1593" i="4"/>
  <c r="H1593" i="4"/>
  <c r="L1593" i="4"/>
  <c r="M1593" i="4"/>
  <c r="N1593" i="4"/>
  <c r="P1593" i="4"/>
  <c r="A1594" i="4"/>
  <c r="B1594" i="4"/>
  <c r="E1594" i="4"/>
  <c r="H1594" i="4"/>
  <c r="L1594" i="4"/>
  <c r="M1594" i="4"/>
  <c r="N1594" i="4"/>
  <c r="P1594" i="4"/>
  <c r="A1595" i="4"/>
  <c r="B1595" i="4"/>
  <c r="E1595" i="4"/>
  <c r="H1595" i="4"/>
  <c r="L1595" i="4"/>
  <c r="M1595" i="4"/>
  <c r="N1595" i="4"/>
  <c r="P1595" i="4"/>
  <c r="A1596" i="4"/>
  <c r="B1596" i="4"/>
  <c r="E1596" i="4"/>
  <c r="H1596" i="4"/>
  <c r="L1596" i="4"/>
  <c r="M1596" i="4"/>
  <c r="N1596" i="4"/>
  <c r="P1596" i="4"/>
  <c r="A1597" i="4"/>
  <c r="B1597" i="4"/>
  <c r="E1597" i="4"/>
  <c r="H1597" i="4"/>
  <c r="L1597" i="4"/>
  <c r="M1597" i="4"/>
  <c r="N1597" i="4"/>
  <c r="P1597" i="4"/>
  <c r="A1598" i="4"/>
  <c r="B1598" i="4"/>
  <c r="E1598" i="4"/>
  <c r="H1598" i="4"/>
  <c r="L1598" i="4"/>
  <c r="M1598" i="4"/>
  <c r="N1598" i="4"/>
  <c r="P1598" i="4"/>
  <c r="A1599" i="4"/>
  <c r="B1599" i="4"/>
  <c r="E1599" i="4"/>
  <c r="H1599" i="4"/>
  <c r="L1599" i="4"/>
  <c r="M1599" i="4"/>
  <c r="N1599" i="4"/>
  <c r="P1599" i="4"/>
  <c r="A1600" i="4"/>
  <c r="B1600" i="4"/>
  <c r="E1600" i="4"/>
  <c r="H1600" i="4"/>
  <c r="L1600" i="4"/>
  <c r="M1600" i="4"/>
  <c r="N1600" i="4"/>
  <c r="P1600" i="4"/>
  <c r="A1601" i="4"/>
  <c r="B1601" i="4"/>
  <c r="E1601" i="4"/>
  <c r="H1601" i="4"/>
  <c r="L1601" i="4"/>
  <c r="M1601" i="4"/>
  <c r="N1601" i="4"/>
  <c r="P1601" i="4"/>
  <c r="A1602" i="4"/>
  <c r="B1602" i="4"/>
  <c r="E1602" i="4"/>
  <c r="H1602" i="4"/>
  <c r="L1602" i="4"/>
  <c r="M1602" i="4"/>
  <c r="N1602" i="4"/>
  <c r="P1602" i="4"/>
  <c r="A1603" i="4"/>
  <c r="B1603" i="4"/>
  <c r="E1603" i="4"/>
  <c r="H1603" i="4"/>
  <c r="L1603" i="4"/>
  <c r="M1603" i="4"/>
  <c r="N1603" i="4"/>
  <c r="P1603" i="4"/>
  <c r="A1604" i="4"/>
  <c r="B1604" i="4"/>
  <c r="E1604" i="4"/>
  <c r="H1604" i="4"/>
  <c r="L1604" i="4"/>
  <c r="M1604" i="4"/>
  <c r="N1604" i="4"/>
  <c r="P1604" i="4"/>
  <c r="A1605" i="4"/>
  <c r="B1605" i="4"/>
  <c r="E1605" i="4"/>
  <c r="H1605" i="4"/>
  <c r="L1605" i="4"/>
  <c r="M1605" i="4"/>
  <c r="N1605" i="4"/>
  <c r="P1605" i="4"/>
  <c r="A1606" i="4"/>
  <c r="B1606" i="4"/>
  <c r="E1606" i="4"/>
  <c r="H1606" i="4"/>
  <c r="L1606" i="4"/>
  <c r="M1606" i="4"/>
  <c r="N1606" i="4"/>
  <c r="P1606" i="4"/>
  <c r="A1607" i="4"/>
  <c r="B1607" i="4"/>
  <c r="E1607" i="4"/>
  <c r="H1607" i="4"/>
  <c r="L1607" i="4"/>
  <c r="M1607" i="4"/>
  <c r="N1607" i="4"/>
  <c r="P1607" i="4"/>
  <c r="A1608" i="4"/>
  <c r="B1608" i="4"/>
  <c r="E1608" i="4"/>
  <c r="H1608" i="4"/>
  <c r="L1608" i="4"/>
  <c r="M1608" i="4"/>
  <c r="N1608" i="4"/>
  <c r="P1608" i="4"/>
  <c r="A1609" i="4"/>
  <c r="B1609" i="4"/>
  <c r="E1609" i="4"/>
  <c r="H1609" i="4"/>
  <c r="L1609" i="4"/>
  <c r="M1609" i="4"/>
  <c r="N1609" i="4"/>
  <c r="P1609" i="4"/>
  <c r="A1610" i="4"/>
  <c r="B1610" i="4"/>
  <c r="E1610" i="4"/>
  <c r="H1610" i="4"/>
  <c r="L1610" i="4"/>
  <c r="M1610" i="4"/>
  <c r="N1610" i="4"/>
  <c r="P1610" i="4"/>
  <c r="A1611" i="4"/>
  <c r="B1611" i="4"/>
  <c r="E1611" i="4"/>
  <c r="H1611" i="4"/>
  <c r="L1611" i="4"/>
  <c r="M1611" i="4"/>
  <c r="N1611" i="4"/>
  <c r="P1611" i="4"/>
  <c r="A1612" i="4"/>
  <c r="B1612" i="4"/>
  <c r="E1612" i="4"/>
  <c r="H1612" i="4"/>
  <c r="L1612" i="4"/>
  <c r="M1612" i="4"/>
  <c r="N1612" i="4"/>
  <c r="P1612" i="4"/>
  <c r="A1613" i="4"/>
  <c r="B1613" i="4"/>
  <c r="E1613" i="4"/>
  <c r="H1613" i="4"/>
  <c r="L1613" i="4"/>
  <c r="M1613" i="4"/>
  <c r="N1613" i="4"/>
  <c r="P1613" i="4"/>
  <c r="A1614" i="4"/>
  <c r="B1614" i="4"/>
  <c r="E1614" i="4"/>
  <c r="H1614" i="4"/>
  <c r="L1614" i="4"/>
  <c r="M1614" i="4"/>
  <c r="N1614" i="4"/>
  <c r="P1614" i="4"/>
  <c r="A1615" i="4"/>
  <c r="B1615" i="4"/>
  <c r="E1615" i="4"/>
  <c r="H1615" i="4"/>
  <c r="L1615" i="4"/>
  <c r="M1615" i="4"/>
  <c r="N1615" i="4"/>
  <c r="P1615" i="4"/>
  <c r="A1616" i="4"/>
  <c r="B1616" i="4"/>
  <c r="E1616" i="4"/>
  <c r="H1616" i="4"/>
  <c r="L1616" i="4"/>
  <c r="M1616" i="4"/>
  <c r="N1616" i="4"/>
  <c r="P1616" i="4"/>
  <c r="A1617" i="4"/>
  <c r="B1617" i="4"/>
  <c r="E1617" i="4"/>
  <c r="H1617" i="4"/>
  <c r="L1617" i="4"/>
  <c r="M1617" i="4"/>
  <c r="N1617" i="4"/>
  <c r="P1617" i="4"/>
  <c r="A1618" i="4"/>
  <c r="B1618" i="4"/>
  <c r="E1618" i="4"/>
  <c r="H1618" i="4"/>
  <c r="L1618" i="4"/>
  <c r="M1618" i="4"/>
  <c r="N1618" i="4"/>
  <c r="P1618" i="4"/>
  <c r="A1619" i="4"/>
  <c r="B1619" i="4"/>
  <c r="E1619" i="4"/>
  <c r="H1619" i="4"/>
  <c r="L1619" i="4"/>
  <c r="M1619" i="4"/>
  <c r="N1619" i="4"/>
  <c r="P1619" i="4"/>
  <c r="A1620" i="4"/>
  <c r="B1620" i="4"/>
  <c r="E1620" i="4"/>
  <c r="H1620" i="4"/>
  <c r="L1620" i="4"/>
  <c r="M1620" i="4"/>
  <c r="N1620" i="4"/>
  <c r="P1620" i="4"/>
  <c r="A1621" i="4"/>
  <c r="B1621" i="4"/>
  <c r="E1621" i="4"/>
  <c r="H1621" i="4"/>
  <c r="L1621" i="4"/>
  <c r="M1621" i="4"/>
  <c r="N1621" i="4"/>
  <c r="P1621" i="4"/>
  <c r="A1622" i="4"/>
  <c r="B1622" i="4"/>
  <c r="E1622" i="4"/>
  <c r="H1622" i="4"/>
  <c r="L1622" i="4"/>
  <c r="M1622" i="4"/>
  <c r="N1622" i="4"/>
  <c r="P1622" i="4"/>
  <c r="A1623" i="4"/>
  <c r="B1623" i="4"/>
  <c r="E1623" i="4"/>
  <c r="H1623" i="4"/>
  <c r="L1623" i="4"/>
  <c r="M1623" i="4"/>
  <c r="N1623" i="4"/>
  <c r="P1623" i="4"/>
  <c r="A1624" i="4"/>
  <c r="B1624" i="4"/>
  <c r="E1624" i="4"/>
  <c r="H1624" i="4"/>
  <c r="L1624" i="4"/>
  <c r="M1624" i="4"/>
  <c r="N1624" i="4"/>
  <c r="P1624" i="4"/>
  <c r="A1625" i="4"/>
  <c r="B1625" i="4"/>
  <c r="E1625" i="4"/>
  <c r="H1625" i="4"/>
  <c r="L1625" i="4"/>
  <c r="M1625" i="4"/>
  <c r="N1625" i="4"/>
  <c r="P1625" i="4"/>
  <c r="A1626" i="4"/>
  <c r="B1626" i="4"/>
  <c r="E1626" i="4"/>
  <c r="H1626" i="4"/>
  <c r="L1626" i="4"/>
  <c r="M1626" i="4"/>
  <c r="N1626" i="4"/>
  <c r="P1626" i="4"/>
  <c r="A1627" i="4"/>
  <c r="B1627" i="4"/>
  <c r="E1627" i="4"/>
  <c r="H1627" i="4"/>
  <c r="L1627" i="4"/>
  <c r="M1627" i="4"/>
  <c r="N1627" i="4"/>
  <c r="P1627" i="4"/>
  <c r="A1628" i="4"/>
  <c r="B1628" i="4"/>
  <c r="E1628" i="4"/>
  <c r="H1628" i="4"/>
  <c r="L1628" i="4"/>
  <c r="M1628" i="4"/>
  <c r="N1628" i="4"/>
  <c r="P1628" i="4"/>
  <c r="A1629" i="4"/>
  <c r="B1629" i="4"/>
  <c r="E1629" i="4"/>
  <c r="H1629" i="4"/>
  <c r="L1629" i="4"/>
  <c r="M1629" i="4"/>
  <c r="N1629" i="4"/>
  <c r="P1629" i="4"/>
  <c r="A1630" i="4"/>
  <c r="B1630" i="4"/>
  <c r="E1630" i="4"/>
  <c r="H1630" i="4"/>
  <c r="L1630" i="4"/>
  <c r="M1630" i="4"/>
  <c r="N1630" i="4"/>
  <c r="P1630" i="4"/>
  <c r="A1631" i="4"/>
  <c r="B1631" i="4"/>
  <c r="E1631" i="4"/>
  <c r="H1631" i="4"/>
  <c r="L1631" i="4"/>
  <c r="M1631" i="4"/>
  <c r="N1631" i="4"/>
  <c r="P1631" i="4"/>
  <c r="A1632" i="4"/>
  <c r="B1632" i="4"/>
  <c r="E1632" i="4"/>
  <c r="H1632" i="4"/>
  <c r="L1632" i="4"/>
  <c r="M1632" i="4"/>
  <c r="N1632" i="4"/>
  <c r="P1632" i="4"/>
  <c r="A1633" i="4"/>
  <c r="B1633" i="4"/>
  <c r="E1633" i="4"/>
  <c r="H1633" i="4"/>
  <c r="L1633" i="4"/>
  <c r="M1633" i="4"/>
  <c r="N1633" i="4"/>
  <c r="P1633" i="4"/>
  <c r="A1634" i="4"/>
  <c r="B1634" i="4"/>
  <c r="E1634" i="4"/>
  <c r="H1634" i="4"/>
  <c r="L1634" i="4"/>
  <c r="M1634" i="4"/>
  <c r="N1634" i="4"/>
  <c r="P1634" i="4"/>
  <c r="A1635" i="4"/>
  <c r="B1635" i="4"/>
  <c r="E1635" i="4"/>
  <c r="H1635" i="4"/>
  <c r="L1635" i="4"/>
  <c r="M1635" i="4"/>
  <c r="N1635" i="4"/>
  <c r="P1635" i="4"/>
  <c r="A1636" i="4"/>
  <c r="B1636" i="4"/>
  <c r="E1636" i="4"/>
  <c r="H1636" i="4"/>
  <c r="L1636" i="4"/>
  <c r="M1636" i="4"/>
  <c r="N1636" i="4"/>
  <c r="P1636" i="4"/>
  <c r="A1637" i="4"/>
  <c r="B1637" i="4"/>
  <c r="E1637" i="4"/>
  <c r="H1637" i="4"/>
  <c r="L1637" i="4"/>
  <c r="M1637" i="4"/>
  <c r="N1637" i="4"/>
  <c r="P1637" i="4"/>
  <c r="A1638" i="4"/>
  <c r="B1638" i="4"/>
  <c r="E1638" i="4"/>
  <c r="H1638" i="4"/>
  <c r="L1638" i="4"/>
  <c r="M1638" i="4"/>
  <c r="N1638" i="4"/>
  <c r="P1638" i="4"/>
  <c r="A1639" i="4"/>
  <c r="B1639" i="4"/>
  <c r="E1639" i="4"/>
  <c r="H1639" i="4"/>
  <c r="L1639" i="4"/>
  <c r="M1639" i="4"/>
  <c r="N1639" i="4"/>
  <c r="P1639" i="4"/>
  <c r="A1640" i="4"/>
  <c r="B1640" i="4"/>
  <c r="E1640" i="4"/>
  <c r="H1640" i="4"/>
  <c r="L1640" i="4"/>
  <c r="M1640" i="4"/>
  <c r="N1640" i="4"/>
  <c r="P1640" i="4"/>
  <c r="A1641" i="4"/>
  <c r="B1641" i="4"/>
  <c r="E1641" i="4"/>
  <c r="H1641" i="4"/>
  <c r="L1641" i="4"/>
  <c r="M1641" i="4"/>
  <c r="N1641" i="4"/>
  <c r="P1641" i="4"/>
  <c r="A1642" i="4"/>
  <c r="B1642" i="4"/>
  <c r="E1642" i="4"/>
  <c r="H1642" i="4"/>
  <c r="L1642" i="4"/>
  <c r="M1642" i="4"/>
  <c r="N1642" i="4"/>
  <c r="P1642" i="4"/>
  <c r="A1643" i="4"/>
  <c r="B1643" i="4"/>
  <c r="E1643" i="4"/>
  <c r="H1643" i="4"/>
  <c r="L1643" i="4"/>
  <c r="M1643" i="4"/>
  <c r="N1643" i="4"/>
  <c r="P1643" i="4"/>
  <c r="A1644" i="4"/>
  <c r="B1644" i="4"/>
  <c r="E1644" i="4"/>
  <c r="H1644" i="4"/>
  <c r="L1644" i="4"/>
  <c r="M1644" i="4"/>
  <c r="N1644" i="4"/>
  <c r="P1644" i="4"/>
  <c r="A1645" i="4"/>
  <c r="B1645" i="4"/>
  <c r="E1645" i="4"/>
  <c r="H1645" i="4"/>
  <c r="L1645" i="4"/>
  <c r="M1645" i="4"/>
  <c r="N1645" i="4"/>
  <c r="P1645" i="4"/>
  <c r="A1646" i="4"/>
  <c r="B1646" i="4"/>
  <c r="E1646" i="4"/>
  <c r="H1646" i="4"/>
  <c r="L1646" i="4"/>
  <c r="M1646" i="4"/>
  <c r="N1646" i="4"/>
  <c r="P1646" i="4"/>
  <c r="A1647" i="4"/>
  <c r="B1647" i="4"/>
  <c r="E1647" i="4"/>
  <c r="H1647" i="4"/>
  <c r="L1647" i="4"/>
  <c r="M1647" i="4"/>
  <c r="N1647" i="4"/>
  <c r="P1647" i="4"/>
  <c r="A1648" i="4"/>
  <c r="B1648" i="4"/>
  <c r="E1648" i="4"/>
  <c r="H1648" i="4"/>
  <c r="L1648" i="4"/>
  <c r="M1648" i="4"/>
  <c r="N1648" i="4"/>
  <c r="P1648" i="4"/>
  <c r="A1649" i="4"/>
  <c r="B1649" i="4"/>
  <c r="E1649" i="4"/>
  <c r="H1649" i="4"/>
  <c r="L1649" i="4"/>
  <c r="M1649" i="4"/>
  <c r="N1649" i="4"/>
  <c r="P1649" i="4"/>
  <c r="A1650" i="4"/>
  <c r="B1650" i="4"/>
  <c r="E1650" i="4"/>
  <c r="H1650" i="4"/>
  <c r="L1650" i="4"/>
  <c r="M1650" i="4"/>
  <c r="N1650" i="4"/>
  <c r="P1650" i="4"/>
  <c r="A1651" i="4"/>
  <c r="B1651" i="4"/>
  <c r="E1651" i="4"/>
  <c r="H1651" i="4"/>
  <c r="L1651" i="4"/>
  <c r="M1651" i="4"/>
  <c r="N1651" i="4"/>
  <c r="P1651" i="4"/>
  <c r="A1652" i="4"/>
  <c r="B1652" i="4"/>
  <c r="E1652" i="4"/>
  <c r="H1652" i="4"/>
  <c r="L1652" i="4"/>
  <c r="M1652" i="4"/>
  <c r="N1652" i="4"/>
  <c r="P1652" i="4"/>
  <c r="A1653" i="4"/>
  <c r="B1653" i="4"/>
  <c r="E1653" i="4"/>
  <c r="H1653" i="4"/>
  <c r="L1653" i="4"/>
  <c r="M1653" i="4"/>
  <c r="N1653" i="4"/>
  <c r="P1653" i="4"/>
  <c r="A1654" i="4"/>
  <c r="B1654" i="4"/>
  <c r="E1654" i="4"/>
  <c r="H1654" i="4"/>
  <c r="L1654" i="4"/>
  <c r="M1654" i="4"/>
  <c r="N1654" i="4"/>
  <c r="P1654" i="4"/>
  <c r="A1655" i="4"/>
  <c r="B1655" i="4"/>
  <c r="E1655" i="4"/>
  <c r="H1655" i="4"/>
  <c r="L1655" i="4"/>
  <c r="M1655" i="4"/>
  <c r="N1655" i="4"/>
  <c r="P1655" i="4"/>
  <c r="A1656" i="4"/>
  <c r="B1656" i="4"/>
  <c r="E1656" i="4"/>
  <c r="H1656" i="4"/>
  <c r="L1656" i="4"/>
  <c r="M1656" i="4"/>
  <c r="N1656" i="4"/>
  <c r="P1656" i="4"/>
  <c r="A1657" i="4"/>
  <c r="B1657" i="4"/>
  <c r="E1657" i="4"/>
  <c r="H1657" i="4"/>
  <c r="L1657" i="4"/>
  <c r="M1657" i="4"/>
  <c r="N1657" i="4"/>
  <c r="P1657" i="4"/>
  <c r="A1658" i="4"/>
  <c r="B1658" i="4"/>
  <c r="E1658" i="4"/>
  <c r="H1658" i="4"/>
  <c r="L1658" i="4"/>
  <c r="M1658" i="4"/>
  <c r="N1658" i="4"/>
  <c r="P1658" i="4"/>
  <c r="A1659" i="4"/>
  <c r="B1659" i="4"/>
  <c r="E1659" i="4"/>
  <c r="H1659" i="4"/>
  <c r="L1659" i="4"/>
  <c r="M1659" i="4"/>
  <c r="N1659" i="4"/>
  <c r="P1659" i="4"/>
  <c r="A1660" i="4"/>
  <c r="B1660" i="4"/>
  <c r="E1660" i="4"/>
  <c r="H1660" i="4"/>
  <c r="L1660" i="4"/>
  <c r="M1660" i="4"/>
  <c r="N1660" i="4"/>
  <c r="P1660" i="4"/>
  <c r="A1661" i="4"/>
  <c r="B1661" i="4"/>
  <c r="E1661" i="4"/>
  <c r="H1661" i="4"/>
  <c r="L1661" i="4"/>
  <c r="M1661" i="4"/>
  <c r="N1661" i="4"/>
  <c r="P1661" i="4"/>
  <c r="A1662" i="4"/>
  <c r="B1662" i="4"/>
  <c r="E1662" i="4"/>
  <c r="H1662" i="4"/>
  <c r="L1662" i="4"/>
  <c r="M1662" i="4"/>
  <c r="N1662" i="4"/>
  <c r="P1662" i="4"/>
  <c r="A1663" i="4"/>
  <c r="B1663" i="4"/>
  <c r="E1663" i="4"/>
  <c r="H1663" i="4"/>
  <c r="L1663" i="4"/>
  <c r="M1663" i="4"/>
  <c r="N1663" i="4"/>
  <c r="P1663" i="4"/>
  <c r="A1664" i="4"/>
  <c r="B1664" i="4"/>
  <c r="E1664" i="4"/>
  <c r="H1664" i="4"/>
  <c r="L1664" i="4"/>
  <c r="M1664" i="4"/>
  <c r="N1664" i="4"/>
  <c r="P1664" i="4"/>
  <c r="A1665" i="4"/>
  <c r="B1665" i="4"/>
  <c r="E1665" i="4"/>
  <c r="H1665" i="4"/>
  <c r="L1665" i="4"/>
  <c r="M1665" i="4"/>
  <c r="N1665" i="4"/>
  <c r="P1665" i="4"/>
  <c r="A1666" i="4"/>
  <c r="B1666" i="4"/>
  <c r="E1666" i="4"/>
  <c r="H1666" i="4"/>
  <c r="L1666" i="4"/>
  <c r="M1666" i="4"/>
  <c r="N1666" i="4"/>
  <c r="P1666" i="4"/>
  <c r="A1667" i="4"/>
  <c r="B1667" i="4"/>
  <c r="E1667" i="4"/>
  <c r="H1667" i="4"/>
  <c r="L1667" i="4"/>
  <c r="M1667" i="4"/>
  <c r="N1667" i="4"/>
  <c r="P1667" i="4"/>
  <c r="A1668" i="4"/>
  <c r="B1668" i="4"/>
  <c r="E1668" i="4"/>
  <c r="H1668" i="4"/>
  <c r="L1668" i="4"/>
  <c r="M1668" i="4"/>
  <c r="N1668" i="4"/>
  <c r="P1668" i="4"/>
  <c r="A1669" i="4"/>
  <c r="B1669" i="4"/>
  <c r="E1669" i="4"/>
  <c r="H1669" i="4"/>
  <c r="L1669" i="4"/>
  <c r="M1669" i="4"/>
  <c r="N1669" i="4"/>
  <c r="P1669" i="4"/>
  <c r="A1670" i="4"/>
  <c r="B1670" i="4"/>
  <c r="E1670" i="4"/>
  <c r="H1670" i="4"/>
  <c r="L1670" i="4"/>
  <c r="M1670" i="4"/>
  <c r="N1670" i="4"/>
  <c r="P1670" i="4"/>
  <c r="A1671" i="4"/>
  <c r="B1671" i="4"/>
  <c r="E1671" i="4"/>
  <c r="H1671" i="4"/>
  <c r="L1671" i="4"/>
  <c r="M1671" i="4"/>
  <c r="N1671" i="4"/>
  <c r="P1671" i="4"/>
  <c r="A1672" i="4"/>
  <c r="B1672" i="4"/>
  <c r="E1672" i="4"/>
  <c r="H1672" i="4"/>
  <c r="L1672" i="4"/>
  <c r="M1672" i="4"/>
  <c r="N1672" i="4"/>
  <c r="P1672" i="4"/>
  <c r="A1673" i="4"/>
  <c r="B1673" i="4"/>
  <c r="E1673" i="4"/>
  <c r="H1673" i="4"/>
  <c r="L1673" i="4"/>
  <c r="M1673" i="4"/>
  <c r="N1673" i="4"/>
  <c r="P1673" i="4"/>
  <c r="A1674" i="4"/>
  <c r="B1674" i="4"/>
  <c r="E1674" i="4"/>
  <c r="H1674" i="4"/>
  <c r="L1674" i="4"/>
  <c r="M1674" i="4"/>
  <c r="N1674" i="4"/>
  <c r="P1674" i="4"/>
  <c r="A1675" i="4"/>
  <c r="B1675" i="4"/>
  <c r="E1675" i="4"/>
  <c r="H1675" i="4"/>
  <c r="L1675" i="4"/>
  <c r="M1675" i="4"/>
  <c r="N1675" i="4"/>
  <c r="P1675" i="4"/>
  <c r="A1676" i="4"/>
  <c r="B1676" i="4"/>
  <c r="E1676" i="4"/>
  <c r="H1676" i="4"/>
  <c r="L1676" i="4"/>
  <c r="M1676" i="4"/>
  <c r="N1676" i="4"/>
  <c r="P1676" i="4"/>
  <c r="A1677" i="4"/>
  <c r="B1677" i="4"/>
  <c r="E1677" i="4"/>
  <c r="H1677" i="4"/>
  <c r="L1677" i="4"/>
  <c r="M1677" i="4"/>
  <c r="N1677" i="4"/>
  <c r="P1677" i="4"/>
  <c r="A1678" i="4"/>
  <c r="B1678" i="4"/>
  <c r="E1678" i="4"/>
  <c r="H1678" i="4"/>
  <c r="L1678" i="4"/>
  <c r="M1678" i="4"/>
  <c r="N1678" i="4"/>
  <c r="P1678" i="4"/>
  <c r="A1679" i="4"/>
  <c r="B1679" i="4"/>
  <c r="E1679" i="4"/>
  <c r="H1679" i="4"/>
  <c r="L1679" i="4"/>
  <c r="M1679" i="4"/>
  <c r="N1679" i="4"/>
  <c r="P1679" i="4"/>
  <c r="A1680" i="4"/>
  <c r="B1680" i="4"/>
  <c r="E1680" i="4"/>
  <c r="H1680" i="4"/>
  <c r="L1680" i="4"/>
  <c r="M1680" i="4"/>
  <c r="N1680" i="4"/>
  <c r="P1680" i="4"/>
  <c r="A1681" i="4"/>
  <c r="B1681" i="4"/>
  <c r="E1681" i="4"/>
  <c r="H1681" i="4"/>
  <c r="L1681" i="4"/>
  <c r="M1681" i="4"/>
  <c r="N1681" i="4"/>
  <c r="P1681" i="4"/>
  <c r="A1682" i="4"/>
  <c r="B1682" i="4"/>
  <c r="E1682" i="4"/>
  <c r="H1682" i="4"/>
  <c r="L1682" i="4"/>
  <c r="M1682" i="4"/>
  <c r="N1682" i="4"/>
  <c r="P1682" i="4"/>
  <c r="A1683" i="4"/>
  <c r="B1683" i="4"/>
  <c r="E1683" i="4"/>
  <c r="H1683" i="4"/>
  <c r="L1683" i="4"/>
  <c r="M1683" i="4"/>
  <c r="N1683" i="4"/>
  <c r="P1683" i="4"/>
  <c r="A1684" i="4"/>
  <c r="B1684" i="4"/>
  <c r="E1684" i="4"/>
  <c r="H1684" i="4"/>
  <c r="L1684" i="4"/>
  <c r="M1684" i="4"/>
  <c r="N1684" i="4"/>
  <c r="P1684" i="4"/>
  <c r="A1685" i="4"/>
  <c r="B1685" i="4"/>
  <c r="E1685" i="4"/>
  <c r="H1685" i="4"/>
  <c r="L1685" i="4"/>
  <c r="M1685" i="4"/>
  <c r="N1685" i="4"/>
  <c r="P1685" i="4"/>
  <c r="A1686" i="4"/>
  <c r="B1686" i="4"/>
  <c r="E1686" i="4"/>
  <c r="H1686" i="4"/>
  <c r="L1686" i="4"/>
  <c r="M1686" i="4"/>
  <c r="N1686" i="4"/>
  <c r="P1686" i="4"/>
  <c r="A1687" i="4"/>
  <c r="B1687" i="4"/>
  <c r="E1687" i="4"/>
  <c r="H1687" i="4"/>
  <c r="L1687" i="4"/>
  <c r="M1687" i="4"/>
  <c r="N1687" i="4"/>
  <c r="P1687" i="4"/>
  <c r="A1688" i="4"/>
  <c r="B1688" i="4"/>
  <c r="E1688" i="4"/>
  <c r="H1688" i="4"/>
  <c r="L1688" i="4"/>
  <c r="M1688" i="4"/>
  <c r="N1688" i="4"/>
  <c r="P1688" i="4"/>
  <c r="A1689" i="4"/>
  <c r="B1689" i="4"/>
  <c r="E1689" i="4"/>
  <c r="H1689" i="4"/>
  <c r="L1689" i="4"/>
  <c r="M1689" i="4"/>
  <c r="N1689" i="4"/>
  <c r="P1689" i="4"/>
  <c r="A1690" i="4"/>
  <c r="B1690" i="4"/>
  <c r="E1690" i="4"/>
  <c r="H1690" i="4"/>
  <c r="L1690" i="4"/>
  <c r="M1690" i="4"/>
  <c r="N1690" i="4"/>
  <c r="P1690" i="4"/>
  <c r="A1691" i="4"/>
  <c r="B1691" i="4"/>
  <c r="E1691" i="4"/>
  <c r="H1691" i="4"/>
  <c r="L1691" i="4"/>
  <c r="M1691" i="4"/>
  <c r="N1691" i="4"/>
  <c r="P1691" i="4"/>
  <c r="A1692" i="4"/>
  <c r="B1692" i="4"/>
  <c r="E1692" i="4"/>
  <c r="H1692" i="4"/>
  <c r="L1692" i="4"/>
  <c r="M1692" i="4"/>
  <c r="N1692" i="4"/>
  <c r="P1692" i="4"/>
  <c r="A1693" i="4"/>
  <c r="B1693" i="4"/>
  <c r="E1693" i="4"/>
  <c r="H1693" i="4"/>
  <c r="L1693" i="4"/>
  <c r="M1693" i="4"/>
  <c r="N1693" i="4"/>
  <c r="P1693" i="4"/>
  <c r="A1694" i="4"/>
  <c r="B1694" i="4"/>
  <c r="E1694" i="4"/>
  <c r="H1694" i="4"/>
  <c r="L1694" i="4"/>
  <c r="M1694" i="4"/>
  <c r="N1694" i="4"/>
  <c r="P1694" i="4"/>
  <c r="A1695" i="4"/>
  <c r="B1695" i="4"/>
  <c r="E1695" i="4"/>
  <c r="H1695" i="4"/>
  <c r="L1695" i="4"/>
  <c r="M1695" i="4"/>
  <c r="N1695" i="4"/>
  <c r="P1695" i="4"/>
  <c r="A1696" i="4"/>
  <c r="B1696" i="4"/>
  <c r="E1696" i="4"/>
  <c r="H1696" i="4"/>
  <c r="L1696" i="4"/>
  <c r="M1696" i="4"/>
  <c r="N1696" i="4"/>
  <c r="P1696" i="4"/>
  <c r="A1697" i="4"/>
  <c r="B1697" i="4"/>
  <c r="E1697" i="4"/>
  <c r="H1697" i="4"/>
  <c r="L1697" i="4"/>
  <c r="M1697" i="4"/>
  <c r="N1697" i="4"/>
  <c r="P1697" i="4"/>
  <c r="A1698" i="4"/>
  <c r="B1698" i="4"/>
  <c r="E1698" i="4"/>
  <c r="H1698" i="4"/>
  <c r="L1698" i="4"/>
  <c r="M1698" i="4"/>
  <c r="N1698" i="4"/>
  <c r="P1698" i="4"/>
  <c r="A1699" i="4"/>
  <c r="B1699" i="4"/>
  <c r="E1699" i="4"/>
  <c r="H1699" i="4"/>
  <c r="L1699" i="4"/>
  <c r="M1699" i="4"/>
  <c r="N1699" i="4"/>
  <c r="P1699" i="4"/>
  <c r="A1700" i="4"/>
  <c r="B1700" i="4"/>
  <c r="E1700" i="4"/>
  <c r="H1700" i="4"/>
  <c r="L1700" i="4"/>
  <c r="M1700" i="4"/>
  <c r="N1700" i="4"/>
  <c r="P1700" i="4"/>
  <c r="A1701" i="4"/>
  <c r="B1701" i="4"/>
  <c r="E1701" i="4"/>
  <c r="H1701" i="4"/>
  <c r="L1701" i="4"/>
  <c r="M1701" i="4"/>
  <c r="N1701" i="4"/>
  <c r="P1701" i="4"/>
  <c r="A1702" i="4"/>
  <c r="B1702" i="4"/>
  <c r="E1702" i="4"/>
  <c r="H1702" i="4"/>
  <c r="L1702" i="4"/>
  <c r="M1702" i="4"/>
  <c r="N1702" i="4"/>
  <c r="P1702" i="4"/>
  <c r="A1703" i="4"/>
  <c r="B1703" i="4"/>
  <c r="E1703" i="4"/>
  <c r="H1703" i="4"/>
  <c r="L1703" i="4"/>
  <c r="M1703" i="4"/>
  <c r="N1703" i="4"/>
  <c r="P1703" i="4"/>
  <c r="A1704" i="4"/>
  <c r="B1704" i="4"/>
  <c r="E1704" i="4"/>
  <c r="H1704" i="4"/>
  <c r="L1704" i="4"/>
  <c r="M1704" i="4"/>
  <c r="N1704" i="4"/>
  <c r="P1704" i="4"/>
  <c r="A1705" i="4"/>
  <c r="B1705" i="4"/>
  <c r="E1705" i="4"/>
  <c r="H1705" i="4"/>
  <c r="L1705" i="4"/>
  <c r="M1705" i="4"/>
  <c r="N1705" i="4"/>
  <c r="P1705" i="4"/>
  <c r="A1706" i="4"/>
  <c r="B1706" i="4"/>
  <c r="E1706" i="4"/>
  <c r="H1706" i="4"/>
  <c r="L1706" i="4"/>
  <c r="M1706" i="4"/>
  <c r="N1706" i="4"/>
  <c r="P1706" i="4"/>
  <c r="A1707" i="4"/>
  <c r="B1707" i="4"/>
  <c r="E1707" i="4"/>
  <c r="H1707" i="4"/>
  <c r="L1707" i="4"/>
  <c r="M1707" i="4"/>
  <c r="N1707" i="4"/>
  <c r="P1707" i="4"/>
  <c r="A1708" i="4"/>
  <c r="B1708" i="4"/>
  <c r="E1708" i="4"/>
  <c r="H1708" i="4"/>
  <c r="L1708" i="4"/>
  <c r="M1708" i="4"/>
  <c r="N1708" i="4"/>
  <c r="P1708" i="4"/>
  <c r="A1709" i="4"/>
  <c r="B1709" i="4"/>
  <c r="E1709" i="4"/>
  <c r="H1709" i="4"/>
  <c r="L1709" i="4"/>
  <c r="M1709" i="4"/>
  <c r="N1709" i="4"/>
  <c r="P1709" i="4"/>
  <c r="A1710" i="4"/>
  <c r="B1710" i="4"/>
  <c r="E1710" i="4"/>
  <c r="H1710" i="4"/>
  <c r="L1710" i="4"/>
  <c r="M1710" i="4"/>
  <c r="N1710" i="4"/>
  <c r="P1710" i="4"/>
  <c r="A1711" i="4"/>
  <c r="B1711" i="4"/>
  <c r="E1711" i="4"/>
  <c r="H1711" i="4"/>
  <c r="L1711" i="4"/>
  <c r="M1711" i="4"/>
  <c r="N1711" i="4"/>
  <c r="P1711" i="4"/>
  <c r="A1712" i="4"/>
  <c r="B1712" i="4"/>
  <c r="E1712" i="4"/>
  <c r="H1712" i="4"/>
  <c r="L1712" i="4"/>
  <c r="M1712" i="4"/>
  <c r="N1712" i="4"/>
  <c r="P1712" i="4"/>
  <c r="A1713" i="4"/>
  <c r="B1713" i="4"/>
  <c r="E1713" i="4"/>
  <c r="H1713" i="4"/>
  <c r="L1713" i="4"/>
  <c r="M1713" i="4"/>
  <c r="N1713" i="4"/>
  <c r="P1713" i="4"/>
  <c r="A1714" i="4"/>
  <c r="B1714" i="4"/>
  <c r="E1714" i="4"/>
  <c r="H1714" i="4"/>
  <c r="L1714" i="4"/>
  <c r="M1714" i="4"/>
  <c r="N1714" i="4"/>
  <c r="P1714" i="4"/>
  <c r="A1715" i="4"/>
  <c r="B1715" i="4"/>
  <c r="E1715" i="4"/>
  <c r="H1715" i="4"/>
  <c r="L1715" i="4"/>
  <c r="M1715" i="4"/>
  <c r="N1715" i="4"/>
  <c r="P1715" i="4"/>
  <c r="A1716" i="4"/>
  <c r="B1716" i="4"/>
  <c r="E1716" i="4"/>
  <c r="H1716" i="4"/>
  <c r="L1716" i="4"/>
  <c r="M1716" i="4"/>
  <c r="N1716" i="4"/>
  <c r="P1716" i="4"/>
  <c r="A1717" i="4"/>
  <c r="B1717" i="4"/>
  <c r="E1717" i="4"/>
  <c r="H1717" i="4"/>
  <c r="L1717" i="4"/>
  <c r="M1717" i="4"/>
  <c r="N1717" i="4"/>
  <c r="P1717" i="4"/>
  <c r="A1718" i="4"/>
  <c r="B1718" i="4"/>
  <c r="E1718" i="4"/>
  <c r="H1718" i="4"/>
  <c r="L1718" i="4"/>
  <c r="M1718" i="4"/>
  <c r="N1718" i="4"/>
  <c r="P1718" i="4"/>
  <c r="A1719" i="4"/>
  <c r="B1719" i="4"/>
  <c r="E1719" i="4"/>
  <c r="H1719" i="4"/>
  <c r="L1719" i="4"/>
  <c r="M1719" i="4"/>
  <c r="N1719" i="4"/>
  <c r="P1719" i="4"/>
  <c r="A1720" i="4"/>
  <c r="B1720" i="4"/>
  <c r="E1720" i="4"/>
  <c r="H1720" i="4"/>
  <c r="L1720" i="4"/>
  <c r="M1720" i="4"/>
  <c r="N1720" i="4"/>
  <c r="P1720" i="4"/>
  <c r="A1721" i="4"/>
  <c r="B1721" i="4"/>
  <c r="E1721" i="4"/>
  <c r="H1721" i="4"/>
  <c r="L1721" i="4"/>
  <c r="M1721" i="4"/>
  <c r="N1721" i="4"/>
  <c r="P1721" i="4"/>
  <c r="A1722" i="4"/>
  <c r="B1722" i="4"/>
  <c r="E1722" i="4"/>
  <c r="H1722" i="4"/>
  <c r="L1722" i="4"/>
  <c r="M1722" i="4"/>
  <c r="N1722" i="4"/>
  <c r="P1722" i="4"/>
  <c r="A1723" i="4"/>
  <c r="B1723" i="4"/>
  <c r="E1723" i="4"/>
  <c r="H1723" i="4"/>
  <c r="L1723" i="4"/>
  <c r="M1723" i="4"/>
  <c r="N1723" i="4"/>
  <c r="P1723" i="4"/>
  <c r="A1724" i="4"/>
  <c r="B1724" i="4"/>
  <c r="E1724" i="4"/>
  <c r="H1724" i="4"/>
  <c r="L1724" i="4"/>
  <c r="M1724" i="4"/>
  <c r="N1724" i="4"/>
  <c r="P1724" i="4"/>
  <c r="A1725" i="4"/>
  <c r="B1725" i="4"/>
  <c r="E1725" i="4"/>
  <c r="H1725" i="4"/>
  <c r="L1725" i="4"/>
  <c r="M1725" i="4"/>
  <c r="N1725" i="4"/>
  <c r="P1725" i="4"/>
  <c r="A1726" i="4"/>
  <c r="B1726" i="4"/>
  <c r="E1726" i="4"/>
  <c r="H1726" i="4"/>
  <c r="L1726" i="4"/>
  <c r="M1726" i="4"/>
  <c r="N1726" i="4"/>
  <c r="P1726" i="4"/>
  <c r="A1727" i="4"/>
  <c r="B1727" i="4"/>
  <c r="E1727" i="4"/>
  <c r="H1727" i="4"/>
  <c r="L1727" i="4"/>
  <c r="M1727" i="4"/>
  <c r="N1727" i="4"/>
  <c r="P1727" i="4"/>
  <c r="A1728" i="4"/>
  <c r="B1728" i="4"/>
  <c r="E1728" i="4"/>
  <c r="H1728" i="4"/>
  <c r="L1728" i="4"/>
  <c r="M1728" i="4"/>
  <c r="N1728" i="4"/>
  <c r="P1728" i="4"/>
  <c r="A1729" i="4"/>
  <c r="B1729" i="4"/>
  <c r="E1729" i="4"/>
  <c r="H1729" i="4"/>
  <c r="L1729" i="4"/>
  <c r="M1729" i="4"/>
  <c r="N1729" i="4"/>
  <c r="P1729" i="4"/>
  <c r="A1730" i="4"/>
  <c r="B1730" i="4"/>
  <c r="E1730" i="4"/>
  <c r="H1730" i="4"/>
  <c r="L1730" i="4"/>
  <c r="M1730" i="4"/>
  <c r="N1730" i="4"/>
  <c r="P1730" i="4"/>
  <c r="A1731" i="4"/>
  <c r="B1731" i="4"/>
  <c r="E1731" i="4"/>
  <c r="H1731" i="4"/>
  <c r="L1731" i="4"/>
  <c r="M1731" i="4"/>
  <c r="N1731" i="4"/>
  <c r="P1731" i="4"/>
  <c r="A1732" i="4"/>
  <c r="B1732" i="4"/>
  <c r="E1732" i="4"/>
  <c r="H1732" i="4"/>
  <c r="L1732" i="4"/>
  <c r="M1732" i="4"/>
  <c r="N1732" i="4"/>
  <c r="P1732" i="4"/>
  <c r="A1733" i="4"/>
  <c r="B1733" i="4"/>
  <c r="E1733" i="4"/>
  <c r="H1733" i="4"/>
  <c r="L1733" i="4"/>
  <c r="M1733" i="4"/>
  <c r="N1733" i="4"/>
  <c r="P1733" i="4"/>
  <c r="A1734" i="4"/>
  <c r="B1734" i="4"/>
  <c r="E1734" i="4"/>
  <c r="H1734" i="4"/>
  <c r="L1734" i="4"/>
  <c r="M1734" i="4"/>
  <c r="N1734" i="4"/>
  <c r="P1734" i="4"/>
  <c r="A1735" i="4"/>
  <c r="B1735" i="4"/>
  <c r="E1735" i="4"/>
  <c r="H1735" i="4"/>
  <c r="L1735" i="4"/>
  <c r="M1735" i="4"/>
  <c r="N1735" i="4"/>
  <c r="P1735" i="4"/>
  <c r="A1736" i="4"/>
  <c r="B1736" i="4"/>
  <c r="E1736" i="4"/>
  <c r="H1736" i="4"/>
  <c r="L1736" i="4"/>
  <c r="M1736" i="4"/>
  <c r="N1736" i="4"/>
  <c r="P1736" i="4"/>
  <c r="A1737" i="4"/>
  <c r="B1737" i="4"/>
  <c r="E1737" i="4"/>
  <c r="H1737" i="4"/>
  <c r="L1737" i="4"/>
  <c r="M1737" i="4"/>
  <c r="N1737" i="4"/>
  <c r="P1737" i="4"/>
  <c r="A1738" i="4"/>
  <c r="B1738" i="4"/>
  <c r="E1738" i="4"/>
  <c r="H1738" i="4"/>
  <c r="L1738" i="4"/>
  <c r="M1738" i="4"/>
  <c r="N1738" i="4"/>
  <c r="P1738" i="4"/>
  <c r="A1739" i="4"/>
  <c r="B1739" i="4"/>
  <c r="E1739" i="4"/>
  <c r="H1739" i="4"/>
  <c r="L1739" i="4"/>
  <c r="M1739" i="4"/>
  <c r="N1739" i="4"/>
  <c r="P1739" i="4"/>
  <c r="A1740" i="4"/>
  <c r="B1740" i="4"/>
  <c r="E1740" i="4"/>
  <c r="H1740" i="4"/>
  <c r="L1740" i="4"/>
  <c r="M1740" i="4"/>
  <c r="N1740" i="4"/>
  <c r="P1740" i="4"/>
  <c r="A1741" i="4"/>
  <c r="B1741" i="4"/>
  <c r="E1741" i="4"/>
  <c r="H1741" i="4"/>
  <c r="L1741" i="4"/>
  <c r="M1741" i="4"/>
  <c r="N1741" i="4"/>
  <c r="P1741" i="4"/>
  <c r="A1742" i="4"/>
  <c r="B1742" i="4"/>
  <c r="E1742" i="4"/>
  <c r="H1742" i="4"/>
  <c r="L1742" i="4"/>
  <c r="M1742" i="4"/>
  <c r="N1742" i="4"/>
  <c r="P1742" i="4"/>
  <c r="A1743" i="4"/>
  <c r="B1743" i="4"/>
  <c r="E1743" i="4"/>
  <c r="H1743" i="4"/>
  <c r="L1743" i="4"/>
  <c r="M1743" i="4"/>
  <c r="N1743" i="4"/>
  <c r="P1743" i="4"/>
  <c r="A1744" i="4"/>
  <c r="B1744" i="4"/>
  <c r="E1744" i="4"/>
  <c r="H1744" i="4"/>
  <c r="L1744" i="4"/>
  <c r="M1744" i="4"/>
  <c r="N1744" i="4"/>
  <c r="P1744" i="4"/>
  <c r="A1745" i="4"/>
  <c r="B1745" i="4"/>
  <c r="E1745" i="4"/>
  <c r="H1745" i="4"/>
  <c r="L1745" i="4"/>
  <c r="M1745" i="4"/>
  <c r="N1745" i="4"/>
  <c r="P1745" i="4"/>
  <c r="A1746" i="4"/>
  <c r="B1746" i="4"/>
  <c r="E1746" i="4"/>
  <c r="H1746" i="4"/>
  <c r="L1746" i="4"/>
  <c r="M1746" i="4"/>
  <c r="N1746" i="4"/>
  <c r="P1746" i="4"/>
  <c r="A1747" i="4"/>
  <c r="B1747" i="4"/>
  <c r="E1747" i="4"/>
  <c r="H1747" i="4"/>
  <c r="L1747" i="4"/>
  <c r="M1747" i="4"/>
  <c r="N1747" i="4"/>
  <c r="P1747" i="4"/>
  <c r="A1748" i="4"/>
  <c r="B1748" i="4"/>
  <c r="E1748" i="4"/>
  <c r="H1748" i="4"/>
  <c r="L1748" i="4"/>
  <c r="M1748" i="4"/>
  <c r="N1748" i="4"/>
  <c r="P1748" i="4"/>
  <c r="A1749" i="4"/>
  <c r="B1749" i="4"/>
  <c r="E1749" i="4"/>
  <c r="H1749" i="4"/>
  <c r="L1749" i="4"/>
  <c r="M1749" i="4"/>
  <c r="N1749" i="4"/>
  <c r="P1749" i="4"/>
  <c r="A1750" i="4"/>
  <c r="B1750" i="4"/>
  <c r="E1750" i="4"/>
  <c r="H1750" i="4"/>
  <c r="L1750" i="4"/>
  <c r="M1750" i="4"/>
  <c r="N1750" i="4"/>
  <c r="P1750" i="4"/>
  <c r="A1751" i="4"/>
  <c r="B1751" i="4"/>
  <c r="E1751" i="4"/>
  <c r="H1751" i="4"/>
  <c r="L1751" i="4"/>
  <c r="M1751" i="4"/>
  <c r="N1751" i="4"/>
  <c r="P1751" i="4"/>
  <c r="A1752" i="4"/>
  <c r="B1752" i="4"/>
  <c r="E1752" i="4"/>
  <c r="H1752" i="4"/>
  <c r="L1752" i="4"/>
  <c r="M1752" i="4"/>
  <c r="N1752" i="4"/>
  <c r="P1752" i="4"/>
  <c r="A1753" i="4"/>
  <c r="B1753" i="4"/>
  <c r="E1753" i="4"/>
  <c r="H1753" i="4"/>
  <c r="L1753" i="4"/>
  <c r="M1753" i="4"/>
  <c r="N1753" i="4"/>
  <c r="P1753" i="4"/>
  <c r="A1754" i="4"/>
  <c r="B1754" i="4"/>
  <c r="E1754" i="4"/>
  <c r="H1754" i="4"/>
  <c r="L1754" i="4"/>
  <c r="M1754" i="4"/>
  <c r="N1754" i="4"/>
  <c r="P1754" i="4"/>
  <c r="A1755" i="4"/>
  <c r="B1755" i="4"/>
  <c r="E1755" i="4"/>
  <c r="H1755" i="4"/>
  <c r="L1755" i="4"/>
  <c r="M1755" i="4"/>
  <c r="N1755" i="4"/>
  <c r="P1755" i="4"/>
  <c r="A1756" i="4"/>
  <c r="B1756" i="4"/>
  <c r="E1756" i="4"/>
  <c r="H1756" i="4"/>
  <c r="L1756" i="4"/>
  <c r="M1756" i="4"/>
  <c r="N1756" i="4"/>
  <c r="P1756" i="4"/>
  <c r="A1757" i="4"/>
  <c r="B1757" i="4"/>
  <c r="E1757" i="4"/>
  <c r="H1757" i="4"/>
  <c r="L1757" i="4"/>
  <c r="M1757" i="4"/>
  <c r="N1757" i="4"/>
  <c r="P1757" i="4"/>
  <c r="A1758" i="4"/>
  <c r="B1758" i="4"/>
  <c r="E1758" i="4"/>
  <c r="H1758" i="4"/>
  <c r="L1758" i="4"/>
  <c r="M1758" i="4"/>
  <c r="N1758" i="4"/>
  <c r="P1758" i="4"/>
  <c r="A1759" i="4"/>
  <c r="B1759" i="4"/>
  <c r="E1759" i="4"/>
  <c r="H1759" i="4"/>
  <c r="L1759" i="4"/>
  <c r="M1759" i="4"/>
  <c r="N1759" i="4"/>
  <c r="P1759" i="4"/>
  <c r="A1760" i="4"/>
  <c r="B1760" i="4"/>
  <c r="E1760" i="4"/>
  <c r="H1760" i="4"/>
  <c r="L1760" i="4"/>
  <c r="M1760" i="4"/>
  <c r="N1760" i="4"/>
  <c r="P1760" i="4"/>
  <c r="A1761" i="4"/>
  <c r="B1761" i="4"/>
  <c r="E1761" i="4"/>
  <c r="H1761" i="4"/>
  <c r="L1761" i="4"/>
  <c r="M1761" i="4"/>
  <c r="N1761" i="4"/>
  <c r="P1761" i="4"/>
  <c r="A1762" i="4"/>
  <c r="B1762" i="4"/>
  <c r="E1762" i="4"/>
  <c r="H1762" i="4"/>
  <c r="L1762" i="4"/>
  <c r="M1762" i="4"/>
  <c r="N1762" i="4"/>
  <c r="P1762" i="4"/>
  <c r="A1763" i="4"/>
  <c r="B1763" i="4"/>
  <c r="E1763" i="4"/>
  <c r="H1763" i="4"/>
  <c r="L1763" i="4"/>
  <c r="M1763" i="4"/>
  <c r="N1763" i="4"/>
  <c r="P1763" i="4"/>
  <c r="A1764" i="4"/>
  <c r="B1764" i="4"/>
  <c r="E1764" i="4"/>
  <c r="H1764" i="4"/>
  <c r="L1764" i="4"/>
  <c r="M1764" i="4"/>
  <c r="N1764" i="4"/>
  <c r="P1764" i="4"/>
  <c r="A1765" i="4"/>
  <c r="B1765" i="4"/>
  <c r="E1765" i="4"/>
  <c r="H1765" i="4"/>
  <c r="L1765" i="4"/>
  <c r="M1765" i="4"/>
  <c r="N1765" i="4"/>
  <c r="P1765" i="4"/>
  <c r="A1766" i="4"/>
  <c r="B1766" i="4"/>
  <c r="E1766" i="4"/>
  <c r="H1766" i="4"/>
  <c r="L1766" i="4"/>
  <c r="M1766" i="4"/>
  <c r="N1766" i="4"/>
  <c r="P1766" i="4"/>
  <c r="A1767" i="4"/>
  <c r="B1767" i="4"/>
  <c r="E1767" i="4"/>
  <c r="H1767" i="4"/>
  <c r="L1767" i="4"/>
  <c r="M1767" i="4"/>
  <c r="N1767" i="4"/>
  <c r="P1767" i="4"/>
  <c r="A1768" i="4"/>
  <c r="B1768" i="4"/>
  <c r="E1768" i="4"/>
  <c r="H1768" i="4"/>
  <c r="L1768" i="4"/>
  <c r="M1768" i="4"/>
  <c r="N1768" i="4"/>
  <c r="P1768" i="4"/>
  <c r="A1769" i="4"/>
  <c r="B1769" i="4"/>
  <c r="E1769" i="4"/>
  <c r="H1769" i="4"/>
  <c r="L1769" i="4"/>
  <c r="M1769" i="4"/>
  <c r="N1769" i="4"/>
  <c r="P1769" i="4"/>
  <c r="A1770" i="4"/>
  <c r="B1770" i="4"/>
  <c r="E1770" i="4"/>
  <c r="H1770" i="4"/>
  <c r="L1770" i="4"/>
  <c r="M1770" i="4"/>
  <c r="N1770" i="4"/>
  <c r="P1770" i="4"/>
  <c r="A1771" i="4"/>
  <c r="B1771" i="4"/>
  <c r="E1771" i="4"/>
  <c r="H1771" i="4"/>
  <c r="L1771" i="4"/>
  <c r="M1771" i="4"/>
  <c r="N1771" i="4"/>
  <c r="P1771" i="4"/>
  <c r="A1772" i="4"/>
  <c r="B1772" i="4"/>
  <c r="E1772" i="4"/>
  <c r="H1772" i="4"/>
  <c r="L1772" i="4"/>
  <c r="M1772" i="4"/>
  <c r="N1772" i="4"/>
  <c r="P1772" i="4"/>
  <c r="A1773" i="4"/>
  <c r="B1773" i="4"/>
  <c r="E1773" i="4"/>
  <c r="H1773" i="4"/>
  <c r="L1773" i="4"/>
  <c r="M1773" i="4"/>
  <c r="N1773" i="4"/>
  <c r="P1773" i="4"/>
  <c r="A1774" i="4"/>
  <c r="B1774" i="4"/>
  <c r="E1774" i="4"/>
  <c r="H1774" i="4"/>
  <c r="L1774" i="4"/>
  <c r="M1774" i="4"/>
  <c r="N1774" i="4"/>
  <c r="P1774" i="4"/>
  <c r="A1775" i="4"/>
  <c r="B1775" i="4"/>
  <c r="E1775" i="4"/>
  <c r="H1775" i="4"/>
  <c r="L1775" i="4"/>
  <c r="M1775" i="4"/>
  <c r="N1775" i="4"/>
  <c r="P1775" i="4"/>
  <c r="A1776" i="4"/>
  <c r="B1776" i="4"/>
  <c r="E1776" i="4"/>
  <c r="H1776" i="4"/>
  <c r="L1776" i="4"/>
  <c r="M1776" i="4"/>
  <c r="N1776" i="4"/>
  <c r="P1776" i="4"/>
  <c r="A1777" i="4"/>
  <c r="B1777" i="4"/>
  <c r="E1777" i="4"/>
  <c r="H1777" i="4"/>
  <c r="L1777" i="4"/>
  <c r="M1777" i="4"/>
  <c r="N1777" i="4"/>
  <c r="P1777" i="4"/>
  <c r="A1778" i="4"/>
  <c r="B1778" i="4"/>
  <c r="E1778" i="4"/>
  <c r="H1778" i="4"/>
  <c r="L1778" i="4"/>
  <c r="M1778" i="4"/>
  <c r="N1778" i="4"/>
  <c r="P1778" i="4"/>
  <c r="A1779" i="4"/>
  <c r="B1779" i="4"/>
  <c r="E1779" i="4"/>
  <c r="H1779" i="4"/>
  <c r="L1779" i="4"/>
  <c r="M1779" i="4"/>
  <c r="N1779" i="4"/>
  <c r="P1779" i="4"/>
  <c r="A1780" i="4"/>
  <c r="B1780" i="4"/>
  <c r="E1780" i="4"/>
  <c r="H1780" i="4"/>
  <c r="L1780" i="4"/>
  <c r="M1780" i="4"/>
  <c r="N1780" i="4"/>
  <c r="P1780" i="4"/>
  <c r="A1781" i="4"/>
  <c r="B1781" i="4"/>
  <c r="E1781" i="4"/>
  <c r="H1781" i="4"/>
  <c r="L1781" i="4"/>
  <c r="M1781" i="4"/>
  <c r="N1781" i="4"/>
  <c r="P1781" i="4"/>
  <c r="A1782" i="4"/>
  <c r="B1782" i="4"/>
  <c r="E1782" i="4"/>
  <c r="H1782" i="4"/>
  <c r="L1782" i="4"/>
  <c r="M1782" i="4"/>
  <c r="N1782" i="4"/>
  <c r="P1782" i="4"/>
  <c r="A1783" i="4"/>
  <c r="B1783" i="4"/>
  <c r="E1783" i="4"/>
  <c r="H1783" i="4"/>
  <c r="L1783" i="4"/>
  <c r="M1783" i="4"/>
  <c r="N1783" i="4"/>
  <c r="P1783" i="4"/>
  <c r="A1784" i="4"/>
  <c r="B1784" i="4"/>
  <c r="E1784" i="4"/>
  <c r="H1784" i="4"/>
  <c r="L1784" i="4"/>
  <c r="M1784" i="4"/>
  <c r="N1784" i="4"/>
  <c r="P1784" i="4"/>
  <c r="A1785" i="4"/>
  <c r="B1785" i="4"/>
  <c r="E1785" i="4"/>
  <c r="H1785" i="4"/>
  <c r="L1785" i="4"/>
  <c r="M1785" i="4"/>
  <c r="N1785" i="4"/>
  <c r="P1785" i="4"/>
  <c r="A1786" i="4"/>
  <c r="B1786" i="4"/>
  <c r="E1786" i="4"/>
  <c r="H1786" i="4"/>
  <c r="L1786" i="4"/>
  <c r="M1786" i="4"/>
  <c r="N1786" i="4"/>
  <c r="P1786" i="4"/>
  <c r="A1787" i="4"/>
  <c r="B1787" i="4"/>
  <c r="E1787" i="4"/>
  <c r="H1787" i="4"/>
  <c r="L1787" i="4"/>
  <c r="M1787" i="4"/>
  <c r="N1787" i="4"/>
  <c r="P1787" i="4"/>
  <c r="A1788" i="4"/>
  <c r="B1788" i="4"/>
  <c r="E1788" i="4"/>
  <c r="H1788" i="4"/>
  <c r="L1788" i="4"/>
  <c r="M1788" i="4"/>
  <c r="N1788" i="4"/>
  <c r="P1788" i="4"/>
  <c r="A1789" i="4"/>
  <c r="B1789" i="4"/>
  <c r="E1789" i="4"/>
  <c r="H1789" i="4"/>
  <c r="L1789" i="4"/>
  <c r="M1789" i="4"/>
  <c r="N1789" i="4"/>
  <c r="P1789" i="4"/>
  <c r="A1790" i="4"/>
  <c r="B1790" i="4"/>
  <c r="E1790" i="4"/>
  <c r="H1790" i="4"/>
  <c r="L1790" i="4"/>
  <c r="M1790" i="4"/>
  <c r="N1790" i="4"/>
  <c r="P1790" i="4"/>
  <c r="A1791" i="4"/>
  <c r="B1791" i="4"/>
  <c r="E1791" i="4"/>
  <c r="H1791" i="4"/>
  <c r="L1791" i="4"/>
  <c r="M1791" i="4"/>
  <c r="N1791" i="4"/>
  <c r="P1791" i="4"/>
  <c r="A1792" i="4"/>
  <c r="B1792" i="4"/>
  <c r="E1792" i="4"/>
  <c r="H1792" i="4"/>
  <c r="L1792" i="4"/>
  <c r="M1792" i="4"/>
  <c r="N1792" i="4"/>
  <c r="P1792" i="4"/>
  <c r="A1793" i="4"/>
  <c r="B1793" i="4"/>
  <c r="E1793" i="4"/>
  <c r="H1793" i="4"/>
  <c r="L1793" i="4"/>
  <c r="M1793" i="4"/>
  <c r="N1793" i="4"/>
  <c r="P1793" i="4"/>
  <c r="A1794" i="4"/>
  <c r="B1794" i="4"/>
  <c r="E1794" i="4"/>
  <c r="H1794" i="4"/>
  <c r="L1794" i="4"/>
  <c r="M1794" i="4"/>
  <c r="N1794" i="4"/>
  <c r="P1794" i="4"/>
  <c r="A1795" i="4"/>
  <c r="B1795" i="4"/>
  <c r="E1795" i="4"/>
  <c r="H1795" i="4"/>
  <c r="L1795" i="4"/>
  <c r="M1795" i="4"/>
  <c r="N1795" i="4"/>
  <c r="P1795" i="4"/>
  <c r="A1796" i="4"/>
  <c r="B1796" i="4"/>
  <c r="E1796" i="4"/>
  <c r="H1796" i="4"/>
  <c r="L1796" i="4"/>
  <c r="M1796" i="4"/>
  <c r="N1796" i="4"/>
  <c r="P1796" i="4"/>
  <c r="A1797" i="4"/>
  <c r="B1797" i="4"/>
  <c r="E1797" i="4"/>
  <c r="H1797" i="4"/>
  <c r="L1797" i="4"/>
  <c r="M1797" i="4"/>
  <c r="N1797" i="4"/>
  <c r="P1797" i="4"/>
  <c r="A1798" i="4"/>
  <c r="B1798" i="4"/>
  <c r="E1798" i="4"/>
  <c r="H1798" i="4"/>
  <c r="L1798" i="4"/>
  <c r="M1798" i="4"/>
  <c r="N1798" i="4"/>
  <c r="P1798" i="4"/>
  <c r="A1799" i="4"/>
  <c r="B1799" i="4"/>
  <c r="E1799" i="4"/>
  <c r="H1799" i="4"/>
  <c r="L1799" i="4"/>
  <c r="M1799" i="4"/>
  <c r="N1799" i="4"/>
  <c r="P1799" i="4"/>
  <c r="A1800" i="4"/>
  <c r="B1800" i="4"/>
  <c r="E1800" i="4"/>
  <c r="H1800" i="4"/>
  <c r="L1800" i="4"/>
  <c r="M1800" i="4"/>
  <c r="N1800" i="4"/>
  <c r="P1800" i="4"/>
  <c r="A1801" i="4"/>
  <c r="B1801" i="4"/>
  <c r="E1801" i="4"/>
  <c r="H1801" i="4"/>
  <c r="L1801" i="4"/>
  <c r="M1801" i="4"/>
  <c r="N1801" i="4"/>
  <c r="P1801" i="4"/>
  <c r="A1802" i="4"/>
  <c r="B1802" i="4"/>
  <c r="E1802" i="4"/>
  <c r="H1802" i="4"/>
  <c r="L1802" i="4"/>
  <c r="M1802" i="4"/>
  <c r="N1802" i="4"/>
  <c r="P1802" i="4"/>
  <c r="A1803" i="4"/>
  <c r="B1803" i="4"/>
  <c r="E1803" i="4"/>
  <c r="H1803" i="4"/>
  <c r="L1803" i="4"/>
  <c r="M1803" i="4"/>
  <c r="N1803" i="4"/>
  <c r="P1803" i="4"/>
  <c r="A1804" i="4"/>
  <c r="B1804" i="4"/>
  <c r="E1804" i="4"/>
  <c r="H1804" i="4"/>
  <c r="L1804" i="4"/>
  <c r="M1804" i="4"/>
  <c r="N1804" i="4"/>
  <c r="P1804" i="4"/>
  <c r="A1805" i="4"/>
  <c r="B1805" i="4"/>
  <c r="E1805" i="4"/>
  <c r="H1805" i="4"/>
  <c r="L1805" i="4"/>
  <c r="M1805" i="4"/>
  <c r="N1805" i="4"/>
  <c r="P1805" i="4"/>
  <c r="A1806" i="4"/>
  <c r="B1806" i="4"/>
  <c r="E1806" i="4"/>
  <c r="H1806" i="4"/>
  <c r="L1806" i="4"/>
  <c r="M1806" i="4"/>
  <c r="N1806" i="4"/>
  <c r="P1806" i="4"/>
  <c r="A1807" i="4"/>
  <c r="B1807" i="4"/>
  <c r="E1807" i="4"/>
  <c r="H1807" i="4"/>
  <c r="L1807" i="4"/>
  <c r="M1807" i="4"/>
  <c r="N1807" i="4"/>
  <c r="P1807" i="4"/>
  <c r="A1808" i="4"/>
  <c r="B1808" i="4"/>
  <c r="E1808" i="4"/>
  <c r="H1808" i="4"/>
  <c r="L1808" i="4"/>
  <c r="M1808" i="4"/>
  <c r="N1808" i="4"/>
  <c r="P1808" i="4"/>
  <c r="A1809" i="4"/>
  <c r="B1809" i="4"/>
  <c r="E1809" i="4"/>
  <c r="H1809" i="4"/>
  <c r="L1809" i="4"/>
  <c r="M1809" i="4"/>
  <c r="N1809" i="4"/>
  <c r="P1809" i="4"/>
  <c r="A1810" i="4"/>
  <c r="B1810" i="4"/>
  <c r="E1810" i="4"/>
  <c r="H1810" i="4"/>
  <c r="L1810" i="4"/>
  <c r="M1810" i="4"/>
  <c r="N1810" i="4"/>
  <c r="P1810" i="4"/>
  <c r="A1811" i="4"/>
  <c r="B1811" i="4"/>
  <c r="E1811" i="4"/>
  <c r="H1811" i="4"/>
  <c r="L1811" i="4"/>
  <c r="M1811" i="4"/>
  <c r="N1811" i="4"/>
  <c r="P1811" i="4"/>
  <c r="A1812" i="4"/>
  <c r="B1812" i="4"/>
  <c r="E1812" i="4"/>
  <c r="H1812" i="4"/>
  <c r="L1812" i="4"/>
  <c r="M1812" i="4"/>
  <c r="N1812" i="4"/>
  <c r="P1812" i="4"/>
  <c r="A1813" i="4"/>
  <c r="B1813" i="4"/>
  <c r="E1813" i="4"/>
  <c r="H1813" i="4"/>
  <c r="L1813" i="4"/>
  <c r="M1813" i="4"/>
  <c r="N1813" i="4"/>
  <c r="P1813" i="4"/>
  <c r="A1814" i="4"/>
  <c r="B1814" i="4"/>
  <c r="E1814" i="4"/>
  <c r="H1814" i="4"/>
  <c r="L1814" i="4"/>
  <c r="M1814" i="4"/>
  <c r="N1814" i="4"/>
  <c r="P1814" i="4"/>
  <c r="A1815" i="4"/>
  <c r="B1815" i="4"/>
  <c r="E1815" i="4"/>
  <c r="H1815" i="4"/>
  <c r="L1815" i="4"/>
  <c r="M1815" i="4"/>
  <c r="N1815" i="4"/>
  <c r="P1815" i="4"/>
  <c r="A1816" i="4"/>
  <c r="B1816" i="4"/>
  <c r="E1816" i="4"/>
  <c r="H1816" i="4"/>
  <c r="L1816" i="4"/>
  <c r="M1816" i="4"/>
  <c r="N1816" i="4"/>
  <c r="P1816" i="4"/>
  <c r="A1817" i="4"/>
  <c r="B1817" i="4"/>
  <c r="E1817" i="4"/>
  <c r="H1817" i="4"/>
  <c r="L1817" i="4"/>
  <c r="M1817" i="4"/>
  <c r="N1817" i="4"/>
  <c r="P1817" i="4"/>
  <c r="A1818" i="4"/>
  <c r="B1818" i="4"/>
  <c r="E1818" i="4"/>
  <c r="H1818" i="4"/>
  <c r="L1818" i="4"/>
  <c r="M1818" i="4"/>
  <c r="N1818" i="4"/>
  <c r="P1818" i="4"/>
  <c r="A1819" i="4"/>
  <c r="B1819" i="4"/>
  <c r="E1819" i="4"/>
  <c r="H1819" i="4"/>
  <c r="L1819" i="4"/>
  <c r="M1819" i="4"/>
  <c r="N1819" i="4"/>
  <c r="P1819" i="4"/>
  <c r="A1820" i="4"/>
  <c r="B1820" i="4"/>
  <c r="E1820" i="4"/>
  <c r="H1820" i="4"/>
  <c r="L1820" i="4"/>
  <c r="M1820" i="4"/>
  <c r="N1820" i="4"/>
  <c r="P1820" i="4"/>
  <c r="A1821" i="4"/>
  <c r="B1821" i="4"/>
  <c r="E1821" i="4"/>
  <c r="H1821" i="4"/>
  <c r="L1821" i="4"/>
  <c r="M1821" i="4"/>
  <c r="N1821" i="4"/>
  <c r="P1821" i="4"/>
  <c r="A1822" i="4"/>
  <c r="B1822" i="4"/>
  <c r="E1822" i="4"/>
  <c r="H1822" i="4"/>
  <c r="L1822" i="4"/>
  <c r="M1822" i="4"/>
  <c r="N1822" i="4"/>
  <c r="P1822" i="4"/>
  <c r="A1823" i="4"/>
  <c r="B1823" i="4"/>
  <c r="E1823" i="4"/>
  <c r="H1823" i="4"/>
  <c r="L1823" i="4"/>
  <c r="M1823" i="4"/>
  <c r="N1823" i="4"/>
  <c r="P1823" i="4"/>
  <c r="A1824" i="4"/>
  <c r="B1824" i="4"/>
  <c r="E1824" i="4"/>
  <c r="H1824" i="4"/>
  <c r="L1824" i="4"/>
  <c r="M1824" i="4"/>
  <c r="N1824" i="4"/>
  <c r="P1824" i="4"/>
  <c r="A1825" i="4"/>
  <c r="B1825" i="4"/>
  <c r="E1825" i="4"/>
  <c r="H1825" i="4"/>
  <c r="L1825" i="4"/>
  <c r="M1825" i="4"/>
  <c r="N1825" i="4"/>
  <c r="P1825" i="4"/>
  <c r="A1826" i="4"/>
  <c r="B1826" i="4"/>
  <c r="E1826" i="4"/>
  <c r="H1826" i="4"/>
  <c r="L1826" i="4"/>
  <c r="M1826" i="4"/>
  <c r="N1826" i="4"/>
  <c r="P1826" i="4"/>
  <c r="A1827" i="4"/>
  <c r="B1827" i="4"/>
  <c r="E1827" i="4"/>
  <c r="H1827" i="4"/>
  <c r="L1827" i="4"/>
  <c r="M1827" i="4"/>
  <c r="N1827" i="4"/>
  <c r="P1827" i="4"/>
  <c r="A1828" i="4"/>
  <c r="B1828" i="4"/>
  <c r="E1828" i="4"/>
  <c r="H1828" i="4"/>
  <c r="L1828" i="4"/>
  <c r="M1828" i="4"/>
  <c r="N1828" i="4"/>
  <c r="P1828" i="4"/>
  <c r="A1829" i="4"/>
  <c r="B1829" i="4"/>
  <c r="E1829" i="4"/>
  <c r="H1829" i="4"/>
  <c r="L1829" i="4"/>
  <c r="M1829" i="4"/>
  <c r="N1829" i="4"/>
  <c r="P1829" i="4"/>
  <c r="A1830" i="4"/>
  <c r="B1830" i="4"/>
  <c r="E1830" i="4"/>
  <c r="H1830" i="4"/>
  <c r="L1830" i="4"/>
  <c r="M1830" i="4"/>
  <c r="N1830" i="4"/>
  <c r="P1830" i="4"/>
  <c r="A1831" i="4"/>
  <c r="B1831" i="4"/>
  <c r="E1831" i="4"/>
  <c r="H1831" i="4"/>
  <c r="L1831" i="4"/>
  <c r="M1831" i="4"/>
  <c r="N1831" i="4"/>
  <c r="P1831" i="4"/>
  <c r="A1832" i="4"/>
  <c r="B1832" i="4"/>
  <c r="E1832" i="4"/>
  <c r="H1832" i="4"/>
  <c r="L1832" i="4"/>
  <c r="M1832" i="4"/>
  <c r="N1832" i="4"/>
  <c r="P1832" i="4"/>
  <c r="A1833" i="4"/>
  <c r="B1833" i="4"/>
  <c r="E1833" i="4"/>
  <c r="H1833" i="4"/>
  <c r="L1833" i="4"/>
  <c r="M1833" i="4"/>
  <c r="N1833" i="4"/>
  <c r="P1833" i="4"/>
  <c r="A1834" i="4"/>
  <c r="B1834" i="4"/>
  <c r="E1834" i="4"/>
  <c r="H1834" i="4"/>
  <c r="L1834" i="4"/>
  <c r="M1834" i="4"/>
  <c r="N1834" i="4"/>
  <c r="P1834" i="4"/>
  <c r="A1835" i="4"/>
  <c r="B1835" i="4"/>
  <c r="E1835" i="4"/>
  <c r="H1835" i="4"/>
  <c r="L1835" i="4"/>
  <c r="M1835" i="4"/>
  <c r="N1835" i="4"/>
  <c r="P1835" i="4"/>
  <c r="A1836" i="4"/>
  <c r="B1836" i="4"/>
  <c r="E1836" i="4"/>
  <c r="H1836" i="4"/>
  <c r="L1836" i="4"/>
  <c r="M1836" i="4"/>
  <c r="N1836" i="4"/>
  <c r="P1836" i="4"/>
  <c r="A1837" i="4"/>
  <c r="B1837" i="4"/>
  <c r="E1837" i="4"/>
  <c r="H1837" i="4"/>
  <c r="L1837" i="4"/>
  <c r="M1837" i="4"/>
  <c r="N1837" i="4"/>
  <c r="P1837" i="4"/>
  <c r="A1838" i="4"/>
  <c r="B1838" i="4"/>
  <c r="E1838" i="4"/>
  <c r="H1838" i="4"/>
  <c r="L1838" i="4"/>
  <c r="M1838" i="4"/>
  <c r="N1838" i="4"/>
  <c r="P1838" i="4"/>
  <c r="A1839" i="4"/>
  <c r="B1839" i="4"/>
  <c r="E1839" i="4"/>
  <c r="H1839" i="4"/>
  <c r="L1839" i="4"/>
  <c r="M1839" i="4"/>
  <c r="N1839" i="4"/>
  <c r="P1839" i="4"/>
  <c r="A1840" i="4"/>
  <c r="B1840" i="4"/>
  <c r="E1840" i="4"/>
  <c r="H1840" i="4"/>
  <c r="L1840" i="4"/>
  <c r="M1840" i="4"/>
  <c r="N1840" i="4"/>
  <c r="P1840" i="4"/>
  <c r="A1841" i="4"/>
  <c r="B1841" i="4"/>
  <c r="E1841" i="4"/>
  <c r="H1841" i="4"/>
  <c r="L1841" i="4"/>
  <c r="M1841" i="4"/>
  <c r="N1841" i="4"/>
  <c r="P1841" i="4"/>
  <c r="A1842" i="4"/>
  <c r="B1842" i="4"/>
  <c r="E1842" i="4"/>
  <c r="H1842" i="4"/>
  <c r="L1842" i="4"/>
  <c r="M1842" i="4"/>
  <c r="N1842" i="4"/>
  <c r="P1842" i="4"/>
  <c r="A1843" i="4"/>
  <c r="B1843" i="4"/>
  <c r="E1843" i="4"/>
  <c r="H1843" i="4"/>
  <c r="L1843" i="4"/>
  <c r="M1843" i="4"/>
  <c r="N1843" i="4"/>
  <c r="P1843" i="4"/>
  <c r="A1844" i="4"/>
  <c r="B1844" i="4"/>
  <c r="E1844" i="4"/>
  <c r="H1844" i="4"/>
  <c r="L1844" i="4"/>
  <c r="M1844" i="4"/>
  <c r="N1844" i="4"/>
  <c r="P1844" i="4"/>
  <c r="A1845" i="4"/>
  <c r="B1845" i="4"/>
  <c r="E1845" i="4"/>
  <c r="H1845" i="4"/>
  <c r="L1845" i="4"/>
  <c r="M1845" i="4"/>
  <c r="N1845" i="4"/>
  <c r="P1845" i="4"/>
  <c r="A1846" i="4"/>
  <c r="B1846" i="4"/>
  <c r="E1846" i="4"/>
  <c r="H1846" i="4"/>
  <c r="L1846" i="4"/>
  <c r="M1846" i="4"/>
  <c r="N1846" i="4"/>
  <c r="P1846" i="4"/>
  <c r="A1847" i="4"/>
  <c r="B1847" i="4"/>
  <c r="E1847" i="4"/>
  <c r="H1847" i="4"/>
  <c r="L1847" i="4"/>
  <c r="M1847" i="4"/>
  <c r="N1847" i="4"/>
  <c r="P1847" i="4"/>
  <c r="A1848" i="4"/>
  <c r="B1848" i="4"/>
  <c r="E1848" i="4"/>
  <c r="H1848" i="4"/>
  <c r="L1848" i="4"/>
  <c r="M1848" i="4"/>
  <c r="N1848" i="4"/>
  <c r="P1848" i="4"/>
  <c r="A1849" i="4"/>
  <c r="B1849" i="4"/>
  <c r="E1849" i="4"/>
  <c r="H1849" i="4"/>
  <c r="L1849" i="4"/>
  <c r="M1849" i="4"/>
  <c r="N1849" i="4"/>
  <c r="P1849" i="4"/>
  <c r="A1850" i="4"/>
  <c r="B1850" i="4"/>
  <c r="E1850" i="4"/>
  <c r="H1850" i="4"/>
  <c r="L1850" i="4"/>
  <c r="M1850" i="4"/>
  <c r="N1850" i="4"/>
  <c r="P1850" i="4"/>
  <c r="A1851" i="4"/>
  <c r="B1851" i="4"/>
  <c r="E1851" i="4"/>
  <c r="H1851" i="4"/>
  <c r="L1851" i="4"/>
  <c r="M1851" i="4"/>
  <c r="N1851" i="4"/>
  <c r="P1851" i="4"/>
  <c r="A1852" i="4"/>
  <c r="B1852" i="4"/>
  <c r="E1852" i="4"/>
  <c r="H1852" i="4"/>
  <c r="L1852" i="4"/>
  <c r="M1852" i="4"/>
  <c r="N1852" i="4"/>
  <c r="P1852" i="4"/>
  <c r="A1853" i="4"/>
  <c r="B1853" i="4"/>
  <c r="E1853" i="4"/>
  <c r="H1853" i="4"/>
  <c r="L1853" i="4"/>
  <c r="M1853" i="4"/>
  <c r="N1853" i="4"/>
  <c r="P1853" i="4"/>
  <c r="A1854" i="4"/>
  <c r="B1854" i="4"/>
  <c r="E1854" i="4"/>
  <c r="H1854" i="4"/>
  <c r="L1854" i="4"/>
  <c r="M1854" i="4"/>
  <c r="N1854" i="4"/>
  <c r="P1854" i="4"/>
  <c r="A1855" i="4"/>
  <c r="B1855" i="4"/>
  <c r="E1855" i="4"/>
  <c r="H1855" i="4"/>
  <c r="L1855" i="4"/>
  <c r="M1855" i="4"/>
  <c r="N1855" i="4"/>
  <c r="P1855" i="4"/>
  <c r="A1856" i="4"/>
  <c r="B1856" i="4"/>
  <c r="E1856" i="4"/>
  <c r="H1856" i="4"/>
  <c r="L1856" i="4"/>
  <c r="M1856" i="4"/>
  <c r="N1856" i="4"/>
  <c r="P1856" i="4"/>
  <c r="A1857" i="4"/>
  <c r="B1857" i="4"/>
  <c r="E1857" i="4"/>
  <c r="H1857" i="4"/>
  <c r="L1857" i="4"/>
  <c r="M1857" i="4"/>
  <c r="N1857" i="4"/>
  <c r="P1857" i="4"/>
  <c r="A1858" i="4"/>
  <c r="B1858" i="4"/>
  <c r="E1858" i="4"/>
  <c r="H1858" i="4"/>
  <c r="L1858" i="4"/>
  <c r="M1858" i="4"/>
  <c r="N1858" i="4"/>
  <c r="P1858" i="4"/>
  <c r="A1859" i="4"/>
  <c r="B1859" i="4"/>
  <c r="E1859" i="4"/>
  <c r="H1859" i="4"/>
  <c r="L1859" i="4"/>
  <c r="M1859" i="4"/>
  <c r="N1859" i="4"/>
  <c r="P1859" i="4"/>
  <c r="A1860" i="4"/>
  <c r="B1860" i="4"/>
  <c r="E1860" i="4"/>
  <c r="H1860" i="4"/>
  <c r="L1860" i="4"/>
  <c r="M1860" i="4"/>
  <c r="N1860" i="4"/>
  <c r="P1860" i="4"/>
  <c r="A1861" i="4"/>
  <c r="B1861" i="4"/>
  <c r="E1861" i="4"/>
  <c r="H1861" i="4"/>
  <c r="L1861" i="4"/>
  <c r="M1861" i="4"/>
  <c r="N1861" i="4"/>
  <c r="P1861" i="4"/>
  <c r="A1862" i="4"/>
  <c r="B1862" i="4"/>
  <c r="E1862" i="4"/>
  <c r="H1862" i="4"/>
  <c r="L1862" i="4"/>
  <c r="M1862" i="4"/>
  <c r="N1862" i="4"/>
  <c r="P1862" i="4"/>
  <c r="A1863" i="4"/>
  <c r="B1863" i="4"/>
  <c r="E1863" i="4"/>
  <c r="H1863" i="4"/>
  <c r="L1863" i="4"/>
  <c r="M1863" i="4"/>
  <c r="N1863" i="4"/>
  <c r="P1863" i="4"/>
  <c r="A1864" i="4"/>
  <c r="B1864" i="4"/>
  <c r="E1864" i="4"/>
  <c r="H1864" i="4"/>
  <c r="L1864" i="4"/>
  <c r="M1864" i="4"/>
  <c r="N1864" i="4"/>
  <c r="P1864" i="4"/>
  <c r="A1865" i="4"/>
  <c r="B1865" i="4"/>
  <c r="E1865" i="4"/>
  <c r="H1865" i="4"/>
  <c r="L1865" i="4"/>
  <c r="M1865" i="4"/>
  <c r="N1865" i="4"/>
  <c r="P1865" i="4"/>
  <c r="A1866" i="4"/>
  <c r="B1866" i="4"/>
  <c r="E1866" i="4"/>
  <c r="H1866" i="4"/>
  <c r="L1866" i="4"/>
  <c r="M1866" i="4"/>
  <c r="N1866" i="4"/>
  <c r="P1866" i="4"/>
  <c r="A1867" i="4"/>
  <c r="B1867" i="4"/>
  <c r="E1867" i="4"/>
  <c r="H1867" i="4"/>
  <c r="L1867" i="4"/>
  <c r="M1867" i="4"/>
  <c r="N1867" i="4"/>
  <c r="P1867" i="4"/>
  <c r="A1868" i="4"/>
  <c r="B1868" i="4"/>
  <c r="E1868" i="4"/>
  <c r="H1868" i="4"/>
  <c r="L1868" i="4"/>
  <c r="M1868" i="4"/>
  <c r="N1868" i="4"/>
  <c r="P1868" i="4"/>
  <c r="A1869" i="4"/>
  <c r="B1869" i="4"/>
  <c r="E1869" i="4"/>
  <c r="H1869" i="4"/>
  <c r="L1869" i="4"/>
  <c r="M1869" i="4"/>
  <c r="N1869" i="4"/>
  <c r="P1869" i="4"/>
  <c r="A1870" i="4"/>
  <c r="B1870" i="4"/>
  <c r="E1870" i="4"/>
  <c r="H1870" i="4"/>
  <c r="L1870" i="4"/>
  <c r="M1870" i="4"/>
  <c r="N1870" i="4"/>
  <c r="P1870" i="4"/>
  <c r="A1871" i="4"/>
  <c r="B1871" i="4"/>
  <c r="E1871" i="4"/>
  <c r="H1871" i="4"/>
  <c r="L1871" i="4"/>
  <c r="M1871" i="4"/>
  <c r="N1871" i="4"/>
  <c r="P1871" i="4"/>
  <c r="A1872" i="4"/>
  <c r="B1872" i="4"/>
  <c r="E1872" i="4"/>
  <c r="H1872" i="4"/>
  <c r="L1872" i="4"/>
  <c r="M1872" i="4"/>
  <c r="N1872" i="4"/>
  <c r="P1872" i="4"/>
  <c r="A1873" i="4"/>
  <c r="B1873" i="4"/>
  <c r="E1873" i="4"/>
  <c r="H1873" i="4"/>
  <c r="L1873" i="4"/>
  <c r="M1873" i="4"/>
  <c r="N1873" i="4"/>
  <c r="P1873" i="4"/>
  <c r="A1874" i="4"/>
  <c r="B1874" i="4"/>
  <c r="E1874" i="4"/>
  <c r="H1874" i="4"/>
  <c r="L1874" i="4"/>
  <c r="M1874" i="4"/>
  <c r="N1874" i="4"/>
  <c r="P1874" i="4"/>
  <c r="A1875" i="4"/>
  <c r="B1875" i="4"/>
  <c r="E1875" i="4"/>
  <c r="H1875" i="4"/>
  <c r="L1875" i="4"/>
  <c r="M1875" i="4"/>
  <c r="N1875" i="4"/>
  <c r="P1875" i="4"/>
  <c r="A1876" i="4"/>
  <c r="B1876" i="4"/>
  <c r="E1876" i="4"/>
  <c r="H1876" i="4"/>
  <c r="L1876" i="4"/>
  <c r="M1876" i="4"/>
  <c r="N1876" i="4"/>
  <c r="P1876" i="4"/>
  <c r="A1877" i="4"/>
  <c r="B1877" i="4"/>
  <c r="E1877" i="4"/>
  <c r="H1877" i="4"/>
  <c r="L1877" i="4"/>
  <c r="M1877" i="4"/>
  <c r="N1877" i="4"/>
  <c r="P1877" i="4"/>
  <c r="A1878" i="4"/>
  <c r="B1878" i="4"/>
  <c r="E1878" i="4"/>
  <c r="H1878" i="4"/>
  <c r="L1878" i="4"/>
  <c r="M1878" i="4"/>
  <c r="N1878" i="4"/>
  <c r="P1878" i="4"/>
  <c r="A1879" i="4"/>
  <c r="B1879" i="4"/>
  <c r="E1879" i="4"/>
  <c r="H1879" i="4"/>
  <c r="L1879" i="4"/>
  <c r="M1879" i="4"/>
  <c r="N1879" i="4"/>
  <c r="P1879" i="4"/>
  <c r="A1880" i="4"/>
  <c r="B1880" i="4"/>
  <c r="E1880" i="4"/>
  <c r="H1880" i="4"/>
  <c r="L1880" i="4"/>
  <c r="M1880" i="4"/>
  <c r="N1880" i="4"/>
  <c r="P1880" i="4"/>
  <c r="A1881" i="4"/>
  <c r="B1881" i="4"/>
  <c r="E1881" i="4"/>
  <c r="H1881" i="4"/>
  <c r="L1881" i="4"/>
  <c r="M1881" i="4"/>
  <c r="N1881" i="4"/>
  <c r="P1881" i="4"/>
  <c r="A1882" i="4"/>
  <c r="B1882" i="4"/>
  <c r="E1882" i="4"/>
  <c r="H1882" i="4"/>
  <c r="L1882" i="4"/>
  <c r="M1882" i="4"/>
  <c r="N1882" i="4"/>
  <c r="P1882" i="4"/>
  <c r="A1883" i="4"/>
  <c r="B1883" i="4"/>
  <c r="E1883" i="4"/>
  <c r="H1883" i="4"/>
  <c r="L1883" i="4"/>
  <c r="M1883" i="4"/>
  <c r="N1883" i="4"/>
  <c r="P1883" i="4"/>
  <c r="A1884" i="4"/>
  <c r="B1884" i="4"/>
  <c r="E1884" i="4"/>
  <c r="H1884" i="4"/>
  <c r="L1884" i="4"/>
  <c r="M1884" i="4"/>
  <c r="N1884" i="4"/>
  <c r="P1884" i="4"/>
  <c r="A1885" i="4"/>
  <c r="B1885" i="4"/>
  <c r="E1885" i="4"/>
  <c r="H1885" i="4"/>
  <c r="L1885" i="4"/>
  <c r="M1885" i="4"/>
  <c r="N1885" i="4"/>
  <c r="P1885" i="4"/>
  <c r="A1886" i="4"/>
  <c r="B1886" i="4"/>
  <c r="E1886" i="4"/>
  <c r="H1886" i="4"/>
  <c r="L1886" i="4"/>
  <c r="M1886" i="4"/>
  <c r="N1886" i="4"/>
  <c r="P1886" i="4"/>
  <c r="A1887" i="4"/>
  <c r="B1887" i="4"/>
  <c r="E1887" i="4"/>
  <c r="H1887" i="4"/>
  <c r="L1887" i="4"/>
  <c r="M1887" i="4"/>
  <c r="N1887" i="4"/>
  <c r="P1887" i="4"/>
  <c r="A1888" i="4"/>
  <c r="B1888" i="4"/>
  <c r="E1888" i="4"/>
  <c r="H1888" i="4"/>
  <c r="L1888" i="4"/>
  <c r="M1888" i="4"/>
  <c r="N1888" i="4"/>
  <c r="P1888" i="4"/>
  <c r="A1889" i="4"/>
  <c r="B1889" i="4"/>
  <c r="E1889" i="4"/>
  <c r="H1889" i="4"/>
  <c r="L1889" i="4"/>
  <c r="M1889" i="4"/>
  <c r="N1889" i="4"/>
  <c r="P1889" i="4"/>
  <c r="A1890" i="4"/>
  <c r="B1890" i="4"/>
  <c r="E1890" i="4"/>
  <c r="H1890" i="4"/>
  <c r="L1890" i="4"/>
  <c r="M1890" i="4"/>
  <c r="N1890" i="4"/>
  <c r="P1890" i="4"/>
  <c r="A1891" i="4"/>
  <c r="B1891" i="4"/>
  <c r="E1891" i="4"/>
  <c r="H1891" i="4"/>
  <c r="L1891" i="4"/>
  <c r="M1891" i="4"/>
  <c r="N1891" i="4"/>
  <c r="P1891" i="4"/>
  <c r="A1892" i="4"/>
  <c r="B1892" i="4"/>
  <c r="E1892" i="4"/>
  <c r="H1892" i="4"/>
  <c r="L1892" i="4"/>
  <c r="M1892" i="4"/>
  <c r="N1892" i="4"/>
  <c r="P1892" i="4"/>
  <c r="A1893" i="4"/>
  <c r="B1893" i="4"/>
  <c r="E1893" i="4"/>
  <c r="H1893" i="4"/>
  <c r="L1893" i="4"/>
  <c r="M1893" i="4"/>
  <c r="N1893" i="4"/>
  <c r="P1893" i="4"/>
  <c r="A1894" i="4"/>
  <c r="B1894" i="4"/>
  <c r="E1894" i="4"/>
  <c r="H1894" i="4"/>
  <c r="L1894" i="4"/>
  <c r="M1894" i="4"/>
  <c r="N1894" i="4"/>
  <c r="P1894" i="4"/>
  <c r="A1895" i="4"/>
  <c r="B1895" i="4"/>
  <c r="E1895" i="4"/>
  <c r="H1895" i="4"/>
  <c r="L1895" i="4"/>
  <c r="M1895" i="4"/>
  <c r="N1895" i="4"/>
  <c r="P1895" i="4"/>
  <c r="A1896" i="4"/>
  <c r="B1896" i="4"/>
  <c r="E1896" i="4"/>
  <c r="H1896" i="4"/>
  <c r="L1896" i="4"/>
  <c r="M1896" i="4"/>
  <c r="N1896" i="4"/>
  <c r="P1896" i="4"/>
  <c r="A1897" i="4"/>
  <c r="B1897" i="4"/>
  <c r="E1897" i="4"/>
  <c r="H1897" i="4"/>
  <c r="L1897" i="4"/>
  <c r="M1897" i="4"/>
  <c r="N1897" i="4"/>
  <c r="P1897" i="4"/>
  <c r="A1898" i="4"/>
  <c r="B1898" i="4"/>
  <c r="E1898" i="4"/>
  <c r="H1898" i="4"/>
  <c r="L1898" i="4"/>
  <c r="M1898" i="4"/>
  <c r="N1898" i="4"/>
  <c r="P1898" i="4"/>
  <c r="A1899" i="4"/>
  <c r="B1899" i="4"/>
  <c r="E1899" i="4"/>
  <c r="H1899" i="4"/>
  <c r="L1899" i="4"/>
  <c r="M1899" i="4"/>
  <c r="N1899" i="4"/>
  <c r="P1899" i="4"/>
  <c r="A1900" i="4"/>
  <c r="B1900" i="4"/>
  <c r="E1900" i="4"/>
  <c r="H1900" i="4"/>
  <c r="L1900" i="4"/>
  <c r="M1900" i="4"/>
  <c r="N1900" i="4"/>
  <c r="P1900" i="4"/>
  <c r="A1901" i="4"/>
  <c r="B1901" i="4"/>
  <c r="E1901" i="4"/>
  <c r="H1901" i="4"/>
  <c r="L1901" i="4"/>
  <c r="M1901" i="4"/>
  <c r="N1901" i="4"/>
  <c r="P1901" i="4"/>
  <c r="A1902" i="4"/>
  <c r="B1902" i="4"/>
  <c r="E1902" i="4"/>
  <c r="H1902" i="4"/>
  <c r="L1902" i="4"/>
  <c r="M1902" i="4"/>
  <c r="N1902" i="4"/>
  <c r="P1902" i="4"/>
  <c r="A1903" i="4"/>
  <c r="B1903" i="4"/>
  <c r="E1903" i="4"/>
  <c r="H1903" i="4"/>
  <c r="L1903" i="4"/>
  <c r="M1903" i="4"/>
  <c r="N1903" i="4"/>
  <c r="P1903" i="4"/>
  <c r="A1904" i="4"/>
  <c r="B1904" i="4"/>
  <c r="E1904" i="4"/>
  <c r="H1904" i="4"/>
  <c r="L1904" i="4"/>
  <c r="M1904" i="4"/>
  <c r="N1904" i="4"/>
  <c r="P1904" i="4"/>
  <c r="A1905" i="4"/>
  <c r="B1905" i="4"/>
  <c r="E1905" i="4"/>
  <c r="H1905" i="4"/>
  <c r="L1905" i="4"/>
  <c r="M1905" i="4"/>
  <c r="N1905" i="4"/>
  <c r="P1905" i="4"/>
  <c r="A1906" i="4"/>
  <c r="B1906" i="4"/>
  <c r="E1906" i="4"/>
  <c r="H1906" i="4"/>
  <c r="L1906" i="4"/>
  <c r="M1906" i="4"/>
  <c r="N1906" i="4"/>
  <c r="P1906" i="4"/>
  <c r="A1907" i="4"/>
  <c r="B1907" i="4"/>
  <c r="E1907" i="4"/>
  <c r="H1907" i="4"/>
  <c r="L1907" i="4"/>
  <c r="M1907" i="4"/>
  <c r="N1907" i="4"/>
  <c r="P1907" i="4"/>
  <c r="A1908" i="4"/>
  <c r="B1908" i="4"/>
  <c r="E1908" i="4"/>
  <c r="H1908" i="4"/>
  <c r="L1908" i="4"/>
  <c r="M1908" i="4"/>
  <c r="N1908" i="4"/>
  <c r="P1908" i="4"/>
  <c r="A1909" i="4"/>
  <c r="B1909" i="4"/>
  <c r="E1909" i="4"/>
  <c r="H1909" i="4"/>
  <c r="L1909" i="4"/>
  <c r="M1909" i="4"/>
  <c r="N1909" i="4"/>
  <c r="P1909" i="4"/>
  <c r="A1910" i="4"/>
  <c r="B1910" i="4"/>
  <c r="E1910" i="4"/>
  <c r="H1910" i="4"/>
  <c r="L1910" i="4"/>
  <c r="M1910" i="4"/>
  <c r="N1910" i="4"/>
  <c r="P1910" i="4"/>
  <c r="A1911" i="4"/>
  <c r="B1911" i="4"/>
  <c r="E1911" i="4"/>
  <c r="H1911" i="4"/>
  <c r="L1911" i="4"/>
  <c r="M1911" i="4"/>
  <c r="N1911" i="4"/>
  <c r="P1911" i="4"/>
  <c r="A1912" i="4"/>
  <c r="B1912" i="4"/>
  <c r="E1912" i="4"/>
  <c r="H1912" i="4"/>
  <c r="L1912" i="4"/>
  <c r="M1912" i="4"/>
  <c r="N1912" i="4"/>
  <c r="P1912" i="4"/>
  <c r="A1913" i="4"/>
  <c r="B1913" i="4"/>
  <c r="E1913" i="4"/>
  <c r="H1913" i="4"/>
  <c r="L1913" i="4"/>
  <c r="M1913" i="4"/>
  <c r="N1913" i="4"/>
  <c r="P1913" i="4"/>
  <c r="A1914" i="4"/>
  <c r="B1914" i="4"/>
  <c r="E1914" i="4"/>
  <c r="H1914" i="4"/>
  <c r="L1914" i="4"/>
  <c r="M1914" i="4"/>
  <c r="N1914" i="4"/>
  <c r="P1914" i="4"/>
  <c r="A1915" i="4"/>
  <c r="B1915" i="4"/>
  <c r="E1915" i="4"/>
  <c r="H1915" i="4"/>
  <c r="L1915" i="4"/>
  <c r="M1915" i="4"/>
  <c r="N1915" i="4"/>
  <c r="P1915" i="4"/>
  <c r="A1916" i="4"/>
  <c r="B1916" i="4"/>
  <c r="E1916" i="4"/>
  <c r="H1916" i="4"/>
  <c r="L1916" i="4"/>
  <c r="M1916" i="4"/>
  <c r="N1916" i="4"/>
  <c r="P1916" i="4"/>
  <c r="A1917" i="4"/>
  <c r="B1917" i="4"/>
  <c r="E1917" i="4"/>
  <c r="H1917" i="4"/>
  <c r="L1917" i="4"/>
  <c r="M1917" i="4"/>
  <c r="N1917" i="4"/>
  <c r="P1917" i="4"/>
  <c r="A1918" i="4"/>
  <c r="B1918" i="4"/>
  <c r="E1918" i="4"/>
  <c r="H1918" i="4"/>
  <c r="L1918" i="4"/>
  <c r="M1918" i="4"/>
  <c r="N1918" i="4"/>
  <c r="P1918" i="4"/>
  <c r="A1919" i="4"/>
  <c r="B1919" i="4"/>
  <c r="E1919" i="4"/>
  <c r="H1919" i="4"/>
  <c r="L1919" i="4"/>
  <c r="M1919" i="4"/>
  <c r="N1919" i="4"/>
  <c r="P1919" i="4"/>
  <c r="A1920" i="4"/>
  <c r="B1920" i="4"/>
  <c r="E1920" i="4"/>
  <c r="H1920" i="4"/>
  <c r="L1920" i="4"/>
  <c r="M1920" i="4"/>
  <c r="N1920" i="4"/>
  <c r="P1920" i="4"/>
  <c r="A1921" i="4"/>
  <c r="B1921" i="4"/>
  <c r="E1921" i="4"/>
  <c r="H1921" i="4"/>
  <c r="L1921" i="4"/>
  <c r="M1921" i="4"/>
  <c r="N1921" i="4"/>
  <c r="P1921" i="4"/>
  <c r="A1922" i="4"/>
  <c r="B1922" i="4"/>
  <c r="E1922" i="4"/>
  <c r="H1922" i="4"/>
  <c r="L1922" i="4"/>
  <c r="M1922" i="4"/>
  <c r="N1922" i="4"/>
  <c r="P1922" i="4"/>
  <c r="A1923" i="4"/>
  <c r="B1923" i="4"/>
  <c r="E1923" i="4"/>
  <c r="H1923" i="4"/>
  <c r="L1923" i="4"/>
  <c r="M1923" i="4"/>
  <c r="N1923" i="4"/>
  <c r="P1923" i="4"/>
  <c r="A1924" i="4"/>
  <c r="B1924" i="4"/>
  <c r="E1924" i="4"/>
  <c r="H1924" i="4"/>
  <c r="L1924" i="4"/>
  <c r="M1924" i="4"/>
  <c r="N1924" i="4"/>
  <c r="P1924" i="4"/>
  <c r="A1925" i="4"/>
  <c r="B1925" i="4"/>
  <c r="E1925" i="4"/>
  <c r="H1925" i="4"/>
  <c r="L1925" i="4"/>
  <c r="M1925" i="4"/>
  <c r="N1925" i="4"/>
  <c r="P1925" i="4"/>
  <c r="A1926" i="4"/>
  <c r="B1926" i="4"/>
  <c r="E1926" i="4"/>
  <c r="H1926" i="4"/>
  <c r="L1926" i="4"/>
  <c r="M1926" i="4"/>
  <c r="N1926" i="4"/>
  <c r="P1926" i="4"/>
  <c r="A1927" i="4"/>
  <c r="B1927" i="4"/>
  <c r="E1927" i="4"/>
  <c r="H1927" i="4"/>
  <c r="L1927" i="4"/>
  <c r="M1927" i="4"/>
  <c r="N1927" i="4"/>
  <c r="P1927" i="4"/>
  <c r="A1928" i="4"/>
  <c r="B1928" i="4"/>
  <c r="E1928" i="4"/>
  <c r="H1928" i="4"/>
  <c r="L1928" i="4"/>
  <c r="M1928" i="4"/>
  <c r="N1928" i="4"/>
  <c r="P1928" i="4"/>
  <c r="A1929" i="4"/>
  <c r="B1929" i="4"/>
  <c r="E1929" i="4"/>
  <c r="H1929" i="4"/>
  <c r="L1929" i="4"/>
  <c r="M1929" i="4"/>
  <c r="N1929" i="4"/>
  <c r="P1929" i="4"/>
  <c r="A1930" i="4"/>
  <c r="B1930" i="4"/>
  <c r="E1930" i="4"/>
  <c r="H1930" i="4"/>
  <c r="L1930" i="4"/>
  <c r="M1930" i="4"/>
  <c r="N1930" i="4"/>
  <c r="P1930" i="4"/>
  <c r="A1931" i="4"/>
  <c r="B1931" i="4"/>
  <c r="E1931" i="4"/>
  <c r="H1931" i="4"/>
  <c r="L1931" i="4"/>
  <c r="M1931" i="4"/>
  <c r="N1931" i="4"/>
  <c r="P1931" i="4"/>
  <c r="A1932" i="4"/>
  <c r="B1932" i="4"/>
  <c r="E1932" i="4"/>
  <c r="H1932" i="4"/>
  <c r="L1932" i="4"/>
  <c r="M1932" i="4"/>
  <c r="N1932" i="4"/>
  <c r="P1932" i="4"/>
  <c r="A1933" i="4"/>
  <c r="B1933" i="4"/>
  <c r="E1933" i="4"/>
  <c r="H1933" i="4"/>
  <c r="L1933" i="4"/>
  <c r="M1933" i="4"/>
  <c r="N1933" i="4"/>
  <c r="P1933" i="4"/>
  <c r="A1934" i="4"/>
  <c r="B1934" i="4"/>
  <c r="E1934" i="4"/>
  <c r="H1934" i="4"/>
  <c r="L1934" i="4"/>
  <c r="M1934" i="4"/>
  <c r="N1934" i="4"/>
  <c r="P1934" i="4"/>
  <c r="A1935" i="4"/>
  <c r="B1935" i="4"/>
  <c r="E1935" i="4"/>
  <c r="H1935" i="4"/>
  <c r="L1935" i="4"/>
  <c r="M1935" i="4"/>
  <c r="N1935" i="4"/>
  <c r="P1935" i="4"/>
  <c r="A1936" i="4"/>
  <c r="B1936" i="4"/>
  <c r="E1936" i="4"/>
  <c r="H1936" i="4"/>
  <c r="L1936" i="4"/>
  <c r="M1936" i="4"/>
  <c r="N1936" i="4"/>
  <c r="P1936" i="4"/>
  <c r="A1937" i="4"/>
  <c r="B1937" i="4"/>
  <c r="E1937" i="4"/>
  <c r="H1937" i="4"/>
  <c r="L1937" i="4"/>
  <c r="M1937" i="4"/>
  <c r="N1937" i="4"/>
  <c r="P1937" i="4"/>
  <c r="A1938" i="4"/>
  <c r="B1938" i="4"/>
  <c r="E1938" i="4"/>
  <c r="H1938" i="4"/>
  <c r="L1938" i="4"/>
  <c r="M1938" i="4"/>
  <c r="N1938" i="4"/>
  <c r="P1938" i="4"/>
  <c r="A1939" i="4"/>
  <c r="B1939" i="4"/>
  <c r="E1939" i="4"/>
  <c r="H1939" i="4"/>
  <c r="L1939" i="4"/>
  <c r="M1939" i="4"/>
  <c r="N1939" i="4"/>
  <c r="P1939" i="4"/>
  <c r="A1940" i="4"/>
  <c r="B1940" i="4"/>
  <c r="E1940" i="4"/>
  <c r="H1940" i="4"/>
  <c r="L1940" i="4"/>
  <c r="M1940" i="4"/>
  <c r="N1940" i="4"/>
  <c r="P1940" i="4"/>
  <c r="A1941" i="4"/>
  <c r="B1941" i="4"/>
  <c r="E1941" i="4"/>
  <c r="H1941" i="4"/>
  <c r="L1941" i="4"/>
  <c r="M1941" i="4"/>
  <c r="N1941" i="4"/>
  <c r="P1941" i="4"/>
  <c r="A1942" i="4"/>
  <c r="B1942" i="4"/>
  <c r="E1942" i="4"/>
  <c r="H1942" i="4"/>
  <c r="L1942" i="4"/>
  <c r="M1942" i="4"/>
  <c r="N1942" i="4"/>
  <c r="P1942" i="4"/>
  <c r="A1943" i="4"/>
  <c r="B1943" i="4"/>
  <c r="E1943" i="4"/>
  <c r="H1943" i="4"/>
  <c r="L1943" i="4"/>
  <c r="M1943" i="4"/>
  <c r="N1943" i="4"/>
  <c r="P1943" i="4"/>
  <c r="A1944" i="4"/>
  <c r="B1944" i="4"/>
  <c r="E1944" i="4"/>
  <c r="H1944" i="4"/>
  <c r="L1944" i="4"/>
  <c r="M1944" i="4"/>
  <c r="N1944" i="4"/>
  <c r="P1944" i="4"/>
  <c r="A1945" i="4"/>
  <c r="B1945" i="4"/>
  <c r="E1945" i="4"/>
  <c r="H1945" i="4"/>
  <c r="L1945" i="4"/>
  <c r="M1945" i="4"/>
  <c r="N1945" i="4"/>
  <c r="P1945" i="4"/>
  <c r="A1946" i="4"/>
  <c r="B1946" i="4"/>
  <c r="E1946" i="4"/>
  <c r="H1946" i="4"/>
  <c r="L1946" i="4"/>
  <c r="M1946" i="4"/>
  <c r="N1946" i="4"/>
  <c r="P1946" i="4"/>
  <c r="A1947" i="4"/>
  <c r="B1947" i="4"/>
  <c r="E1947" i="4"/>
  <c r="H1947" i="4"/>
  <c r="L1947" i="4"/>
  <c r="M1947" i="4"/>
  <c r="N1947" i="4"/>
  <c r="P1947" i="4"/>
  <c r="A1948" i="4"/>
  <c r="B1948" i="4"/>
  <c r="E1948" i="4"/>
  <c r="H1948" i="4"/>
  <c r="L1948" i="4"/>
  <c r="M1948" i="4"/>
  <c r="N1948" i="4"/>
  <c r="P1948" i="4"/>
  <c r="A1949" i="4"/>
  <c r="B1949" i="4"/>
  <c r="E1949" i="4"/>
  <c r="H1949" i="4"/>
  <c r="L1949" i="4"/>
  <c r="M1949" i="4"/>
  <c r="N1949" i="4"/>
  <c r="P1949" i="4"/>
  <c r="A1950" i="4"/>
  <c r="B1950" i="4"/>
  <c r="E1950" i="4"/>
  <c r="H1950" i="4"/>
  <c r="L1950" i="4"/>
  <c r="M1950" i="4"/>
  <c r="N1950" i="4"/>
  <c r="P1950" i="4"/>
  <c r="A1951" i="4"/>
  <c r="B1951" i="4"/>
  <c r="E1951" i="4"/>
  <c r="H1951" i="4"/>
  <c r="L1951" i="4"/>
  <c r="M1951" i="4"/>
  <c r="N1951" i="4"/>
  <c r="P1951" i="4"/>
  <c r="A1952" i="4"/>
  <c r="B1952" i="4"/>
  <c r="E1952" i="4"/>
  <c r="H1952" i="4"/>
  <c r="L1952" i="4"/>
  <c r="M1952" i="4"/>
  <c r="N1952" i="4"/>
  <c r="P1952" i="4"/>
  <c r="A1953" i="4"/>
  <c r="B1953" i="4"/>
  <c r="E1953" i="4"/>
  <c r="H1953" i="4"/>
  <c r="L1953" i="4"/>
  <c r="M1953" i="4"/>
  <c r="N1953" i="4"/>
  <c r="P1953" i="4"/>
  <c r="A1954" i="4"/>
  <c r="B1954" i="4"/>
  <c r="E1954" i="4"/>
  <c r="H1954" i="4"/>
  <c r="L1954" i="4"/>
  <c r="M1954" i="4"/>
  <c r="N1954" i="4"/>
  <c r="P1954" i="4"/>
  <c r="A1955" i="4"/>
  <c r="B1955" i="4"/>
  <c r="E1955" i="4"/>
  <c r="H1955" i="4"/>
  <c r="L1955" i="4"/>
  <c r="M1955" i="4"/>
  <c r="N1955" i="4"/>
  <c r="P1955" i="4"/>
  <c r="A1956" i="4"/>
  <c r="B1956" i="4"/>
  <c r="E1956" i="4"/>
  <c r="H1956" i="4"/>
  <c r="L1956" i="4"/>
  <c r="M1956" i="4"/>
  <c r="N1956" i="4"/>
  <c r="P1956" i="4"/>
  <c r="A1957" i="4"/>
  <c r="B1957" i="4"/>
  <c r="E1957" i="4"/>
  <c r="H1957" i="4"/>
  <c r="L1957" i="4"/>
  <c r="M1957" i="4"/>
  <c r="N1957" i="4"/>
  <c r="P1957" i="4"/>
  <c r="A1958" i="4"/>
  <c r="B1958" i="4"/>
  <c r="E1958" i="4"/>
  <c r="H1958" i="4"/>
  <c r="L1958" i="4"/>
  <c r="M1958" i="4"/>
  <c r="N1958" i="4"/>
  <c r="P1958" i="4"/>
  <c r="A1959" i="4"/>
  <c r="B1959" i="4"/>
  <c r="E1959" i="4"/>
  <c r="H1959" i="4"/>
  <c r="L1959" i="4"/>
  <c r="M1959" i="4"/>
  <c r="N1959" i="4"/>
  <c r="P1959" i="4"/>
  <c r="A1960" i="4"/>
  <c r="B1960" i="4"/>
  <c r="E1960" i="4"/>
  <c r="H1960" i="4"/>
  <c r="L1960" i="4"/>
  <c r="M1960" i="4"/>
  <c r="N1960" i="4"/>
  <c r="P1960" i="4"/>
  <c r="A1961" i="4"/>
  <c r="B1961" i="4"/>
  <c r="E1961" i="4"/>
  <c r="H1961" i="4"/>
  <c r="L1961" i="4"/>
  <c r="M1961" i="4"/>
  <c r="N1961" i="4"/>
  <c r="P1961" i="4"/>
  <c r="A1962" i="4"/>
  <c r="B1962" i="4"/>
  <c r="E1962" i="4"/>
  <c r="H1962" i="4"/>
  <c r="L1962" i="4"/>
  <c r="M1962" i="4"/>
  <c r="N1962" i="4"/>
  <c r="P1962" i="4"/>
  <c r="A1963" i="4"/>
  <c r="B1963" i="4"/>
  <c r="E1963" i="4"/>
  <c r="H1963" i="4"/>
  <c r="L1963" i="4"/>
  <c r="M1963" i="4"/>
  <c r="N1963" i="4"/>
  <c r="P1963" i="4"/>
  <c r="A1964" i="4"/>
  <c r="B1964" i="4"/>
  <c r="E1964" i="4"/>
  <c r="H1964" i="4"/>
  <c r="L1964" i="4"/>
  <c r="M1964" i="4"/>
  <c r="N1964" i="4"/>
  <c r="P1964" i="4"/>
  <c r="A1965" i="4"/>
  <c r="B1965" i="4"/>
  <c r="E1965" i="4"/>
  <c r="H1965" i="4"/>
  <c r="L1965" i="4"/>
  <c r="M1965" i="4"/>
  <c r="N1965" i="4"/>
  <c r="P1965" i="4"/>
  <c r="A1966" i="4"/>
  <c r="B1966" i="4"/>
  <c r="E1966" i="4"/>
  <c r="H1966" i="4"/>
  <c r="L1966" i="4"/>
  <c r="M1966" i="4"/>
  <c r="N1966" i="4"/>
  <c r="P1966" i="4"/>
  <c r="A1967" i="4"/>
  <c r="B1967" i="4"/>
  <c r="E1967" i="4"/>
  <c r="H1967" i="4"/>
  <c r="L1967" i="4"/>
  <c r="M1967" i="4"/>
  <c r="N1967" i="4"/>
  <c r="P1967" i="4"/>
  <c r="A1968" i="4"/>
  <c r="B1968" i="4"/>
  <c r="E1968" i="4"/>
  <c r="H1968" i="4"/>
  <c r="L1968" i="4"/>
  <c r="M1968" i="4"/>
  <c r="N1968" i="4"/>
  <c r="P1968" i="4"/>
  <c r="A1969" i="4"/>
  <c r="B1969" i="4"/>
  <c r="E1969" i="4"/>
  <c r="H1969" i="4"/>
  <c r="L1969" i="4"/>
  <c r="M1969" i="4"/>
  <c r="N1969" i="4"/>
  <c r="P1969" i="4"/>
  <c r="A1970" i="4"/>
  <c r="B1970" i="4"/>
  <c r="E1970" i="4"/>
  <c r="H1970" i="4"/>
  <c r="L1970" i="4"/>
  <c r="M1970" i="4"/>
  <c r="N1970" i="4"/>
  <c r="P1970" i="4"/>
  <c r="A1971" i="4"/>
  <c r="B1971" i="4"/>
  <c r="E1971" i="4"/>
  <c r="H1971" i="4"/>
  <c r="L1971" i="4"/>
  <c r="M1971" i="4"/>
  <c r="N1971" i="4"/>
  <c r="P1971" i="4"/>
  <c r="A1972" i="4"/>
  <c r="B1972" i="4"/>
  <c r="E1972" i="4"/>
  <c r="H1972" i="4"/>
  <c r="L1972" i="4"/>
  <c r="M1972" i="4"/>
  <c r="N1972" i="4"/>
  <c r="P1972" i="4"/>
  <c r="A1973" i="4"/>
  <c r="B1973" i="4"/>
  <c r="E1973" i="4"/>
  <c r="H1973" i="4"/>
  <c r="L1973" i="4"/>
  <c r="M1973" i="4"/>
  <c r="N1973" i="4"/>
  <c r="P1973" i="4"/>
  <c r="A1974" i="4"/>
  <c r="B1974" i="4"/>
  <c r="E1974" i="4"/>
  <c r="H1974" i="4"/>
  <c r="L1974" i="4"/>
  <c r="M1974" i="4"/>
  <c r="N1974" i="4"/>
  <c r="P1974" i="4"/>
  <c r="A1975" i="4"/>
  <c r="B1975" i="4"/>
  <c r="E1975" i="4"/>
  <c r="H1975" i="4"/>
  <c r="L1975" i="4"/>
  <c r="M1975" i="4"/>
  <c r="N1975" i="4"/>
  <c r="P1975" i="4"/>
  <c r="A1976" i="4"/>
  <c r="B1976" i="4"/>
  <c r="E1976" i="4"/>
  <c r="H1976" i="4"/>
  <c r="L1976" i="4"/>
  <c r="M1976" i="4"/>
  <c r="N1976" i="4"/>
  <c r="P1976" i="4"/>
  <c r="A1977" i="4"/>
  <c r="B1977" i="4"/>
  <c r="E1977" i="4"/>
  <c r="H1977" i="4"/>
  <c r="L1977" i="4"/>
  <c r="M1977" i="4"/>
  <c r="N1977" i="4"/>
  <c r="P1977" i="4"/>
  <c r="A1978" i="4"/>
  <c r="B1978" i="4"/>
  <c r="E1978" i="4"/>
  <c r="H1978" i="4"/>
  <c r="L1978" i="4"/>
  <c r="M1978" i="4"/>
  <c r="N1978" i="4"/>
  <c r="P1978" i="4"/>
  <c r="A1979" i="4"/>
  <c r="B1979" i="4"/>
  <c r="E1979" i="4"/>
  <c r="H1979" i="4"/>
  <c r="L1979" i="4"/>
  <c r="M1979" i="4"/>
  <c r="N1979" i="4"/>
  <c r="P1979" i="4"/>
  <c r="A1980" i="4"/>
  <c r="B1980" i="4"/>
  <c r="E1980" i="4"/>
  <c r="H1980" i="4"/>
  <c r="L1980" i="4"/>
  <c r="M1980" i="4"/>
  <c r="N1980" i="4"/>
  <c r="P1980" i="4"/>
  <c r="A1981" i="4"/>
  <c r="B1981" i="4"/>
  <c r="E1981" i="4"/>
  <c r="H1981" i="4"/>
  <c r="L1981" i="4"/>
  <c r="M1981" i="4"/>
  <c r="N1981" i="4"/>
  <c r="P1981" i="4"/>
  <c r="A1982" i="4"/>
  <c r="B1982" i="4"/>
  <c r="E1982" i="4"/>
  <c r="H1982" i="4"/>
  <c r="L1982" i="4"/>
  <c r="M1982" i="4"/>
  <c r="N1982" i="4"/>
  <c r="P1982" i="4"/>
  <c r="A1983" i="4"/>
  <c r="B1983" i="4"/>
  <c r="E1983" i="4"/>
  <c r="H1983" i="4"/>
  <c r="L1983" i="4"/>
  <c r="M1983" i="4"/>
  <c r="N1983" i="4"/>
  <c r="P1983" i="4"/>
  <c r="A1984" i="4"/>
  <c r="B1984" i="4"/>
  <c r="E1984" i="4"/>
  <c r="H1984" i="4"/>
  <c r="L1984" i="4"/>
  <c r="M1984" i="4"/>
  <c r="N1984" i="4"/>
  <c r="P1984" i="4"/>
  <c r="A1985" i="4"/>
  <c r="B1985" i="4"/>
  <c r="E1985" i="4"/>
  <c r="H1985" i="4"/>
  <c r="L1985" i="4"/>
  <c r="M1985" i="4"/>
  <c r="N1985" i="4"/>
  <c r="P1985" i="4"/>
  <c r="A1986" i="4"/>
  <c r="B1986" i="4"/>
  <c r="E1986" i="4"/>
  <c r="H1986" i="4"/>
  <c r="L1986" i="4"/>
  <c r="M1986" i="4"/>
  <c r="N1986" i="4"/>
  <c r="P1986" i="4"/>
  <c r="A1987" i="4"/>
  <c r="B1987" i="4"/>
  <c r="E1987" i="4"/>
  <c r="H1987" i="4"/>
  <c r="L1987" i="4"/>
  <c r="M1987" i="4"/>
  <c r="N1987" i="4"/>
  <c r="P1987" i="4"/>
  <c r="A1988" i="4"/>
  <c r="B1988" i="4"/>
  <c r="E1988" i="4"/>
  <c r="H1988" i="4"/>
  <c r="L1988" i="4"/>
  <c r="M1988" i="4"/>
  <c r="N1988" i="4"/>
  <c r="P1988" i="4"/>
  <c r="A1989" i="4"/>
  <c r="B1989" i="4"/>
  <c r="E1989" i="4"/>
  <c r="H1989" i="4"/>
  <c r="L1989" i="4"/>
  <c r="M1989" i="4"/>
  <c r="N1989" i="4"/>
  <c r="P1989" i="4"/>
  <c r="A1990" i="4"/>
  <c r="B1990" i="4"/>
  <c r="E1990" i="4"/>
  <c r="H1990" i="4"/>
  <c r="L1990" i="4"/>
  <c r="M1990" i="4"/>
  <c r="N1990" i="4"/>
  <c r="P1990" i="4"/>
  <c r="A1991" i="4"/>
  <c r="B1991" i="4"/>
  <c r="E1991" i="4"/>
  <c r="H1991" i="4"/>
  <c r="L1991" i="4"/>
  <c r="M1991" i="4"/>
  <c r="N1991" i="4"/>
  <c r="P1991" i="4"/>
  <c r="A1992" i="4"/>
  <c r="B1992" i="4"/>
  <c r="E1992" i="4"/>
  <c r="H1992" i="4"/>
  <c r="L1992" i="4"/>
  <c r="M1992" i="4"/>
  <c r="N1992" i="4"/>
  <c r="P1992" i="4"/>
  <c r="A1993" i="4"/>
  <c r="B1993" i="4"/>
  <c r="E1993" i="4"/>
  <c r="H1993" i="4"/>
  <c r="L1993" i="4"/>
  <c r="M1993" i="4"/>
  <c r="N1993" i="4"/>
  <c r="P1993" i="4"/>
  <c r="A1994" i="4"/>
  <c r="B1994" i="4"/>
  <c r="E1994" i="4"/>
  <c r="H1994" i="4"/>
  <c r="L1994" i="4"/>
  <c r="M1994" i="4"/>
  <c r="N1994" i="4"/>
  <c r="P1994" i="4"/>
  <c r="A1995" i="4"/>
  <c r="B1995" i="4"/>
  <c r="E1995" i="4"/>
  <c r="H1995" i="4"/>
  <c r="L1995" i="4"/>
  <c r="M1995" i="4"/>
  <c r="N1995" i="4"/>
  <c r="P1995" i="4"/>
  <c r="A1996" i="4"/>
  <c r="B1996" i="4"/>
  <c r="E1996" i="4"/>
  <c r="H1996" i="4"/>
  <c r="L1996" i="4"/>
  <c r="M1996" i="4"/>
  <c r="N1996" i="4"/>
  <c r="P1996" i="4"/>
  <c r="A1997" i="4"/>
  <c r="B1997" i="4"/>
  <c r="E1997" i="4"/>
  <c r="H1997" i="4"/>
  <c r="L1997" i="4"/>
  <c r="M1997" i="4"/>
  <c r="N1997" i="4"/>
  <c r="P1997" i="4"/>
  <c r="A1998" i="4"/>
  <c r="B1998" i="4"/>
  <c r="E1998" i="4"/>
  <c r="H1998" i="4"/>
  <c r="L1998" i="4"/>
  <c r="M1998" i="4"/>
  <c r="N1998" i="4"/>
  <c r="P1998" i="4"/>
  <c r="A1999" i="4"/>
  <c r="B1999" i="4"/>
  <c r="E1999" i="4"/>
  <c r="H1999" i="4"/>
  <c r="L1999" i="4"/>
  <c r="M1999" i="4"/>
  <c r="N1999" i="4"/>
  <c r="P1999" i="4"/>
  <c r="A2000" i="4"/>
  <c r="B2000" i="4"/>
  <c r="E2000" i="4"/>
  <c r="H2000" i="4"/>
  <c r="L2000" i="4"/>
  <c r="M2000" i="4"/>
  <c r="N2000" i="4"/>
  <c r="P2000" i="4"/>
  <c r="A2001" i="4"/>
  <c r="B2001" i="4"/>
  <c r="E2001" i="4"/>
  <c r="H2001" i="4"/>
  <c r="L2001" i="4"/>
  <c r="M2001" i="4"/>
  <c r="N2001" i="4"/>
  <c r="A2002" i="4"/>
  <c r="B2002" i="4"/>
  <c r="E2002" i="4"/>
  <c r="H2002" i="4"/>
  <c r="L2002" i="4"/>
  <c r="M2002" i="4"/>
  <c r="N2002" i="4"/>
  <c r="P2002" i="4"/>
  <c r="A2003" i="4"/>
  <c r="B2003" i="4"/>
  <c r="E2003" i="4"/>
  <c r="H2003" i="4"/>
  <c r="L2003" i="4"/>
  <c r="M2003" i="4"/>
  <c r="N2003" i="4"/>
  <c r="P2003" i="4"/>
  <c r="A2004" i="4"/>
  <c r="B2004" i="4"/>
  <c r="E2004" i="4"/>
  <c r="H2004" i="4"/>
  <c r="L2004" i="4"/>
  <c r="M2004" i="4"/>
  <c r="N2004" i="4"/>
  <c r="P2004" i="4"/>
  <c r="A2005" i="4"/>
  <c r="B2005" i="4"/>
  <c r="E2005" i="4"/>
  <c r="H2005" i="4"/>
  <c r="L2005" i="4"/>
  <c r="M2005" i="4"/>
  <c r="N2005" i="4"/>
  <c r="P2005" i="4"/>
  <c r="A2006" i="4"/>
  <c r="B2006" i="4"/>
  <c r="E2006" i="4"/>
  <c r="H2006" i="4"/>
  <c r="L2006" i="4"/>
  <c r="M2006" i="4"/>
  <c r="N2006" i="4"/>
  <c r="P2006" i="4"/>
  <c r="A2007" i="4"/>
  <c r="B2007" i="4"/>
  <c r="E2007" i="4"/>
  <c r="H2007" i="4"/>
  <c r="L2007" i="4"/>
  <c r="M2007" i="4"/>
  <c r="N2007" i="4"/>
  <c r="P2007" i="4"/>
  <c r="A2008" i="4"/>
  <c r="B2008" i="4"/>
  <c r="E2008" i="4"/>
  <c r="H2008" i="4"/>
  <c r="L2008" i="4"/>
  <c r="M2008" i="4"/>
  <c r="N2008" i="4"/>
  <c r="P2008" i="4"/>
  <c r="A2009" i="4"/>
  <c r="B2009" i="4"/>
  <c r="E2009" i="4"/>
  <c r="H2009" i="4"/>
  <c r="L2009" i="4"/>
  <c r="M2009" i="4"/>
  <c r="N2009" i="4"/>
  <c r="P2009" i="4"/>
  <c r="A2010" i="4"/>
  <c r="B2010" i="4"/>
  <c r="E2010" i="4"/>
  <c r="H2010" i="4"/>
  <c r="L2010" i="4"/>
  <c r="M2010" i="4"/>
  <c r="N2010" i="4"/>
  <c r="P2010" i="4"/>
  <c r="A2011" i="4"/>
  <c r="B2011" i="4"/>
  <c r="E2011" i="4"/>
  <c r="H2011" i="4"/>
  <c r="L2011" i="4"/>
  <c r="M2011" i="4"/>
  <c r="N2011" i="4"/>
  <c r="P2011" i="4"/>
  <c r="B2" i="4"/>
  <c r="A2" i="4"/>
  <c r="C7" i="4"/>
  <c r="C11" i="4"/>
  <c r="C15" i="4"/>
  <c r="C19" i="4"/>
  <c r="C23" i="4"/>
  <c r="C27" i="4"/>
  <c r="C31" i="4"/>
  <c r="C35" i="4"/>
  <c r="C39" i="4"/>
  <c r="C43" i="4"/>
  <c r="C47" i="4"/>
  <c r="C51" i="4"/>
  <c r="C55" i="4"/>
  <c r="C59" i="4"/>
  <c r="C63" i="4"/>
  <c r="C67" i="4"/>
  <c r="C71" i="4"/>
  <c r="C75" i="4"/>
  <c r="C79" i="4"/>
  <c r="C83" i="4"/>
  <c r="C87" i="4"/>
  <c r="C91" i="4"/>
  <c r="C95" i="4"/>
  <c r="C99" i="4"/>
  <c r="C103" i="4"/>
  <c r="C107" i="4"/>
  <c r="C111" i="4"/>
  <c r="C115" i="4"/>
  <c r="C119" i="4"/>
  <c r="C123" i="4"/>
  <c r="C127" i="4"/>
  <c r="C131" i="4"/>
  <c r="C135" i="4"/>
  <c r="C139" i="4"/>
  <c r="C143" i="4"/>
  <c r="C147" i="4"/>
  <c r="C151" i="4"/>
  <c r="C155" i="4"/>
  <c r="C159" i="4"/>
  <c r="C163" i="4"/>
  <c r="C167" i="4"/>
  <c r="C171" i="4"/>
  <c r="C175" i="4"/>
  <c r="C179" i="4"/>
  <c r="C183" i="4"/>
  <c r="C187" i="4"/>
  <c r="C191" i="4"/>
  <c r="C195" i="4"/>
  <c r="C199" i="4"/>
  <c r="C203" i="4"/>
  <c r="C207" i="4"/>
  <c r="C211" i="4"/>
  <c r="C215" i="4"/>
  <c r="C219" i="4"/>
  <c r="C223" i="4"/>
  <c r="C227" i="4"/>
  <c r="C231" i="4"/>
  <c r="C235" i="4"/>
  <c r="C239" i="4"/>
  <c r="C243" i="4"/>
  <c r="C247" i="4"/>
  <c r="C251" i="4"/>
  <c r="C255" i="4"/>
  <c r="C259" i="4"/>
  <c r="C263" i="4"/>
  <c r="C267" i="4"/>
  <c r="C271" i="4"/>
  <c r="C275" i="4"/>
  <c r="C279" i="4"/>
  <c r="C283" i="4"/>
  <c r="C287" i="4"/>
  <c r="C291" i="4"/>
  <c r="C295" i="4"/>
  <c r="C299" i="4"/>
  <c r="C303" i="4"/>
  <c r="C307" i="4"/>
  <c r="C311" i="4"/>
  <c r="C315" i="4"/>
  <c r="C319" i="4"/>
  <c r="C323" i="4"/>
  <c r="C327" i="4"/>
  <c r="C331" i="4"/>
  <c r="C335" i="4"/>
  <c r="C339" i="4"/>
  <c r="C343" i="4"/>
  <c r="C347" i="4"/>
  <c r="C351" i="4"/>
  <c r="C355" i="4"/>
  <c r="C359" i="4"/>
  <c r="C363" i="4"/>
  <c r="C367" i="4"/>
  <c r="C371" i="4"/>
  <c r="C375" i="4"/>
  <c r="C379" i="4"/>
  <c r="C383" i="4"/>
  <c r="C387" i="4"/>
  <c r="C391" i="4"/>
  <c r="C395" i="4"/>
  <c r="C399" i="4"/>
  <c r="C403" i="4"/>
  <c r="C407" i="4"/>
  <c r="C411" i="4"/>
  <c r="C415" i="4"/>
  <c r="C419" i="4"/>
  <c r="C423" i="4"/>
  <c r="C427" i="4"/>
  <c r="C431" i="4"/>
  <c r="C435" i="4"/>
  <c r="C439" i="4"/>
  <c r="C443" i="4"/>
  <c r="C447" i="4"/>
  <c r="C451" i="4"/>
  <c r="C455" i="4"/>
  <c r="C459" i="4"/>
  <c r="C463" i="4"/>
  <c r="C467" i="4"/>
  <c r="C471" i="4"/>
  <c r="C475" i="4"/>
  <c r="C479" i="4"/>
  <c r="C483" i="4"/>
  <c r="C487" i="4"/>
  <c r="C491" i="4"/>
  <c r="C495" i="4"/>
  <c r="C499" i="4"/>
  <c r="C503" i="4"/>
  <c r="C507" i="4"/>
  <c r="C12" i="4"/>
  <c r="C17" i="4"/>
  <c r="C22" i="4"/>
  <c r="C28" i="4"/>
  <c r="C33" i="4"/>
  <c r="C38" i="4"/>
  <c r="C44" i="4"/>
  <c r="C49" i="4"/>
  <c r="C54" i="4"/>
  <c r="C60" i="4"/>
  <c r="C65" i="4"/>
  <c r="C70" i="4"/>
  <c r="C76" i="4"/>
  <c r="C81" i="4"/>
  <c r="C86" i="4"/>
  <c r="C92" i="4"/>
  <c r="C97" i="4"/>
  <c r="C102" i="4"/>
  <c r="C108" i="4"/>
  <c r="C113" i="4"/>
  <c r="C118" i="4"/>
  <c r="C124" i="4"/>
  <c r="C129" i="4"/>
  <c r="C134" i="4"/>
  <c r="C140" i="4"/>
  <c r="C145" i="4"/>
  <c r="C150" i="4"/>
  <c r="C156" i="4"/>
  <c r="C161" i="4"/>
  <c r="C166" i="4"/>
  <c r="C172" i="4"/>
  <c r="C177" i="4"/>
  <c r="C182" i="4"/>
  <c r="C188" i="4"/>
  <c r="C193" i="4"/>
  <c r="C198" i="4"/>
  <c r="C204" i="4"/>
  <c r="C209" i="4"/>
  <c r="C214" i="4"/>
  <c r="C220" i="4"/>
  <c r="C225" i="4"/>
  <c r="C230" i="4"/>
  <c r="C236" i="4"/>
  <c r="C241" i="4"/>
  <c r="C246" i="4"/>
  <c r="C252" i="4"/>
  <c r="C257" i="4"/>
  <c r="C262" i="4"/>
  <c r="C268" i="4"/>
  <c r="C273" i="4"/>
  <c r="C278" i="4"/>
  <c r="C284" i="4"/>
  <c r="C289" i="4"/>
  <c r="C294" i="4"/>
  <c r="C300" i="4"/>
  <c r="C305" i="4"/>
  <c r="C310" i="4"/>
  <c r="C316" i="4"/>
  <c r="C321" i="4"/>
  <c r="C326" i="4"/>
  <c r="C332" i="4"/>
  <c r="C337" i="4"/>
  <c r="C342" i="4"/>
  <c r="C348" i="4"/>
  <c r="C353" i="4"/>
  <c r="C358" i="4"/>
  <c r="C364" i="4"/>
  <c r="C369" i="4"/>
  <c r="C374" i="4"/>
  <c r="C380" i="4"/>
  <c r="C385" i="4"/>
  <c r="C390" i="4"/>
  <c r="C396" i="4"/>
  <c r="C401" i="4"/>
  <c r="C406" i="4"/>
  <c r="C412" i="4"/>
  <c r="C417" i="4"/>
  <c r="C422" i="4"/>
  <c r="C428" i="4"/>
  <c r="C433" i="4"/>
  <c r="C438" i="4"/>
  <c r="C444" i="4"/>
  <c r="C449" i="4"/>
  <c r="C454" i="4"/>
  <c r="C460" i="4"/>
  <c r="C465" i="4"/>
  <c r="C470" i="4"/>
  <c r="C476" i="4"/>
  <c r="C481" i="4"/>
  <c r="C486" i="4"/>
  <c r="C492" i="4"/>
  <c r="C497" i="4"/>
  <c r="C502" i="4"/>
  <c r="C508" i="4"/>
  <c r="C512" i="4"/>
  <c r="C516" i="4"/>
  <c r="C520" i="4"/>
  <c r="C524" i="4"/>
  <c r="C528" i="4"/>
  <c r="C532" i="4"/>
  <c r="C536" i="4"/>
  <c r="C540" i="4"/>
  <c r="C544" i="4"/>
  <c r="C548" i="4"/>
  <c r="C552" i="4"/>
  <c r="C556" i="4"/>
  <c r="C560" i="4"/>
  <c r="C564" i="4"/>
  <c r="C568" i="4"/>
  <c r="C572" i="4"/>
  <c r="C576" i="4"/>
  <c r="C580" i="4"/>
  <c r="C584" i="4"/>
  <c r="C588" i="4"/>
  <c r="C592" i="4"/>
  <c r="C596" i="4"/>
  <c r="C600" i="4"/>
  <c r="C604" i="4"/>
  <c r="C608" i="4"/>
  <c r="C612" i="4"/>
  <c r="C616" i="4"/>
  <c r="C620" i="4"/>
  <c r="C624" i="4"/>
  <c r="C628" i="4"/>
  <c r="C632" i="4"/>
  <c r="C636" i="4"/>
  <c r="C5" i="4"/>
  <c r="C13" i="4"/>
  <c r="C20" i="4"/>
  <c r="C26" i="4"/>
  <c r="C34" i="4"/>
  <c r="C41" i="4"/>
  <c r="C48" i="4"/>
  <c r="C56" i="4"/>
  <c r="C62" i="4"/>
  <c r="C69" i="4"/>
  <c r="C77" i="4"/>
  <c r="C84" i="4"/>
  <c r="C90" i="4"/>
  <c r="C98" i="4"/>
  <c r="C105" i="4"/>
  <c r="C112" i="4"/>
  <c r="C120" i="4"/>
  <c r="C126" i="4"/>
  <c r="C133" i="4"/>
  <c r="C141" i="4"/>
  <c r="C148" i="4"/>
  <c r="C154" i="4"/>
  <c r="C162" i="4"/>
  <c r="C169" i="4"/>
  <c r="C176" i="4"/>
  <c r="C184" i="4"/>
  <c r="C190" i="4"/>
  <c r="C197" i="4"/>
  <c r="C205" i="4"/>
  <c r="C212" i="4"/>
  <c r="C218" i="4"/>
  <c r="C226" i="4"/>
  <c r="C233" i="4"/>
  <c r="C240" i="4"/>
  <c r="C248" i="4"/>
  <c r="C254" i="4"/>
  <c r="C261" i="4"/>
  <c r="C269" i="4"/>
  <c r="C282" i="4"/>
  <c r="C290" i="4"/>
  <c r="C297" i="4"/>
  <c r="C304" i="4"/>
  <c r="C312" i="4"/>
  <c r="C318" i="4"/>
  <c r="C325" i="4"/>
  <c r="C333" i="4"/>
  <c r="C340" i="4"/>
  <c r="C346" i="4"/>
  <c r="C354" i="4"/>
  <c r="C361" i="4"/>
  <c r="C368" i="4"/>
  <c r="C376" i="4"/>
  <c r="C382" i="4"/>
  <c r="C389" i="4"/>
  <c r="C397" i="4"/>
  <c r="C404" i="4"/>
  <c r="C410" i="4"/>
  <c r="C418" i="4"/>
  <c r="C425" i="4"/>
  <c r="C432" i="4"/>
  <c r="C440" i="4"/>
  <c r="C446" i="4"/>
  <c r="C453" i="4"/>
  <c r="C461" i="4"/>
  <c r="C468" i="4"/>
  <c r="C474" i="4"/>
  <c r="C482" i="4"/>
  <c r="C489" i="4"/>
  <c r="C496" i="4"/>
  <c r="C504" i="4"/>
  <c r="C510" i="4"/>
  <c r="C515" i="4"/>
  <c r="C521" i="4"/>
  <c r="C526" i="4"/>
  <c r="C531" i="4"/>
  <c r="C537" i="4"/>
  <c r="C542" i="4"/>
  <c r="C547" i="4"/>
  <c r="C553" i="4"/>
  <c r="C558" i="4"/>
  <c r="C563" i="4"/>
  <c r="C569" i="4"/>
  <c r="C574" i="4"/>
  <c r="C579" i="4"/>
  <c r="C585" i="4"/>
  <c r="C590" i="4"/>
  <c r="C595" i="4"/>
  <c r="C601" i="4"/>
  <c r="C606" i="4"/>
  <c r="C611" i="4"/>
  <c r="C617" i="4"/>
  <c r="C622" i="4"/>
  <c r="C627" i="4"/>
  <c r="C633" i="4"/>
  <c r="C638" i="4"/>
  <c r="C642" i="4"/>
  <c r="C646" i="4"/>
  <c r="C650" i="4"/>
  <c r="C654" i="4"/>
  <c r="C658" i="4"/>
  <c r="C662" i="4"/>
  <c r="C666" i="4"/>
  <c r="C670" i="4"/>
  <c r="C674" i="4"/>
  <c r="C678" i="4"/>
  <c r="C682" i="4"/>
  <c r="C686" i="4"/>
  <c r="C690" i="4"/>
  <c r="C694" i="4"/>
  <c r="C698" i="4"/>
  <c r="C702" i="4"/>
  <c r="C706" i="4"/>
  <c r="C710" i="4"/>
  <c r="C714" i="4"/>
  <c r="C718" i="4"/>
  <c r="C722" i="4"/>
  <c r="C726" i="4"/>
  <c r="C730" i="4"/>
  <c r="C734" i="4"/>
  <c r="C738" i="4"/>
  <c r="C742" i="4"/>
  <c r="C746" i="4"/>
  <c r="C750" i="4"/>
  <c r="C754" i="4"/>
  <c r="C758" i="4"/>
  <c r="C762" i="4"/>
  <c r="C9" i="4"/>
  <c r="C18" i="4"/>
  <c r="C29" i="4"/>
  <c r="C37" i="4"/>
  <c r="C46" i="4"/>
  <c r="C57" i="4"/>
  <c r="C66" i="4"/>
  <c r="C74" i="4"/>
  <c r="C85" i="4"/>
  <c r="C94" i="4"/>
  <c r="C104" i="4"/>
  <c r="C114" i="4"/>
  <c r="C122" i="4"/>
  <c r="C132" i="4"/>
  <c r="C142" i="4"/>
  <c r="C152" i="4"/>
  <c r="C160" i="4"/>
  <c r="C170" i="4"/>
  <c r="C180" i="4"/>
  <c r="C189" i="4"/>
  <c r="C200" i="4"/>
  <c r="C208" i="4"/>
  <c r="C217" i="4"/>
  <c r="C228" i="4"/>
  <c r="C237" i="4"/>
  <c r="C245" i="4"/>
  <c r="C256" i="4"/>
  <c r="C265" i="4"/>
  <c r="C274" i="4"/>
  <c r="C285" i="4"/>
  <c r="C293" i="4"/>
  <c r="C302" i="4"/>
  <c r="C313" i="4"/>
  <c r="C322" i="4"/>
  <c r="C330" i="4"/>
  <c r="C341" i="4"/>
  <c r="C350" i="4"/>
  <c r="C360" i="4"/>
  <c r="C370" i="4"/>
  <c r="C378" i="4"/>
  <c r="C388" i="4"/>
  <c r="C398" i="4"/>
  <c r="C408" i="4"/>
  <c r="C416" i="4"/>
  <c r="C426" i="4"/>
  <c r="C436" i="4"/>
  <c r="C445" i="4"/>
  <c r="C456" i="4"/>
  <c r="C464" i="4"/>
  <c r="C473" i="4"/>
  <c r="C484" i="4"/>
  <c r="C493" i="4"/>
  <c r="C501" i="4"/>
  <c r="C511" i="4"/>
  <c r="C518" i="4"/>
  <c r="C525" i="4"/>
  <c r="C533" i="4"/>
  <c r="C539" i="4"/>
  <c r="C546" i="4"/>
  <c r="C554" i="4"/>
  <c r="C561" i="4"/>
  <c r="C567" i="4"/>
  <c r="C575" i="4"/>
  <c r="C582" i="4"/>
  <c r="C589" i="4"/>
  <c r="C597" i="4"/>
  <c r="C603" i="4"/>
  <c r="C610" i="4"/>
  <c r="C618" i="4"/>
  <c r="C625" i="4"/>
  <c r="C631" i="4"/>
  <c r="C639" i="4"/>
  <c r="C644" i="4"/>
  <c r="C649" i="4"/>
  <c r="C655" i="4"/>
  <c r="C660" i="4"/>
  <c r="C665" i="4"/>
  <c r="C671" i="4"/>
  <c r="C676" i="4"/>
  <c r="C681" i="4"/>
  <c r="C687" i="4"/>
  <c r="C692" i="4"/>
  <c r="C697" i="4"/>
  <c r="C703" i="4"/>
  <c r="C708" i="4"/>
  <c r="C713" i="4"/>
  <c r="C719" i="4"/>
  <c r="C724" i="4"/>
  <c r="C729" i="4"/>
  <c r="C735" i="4"/>
  <c r="C740" i="4"/>
  <c r="C745" i="4"/>
  <c r="C751" i="4"/>
  <c r="C756" i="4"/>
  <c r="C761" i="4"/>
  <c r="C766" i="4"/>
  <c r="C770" i="4"/>
  <c r="C774" i="4"/>
  <c r="C778" i="4"/>
  <c r="C782" i="4"/>
  <c r="C786" i="4"/>
  <c r="C790" i="4"/>
  <c r="C794" i="4"/>
  <c r="C798" i="4"/>
  <c r="C802" i="4"/>
  <c r="C806" i="4"/>
  <c r="C810" i="4"/>
  <c r="C814" i="4"/>
  <c r="C818" i="4"/>
  <c r="C822" i="4"/>
  <c r="C826" i="4"/>
  <c r="C830" i="4"/>
  <c r="C834" i="4"/>
  <c r="C838" i="4"/>
  <c r="C842" i="4"/>
  <c r="C846" i="4"/>
  <c r="C850" i="4"/>
  <c r="C854" i="4"/>
  <c r="C858" i="4"/>
  <c r="C862" i="4"/>
  <c r="C866" i="4"/>
  <c r="C870" i="4"/>
  <c r="C874" i="4"/>
  <c r="C878" i="4"/>
  <c r="C882" i="4"/>
  <c r="C886" i="4"/>
  <c r="C890" i="4"/>
  <c r="C894" i="4"/>
  <c r="C898" i="4"/>
  <c r="C902" i="4"/>
  <c r="C906" i="4"/>
  <c r="C910" i="4"/>
  <c r="C914" i="4"/>
  <c r="C918" i="4"/>
  <c r="C922" i="4"/>
  <c r="C926" i="4"/>
  <c r="C930" i="4"/>
  <c r="C934" i="4"/>
  <c r="C938" i="4"/>
  <c r="C942" i="4"/>
  <c r="C946" i="4"/>
  <c r="C950" i="4"/>
  <c r="C954" i="4"/>
  <c r="C958" i="4"/>
  <c r="C962" i="4"/>
  <c r="C966" i="4"/>
  <c r="C970" i="4"/>
  <c r="C974" i="4"/>
  <c r="C978" i="4"/>
  <c r="C982" i="4"/>
  <c r="C986" i="4"/>
  <c r="C990" i="4"/>
  <c r="C994" i="4"/>
  <c r="C998" i="4"/>
  <c r="C1002" i="4"/>
  <c r="C1006" i="4"/>
  <c r="C1010" i="4"/>
  <c r="C1014" i="4"/>
  <c r="C1018" i="4"/>
  <c r="C1022" i="4"/>
  <c r="C1026" i="4"/>
  <c r="C1030" i="4"/>
  <c r="C1034" i="4"/>
  <c r="C1038" i="4"/>
  <c r="C1042" i="4"/>
  <c r="C1046" i="4"/>
  <c r="C1050" i="4"/>
  <c r="C1054" i="4"/>
  <c r="C1058" i="4"/>
  <c r="C1062" i="4"/>
  <c r="C1066" i="4"/>
  <c r="C1070" i="4"/>
  <c r="C1074" i="4"/>
  <c r="C1078" i="4"/>
  <c r="C1082" i="4"/>
  <c r="C1086" i="4"/>
  <c r="C1090" i="4"/>
  <c r="C1094" i="4"/>
  <c r="C1098" i="4"/>
  <c r="C1102" i="4"/>
  <c r="C1106" i="4"/>
  <c r="C1110" i="4"/>
  <c r="C1114" i="4"/>
  <c r="C1118" i="4"/>
  <c r="C1122" i="4"/>
  <c r="C1126" i="4"/>
  <c r="C1130" i="4"/>
  <c r="C1134" i="4"/>
  <c r="C1138" i="4"/>
  <c r="C1142" i="4"/>
  <c r="C1146" i="4"/>
  <c r="C1150" i="4"/>
  <c r="C1154" i="4"/>
  <c r="C1158" i="4"/>
  <c r="C1162" i="4"/>
  <c r="C1166" i="4"/>
  <c r="C1170" i="4"/>
  <c r="C1174" i="4"/>
  <c r="C1178" i="4"/>
  <c r="C1182" i="4"/>
  <c r="C1186" i="4"/>
  <c r="C1190" i="4"/>
  <c r="C1194" i="4"/>
  <c r="C1198" i="4"/>
  <c r="C1202" i="4"/>
  <c r="C1206" i="4"/>
  <c r="C1210" i="4"/>
  <c r="C1214" i="4"/>
  <c r="C1218" i="4"/>
  <c r="C1222" i="4"/>
  <c r="C1226" i="4"/>
  <c r="C1230" i="4"/>
  <c r="C1234" i="4"/>
  <c r="C1238" i="4"/>
  <c r="C1242" i="4"/>
  <c r="C1246" i="4"/>
  <c r="C1250" i="4"/>
  <c r="C1254" i="4"/>
  <c r="C1258" i="4"/>
  <c r="C1262" i="4"/>
  <c r="C1266" i="4"/>
  <c r="C1270" i="4"/>
  <c r="C1274" i="4"/>
  <c r="C1278" i="4"/>
  <c r="C1282" i="4"/>
  <c r="C1286" i="4"/>
  <c r="C1290" i="4"/>
  <c r="C1294" i="4"/>
  <c r="C1298" i="4"/>
  <c r="C1302" i="4"/>
  <c r="C1306" i="4"/>
  <c r="C1310" i="4"/>
  <c r="C1314" i="4"/>
  <c r="C1318" i="4"/>
  <c r="C1322" i="4"/>
  <c r="C1326" i="4"/>
  <c r="C1330" i="4"/>
  <c r="C1334" i="4"/>
  <c r="C1338" i="4"/>
  <c r="C1342" i="4"/>
  <c r="C1346" i="4"/>
  <c r="C1350" i="4"/>
  <c r="C1354" i="4"/>
  <c r="C1358" i="4"/>
  <c r="C1362" i="4"/>
  <c r="C1366" i="4"/>
  <c r="C1370" i="4"/>
  <c r="C1374" i="4"/>
  <c r="C1378" i="4"/>
  <c r="C1382" i="4"/>
  <c r="C1386" i="4"/>
  <c r="C1390" i="4"/>
  <c r="C1394" i="4"/>
  <c r="C1398" i="4"/>
  <c r="C1402" i="4"/>
  <c r="C8" i="4"/>
  <c r="C21" i="4"/>
  <c r="C32" i="4"/>
  <c r="C45" i="4"/>
  <c r="C58" i="4"/>
  <c r="C72" i="4"/>
  <c r="C82" i="4"/>
  <c r="C96" i="4"/>
  <c r="C109" i="4"/>
  <c r="C121" i="4"/>
  <c r="C136" i="4"/>
  <c r="C146" i="4"/>
  <c r="C158" i="4"/>
  <c r="C173" i="4"/>
  <c r="C185" i="4"/>
  <c r="C196" i="4"/>
  <c r="C210" i="4"/>
  <c r="C222" i="4"/>
  <c r="C234" i="4"/>
  <c r="C249" i="4"/>
  <c r="C260" i="4"/>
  <c r="C272" i="4"/>
  <c r="C286" i="4"/>
  <c r="C298" i="4"/>
  <c r="C309" i="4"/>
  <c r="C324" i="4"/>
  <c r="C336" i="4"/>
  <c r="C349" i="4"/>
  <c r="C362" i="4"/>
  <c r="C373" i="4"/>
  <c r="C386" i="4"/>
  <c r="C400" i="4"/>
  <c r="C413" i="4"/>
  <c r="C424" i="4"/>
  <c r="C437" i="4"/>
  <c r="C450" i="4"/>
  <c r="C462" i="4"/>
  <c r="C477" i="4"/>
  <c r="C488" i="4"/>
  <c r="C500" i="4"/>
  <c r="C513" i="4"/>
  <c r="C522" i="4"/>
  <c r="C530" i="4"/>
  <c r="C541" i="4"/>
  <c r="C550" i="4"/>
  <c r="C559" i="4"/>
  <c r="C570" i="4"/>
  <c r="C578" i="4"/>
  <c r="C587" i="4"/>
  <c r="C598" i="4"/>
  <c r="C607" i="4"/>
  <c r="C615" i="4"/>
  <c r="C626" i="4"/>
  <c r="C635" i="4"/>
  <c r="C643" i="4"/>
  <c r="C651" i="4"/>
  <c r="C657" i="4"/>
  <c r="C664" i="4"/>
  <c r="C672" i="4"/>
  <c r="C679" i="4"/>
  <c r="C685" i="4"/>
  <c r="C693" i="4"/>
  <c r="C700" i="4"/>
  <c r="C707" i="4"/>
  <c r="C715" i="4"/>
  <c r="C721" i="4"/>
  <c r="C728" i="4"/>
  <c r="C736" i="4"/>
  <c r="C743" i="4"/>
  <c r="C749" i="4"/>
  <c r="C757" i="4"/>
  <c r="C764" i="4"/>
  <c r="C769" i="4"/>
  <c r="C775" i="4"/>
  <c r="C780" i="4"/>
  <c r="C785" i="4"/>
  <c r="C791" i="4"/>
  <c r="C796" i="4"/>
  <c r="C801" i="4"/>
  <c r="C807" i="4"/>
  <c r="C812" i="4"/>
  <c r="C817" i="4"/>
  <c r="C823" i="4"/>
  <c r="C828" i="4"/>
  <c r="C833" i="4"/>
  <c r="C839" i="4"/>
  <c r="C844" i="4"/>
  <c r="C849" i="4"/>
  <c r="C855" i="4"/>
  <c r="C860" i="4"/>
  <c r="C865" i="4"/>
  <c r="C871" i="4"/>
  <c r="C876" i="4"/>
  <c r="C881" i="4"/>
  <c r="C887" i="4"/>
  <c r="C892" i="4"/>
  <c r="C897" i="4"/>
  <c r="C903" i="4"/>
  <c r="C908" i="4"/>
  <c r="C913" i="4"/>
  <c r="C919" i="4"/>
  <c r="C924" i="4"/>
  <c r="C929" i="4"/>
  <c r="C935" i="4"/>
  <c r="C940" i="4"/>
  <c r="C945" i="4"/>
  <c r="C951" i="4"/>
  <c r="C956" i="4"/>
  <c r="C961" i="4"/>
  <c r="C967" i="4"/>
  <c r="C972" i="4"/>
  <c r="C977" i="4"/>
  <c r="C983" i="4"/>
  <c r="C988" i="4"/>
  <c r="C993" i="4"/>
  <c r="C999" i="4"/>
  <c r="C1004" i="4"/>
  <c r="C1009" i="4"/>
  <c r="C1015" i="4"/>
  <c r="C1020" i="4"/>
  <c r="C1025" i="4"/>
  <c r="C1031" i="4"/>
  <c r="C1036" i="4"/>
  <c r="C1041" i="4"/>
  <c r="C1047" i="4"/>
  <c r="C1052" i="4"/>
  <c r="C1057" i="4"/>
  <c r="C1063" i="4"/>
  <c r="C1068" i="4"/>
  <c r="C1073" i="4"/>
  <c r="C1079" i="4"/>
  <c r="C1084" i="4"/>
  <c r="C1089" i="4"/>
  <c r="C1095" i="4"/>
  <c r="C1100" i="4"/>
  <c r="C1105" i="4"/>
  <c r="C1111" i="4"/>
  <c r="C1116" i="4"/>
  <c r="C1121" i="4"/>
  <c r="C1127" i="4"/>
  <c r="C1132" i="4"/>
  <c r="C1137" i="4"/>
  <c r="C1143" i="4"/>
  <c r="C1148" i="4"/>
  <c r="C1153" i="4"/>
  <c r="C1159" i="4"/>
  <c r="C1164" i="4"/>
  <c r="C1169" i="4"/>
  <c r="C1175" i="4"/>
  <c r="C1180" i="4"/>
  <c r="C1185" i="4"/>
  <c r="C1191" i="4"/>
  <c r="C1196" i="4"/>
  <c r="C1201" i="4"/>
  <c r="C1207" i="4"/>
  <c r="C1212" i="4"/>
  <c r="C1217" i="4"/>
  <c r="C1223" i="4"/>
  <c r="C1228" i="4"/>
  <c r="C1233" i="4"/>
  <c r="C1239" i="4"/>
  <c r="C1244" i="4"/>
  <c r="C1249" i="4"/>
  <c r="C1255" i="4"/>
  <c r="C1260" i="4"/>
  <c r="C1265" i="4"/>
  <c r="C1271" i="4"/>
  <c r="C1276" i="4"/>
  <c r="C1281" i="4"/>
  <c r="C1287" i="4"/>
  <c r="C1292" i="4"/>
  <c r="C1297" i="4"/>
  <c r="C1303" i="4"/>
  <c r="C1308" i="4"/>
  <c r="C1313" i="4"/>
  <c r="C1319" i="4"/>
  <c r="C1324" i="4"/>
  <c r="C1329" i="4"/>
  <c r="C1335" i="4"/>
  <c r="C1340" i="4"/>
  <c r="C1345" i="4"/>
  <c r="C1351" i="4"/>
  <c r="C1356" i="4"/>
  <c r="C1361" i="4"/>
  <c r="C1367" i="4"/>
  <c r="C1372" i="4"/>
  <c r="C1377" i="4"/>
  <c r="C1383" i="4"/>
  <c r="C1388" i="4"/>
  <c r="C1393" i="4"/>
  <c r="C1399" i="4"/>
  <c r="C1404" i="4"/>
  <c r="C1408" i="4"/>
  <c r="C1412" i="4"/>
  <c r="C1416" i="4"/>
  <c r="C1420" i="4"/>
  <c r="C1424" i="4"/>
  <c r="C1428" i="4"/>
  <c r="C1432" i="4"/>
  <c r="C1436" i="4"/>
  <c r="C1440" i="4"/>
  <c r="C1444" i="4"/>
  <c r="C1448" i="4"/>
  <c r="C1452" i="4"/>
  <c r="C1456" i="4"/>
  <c r="C1460" i="4"/>
  <c r="C1464" i="4"/>
  <c r="C1468" i="4"/>
  <c r="C1472" i="4"/>
  <c r="C1476" i="4"/>
  <c r="C1480" i="4"/>
  <c r="C1484" i="4"/>
  <c r="C1488" i="4"/>
  <c r="C1492" i="4"/>
  <c r="C1496" i="4"/>
  <c r="C1500" i="4"/>
  <c r="C1504" i="4"/>
  <c r="C1508" i="4"/>
  <c r="C1512" i="4"/>
  <c r="C1516" i="4"/>
  <c r="C1520" i="4"/>
  <c r="C1524" i="4"/>
  <c r="C1528" i="4"/>
  <c r="C1532" i="4"/>
  <c r="C1536" i="4"/>
  <c r="C1540" i="4"/>
  <c r="C1544" i="4"/>
  <c r="C1548" i="4"/>
  <c r="C1552" i="4"/>
  <c r="C1556" i="4"/>
  <c r="C1560" i="4"/>
  <c r="C1564" i="4"/>
  <c r="C1568" i="4"/>
  <c r="C1572" i="4"/>
  <c r="C1576" i="4"/>
  <c r="C1580" i="4"/>
  <c r="C1584" i="4"/>
  <c r="C1588" i="4"/>
  <c r="C1592" i="4"/>
  <c r="C1596" i="4"/>
  <c r="C1600" i="4"/>
  <c r="C1604" i="4"/>
  <c r="C1608" i="4"/>
  <c r="C1612" i="4"/>
  <c r="C1616" i="4"/>
  <c r="C1620" i="4"/>
  <c r="C1624" i="4"/>
  <c r="C1628" i="4"/>
  <c r="C1632" i="4"/>
  <c r="C1636" i="4"/>
  <c r="C1640" i="4"/>
  <c r="C1644" i="4"/>
  <c r="C1648" i="4"/>
  <c r="C1652" i="4"/>
  <c r="C1656" i="4"/>
  <c r="C10" i="4"/>
  <c r="C25" i="4"/>
  <c r="C42" i="4"/>
  <c r="C61" i="4"/>
  <c r="C78" i="4"/>
  <c r="C93" i="4"/>
  <c r="C110" i="4"/>
  <c r="C128" i="4"/>
  <c r="C144" i="4"/>
  <c r="C164" i="4"/>
  <c r="C178" i="4"/>
  <c r="C194" i="4"/>
  <c r="C213" i="4"/>
  <c r="C229" i="4"/>
  <c r="C244" i="4"/>
  <c r="C264" i="4"/>
  <c r="C280" i="4"/>
  <c r="C296" i="4"/>
  <c r="C314" i="4"/>
  <c r="C329" i="4"/>
  <c r="C345" i="4"/>
  <c r="C365" i="4"/>
  <c r="C381" i="4"/>
  <c r="C394" i="4"/>
  <c r="C414" i="4"/>
  <c r="C430" i="4"/>
  <c r="C448" i="4"/>
  <c r="C466" i="4"/>
  <c r="C480" i="4"/>
  <c r="C498" i="4"/>
  <c r="C514" i="4"/>
  <c r="C527" i="4"/>
  <c r="C538" i="4"/>
  <c r="C551" i="4"/>
  <c r="C565" i="4"/>
  <c r="C577" i="4"/>
  <c r="C591" i="4"/>
  <c r="C602" i="4"/>
  <c r="C614" i="4"/>
  <c r="C629" i="4"/>
  <c r="C640" i="4"/>
  <c r="C648" i="4"/>
  <c r="C659" i="4"/>
  <c r="C668" i="4"/>
  <c r="C677" i="4"/>
  <c r="C688" i="4"/>
  <c r="C696" i="4"/>
  <c r="C705" i="4"/>
  <c r="C716" i="4"/>
  <c r="C725" i="4"/>
  <c r="C733" i="4"/>
  <c r="C744" i="4"/>
  <c r="C753" i="4"/>
  <c r="C763" i="4"/>
  <c r="C771" i="4"/>
  <c r="C777" i="4"/>
  <c r="C784" i="4"/>
  <c r="C792" i="4"/>
  <c r="C799" i="4"/>
  <c r="C805" i="4"/>
  <c r="C813" i="4"/>
  <c r="C820" i="4"/>
  <c r="C827" i="4"/>
  <c r="C835" i="4"/>
  <c r="C841" i="4"/>
  <c r="C848" i="4"/>
  <c r="C856" i="4"/>
  <c r="C863" i="4"/>
  <c r="C869" i="4"/>
  <c r="C877" i="4"/>
  <c r="C884" i="4"/>
  <c r="C891" i="4"/>
  <c r="C899" i="4"/>
  <c r="C905" i="4"/>
  <c r="C912" i="4"/>
  <c r="C920" i="4"/>
  <c r="C927" i="4"/>
  <c r="C933" i="4"/>
  <c r="C941" i="4"/>
  <c r="C948" i="4"/>
  <c r="C955" i="4"/>
  <c r="C963" i="4"/>
  <c r="C969" i="4"/>
  <c r="C976" i="4"/>
  <c r="C984" i="4"/>
  <c r="C991" i="4"/>
  <c r="C997" i="4"/>
  <c r="C1005" i="4"/>
  <c r="C1012" i="4"/>
  <c r="C1019" i="4"/>
  <c r="C1027" i="4"/>
  <c r="C1033" i="4"/>
  <c r="C1040" i="4"/>
  <c r="C1048" i="4"/>
  <c r="C1055" i="4"/>
  <c r="C1061" i="4"/>
  <c r="C1069" i="4"/>
  <c r="C1076" i="4"/>
  <c r="C1083" i="4"/>
  <c r="C1091" i="4"/>
  <c r="C1097" i="4"/>
  <c r="C1104" i="4"/>
  <c r="C1112" i="4"/>
  <c r="C1119" i="4"/>
  <c r="C1125" i="4"/>
  <c r="C1133" i="4"/>
  <c r="C1140" i="4"/>
  <c r="C1147" i="4"/>
  <c r="C1155" i="4"/>
  <c r="C1161" i="4"/>
  <c r="C1168" i="4"/>
  <c r="C1176" i="4"/>
  <c r="C1183" i="4"/>
  <c r="C1189" i="4"/>
  <c r="C1197" i="4"/>
  <c r="C1204" i="4"/>
  <c r="C1211" i="4"/>
  <c r="C1219" i="4"/>
  <c r="C1225" i="4"/>
  <c r="C1232" i="4"/>
  <c r="C1240" i="4"/>
  <c r="C1247" i="4"/>
  <c r="C1253" i="4"/>
  <c r="C1261" i="4"/>
  <c r="C1268" i="4"/>
  <c r="C1275" i="4"/>
  <c r="C1283" i="4"/>
  <c r="C1289" i="4"/>
  <c r="C1296" i="4"/>
  <c r="C1304" i="4"/>
  <c r="C1311" i="4"/>
  <c r="C1317" i="4"/>
  <c r="C1325" i="4"/>
  <c r="C1332" i="4"/>
  <c r="C1339" i="4"/>
  <c r="C1347" i="4"/>
  <c r="C1353" i="4"/>
  <c r="C1360" i="4"/>
  <c r="C1368" i="4"/>
  <c r="C1375" i="4"/>
  <c r="C1381" i="4"/>
  <c r="C1389" i="4"/>
  <c r="C1396" i="4"/>
  <c r="C1403" i="4"/>
  <c r="C1409" i="4"/>
  <c r="C1414" i="4"/>
  <c r="C1419" i="4"/>
  <c r="C1425" i="4"/>
  <c r="C1430" i="4"/>
  <c r="C1435" i="4"/>
  <c r="C1441" i="4"/>
  <c r="C1446" i="4"/>
  <c r="C1451" i="4"/>
  <c r="C1457" i="4"/>
  <c r="C1462" i="4"/>
  <c r="C1467" i="4"/>
  <c r="C1473" i="4"/>
  <c r="C1478" i="4"/>
  <c r="C1483" i="4"/>
  <c r="C1489" i="4"/>
  <c r="C1494" i="4"/>
  <c r="C1499" i="4"/>
  <c r="C1505" i="4"/>
  <c r="C1510" i="4"/>
  <c r="C1515" i="4"/>
  <c r="C1521" i="4"/>
  <c r="C1526" i="4"/>
  <c r="C1531" i="4"/>
  <c r="C1537" i="4"/>
  <c r="C1542" i="4"/>
  <c r="C1547" i="4"/>
  <c r="C1553" i="4"/>
  <c r="C1558" i="4"/>
  <c r="C1563" i="4"/>
  <c r="C1569" i="4"/>
  <c r="C1574" i="4"/>
  <c r="C1579" i="4"/>
  <c r="C1585" i="4"/>
  <c r="C1590" i="4"/>
  <c r="C1595" i="4"/>
  <c r="C1601" i="4"/>
  <c r="C1606" i="4"/>
  <c r="C1611" i="4"/>
  <c r="C1617" i="4"/>
  <c r="C1622" i="4"/>
  <c r="C1627" i="4"/>
  <c r="C1633" i="4"/>
  <c r="C1638" i="4"/>
  <c r="C1643" i="4"/>
  <c r="C1649" i="4"/>
  <c r="C1654" i="4"/>
  <c r="C1659" i="4"/>
  <c r="C1663" i="4"/>
  <c r="C1667" i="4"/>
  <c r="C1671" i="4"/>
  <c r="C1675" i="4"/>
  <c r="C1679" i="4"/>
  <c r="C1683" i="4"/>
  <c r="C1687" i="4"/>
  <c r="C1691" i="4"/>
  <c r="C1695" i="4"/>
  <c r="C1699" i="4"/>
  <c r="C1703" i="4"/>
  <c r="C1707" i="4"/>
  <c r="C1711" i="4"/>
  <c r="C1715" i="4"/>
  <c r="C1719" i="4"/>
  <c r="C1723" i="4"/>
  <c r="C1727" i="4"/>
  <c r="C1731" i="4"/>
  <c r="C1735" i="4"/>
  <c r="C1739" i="4"/>
  <c r="C1743" i="4"/>
  <c r="C1747" i="4"/>
  <c r="C1751" i="4"/>
  <c r="C1755" i="4"/>
  <c r="C1759" i="4"/>
  <c r="C1763" i="4"/>
  <c r="C1767" i="4"/>
  <c r="C1771" i="4"/>
  <c r="C1775" i="4"/>
  <c r="C1779" i="4"/>
  <c r="C1783" i="4"/>
  <c r="C1787" i="4"/>
  <c r="C1791" i="4"/>
  <c r="C1795" i="4"/>
  <c r="C1799" i="4"/>
  <c r="C1803" i="4"/>
  <c r="C1807" i="4"/>
  <c r="C1811" i="4"/>
  <c r="C1815" i="4"/>
  <c r="C1819" i="4"/>
  <c r="C1823" i="4"/>
  <c r="C1827" i="4"/>
  <c r="C1831" i="4"/>
  <c r="C1835" i="4"/>
  <c r="C1839" i="4"/>
  <c r="C1843" i="4"/>
  <c r="C1847" i="4"/>
  <c r="C1851" i="4"/>
  <c r="C1855" i="4"/>
  <c r="C1859" i="4"/>
  <c r="C1863" i="4"/>
  <c r="C1867" i="4"/>
  <c r="C1871" i="4"/>
  <c r="C1875" i="4"/>
  <c r="C1879" i="4"/>
  <c r="C1883" i="4"/>
  <c r="C1887" i="4"/>
  <c r="C1891" i="4"/>
  <c r="C1895" i="4"/>
  <c r="C1899" i="4"/>
  <c r="C1903" i="4"/>
  <c r="C1907" i="4"/>
  <c r="C1911" i="4"/>
  <c r="C1915" i="4"/>
  <c r="C1919" i="4"/>
  <c r="C1923" i="4"/>
  <c r="C1927" i="4"/>
  <c r="C1931" i="4"/>
  <c r="C1935" i="4"/>
  <c r="C1939" i="4"/>
  <c r="C1943" i="4"/>
  <c r="C1947" i="4"/>
  <c r="C1951" i="4"/>
  <c r="C1955" i="4"/>
  <c r="C1959" i="4"/>
  <c r="C1963" i="4"/>
  <c r="C1967" i="4"/>
  <c r="C1971" i="4"/>
  <c r="C1975" i="4"/>
  <c r="C1979" i="4"/>
  <c r="C1983" i="4"/>
  <c r="C1987" i="4"/>
  <c r="C1991" i="4"/>
  <c r="C1995" i="4"/>
  <c r="C1999" i="4"/>
  <c r="C2003" i="4"/>
  <c r="C2007" i="4"/>
  <c r="C2011" i="4"/>
  <c r="C14" i="4"/>
  <c r="C30" i="4"/>
  <c r="C50" i="4"/>
  <c r="C64" i="4"/>
  <c r="C80" i="4"/>
  <c r="C100" i="4"/>
  <c r="C116" i="4"/>
  <c r="C130" i="4"/>
  <c r="C149" i="4"/>
  <c r="C165" i="4"/>
  <c r="C181" i="4"/>
  <c r="C201" i="4"/>
  <c r="C216" i="4"/>
  <c r="C232" i="4"/>
  <c r="C250" i="4"/>
  <c r="C266" i="4"/>
  <c r="C281" i="4"/>
  <c r="C301" i="4"/>
  <c r="C317" i="4"/>
  <c r="C334" i="4"/>
  <c r="C352" i="4"/>
  <c r="C366" i="4"/>
  <c r="C384" i="4"/>
  <c r="C402" i="4"/>
  <c r="C420" i="4"/>
  <c r="C434" i="4"/>
  <c r="C452" i="4"/>
  <c r="C469" i="4"/>
  <c r="C485" i="4"/>
  <c r="C505" i="4"/>
  <c r="C517" i="4"/>
  <c r="C529" i="4"/>
  <c r="C543" i="4"/>
  <c r="C555" i="4"/>
  <c r="C566" i="4"/>
  <c r="C581" i="4"/>
  <c r="C593" i="4"/>
  <c r="C605" i="4"/>
  <c r="C619" i="4"/>
  <c r="C630" i="4"/>
  <c r="C641" i="4"/>
  <c r="C652" i="4"/>
  <c r="C661" i="4"/>
  <c r="C669" i="4"/>
  <c r="C680" i="4"/>
  <c r="C689" i="4"/>
  <c r="C699" i="4"/>
  <c r="C709" i="4"/>
  <c r="C717" i="4"/>
  <c r="C727" i="4"/>
  <c r="C737" i="4"/>
  <c r="C747" i="4"/>
  <c r="C755" i="4"/>
  <c r="C765" i="4"/>
  <c r="C772" i="4"/>
  <c r="C779" i="4"/>
  <c r="C787" i="4"/>
  <c r="C793" i="4"/>
  <c r="C800" i="4"/>
  <c r="C808" i="4"/>
  <c r="C815" i="4"/>
  <c r="C821" i="4"/>
  <c r="C829" i="4"/>
  <c r="C836" i="4"/>
  <c r="C843" i="4"/>
  <c r="C851" i="4"/>
  <c r="C857" i="4"/>
  <c r="C864" i="4"/>
  <c r="C872" i="4"/>
  <c r="C879" i="4"/>
  <c r="C885" i="4"/>
  <c r="C893" i="4"/>
  <c r="C900" i="4"/>
  <c r="C907" i="4"/>
  <c r="C915" i="4"/>
  <c r="C921" i="4"/>
  <c r="C928" i="4"/>
  <c r="C936" i="4"/>
  <c r="C943" i="4"/>
  <c r="C949" i="4"/>
  <c r="C957" i="4"/>
  <c r="C964" i="4"/>
  <c r="C971" i="4"/>
  <c r="C979" i="4"/>
  <c r="C985" i="4"/>
  <c r="C992" i="4"/>
  <c r="C1000" i="4"/>
  <c r="C1007" i="4"/>
  <c r="C1013" i="4"/>
  <c r="C1021" i="4"/>
  <c r="C1028" i="4"/>
  <c r="C1035" i="4"/>
  <c r="C1043" i="4"/>
  <c r="C1049" i="4"/>
  <c r="C1056" i="4"/>
  <c r="C1064" i="4"/>
  <c r="C1071" i="4"/>
  <c r="C1077" i="4"/>
  <c r="C1085" i="4"/>
  <c r="C1092" i="4"/>
  <c r="C1099" i="4"/>
  <c r="C1107" i="4"/>
  <c r="C1113" i="4"/>
  <c r="C1120" i="4"/>
  <c r="C1128" i="4"/>
  <c r="C1135" i="4"/>
  <c r="C1141" i="4"/>
  <c r="C1149" i="4"/>
  <c r="C1156" i="4"/>
  <c r="C1163" i="4"/>
  <c r="C1171" i="4"/>
  <c r="C1177" i="4"/>
  <c r="C1184" i="4"/>
  <c r="C1192" i="4"/>
  <c r="C1199" i="4"/>
  <c r="C1205" i="4"/>
  <c r="C1213" i="4"/>
  <c r="C1220" i="4"/>
  <c r="C1227" i="4"/>
  <c r="C1235" i="4"/>
  <c r="C1241" i="4"/>
  <c r="C1248" i="4"/>
  <c r="C1256" i="4"/>
  <c r="C1263" i="4"/>
  <c r="C1269" i="4"/>
  <c r="C1277" i="4"/>
  <c r="C1284" i="4"/>
  <c r="C1291" i="4"/>
  <c r="C1299" i="4"/>
  <c r="C1305" i="4"/>
  <c r="C1312" i="4"/>
  <c r="C1320" i="4"/>
  <c r="C1327" i="4"/>
  <c r="C1333" i="4"/>
  <c r="C1341" i="4"/>
  <c r="C1348" i="4"/>
  <c r="C1355" i="4"/>
  <c r="C1363" i="4"/>
  <c r="C1369" i="4"/>
  <c r="C1376" i="4"/>
  <c r="C1384" i="4"/>
  <c r="C1391" i="4"/>
  <c r="C1397" i="4"/>
  <c r="C1405" i="4"/>
  <c r="C1410" i="4"/>
  <c r="C1415" i="4"/>
  <c r="C1421" i="4"/>
  <c r="C1426" i="4"/>
  <c r="C1431" i="4"/>
  <c r="C1437" i="4"/>
  <c r="C1442" i="4"/>
  <c r="C1447" i="4"/>
  <c r="C1453" i="4"/>
  <c r="C1458" i="4"/>
  <c r="C1463" i="4"/>
  <c r="C1469" i="4"/>
  <c r="C1474" i="4"/>
  <c r="C1479" i="4"/>
  <c r="C1485" i="4"/>
  <c r="C1490" i="4"/>
  <c r="C1495" i="4"/>
  <c r="C1501" i="4"/>
  <c r="C1506" i="4"/>
  <c r="C1511" i="4"/>
  <c r="C1517" i="4"/>
  <c r="C1522" i="4"/>
  <c r="C1527" i="4"/>
  <c r="C1533" i="4"/>
  <c r="C1538" i="4"/>
  <c r="C1543" i="4"/>
  <c r="C1549" i="4"/>
  <c r="C1554" i="4"/>
  <c r="C1559" i="4"/>
  <c r="C1565" i="4"/>
  <c r="C1570" i="4"/>
  <c r="C1575" i="4"/>
  <c r="C1581" i="4"/>
  <c r="C1586" i="4"/>
  <c r="C1591" i="4"/>
  <c r="C1597" i="4"/>
  <c r="C1602" i="4"/>
  <c r="C1607" i="4"/>
  <c r="C1613" i="4"/>
  <c r="C1618" i="4"/>
  <c r="C1623" i="4"/>
  <c r="C1629" i="4"/>
  <c r="C1634" i="4"/>
  <c r="C1639" i="4"/>
  <c r="C1645" i="4"/>
  <c r="C1650" i="4"/>
  <c r="C1655" i="4"/>
  <c r="C1660" i="4"/>
  <c r="C1664" i="4"/>
  <c r="C1668" i="4"/>
  <c r="C1672" i="4"/>
  <c r="C1676" i="4"/>
  <c r="C1680" i="4"/>
  <c r="C1684" i="4"/>
  <c r="C1688" i="4"/>
  <c r="C1692" i="4"/>
  <c r="C1696" i="4"/>
  <c r="C1700" i="4"/>
  <c r="C1704" i="4"/>
  <c r="C1708" i="4"/>
  <c r="C1712" i="4"/>
  <c r="C1716" i="4"/>
  <c r="C1720" i="4"/>
  <c r="C1724" i="4"/>
  <c r="C1728" i="4"/>
  <c r="C1732" i="4"/>
  <c r="C1736" i="4"/>
  <c r="C1740" i="4"/>
  <c r="C1744" i="4"/>
  <c r="C1748" i="4"/>
  <c r="C1752" i="4"/>
  <c r="C1756" i="4"/>
  <c r="C1760" i="4"/>
  <c r="C1764" i="4"/>
  <c r="C1768" i="4"/>
  <c r="C1772" i="4"/>
  <c r="C1776" i="4"/>
  <c r="C1780" i="4"/>
  <c r="C1784" i="4"/>
  <c r="C1788" i="4"/>
  <c r="C1792" i="4"/>
  <c r="C1796" i="4"/>
  <c r="C1800" i="4"/>
  <c r="C1804" i="4"/>
  <c r="C1808" i="4"/>
  <c r="C1812" i="4"/>
  <c r="C1816" i="4"/>
  <c r="C1820" i="4"/>
  <c r="C1824" i="4"/>
  <c r="C1828" i="4"/>
  <c r="C1832" i="4"/>
  <c r="C1836" i="4"/>
  <c r="C1840" i="4"/>
  <c r="C1844" i="4"/>
  <c r="C1848" i="4"/>
  <c r="C1852" i="4"/>
  <c r="C1856" i="4"/>
  <c r="C1860" i="4"/>
  <c r="C1864" i="4"/>
  <c r="C1868" i="4"/>
  <c r="C1872" i="4"/>
  <c r="C1876" i="4"/>
  <c r="C1880" i="4"/>
  <c r="C1884" i="4"/>
  <c r="C1888" i="4"/>
  <c r="C1892" i="4"/>
  <c r="C1896" i="4"/>
  <c r="C1900" i="4"/>
  <c r="C1904" i="4"/>
  <c r="C1908" i="4"/>
  <c r="C1912" i="4"/>
  <c r="C1916" i="4"/>
  <c r="C1920" i="4"/>
  <c r="C1924" i="4"/>
  <c r="C1928" i="4"/>
  <c r="C1932" i="4"/>
  <c r="C1936" i="4"/>
  <c r="C1940" i="4"/>
  <c r="C1944" i="4"/>
  <c r="C1948" i="4"/>
  <c r="C1952" i="4"/>
  <c r="C1956" i="4"/>
  <c r="C1960" i="4"/>
  <c r="C1964" i="4"/>
  <c r="C1968" i="4"/>
  <c r="C1972" i="4"/>
  <c r="C1976" i="4"/>
  <c r="C1980" i="4"/>
  <c r="C1984" i="4"/>
  <c r="C1988" i="4"/>
  <c r="C1992" i="4"/>
  <c r="C1996" i="4"/>
  <c r="C2000" i="4"/>
  <c r="C2004" i="4"/>
  <c r="C2008" i="4"/>
  <c r="C16" i="4"/>
  <c r="C36" i="4"/>
  <c r="C52" i="4"/>
  <c r="C68" i="4"/>
  <c r="C88" i="4"/>
  <c r="C101" i="4"/>
  <c r="C117" i="4"/>
  <c r="C137" i="4"/>
  <c r="C153" i="4"/>
  <c r="C168" i="4"/>
  <c r="C186" i="4"/>
  <c r="C202" i="4"/>
  <c r="C221" i="4"/>
  <c r="C238" i="4"/>
  <c r="C253" i="4"/>
  <c r="C270" i="4"/>
  <c r="C288" i="4"/>
  <c r="C306" i="4"/>
  <c r="C320" i="4"/>
  <c r="C338" i="4"/>
  <c r="C356" i="4"/>
  <c r="C372" i="4"/>
  <c r="C392" i="4"/>
  <c r="C405" i="4"/>
  <c r="C421" i="4"/>
  <c r="C441" i="4"/>
  <c r="C457" i="4"/>
  <c r="C472" i="4"/>
  <c r="C490" i="4"/>
  <c r="C506" i="4"/>
  <c r="C519" i="4"/>
  <c r="C534" i="4"/>
  <c r="C545" i="4"/>
  <c r="C557" i="4"/>
  <c r="C571" i="4"/>
  <c r="C583" i="4"/>
  <c r="C594" i="4"/>
  <c r="C609" i="4"/>
  <c r="C621" i="4"/>
  <c r="C634" i="4"/>
  <c r="C645" i="4"/>
  <c r="C653" i="4"/>
  <c r="C663" i="4"/>
  <c r="C673" i="4"/>
  <c r="C683" i="4"/>
  <c r="C691" i="4"/>
  <c r="C701" i="4"/>
  <c r="C711" i="4"/>
  <c r="C720" i="4"/>
  <c r="C731" i="4"/>
  <c r="C739" i="4"/>
  <c r="C748" i="4"/>
  <c r="C759" i="4"/>
  <c r="C767" i="4"/>
  <c r="C773" i="4"/>
  <c r="C781" i="4"/>
  <c r="C788" i="4"/>
  <c r="C795" i="4"/>
  <c r="C803" i="4"/>
  <c r="C809" i="4"/>
  <c r="C816" i="4"/>
  <c r="C824" i="4"/>
  <c r="C831" i="4"/>
  <c r="C837" i="4"/>
  <c r="C845" i="4"/>
  <c r="C852" i="4"/>
  <c r="C859" i="4"/>
  <c r="C867" i="4"/>
  <c r="C873" i="4"/>
  <c r="C880" i="4"/>
  <c r="C888" i="4"/>
  <c r="C895" i="4"/>
  <c r="C901" i="4"/>
  <c r="C909" i="4"/>
  <c r="C916" i="4"/>
  <c r="C923" i="4"/>
  <c r="C931" i="4"/>
  <c r="C937" i="4"/>
  <c r="C944" i="4"/>
  <c r="C952" i="4"/>
  <c r="C959" i="4"/>
  <c r="C965" i="4"/>
  <c r="C973" i="4"/>
  <c r="C980" i="4"/>
  <c r="C987" i="4"/>
  <c r="C995" i="4"/>
  <c r="C1001" i="4"/>
  <c r="C1008" i="4"/>
  <c r="C1016" i="4"/>
  <c r="C1023" i="4"/>
  <c r="C1029" i="4"/>
  <c r="C1037" i="4"/>
  <c r="C1044" i="4"/>
  <c r="C1051" i="4"/>
  <c r="C1059" i="4"/>
  <c r="C1065" i="4"/>
  <c r="C1072" i="4"/>
  <c r="C1080" i="4"/>
  <c r="C1087" i="4"/>
  <c r="C1093" i="4"/>
  <c r="C1101" i="4"/>
  <c r="C1108" i="4"/>
  <c r="C1115" i="4"/>
  <c r="C1123" i="4"/>
  <c r="C1129" i="4"/>
  <c r="C1136" i="4"/>
  <c r="C1144" i="4"/>
  <c r="C1151" i="4"/>
  <c r="C1157" i="4"/>
  <c r="C1165" i="4"/>
  <c r="C1172" i="4"/>
  <c r="C1179" i="4"/>
  <c r="C1187" i="4"/>
  <c r="C1193" i="4"/>
  <c r="C1200" i="4"/>
  <c r="C1208" i="4"/>
  <c r="C1215" i="4"/>
  <c r="C1221" i="4"/>
  <c r="C1229" i="4"/>
  <c r="C1236" i="4"/>
  <c r="C1243" i="4"/>
  <c r="C1251" i="4"/>
  <c r="C1257" i="4"/>
  <c r="C1264" i="4"/>
  <c r="C1272" i="4"/>
  <c r="C1279" i="4"/>
  <c r="C1285" i="4"/>
  <c r="C1293" i="4"/>
  <c r="C1300" i="4"/>
  <c r="C1307" i="4"/>
  <c r="C1315" i="4"/>
  <c r="C1321" i="4"/>
  <c r="C1328" i="4"/>
  <c r="C1336" i="4"/>
  <c r="C1343" i="4"/>
  <c r="C1349" i="4"/>
  <c r="C1357" i="4"/>
  <c r="C1364" i="4"/>
  <c r="C1371" i="4"/>
  <c r="C1379" i="4"/>
  <c r="C1385" i="4"/>
  <c r="C1392" i="4"/>
  <c r="C1400" i="4"/>
  <c r="C1406" i="4"/>
  <c r="C1411" i="4"/>
  <c r="C1417" i="4"/>
  <c r="C1422" i="4"/>
  <c r="C1427" i="4"/>
  <c r="C1433" i="4"/>
  <c r="C1438" i="4"/>
  <c r="C1443" i="4"/>
  <c r="C1449" i="4"/>
  <c r="C1454" i="4"/>
  <c r="C1459" i="4"/>
  <c r="C1465" i="4"/>
  <c r="C1470" i="4"/>
  <c r="C1475" i="4"/>
  <c r="C1481" i="4"/>
  <c r="C1486" i="4"/>
  <c r="C1491" i="4"/>
  <c r="C1497" i="4"/>
  <c r="C1502" i="4"/>
  <c r="C1507" i="4"/>
  <c r="C1513" i="4"/>
  <c r="C1518" i="4"/>
  <c r="C1523" i="4"/>
  <c r="C1529" i="4"/>
  <c r="C1534" i="4"/>
  <c r="C1539" i="4"/>
  <c r="C1545" i="4"/>
  <c r="C1550" i="4"/>
  <c r="C1555" i="4"/>
  <c r="C1561" i="4"/>
  <c r="C1566" i="4"/>
  <c r="C1571" i="4"/>
  <c r="C1577" i="4"/>
  <c r="C1582" i="4"/>
  <c r="C1587" i="4"/>
  <c r="C1593" i="4"/>
  <c r="C1598" i="4"/>
  <c r="C1603" i="4"/>
  <c r="C1609" i="4"/>
  <c r="C1614" i="4"/>
  <c r="C1619" i="4"/>
  <c r="C1625" i="4"/>
  <c r="C1630" i="4"/>
  <c r="C1635" i="4"/>
  <c r="C1641" i="4"/>
  <c r="C1646" i="4"/>
  <c r="C1651" i="4"/>
  <c r="C1657" i="4"/>
  <c r="C1661" i="4"/>
  <c r="C1665" i="4"/>
  <c r="C1669" i="4"/>
  <c r="C1673" i="4"/>
  <c r="C1677" i="4"/>
  <c r="C1681" i="4"/>
  <c r="C1685" i="4"/>
  <c r="C1689" i="4"/>
  <c r="C1693" i="4"/>
  <c r="C1697" i="4"/>
  <c r="C1701" i="4"/>
  <c r="C1705" i="4"/>
  <c r="C1709" i="4"/>
  <c r="C1713" i="4"/>
  <c r="C1717" i="4"/>
  <c r="C1721" i="4"/>
  <c r="C1725" i="4"/>
  <c r="C1729" i="4"/>
  <c r="C1733" i="4"/>
  <c r="C1737" i="4"/>
  <c r="C1741" i="4"/>
  <c r="C1745" i="4"/>
  <c r="C1749" i="4"/>
  <c r="C1753" i="4"/>
  <c r="C1757" i="4"/>
  <c r="C1761" i="4"/>
  <c r="C1765" i="4"/>
  <c r="C1769" i="4"/>
  <c r="C1773" i="4"/>
  <c r="C1777" i="4"/>
  <c r="C1781" i="4"/>
  <c r="C1785" i="4"/>
  <c r="C1789" i="4"/>
  <c r="C1793" i="4"/>
  <c r="C1797" i="4"/>
  <c r="C1801" i="4"/>
  <c r="C1805" i="4"/>
  <c r="C1809" i="4"/>
  <c r="C1813" i="4"/>
  <c r="C1817" i="4"/>
  <c r="C1821" i="4"/>
  <c r="C73" i="4"/>
  <c r="C138" i="4"/>
  <c r="C206" i="4"/>
  <c r="C277" i="4"/>
  <c r="C344" i="4"/>
  <c r="C409" i="4"/>
  <c r="C478" i="4"/>
  <c r="C535" i="4"/>
  <c r="C586" i="4"/>
  <c r="C637" i="4"/>
  <c r="C675" i="4"/>
  <c r="C712" i="4"/>
  <c r="C752" i="4"/>
  <c r="C783" i="4"/>
  <c r="C811" i="4"/>
  <c r="C840" i="4"/>
  <c r="C868" i="4"/>
  <c r="C896" i="4"/>
  <c r="C925" i="4"/>
  <c r="C953" i="4"/>
  <c r="C981" i="4"/>
  <c r="C1011" i="4"/>
  <c r="C1039" i="4"/>
  <c r="C1067" i="4"/>
  <c r="C1096" i="4"/>
  <c r="C1124" i="4"/>
  <c r="C1152" i="4"/>
  <c r="C1181" i="4"/>
  <c r="C1209" i="4"/>
  <c r="C1237" i="4"/>
  <c r="C1267" i="4"/>
  <c r="C1295" i="4"/>
  <c r="C1323" i="4"/>
  <c r="C1352" i="4"/>
  <c r="C1380" i="4"/>
  <c r="C1407" i="4"/>
  <c r="C1429" i="4"/>
  <c r="C1450" i="4"/>
  <c r="C1471" i="4"/>
  <c r="C1493" i="4"/>
  <c r="C1514" i="4"/>
  <c r="C1535" i="4"/>
  <c r="C1557" i="4"/>
  <c r="C1578" i="4"/>
  <c r="C1599" i="4"/>
  <c r="C1621" i="4"/>
  <c r="C1642" i="4"/>
  <c r="C1662" i="4"/>
  <c r="C1678" i="4"/>
  <c r="C1694" i="4"/>
  <c r="C1710" i="4"/>
  <c r="C1726" i="4"/>
  <c r="C1742" i="4"/>
  <c r="C1758" i="4"/>
  <c r="C1774" i="4"/>
  <c r="C1790" i="4"/>
  <c r="C1806" i="4"/>
  <c r="C1822" i="4"/>
  <c r="C1830" i="4"/>
  <c r="C1838" i="4"/>
  <c r="C1846" i="4"/>
  <c r="C1854" i="4"/>
  <c r="C1862" i="4"/>
  <c r="C1870" i="4"/>
  <c r="C1878" i="4"/>
  <c r="C1886" i="4"/>
  <c r="C1894" i="4"/>
  <c r="C1902" i="4"/>
  <c r="C1910" i="4"/>
  <c r="C1918" i="4"/>
  <c r="C1926" i="4"/>
  <c r="C1934" i="4"/>
  <c r="C1942" i="4"/>
  <c r="C1950" i="4"/>
  <c r="C1958" i="4"/>
  <c r="C1966" i="4"/>
  <c r="C1974" i="4"/>
  <c r="C1982" i="4"/>
  <c r="C1990" i="4"/>
  <c r="C1998" i="4"/>
  <c r="C2006" i="4"/>
  <c r="C24" i="4"/>
  <c r="C89" i="4"/>
  <c r="C157" i="4"/>
  <c r="C224" i="4"/>
  <c r="C292" i="4"/>
  <c r="C357" i="4"/>
  <c r="C429" i="4"/>
  <c r="C494" i="4"/>
  <c r="C549" i="4"/>
  <c r="C599" i="4"/>
  <c r="C647" i="4"/>
  <c r="C684" i="4"/>
  <c r="C723" i="4"/>
  <c r="C760" i="4"/>
  <c r="C789" i="4"/>
  <c r="C819" i="4"/>
  <c r="C847" i="4"/>
  <c r="C875" i="4"/>
  <c r="C904" i="4"/>
  <c r="C932" i="4"/>
  <c r="C960" i="4"/>
  <c r="C989" i="4"/>
  <c r="C1017" i="4"/>
  <c r="C1045" i="4"/>
  <c r="C1075" i="4"/>
  <c r="C1103" i="4"/>
  <c r="C1131" i="4"/>
  <c r="C1160" i="4"/>
  <c r="C1188" i="4"/>
  <c r="C1216" i="4"/>
  <c r="C1245" i="4"/>
  <c r="C1273" i="4"/>
  <c r="C1301" i="4"/>
  <c r="C1331" i="4"/>
  <c r="C1359" i="4"/>
  <c r="C1387" i="4"/>
  <c r="C1413" i="4"/>
  <c r="C1434" i="4"/>
  <c r="C1455" i="4"/>
  <c r="C1477" i="4"/>
  <c r="C1498" i="4"/>
  <c r="C1519" i="4"/>
  <c r="C1541" i="4"/>
  <c r="C1562" i="4"/>
  <c r="C1583" i="4"/>
  <c r="C1605" i="4"/>
  <c r="C1626" i="4"/>
  <c r="C1647" i="4"/>
  <c r="C1666" i="4"/>
  <c r="C1682" i="4"/>
  <c r="C1698" i="4"/>
  <c r="C1714" i="4"/>
  <c r="C1730" i="4"/>
  <c r="C1746" i="4"/>
  <c r="C1762" i="4"/>
  <c r="C1778" i="4"/>
  <c r="C1794" i="4"/>
  <c r="C1810" i="4"/>
  <c r="C1825" i="4"/>
  <c r="C1833" i="4"/>
  <c r="C1841" i="4"/>
  <c r="C1849" i="4"/>
  <c r="C1857" i="4"/>
  <c r="C1865" i="4"/>
  <c r="C1873" i="4"/>
  <c r="C1881" i="4"/>
  <c r="C1889" i="4"/>
  <c r="C1897" i="4"/>
  <c r="C1905" i="4"/>
  <c r="C1913" i="4"/>
  <c r="C1921" i="4"/>
  <c r="C1929" i="4"/>
  <c r="C1937" i="4"/>
  <c r="C1945" i="4"/>
  <c r="C1953" i="4"/>
  <c r="C1961" i="4"/>
  <c r="C1969" i="4"/>
  <c r="C1977" i="4"/>
  <c r="C1985" i="4"/>
  <c r="C1993" i="4"/>
  <c r="C2001" i="4"/>
  <c r="C2009" i="4"/>
  <c r="C40" i="4"/>
  <c r="C106" i="4"/>
  <c r="C174" i="4"/>
  <c r="C242" i="4"/>
  <c r="C308" i="4"/>
  <c r="C377" i="4"/>
  <c r="C442" i="4"/>
  <c r="C509" i="4"/>
  <c r="C562" i="4"/>
  <c r="C613" i="4"/>
  <c r="C656" i="4"/>
  <c r="C695" i="4"/>
  <c r="C732" i="4"/>
  <c r="C768" i="4"/>
  <c r="C797" i="4"/>
  <c r="C825" i="4"/>
  <c r="C853" i="4"/>
  <c r="C883" i="4"/>
  <c r="C911" i="4"/>
  <c r="C939" i="4"/>
  <c r="C968" i="4"/>
  <c r="C996" i="4"/>
  <c r="C1024" i="4"/>
  <c r="C1053" i="4"/>
  <c r="C1081" i="4"/>
  <c r="C1109" i="4"/>
  <c r="C1139" i="4"/>
  <c r="C1167" i="4"/>
  <c r="C1195" i="4"/>
  <c r="C1224" i="4"/>
  <c r="C1252" i="4"/>
  <c r="C1280" i="4"/>
  <c r="C1309" i="4"/>
  <c r="C1337" i="4"/>
  <c r="C1365" i="4"/>
  <c r="C1395" i="4"/>
  <c r="C1418" i="4"/>
  <c r="C1439" i="4"/>
  <c r="C1461" i="4"/>
  <c r="C1482" i="4"/>
  <c r="C1503" i="4"/>
  <c r="C1525" i="4"/>
  <c r="C1546" i="4"/>
  <c r="C1567" i="4"/>
  <c r="C1589" i="4"/>
  <c r="C1610" i="4"/>
  <c r="C1631" i="4"/>
  <c r="C1653" i="4"/>
  <c r="C1670" i="4"/>
  <c r="C1686" i="4"/>
  <c r="C1702" i="4"/>
  <c r="C1718" i="4"/>
  <c r="C1734" i="4"/>
  <c r="C1750" i="4"/>
  <c r="C1766" i="4"/>
  <c r="C1782" i="4"/>
  <c r="C1798" i="4"/>
  <c r="C1814" i="4"/>
  <c r="C1826" i="4"/>
  <c r="C1834" i="4"/>
  <c r="C1842" i="4"/>
  <c r="C1850" i="4"/>
  <c r="C1858" i="4"/>
  <c r="C1866" i="4"/>
  <c r="C1874" i="4"/>
  <c r="C1882" i="4"/>
  <c r="C1890" i="4"/>
  <c r="C1898" i="4"/>
  <c r="C1906" i="4"/>
  <c r="C1914" i="4"/>
  <c r="C1922" i="4"/>
  <c r="C1930" i="4"/>
  <c r="C1938" i="4"/>
  <c r="C1946" i="4"/>
  <c r="C1954" i="4"/>
  <c r="C1962" i="4"/>
  <c r="C1970" i="4"/>
  <c r="C1978" i="4"/>
  <c r="C1986" i="4"/>
  <c r="C1994" i="4"/>
  <c r="C2002" i="4"/>
  <c r="C2010" i="4"/>
  <c r="C53" i="4"/>
  <c r="C125" i="4"/>
  <c r="C192" i="4"/>
  <c r="C258" i="4"/>
  <c r="C328" i="4"/>
  <c r="C393" i="4"/>
  <c r="C458" i="4"/>
  <c r="C523" i="4"/>
  <c r="C573" i="4"/>
  <c r="C623" i="4"/>
  <c r="C667" i="4"/>
  <c r="C704" i="4"/>
  <c r="C741" i="4"/>
  <c r="C776" i="4"/>
  <c r="C804" i="4"/>
  <c r="C832" i="4"/>
  <c r="C861" i="4"/>
  <c r="C889" i="4"/>
  <c r="C917" i="4"/>
  <c r="C947" i="4"/>
  <c r="C975" i="4"/>
  <c r="C1003" i="4"/>
  <c r="C1032" i="4"/>
  <c r="C1060" i="4"/>
  <c r="C1088" i="4"/>
  <c r="C1117" i="4"/>
  <c r="C1145" i="4"/>
  <c r="C1173" i="4"/>
  <c r="C1203" i="4"/>
  <c r="C1231" i="4"/>
  <c r="C1259" i="4"/>
  <c r="C1288" i="4"/>
  <c r="C1316" i="4"/>
  <c r="C1344" i="4"/>
  <c r="C1373" i="4"/>
  <c r="C1401" i="4"/>
  <c r="C1423" i="4"/>
  <c r="C1445" i="4"/>
  <c r="C1466" i="4"/>
  <c r="C1487" i="4"/>
  <c r="C1509" i="4"/>
  <c r="C1530" i="4"/>
  <c r="C1551" i="4"/>
  <c r="C1573" i="4"/>
  <c r="C1594" i="4"/>
  <c r="C1615" i="4"/>
  <c r="C1637" i="4"/>
  <c r="C1658" i="4"/>
  <c r="C1674" i="4"/>
  <c r="C1690" i="4"/>
  <c r="C1706" i="4"/>
  <c r="C1722" i="4"/>
  <c r="C1738" i="4"/>
  <c r="C1754" i="4"/>
  <c r="C1770" i="4"/>
  <c r="C1786" i="4"/>
  <c r="C1802" i="4"/>
  <c r="C1818" i="4"/>
  <c r="C1829" i="4"/>
  <c r="C1837" i="4"/>
  <c r="C1845" i="4"/>
  <c r="C1853" i="4"/>
  <c r="C1861" i="4"/>
  <c r="C1869" i="4"/>
  <c r="C1877" i="4"/>
  <c r="C1885" i="4"/>
  <c r="C1893" i="4"/>
  <c r="C1901" i="4"/>
  <c r="C1909" i="4"/>
  <c r="C1917" i="4"/>
  <c r="C1925" i="4"/>
  <c r="C1933" i="4"/>
  <c r="C1941" i="4"/>
  <c r="C1949" i="4"/>
  <c r="C1957" i="4"/>
  <c r="C1965" i="4"/>
  <c r="C1973" i="4"/>
  <c r="C1981" i="4"/>
  <c r="C1989" i="4"/>
  <c r="C1997" i="4"/>
  <c r="C2005" i="4"/>
  <c r="I31" i="4"/>
  <c r="I33" i="4"/>
  <c r="I35" i="4"/>
  <c r="I37" i="4"/>
  <c r="I39" i="4"/>
  <c r="I41" i="4"/>
  <c r="I43" i="4"/>
  <c r="I45" i="4"/>
  <c r="D5" i="4"/>
  <c r="D9" i="4"/>
  <c r="D13" i="4"/>
  <c r="F15" i="4"/>
  <c r="D17" i="4"/>
  <c r="F19" i="4"/>
  <c r="D21" i="4"/>
  <c r="F23" i="4"/>
  <c r="D25" i="4"/>
  <c r="F27" i="4"/>
  <c r="D29" i="4"/>
  <c r="F31" i="4"/>
  <c r="D33" i="4"/>
  <c r="F35" i="4"/>
  <c r="D37" i="4"/>
  <c r="F39" i="4"/>
  <c r="D41" i="4"/>
  <c r="F43" i="4"/>
  <c r="D45" i="4"/>
  <c r="I47" i="4"/>
  <c r="I49" i="4"/>
  <c r="I51" i="4"/>
  <c r="I53" i="4"/>
  <c r="I55" i="4"/>
  <c r="I57" i="4"/>
  <c r="I59" i="4"/>
  <c r="I61" i="4"/>
  <c r="I63" i="4"/>
  <c r="I65" i="4"/>
  <c r="I67" i="4"/>
  <c r="I69" i="4"/>
  <c r="I71" i="4"/>
  <c r="I73" i="4"/>
  <c r="I75" i="4"/>
  <c r="I77" i="4"/>
  <c r="I79" i="4"/>
  <c r="I81" i="4"/>
  <c r="I83" i="4"/>
  <c r="I85" i="4"/>
  <c r="I87" i="4"/>
  <c r="I89" i="4"/>
  <c r="I91" i="4"/>
  <c r="I93" i="4"/>
  <c r="I95" i="4"/>
  <c r="I97" i="4"/>
  <c r="I99" i="4"/>
  <c r="I101" i="4"/>
  <c r="I103" i="4"/>
  <c r="I105" i="4"/>
  <c r="I107" i="4"/>
  <c r="D6" i="4"/>
  <c r="D14" i="4"/>
  <c r="F18" i="4"/>
  <c r="G18" i="4" s="1"/>
  <c r="F21" i="4"/>
  <c r="D22" i="4"/>
  <c r="F26" i="4"/>
  <c r="G26" i="4" s="1"/>
  <c r="F29" i="4"/>
  <c r="D30" i="4"/>
  <c r="F34" i="4"/>
  <c r="G34" i="4" s="1"/>
  <c r="F37" i="4"/>
  <c r="D38" i="4"/>
  <c r="I38" i="4"/>
  <c r="F42" i="4"/>
  <c r="G42" i="4" s="1"/>
  <c r="F45" i="4"/>
  <c r="D47" i="4"/>
  <c r="F49" i="4"/>
  <c r="D51" i="4"/>
  <c r="F53" i="4"/>
  <c r="D55" i="4"/>
  <c r="F57" i="4"/>
  <c r="D59" i="4"/>
  <c r="F61" i="4"/>
  <c r="D63" i="4"/>
  <c r="F65" i="4"/>
  <c r="D67" i="4"/>
  <c r="F69" i="4"/>
  <c r="D71" i="4"/>
  <c r="F73" i="4"/>
  <c r="D75" i="4"/>
  <c r="F77" i="4"/>
  <c r="D79" i="4"/>
  <c r="F81" i="4"/>
  <c r="D83" i="4"/>
  <c r="F85" i="4"/>
  <c r="D87" i="4"/>
  <c r="F89" i="4"/>
  <c r="D91" i="4"/>
  <c r="F93" i="4"/>
  <c r="D95" i="4"/>
  <c r="F97" i="4"/>
  <c r="D99" i="4"/>
  <c r="F101" i="4"/>
  <c r="D103" i="4"/>
  <c r="F105" i="4"/>
  <c r="D107" i="4"/>
  <c r="I109" i="4"/>
  <c r="I111" i="4"/>
  <c r="I113" i="4"/>
  <c r="I115" i="4"/>
  <c r="I117" i="4"/>
  <c r="I119" i="4"/>
  <c r="I121" i="4"/>
  <c r="I123" i="4"/>
  <c r="I125" i="4"/>
  <c r="I127" i="4"/>
  <c r="I129" i="4"/>
  <c r="I131" i="4"/>
  <c r="I133" i="4"/>
  <c r="I135" i="4"/>
  <c r="I137" i="4"/>
  <c r="I139" i="4"/>
  <c r="I141" i="4"/>
  <c r="I143" i="4"/>
  <c r="I145" i="4"/>
  <c r="I147" i="4"/>
  <c r="I149" i="4"/>
  <c r="I151" i="4"/>
  <c r="I153" i="4"/>
  <c r="I155" i="4"/>
  <c r="I157" i="4"/>
  <c r="I159" i="4"/>
  <c r="I161" i="4"/>
  <c r="I163" i="4"/>
  <c r="I165" i="4"/>
  <c r="I167" i="4"/>
  <c r="I169" i="4"/>
  <c r="I171" i="4"/>
  <c r="I173" i="4"/>
  <c r="D8" i="4"/>
  <c r="F16" i="4"/>
  <c r="G16" i="4" s="1"/>
  <c r="F17" i="4"/>
  <c r="D18" i="4"/>
  <c r="D19" i="4"/>
  <c r="D20" i="4"/>
  <c r="D24" i="4"/>
  <c r="G27" i="4"/>
  <c r="F28" i="4"/>
  <c r="G28" i="4" s="1"/>
  <c r="F32" i="4"/>
  <c r="G32" i="4" s="1"/>
  <c r="F33" i="4"/>
  <c r="D34" i="4"/>
  <c r="D35" i="4"/>
  <c r="D36" i="4"/>
  <c r="I36" i="4"/>
  <c r="D40" i="4"/>
  <c r="I40" i="4"/>
  <c r="G43" i="4"/>
  <c r="F44" i="4"/>
  <c r="G44" i="4" s="1"/>
  <c r="F48" i="4"/>
  <c r="G48" i="4" s="1"/>
  <c r="F51" i="4"/>
  <c r="D52" i="4"/>
  <c r="I52" i="4"/>
  <c r="F56" i="4"/>
  <c r="G56" i="4" s="1"/>
  <c r="F59" i="4"/>
  <c r="D60" i="4"/>
  <c r="I60" i="4"/>
  <c r="F64" i="4"/>
  <c r="G64" i="4" s="1"/>
  <c r="F67" i="4"/>
  <c r="D68" i="4"/>
  <c r="I68" i="4"/>
  <c r="F72" i="4"/>
  <c r="G72" i="4" s="1"/>
  <c r="F75" i="4"/>
  <c r="D76" i="4"/>
  <c r="I76" i="4"/>
  <c r="F80" i="4"/>
  <c r="G80" i="4" s="1"/>
  <c r="F83" i="4"/>
  <c r="D84" i="4"/>
  <c r="I84" i="4"/>
  <c r="F88" i="4"/>
  <c r="G88" i="4" s="1"/>
  <c r="F91" i="4"/>
  <c r="D92" i="4"/>
  <c r="I92" i="4"/>
  <c r="F96" i="4"/>
  <c r="G96" i="4" s="1"/>
  <c r="F99" i="4"/>
  <c r="D100" i="4"/>
  <c r="I100" i="4"/>
  <c r="F104" i="4"/>
  <c r="G104" i="4" s="1"/>
  <c r="F107" i="4"/>
  <c r="D108" i="4"/>
  <c r="I108" i="4"/>
  <c r="F110" i="4"/>
  <c r="G110" i="4" s="1"/>
  <c r="D112" i="4"/>
  <c r="I112" i="4"/>
  <c r="F114" i="4"/>
  <c r="G114" i="4" s="1"/>
  <c r="D116" i="4"/>
  <c r="I116" i="4"/>
  <c r="F118" i="4"/>
  <c r="G118" i="4" s="1"/>
  <c r="D120" i="4"/>
  <c r="I120" i="4"/>
  <c r="F122" i="4"/>
  <c r="G122" i="4" s="1"/>
  <c r="D124" i="4"/>
  <c r="I124" i="4"/>
  <c r="F126" i="4"/>
  <c r="G126" i="4" s="1"/>
  <c r="D128" i="4"/>
  <c r="I128" i="4"/>
  <c r="F130" i="4"/>
  <c r="G130" i="4" s="1"/>
  <c r="D132" i="4"/>
  <c r="I132" i="4"/>
  <c r="F134" i="4"/>
  <c r="G134" i="4" s="1"/>
  <c r="D136" i="4"/>
  <c r="I136" i="4"/>
  <c r="F138" i="4"/>
  <c r="G138" i="4" s="1"/>
  <c r="D140" i="4"/>
  <c r="I140" i="4"/>
  <c r="F142" i="4"/>
  <c r="G142" i="4" s="1"/>
  <c r="D144" i="4"/>
  <c r="I144" i="4"/>
  <c r="F146" i="4"/>
  <c r="G146" i="4" s="1"/>
  <c r="D148" i="4"/>
  <c r="I148" i="4"/>
  <c r="F150" i="4"/>
  <c r="G150" i="4" s="1"/>
  <c r="D152" i="4"/>
  <c r="I152" i="4"/>
  <c r="F154" i="4"/>
  <c r="G154" i="4" s="1"/>
  <c r="D156" i="4"/>
  <c r="I156" i="4"/>
  <c r="F158" i="4"/>
  <c r="G158" i="4" s="1"/>
  <c r="D160" i="4"/>
  <c r="I160" i="4"/>
  <c r="F162" i="4"/>
  <c r="G162" i="4" s="1"/>
  <c r="D164" i="4"/>
  <c r="I164" i="4"/>
  <c r="F166" i="4"/>
  <c r="G166" i="4" s="1"/>
  <c r="D168" i="4"/>
  <c r="I168" i="4"/>
  <c r="F170" i="4"/>
  <c r="G170" i="4" s="1"/>
  <c r="D172" i="4"/>
  <c r="I172" i="4"/>
  <c r="F174" i="4"/>
  <c r="G174" i="4" s="1"/>
  <c r="D176" i="4"/>
  <c r="F178" i="4"/>
  <c r="G178" i="4" s="1"/>
  <c r="D180" i="4"/>
  <c r="F182" i="4"/>
  <c r="G182" i="4" s="1"/>
  <c r="D184" i="4"/>
  <c r="F186" i="4"/>
  <c r="G186" i="4" s="1"/>
  <c r="D188" i="4"/>
  <c r="F190" i="4"/>
  <c r="G190" i="4" s="1"/>
  <c r="D192" i="4"/>
  <c r="F194" i="4"/>
  <c r="G194" i="4" s="1"/>
  <c r="D196" i="4"/>
  <c r="F198" i="4"/>
  <c r="G198" i="4" s="1"/>
  <c r="D200" i="4"/>
  <c r="F202" i="4"/>
  <c r="G202" i="4" s="1"/>
  <c r="D204" i="4"/>
  <c r="F206" i="4"/>
  <c r="G206" i="4" s="1"/>
  <c r="D208" i="4"/>
  <c r="F210" i="4"/>
  <c r="G210" i="4" s="1"/>
  <c r="D212" i="4"/>
  <c r="F214" i="4"/>
  <c r="G214" i="4" s="1"/>
  <c r="D216" i="4"/>
  <c r="F218" i="4"/>
  <c r="G218" i="4" s="1"/>
  <c r="D220" i="4"/>
  <c r="F222" i="4"/>
  <c r="G222" i="4" s="1"/>
  <c r="D224" i="4"/>
  <c r="F226" i="4"/>
  <c r="G226" i="4" s="1"/>
  <c r="D228" i="4"/>
  <c r="F230" i="4"/>
  <c r="D231" i="4"/>
  <c r="F232" i="4"/>
  <c r="D233" i="4"/>
  <c r="F234" i="4"/>
  <c r="D235" i="4"/>
  <c r="F236" i="4"/>
  <c r="D237" i="4"/>
  <c r="F238" i="4"/>
  <c r="D239" i="4"/>
  <c r="F240" i="4"/>
  <c r="D241" i="4"/>
  <c r="F242" i="4"/>
  <c r="D243" i="4"/>
  <c r="F244" i="4"/>
  <c r="D245" i="4"/>
  <c r="F246" i="4"/>
  <c r="D247" i="4"/>
  <c r="F248" i="4"/>
  <c r="D249" i="4"/>
  <c r="F250" i="4"/>
  <c r="D251" i="4"/>
  <c r="F252" i="4"/>
  <c r="D253" i="4"/>
  <c r="F254" i="4"/>
  <c r="D255" i="4"/>
  <c r="F256" i="4"/>
  <c r="D257" i="4"/>
  <c r="F258" i="4"/>
  <c r="D259" i="4"/>
  <c r="F260" i="4"/>
  <c r="D261" i="4"/>
  <c r="F262" i="4"/>
  <c r="D263" i="4"/>
  <c r="F264" i="4"/>
  <c r="D265" i="4"/>
  <c r="F266" i="4"/>
  <c r="D267" i="4"/>
  <c r="F268" i="4"/>
  <c r="D269" i="4"/>
  <c r="F270" i="4"/>
  <c r="D271" i="4"/>
  <c r="F272" i="4"/>
  <c r="D273" i="4"/>
  <c r="F274" i="4"/>
  <c r="D275" i="4"/>
  <c r="F276" i="4"/>
  <c r="D277" i="4"/>
  <c r="F278" i="4"/>
  <c r="D279" i="4"/>
  <c r="F280" i="4"/>
  <c r="D281" i="4"/>
  <c r="F282" i="4"/>
  <c r="D283" i="4"/>
  <c r="F284" i="4"/>
  <c r="D285" i="4"/>
  <c r="F286" i="4"/>
  <c r="D287" i="4"/>
  <c r="F288" i="4"/>
  <c r="D289" i="4"/>
  <c r="F290" i="4"/>
  <c r="D291" i="4"/>
  <c r="F292" i="4"/>
  <c r="D293" i="4"/>
  <c r="F294" i="4"/>
  <c r="D295" i="4"/>
  <c r="F296" i="4"/>
  <c r="D297" i="4"/>
  <c r="F298" i="4"/>
  <c r="D299" i="4"/>
  <c r="F300" i="4"/>
  <c r="D301" i="4"/>
  <c r="F302" i="4"/>
  <c r="D303" i="4"/>
  <c r="F304" i="4"/>
  <c r="D305" i="4"/>
  <c r="F306" i="4"/>
  <c r="D307" i="4"/>
  <c r="F308" i="4"/>
  <c r="D309" i="4"/>
  <c r="F310" i="4"/>
  <c r="D311" i="4"/>
  <c r="F312" i="4"/>
  <c r="D313" i="4"/>
  <c r="F314" i="4"/>
  <c r="D315" i="4"/>
  <c r="F316" i="4"/>
  <c r="D317" i="4"/>
  <c r="F318" i="4"/>
  <c r="D319" i="4"/>
  <c r="F320" i="4"/>
  <c r="D321" i="4"/>
  <c r="F322" i="4"/>
  <c r="D323" i="4"/>
  <c r="F324" i="4"/>
  <c r="D325" i="4"/>
  <c r="F326" i="4"/>
  <c r="D327" i="4"/>
  <c r="F328" i="4"/>
  <c r="D329" i="4"/>
  <c r="F330" i="4"/>
  <c r="D331" i="4"/>
  <c r="F332" i="4"/>
  <c r="D333" i="4"/>
  <c r="F334" i="4"/>
  <c r="D335" i="4"/>
  <c r="F336" i="4"/>
  <c r="D337" i="4"/>
  <c r="F338" i="4"/>
  <c r="D339" i="4"/>
  <c r="F340" i="4"/>
  <c r="D341" i="4"/>
  <c r="F342" i="4"/>
  <c r="D343" i="4"/>
  <c r="F344" i="4"/>
  <c r="D345" i="4"/>
  <c r="F346" i="4"/>
  <c r="D347" i="4"/>
  <c r="F348" i="4"/>
  <c r="D349" i="4"/>
  <c r="F350" i="4"/>
  <c r="D351" i="4"/>
  <c r="F352" i="4"/>
  <c r="D353" i="4"/>
  <c r="F354" i="4"/>
  <c r="D355" i="4"/>
  <c r="F356" i="4"/>
  <c r="D357" i="4"/>
  <c r="F358" i="4"/>
  <c r="D359" i="4"/>
  <c r="F360" i="4"/>
  <c r="D361" i="4"/>
  <c r="F362" i="4"/>
  <c r="D363" i="4"/>
  <c r="F364" i="4"/>
  <c r="D365" i="4"/>
  <c r="F366" i="4"/>
  <c r="D367" i="4"/>
  <c r="F368" i="4"/>
  <c r="D369" i="4"/>
  <c r="F370" i="4"/>
  <c r="D371" i="4"/>
  <c r="F372" i="4"/>
  <c r="D373" i="4"/>
  <c r="F374" i="4"/>
  <c r="D375" i="4"/>
  <c r="F376" i="4"/>
  <c r="D377" i="4"/>
  <c r="F378" i="4"/>
  <c r="D379" i="4"/>
  <c r="F380" i="4"/>
  <c r="D381" i="4"/>
  <c r="F382" i="4"/>
  <c r="D383" i="4"/>
  <c r="F384" i="4"/>
  <c r="D385" i="4"/>
  <c r="F386" i="4"/>
  <c r="D387" i="4"/>
  <c r="F388" i="4"/>
  <c r="D389" i="4"/>
  <c r="F390" i="4"/>
  <c r="D391" i="4"/>
  <c r="F392" i="4"/>
  <c r="D393" i="4"/>
  <c r="F394" i="4"/>
  <c r="D395" i="4"/>
  <c r="F396" i="4"/>
  <c r="D397" i="4"/>
  <c r="F398" i="4"/>
  <c r="D399" i="4"/>
  <c r="F400" i="4"/>
  <c r="D401" i="4"/>
  <c r="F402" i="4"/>
  <c r="D403" i="4"/>
  <c r="F404" i="4"/>
  <c r="D405" i="4"/>
  <c r="F406" i="4"/>
  <c r="D407" i="4"/>
  <c r="F408" i="4"/>
  <c r="D409" i="4"/>
  <c r="F410" i="4"/>
  <c r="D411" i="4"/>
  <c r="F412" i="4"/>
  <c r="D413" i="4"/>
  <c r="F414" i="4"/>
  <c r="D415" i="4"/>
  <c r="F416" i="4"/>
  <c r="D417" i="4"/>
  <c r="F418" i="4"/>
  <c r="D419" i="4"/>
  <c r="F420" i="4"/>
  <c r="D421" i="4"/>
  <c r="F422" i="4"/>
  <c r="D423" i="4"/>
  <c r="F424" i="4"/>
  <c r="D425" i="4"/>
  <c r="F426" i="4"/>
  <c r="D427" i="4"/>
  <c r="F428" i="4"/>
  <c r="D429" i="4"/>
  <c r="F430" i="4"/>
  <c r="D431" i="4"/>
  <c r="F432" i="4"/>
  <c r="D433" i="4"/>
  <c r="F434" i="4"/>
  <c r="D435" i="4"/>
  <c r="F436" i="4"/>
  <c r="D437" i="4"/>
  <c r="F438" i="4"/>
  <c r="D439" i="4"/>
  <c r="F440" i="4"/>
  <c r="D441" i="4"/>
  <c r="F442" i="4"/>
  <c r="D443" i="4"/>
  <c r="F444" i="4"/>
  <c r="D445" i="4"/>
  <c r="F446" i="4"/>
  <c r="D447" i="4"/>
  <c r="F448" i="4"/>
  <c r="D449" i="4"/>
  <c r="F450" i="4"/>
  <c r="D451" i="4"/>
  <c r="F452" i="4"/>
  <c r="D453" i="4"/>
  <c r="F454" i="4"/>
  <c r="D455" i="4"/>
  <c r="F456" i="4"/>
  <c r="D457" i="4"/>
  <c r="F458" i="4"/>
  <c r="D459" i="4"/>
  <c r="F460" i="4"/>
  <c r="D461" i="4"/>
  <c r="F462" i="4"/>
  <c r="D463" i="4"/>
  <c r="F464" i="4"/>
  <c r="D465" i="4"/>
  <c r="F466" i="4"/>
  <c r="D467" i="4"/>
  <c r="F468" i="4"/>
  <c r="D469" i="4"/>
  <c r="F470" i="4"/>
  <c r="D471" i="4"/>
  <c r="F472" i="4"/>
  <c r="D473" i="4"/>
  <c r="F474" i="4"/>
  <c r="D475" i="4"/>
  <c r="F476" i="4"/>
  <c r="D477" i="4"/>
  <c r="F478" i="4"/>
  <c r="D479" i="4"/>
  <c r="F480" i="4"/>
  <c r="D481" i="4"/>
  <c r="F482" i="4"/>
  <c r="D483" i="4"/>
  <c r="F484" i="4"/>
  <c r="D485" i="4"/>
  <c r="F486" i="4"/>
  <c r="D487" i="4"/>
  <c r="F488" i="4"/>
  <c r="D489" i="4"/>
  <c r="F490" i="4"/>
  <c r="D491" i="4"/>
  <c r="F492" i="4"/>
  <c r="D493" i="4"/>
  <c r="F494" i="4"/>
  <c r="D495" i="4"/>
  <c r="F496" i="4"/>
  <c r="D497" i="4"/>
  <c r="F498" i="4"/>
  <c r="D499" i="4"/>
  <c r="F500" i="4"/>
  <c r="D501" i="4"/>
  <c r="F502" i="4"/>
  <c r="D503" i="4"/>
  <c r="F504" i="4"/>
  <c r="D505" i="4"/>
  <c r="F506" i="4"/>
  <c r="D507" i="4"/>
  <c r="F508" i="4"/>
  <c r="D509" i="4"/>
  <c r="F510" i="4"/>
  <c r="D511" i="4"/>
  <c r="F512" i="4"/>
  <c r="D513" i="4"/>
  <c r="F514" i="4"/>
  <c r="D515" i="4"/>
  <c r="F516" i="4"/>
  <c r="D517" i="4"/>
  <c r="F518" i="4"/>
  <c r="D519" i="4"/>
  <c r="F520" i="4"/>
  <c r="D521" i="4"/>
  <c r="F522" i="4"/>
  <c r="D523" i="4"/>
  <c r="F524" i="4"/>
  <c r="D525" i="4"/>
  <c r="F526" i="4"/>
  <c r="D527" i="4"/>
  <c r="F528" i="4"/>
  <c r="D529" i="4"/>
  <c r="F530" i="4"/>
  <c r="D531" i="4"/>
  <c r="F532" i="4"/>
  <c r="D533" i="4"/>
  <c r="F534" i="4"/>
  <c r="D535" i="4"/>
  <c r="F536" i="4"/>
  <c r="D537" i="4"/>
  <c r="F538" i="4"/>
  <c r="D539" i="4"/>
  <c r="F540" i="4"/>
  <c r="D541" i="4"/>
  <c r="F542" i="4"/>
  <c r="D543" i="4"/>
  <c r="F544" i="4"/>
  <c r="D545" i="4"/>
  <c r="F546" i="4"/>
  <c r="D547" i="4"/>
  <c r="F548" i="4"/>
  <c r="D549" i="4"/>
  <c r="F550" i="4"/>
  <c r="D551" i="4"/>
  <c r="F552" i="4"/>
  <c r="D553" i="4"/>
  <c r="F554" i="4"/>
  <c r="D555" i="4"/>
  <c r="F556" i="4"/>
  <c r="D557" i="4"/>
  <c r="F558" i="4"/>
  <c r="D559" i="4"/>
  <c r="F560" i="4"/>
  <c r="D561" i="4"/>
  <c r="F562" i="4"/>
  <c r="D563" i="4"/>
  <c r="F564" i="4"/>
  <c r="D565" i="4"/>
  <c r="F566" i="4"/>
  <c r="D567" i="4"/>
  <c r="F568" i="4"/>
  <c r="D569" i="4"/>
  <c r="F570" i="4"/>
  <c r="D571" i="4"/>
  <c r="F572" i="4"/>
  <c r="D573" i="4"/>
  <c r="F574" i="4"/>
  <c r="D575" i="4"/>
  <c r="F576" i="4"/>
  <c r="D577" i="4"/>
  <c r="F578" i="4"/>
  <c r="D579" i="4"/>
  <c r="F580" i="4"/>
  <c r="D581" i="4"/>
  <c r="F582" i="4"/>
  <c r="D583" i="4"/>
  <c r="F584" i="4"/>
  <c r="D585" i="4"/>
  <c r="F586" i="4"/>
  <c r="D587" i="4"/>
  <c r="F588" i="4"/>
  <c r="D589" i="4"/>
  <c r="F590" i="4"/>
  <c r="D591" i="4"/>
  <c r="F592" i="4"/>
  <c r="D593" i="4"/>
  <c r="F594" i="4"/>
  <c r="D595" i="4"/>
  <c r="F596" i="4"/>
  <c r="D597" i="4"/>
  <c r="F598" i="4"/>
  <c r="D599" i="4"/>
  <c r="F600" i="4"/>
  <c r="D601" i="4"/>
  <c r="F602" i="4"/>
  <c r="D603" i="4"/>
  <c r="F604" i="4"/>
  <c r="D605" i="4"/>
  <c r="F606" i="4"/>
  <c r="D607" i="4"/>
  <c r="F608" i="4"/>
  <c r="D609" i="4"/>
  <c r="F610" i="4"/>
  <c r="D611" i="4"/>
  <c r="F612" i="4"/>
  <c r="D613" i="4"/>
  <c r="F614" i="4"/>
  <c r="D615" i="4"/>
  <c r="F616" i="4"/>
  <c r="D617" i="4"/>
  <c r="F618" i="4"/>
  <c r="D619" i="4"/>
  <c r="F620" i="4"/>
  <c r="D621" i="4"/>
  <c r="F622" i="4"/>
  <c r="D623" i="4"/>
  <c r="F624" i="4"/>
  <c r="D625" i="4"/>
  <c r="F626" i="4"/>
  <c r="D627" i="4"/>
  <c r="F628" i="4"/>
  <c r="D629" i="4"/>
  <c r="F630" i="4"/>
  <c r="D631" i="4"/>
  <c r="F632" i="4"/>
  <c r="D633" i="4"/>
  <c r="F634" i="4"/>
  <c r="D635" i="4"/>
  <c r="F636" i="4"/>
  <c r="D637" i="4"/>
  <c r="F638" i="4"/>
  <c r="D639" i="4"/>
  <c r="F640" i="4"/>
  <c r="D641" i="4"/>
  <c r="F642" i="4"/>
  <c r="D643" i="4"/>
  <c r="F644" i="4"/>
  <c r="D645" i="4"/>
  <c r="F646" i="4"/>
  <c r="D647" i="4"/>
  <c r="F648" i="4"/>
  <c r="D649" i="4"/>
  <c r="F650" i="4"/>
  <c r="D651" i="4"/>
  <c r="F652" i="4"/>
  <c r="D653" i="4"/>
  <c r="F654" i="4"/>
  <c r="D655" i="4"/>
  <c r="F656" i="4"/>
  <c r="D657" i="4"/>
  <c r="F658" i="4"/>
  <c r="D659" i="4"/>
  <c r="F660" i="4"/>
  <c r="D661" i="4"/>
  <c r="F662" i="4"/>
  <c r="D663" i="4"/>
  <c r="F664" i="4"/>
  <c r="D665" i="4"/>
  <c r="F666" i="4"/>
  <c r="D667" i="4"/>
  <c r="F668" i="4"/>
  <c r="D669" i="4"/>
  <c r="F670" i="4"/>
  <c r="D671" i="4"/>
  <c r="F672" i="4"/>
  <c r="D673" i="4"/>
  <c r="F674" i="4"/>
  <c r="D675" i="4"/>
  <c r="F676" i="4"/>
  <c r="D677" i="4"/>
  <c r="F678" i="4"/>
  <c r="D679" i="4"/>
  <c r="F680" i="4"/>
  <c r="D681" i="4"/>
  <c r="F682" i="4"/>
  <c r="D683" i="4"/>
  <c r="F684" i="4"/>
  <c r="D685" i="4"/>
  <c r="F686" i="4"/>
  <c r="D687" i="4"/>
  <c r="F688" i="4"/>
  <c r="D689" i="4"/>
  <c r="F690" i="4"/>
  <c r="D691" i="4"/>
  <c r="F692" i="4"/>
  <c r="D693" i="4"/>
  <c r="F694" i="4"/>
  <c r="D695" i="4"/>
  <c r="F696" i="4"/>
  <c r="D697" i="4"/>
  <c r="F698" i="4"/>
  <c r="D699" i="4"/>
  <c r="F700" i="4"/>
  <c r="D701" i="4"/>
  <c r="F702" i="4"/>
  <c r="D703" i="4"/>
  <c r="F704" i="4"/>
  <c r="D705" i="4"/>
  <c r="F706" i="4"/>
  <c r="D707" i="4"/>
  <c r="F708" i="4"/>
  <c r="D709" i="4"/>
  <c r="F710" i="4"/>
  <c r="D7" i="4"/>
  <c r="D16" i="4"/>
  <c r="G17" i="4"/>
  <c r="F20" i="4"/>
  <c r="G20" i="4" s="1"/>
  <c r="G21" i="4"/>
  <c r="D23" i="4"/>
  <c r="F24" i="4"/>
  <c r="G24" i="4" s="1"/>
  <c r="D32" i="4"/>
  <c r="G33" i="4"/>
  <c r="F36" i="4"/>
  <c r="G36" i="4" s="1"/>
  <c r="G37" i="4"/>
  <c r="D39" i="4"/>
  <c r="F40" i="4"/>
  <c r="G40" i="4" s="1"/>
  <c r="D46" i="4"/>
  <c r="I46" i="4"/>
  <c r="G49" i="4"/>
  <c r="F50" i="4"/>
  <c r="G50" i="4" s="1"/>
  <c r="F54" i="4"/>
  <c r="G54" i="4" s="1"/>
  <c r="F55" i="4"/>
  <c r="D56" i="4"/>
  <c r="D57" i="4"/>
  <c r="D58" i="4"/>
  <c r="I58" i="4"/>
  <c r="D62" i="4"/>
  <c r="I62" i="4"/>
  <c r="G65" i="4"/>
  <c r="F66" i="4"/>
  <c r="G66" i="4" s="1"/>
  <c r="F70" i="4"/>
  <c r="G70" i="4" s="1"/>
  <c r="F71" i="4"/>
  <c r="D72" i="4"/>
  <c r="D73" i="4"/>
  <c r="D74" i="4"/>
  <c r="I74" i="4"/>
  <c r="D78" i="4"/>
  <c r="I78" i="4"/>
  <c r="G81" i="4"/>
  <c r="F82" i="4"/>
  <c r="G82" i="4" s="1"/>
  <c r="F86" i="4"/>
  <c r="G86" i="4" s="1"/>
  <c r="F87" i="4"/>
  <c r="D88" i="4"/>
  <c r="D89" i="4"/>
  <c r="D90" i="4"/>
  <c r="I90" i="4"/>
  <c r="D94" i="4"/>
  <c r="I94" i="4"/>
  <c r="G97" i="4"/>
  <c r="F98" i="4"/>
  <c r="G98" i="4" s="1"/>
  <c r="F102" i="4"/>
  <c r="G102" i="4" s="1"/>
  <c r="F103" i="4"/>
  <c r="D104" i="4"/>
  <c r="D105" i="4"/>
  <c r="D106" i="4"/>
  <c r="I106" i="4"/>
  <c r="D110" i="4"/>
  <c r="D111" i="4"/>
  <c r="F115" i="4"/>
  <c r="G115" i="4" s="1"/>
  <c r="D118" i="4"/>
  <c r="D119" i="4"/>
  <c r="F123" i="4"/>
  <c r="G123" i="4" s="1"/>
  <c r="D126" i="4"/>
  <c r="D127" i="4"/>
  <c r="F131" i="4"/>
  <c r="G131" i="4" s="1"/>
  <c r="D134" i="4"/>
  <c r="D135" i="4"/>
  <c r="F139" i="4"/>
  <c r="G139" i="4" s="1"/>
  <c r="D142" i="4"/>
  <c r="D143" i="4"/>
  <c r="F147" i="4"/>
  <c r="G147" i="4" s="1"/>
  <c r="D150" i="4"/>
  <c r="D151" i="4"/>
  <c r="F155" i="4"/>
  <c r="G155" i="4" s="1"/>
  <c r="D158" i="4"/>
  <c r="D159" i="4"/>
  <c r="F163" i="4"/>
  <c r="G163" i="4" s="1"/>
  <c r="D166" i="4"/>
  <c r="D167" i="4"/>
  <c r="F171" i="4"/>
  <c r="G171" i="4" s="1"/>
  <c r="D174" i="4"/>
  <c r="D175" i="4"/>
  <c r="F179" i="4"/>
  <c r="G179" i="4" s="1"/>
  <c r="D182" i="4"/>
  <c r="D183" i="4"/>
  <c r="F187" i="4"/>
  <c r="G187" i="4" s="1"/>
  <c r="D190" i="4"/>
  <c r="D191" i="4"/>
  <c r="F195" i="4"/>
  <c r="G195" i="4" s="1"/>
  <c r="D198" i="4"/>
  <c r="D199" i="4"/>
  <c r="F203" i="4"/>
  <c r="G203" i="4" s="1"/>
  <c r="D206" i="4"/>
  <c r="D207" i="4"/>
  <c r="F211" i="4"/>
  <c r="G211" i="4" s="1"/>
  <c r="D214" i="4"/>
  <c r="D215" i="4"/>
  <c r="F219" i="4"/>
  <c r="G219" i="4" s="1"/>
  <c r="D222" i="4"/>
  <c r="D223" i="4"/>
  <c r="F227" i="4"/>
  <c r="G227" i="4" s="1"/>
  <c r="D230" i="4"/>
  <c r="G234" i="4"/>
  <c r="F237" i="4"/>
  <c r="D238" i="4"/>
  <c r="G242" i="4"/>
  <c r="F245" i="4"/>
  <c r="D246" i="4"/>
  <c r="G250" i="4"/>
  <c r="F253" i="4"/>
  <c r="D254" i="4"/>
  <c r="G258" i="4"/>
  <c r="F261" i="4"/>
  <c r="D262" i="4"/>
  <c r="G266" i="4"/>
  <c r="F269" i="4"/>
  <c r="D270" i="4"/>
  <c r="G274" i="4"/>
  <c r="F277" i="4"/>
  <c r="D278" i="4"/>
  <c r="G282" i="4"/>
  <c r="F285" i="4"/>
  <c r="D286" i="4"/>
  <c r="G290" i="4"/>
  <c r="F293" i="4"/>
  <c r="D294" i="4"/>
  <c r="G298" i="4"/>
  <c r="F301" i="4"/>
  <c r="D302" i="4"/>
  <c r="G306" i="4"/>
  <c r="F309" i="4"/>
  <c r="D310" i="4"/>
  <c r="G314" i="4"/>
  <c r="F317" i="4"/>
  <c r="D318" i="4"/>
  <c r="G322" i="4"/>
  <c r="F325" i="4"/>
  <c r="D326" i="4"/>
  <c r="G330" i="4"/>
  <c r="F333" i="4"/>
  <c r="D334" i="4"/>
  <c r="G338" i="4"/>
  <c r="F341" i="4"/>
  <c r="D342" i="4"/>
  <c r="G346" i="4"/>
  <c r="F349" i="4"/>
  <c r="D350" i="4"/>
  <c r="G354" i="4"/>
  <c r="F357" i="4"/>
  <c r="D358" i="4"/>
  <c r="G362" i="4"/>
  <c r="F365" i="4"/>
  <c r="D366" i="4"/>
  <c r="G370" i="4"/>
  <c r="F373" i="4"/>
  <c r="D374" i="4"/>
  <c r="G378" i="4"/>
  <c r="F381" i="4"/>
  <c r="D382" i="4"/>
  <c r="G386" i="4"/>
  <c r="F389" i="4"/>
  <c r="D390" i="4"/>
  <c r="G394" i="4"/>
  <c r="F397" i="4"/>
  <c r="D398" i="4"/>
  <c r="G402" i="4"/>
  <c r="F405" i="4"/>
  <c r="D406" i="4"/>
  <c r="G410" i="4"/>
  <c r="F413" i="4"/>
  <c r="D414" i="4"/>
  <c r="G418" i="4"/>
  <c r="F421" i="4"/>
  <c r="D422" i="4"/>
  <c r="G426" i="4"/>
  <c r="F429" i="4"/>
  <c r="D430" i="4"/>
  <c r="G434" i="4"/>
  <c r="F437" i="4"/>
  <c r="D438" i="4"/>
  <c r="G442" i="4"/>
  <c r="F445" i="4"/>
  <c r="D446" i="4"/>
  <c r="G450" i="4"/>
  <c r="F453" i="4"/>
  <c r="D454" i="4"/>
  <c r="G458" i="4"/>
  <c r="F461" i="4"/>
  <c r="D462" i="4"/>
  <c r="G466" i="4"/>
  <c r="F469" i="4"/>
  <c r="D470" i="4"/>
  <c r="G474" i="4"/>
  <c r="F477" i="4"/>
  <c r="D478" i="4"/>
  <c r="G482" i="4"/>
  <c r="F485" i="4"/>
  <c r="D486" i="4"/>
  <c r="G490" i="4"/>
  <c r="F493" i="4"/>
  <c r="D494" i="4"/>
  <c r="G498" i="4"/>
  <c r="F501" i="4"/>
  <c r="D502" i="4"/>
  <c r="G506" i="4"/>
  <c r="F509" i="4"/>
  <c r="D510" i="4"/>
  <c r="G514" i="4"/>
  <c r="F517" i="4"/>
  <c r="D518" i="4"/>
  <c r="G522" i="4"/>
  <c r="F525" i="4"/>
  <c r="D526" i="4"/>
  <c r="G530" i="4"/>
  <c r="F533" i="4"/>
  <c r="D534" i="4"/>
  <c r="G538" i="4"/>
  <c r="F541" i="4"/>
  <c r="D542" i="4"/>
  <c r="G546" i="4"/>
  <c r="F549" i="4"/>
  <c r="D550" i="4"/>
  <c r="G554" i="4"/>
  <c r="F557" i="4"/>
  <c r="D558" i="4"/>
  <c r="G562" i="4"/>
  <c r="F565" i="4"/>
  <c r="D566" i="4"/>
  <c r="G570" i="4"/>
  <c r="F573" i="4"/>
  <c r="D574" i="4"/>
  <c r="G578" i="4"/>
  <c r="F581" i="4"/>
  <c r="D582" i="4"/>
  <c r="G586" i="4"/>
  <c r="F589" i="4"/>
  <c r="D590" i="4"/>
  <c r="G594" i="4"/>
  <c r="F597" i="4"/>
  <c r="D598" i="4"/>
  <c r="G602" i="4"/>
  <c r="F605" i="4"/>
  <c r="D606" i="4"/>
  <c r="G610" i="4"/>
  <c r="F613" i="4"/>
  <c r="D614" i="4"/>
  <c r="G618" i="4"/>
  <c r="F621" i="4"/>
  <c r="D622" i="4"/>
  <c r="G626" i="4"/>
  <c r="F629" i="4"/>
  <c r="D630" i="4"/>
  <c r="G634" i="4"/>
  <c r="F637" i="4"/>
  <c r="D638" i="4"/>
  <c r="G642" i="4"/>
  <c r="F645" i="4"/>
  <c r="D646" i="4"/>
  <c r="G650" i="4"/>
  <c r="F653" i="4"/>
  <c r="D654" i="4"/>
  <c r="G658" i="4"/>
  <c r="F661" i="4"/>
  <c r="D662" i="4"/>
  <c r="G666" i="4"/>
  <c r="F669" i="4"/>
  <c r="D670" i="4"/>
  <c r="G674" i="4"/>
  <c r="F677" i="4"/>
  <c r="D678" i="4"/>
  <c r="G682" i="4"/>
  <c r="F685" i="4"/>
  <c r="D686" i="4"/>
  <c r="G690" i="4"/>
  <c r="F693" i="4"/>
  <c r="D694" i="4"/>
  <c r="G698" i="4"/>
  <c r="F701" i="4"/>
  <c r="D702" i="4"/>
  <c r="G706" i="4"/>
  <c r="F709" i="4"/>
  <c r="D710" i="4"/>
  <c r="D10" i="4"/>
  <c r="D27" i="4"/>
  <c r="G29" i="4"/>
  <c r="D31" i="4"/>
  <c r="I34" i="4"/>
  <c r="F38" i="4"/>
  <c r="G38" i="4" s="1"/>
  <c r="D44" i="4"/>
  <c r="I50" i="4"/>
  <c r="F52" i="4"/>
  <c r="G52" i="4" s="1"/>
  <c r="D53" i="4"/>
  <c r="G57" i="4"/>
  <c r="I66" i="4"/>
  <c r="F68" i="4"/>
  <c r="G68" i="4" s="1"/>
  <c r="D69" i="4"/>
  <c r="G73" i="4"/>
  <c r="I82" i="4"/>
  <c r="F84" i="4"/>
  <c r="G84" i="4" s="1"/>
  <c r="D85" i="4"/>
  <c r="G89" i="4"/>
  <c r="I98" i="4"/>
  <c r="F100" i="4"/>
  <c r="G100" i="4" s="1"/>
  <c r="D101" i="4"/>
  <c r="G105" i="4"/>
  <c r="F113" i="4"/>
  <c r="I114" i="4"/>
  <c r="F120" i="4"/>
  <c r="G120" i="4" s="1"/>
  <c r="D121" i="4"/>
  <c r="F129" i="4"/>
  <c r="I130" i="4"/>
  <c r="F136" i="4"/>
  <c r="G136" i="4" s="1"/>
  <c r="D137" i="4"/>
  <c r="F145" i="4"/>
  <c r="I146" i="4"/>
  <c r="F152" i="4"/>
  <c r="G152" i="4" s="1"/>
  <c r="D153" i="4"/>
  <c r="F161" i="4"/>
  <c r="I162" i="4"/>
  <c r="F168" i="4"/>
  <c r="G168" i="4" s="1"/>
  <c r="D169" i="4"/>
  <c r="F177" i="4"/>
  <c r="F184" i="4"/>
  <c r="G184" i="4" s="1"/>
  <c r="D185" i="4"/>
  <c r="F193" i="4"/>
  <c r="F200" i="4"/>
  <c r="G200" i="4" s="1"/>
  <c r="D201" i="4"/>
  <c r="F209" i="4"/>
  <c r="F216" i="4"/>
  <c r="G216" i="4" s="1"/>
  <c r="D217" i="4"/>
  <c r="F225" i="4"/>
  <c r="G230" i="4"/>
  <c r="G232" i="4"/>
  <c r="F235" i="4"/>
  <c r="G235" i="4" s="1"/>
  <c r="G244" i="4"/>
  <c r="D248" i="4"/>
  <c r="F249" i="4"/>
  <c r="D250" i="4"/>
  <c r="G253" i="4"/>
  <c r="F255" i="4"/>
  <c r="D260" i="4"/>
  <c r="G262" i="4"/>
  <c r="G264" i="4"/>
  <c r="F267" i="4"/>
  <c r="G267" i="4" s="1"/>
  <c r="G276" i="4"/>
  <c r="D280" i="4"/>
  <c r="F281" i="4"/>
  <c r="D282" i="4"/>
  <c r="G285" i="4"/>
  <c r="F287" i="4"/>
  <c r="D292" i="4"/>
  <c r="G294" i="4"/>
  <c r="G296" i="4"/>
  <c r="F299" i="4"/>
  <c r="G299" i="4" s="1"/>
  <c r="G308" i="4"/>
  <c r="D312" i="4"/>
  <c r="F313" i="4"/>
  <c r="D314" i="4"/>
  <c r="G317" i="4"/>
  <c r="F319" i="4"/>
  <c r="D324" i="4"/>
  <c r="G326" i="4"/>
  <c r="G328" i="4"/>
  <c r="F331" i="4"/>
  <c r="G331" i="4" s="1"/>
  <c r="G340" i="4"/>
  <c r="D344" i="4"/>
  <c r="F345" i="4"/>
  <c r="D346" i="4"/>
  <c r="G349" i="4"/>
  <c r="F351" i="4"/>
  <c r="D356" i="4"/>
  <c r="G358" i="4"/>
  <c r="G360" i="4"/>
  <c r="F363" i="4"/>
  <c r="G363" i="4" s="1"/>
  <c r="G372" i="4"/>
  <c r="D376" i="4"/>
  <c r="F377" i="4"/>
  <c r="D378" i="4"/>
  <c r="G381" i="4"/>
  <c r="F383" i="4"/>
  <c r="D388" i="4"/>
  <c r="G390" i="4"/>
  <c r="G392" i="4"/>
  <c r="F395" i="4"/>
  <c r="G395" i="4" s="1"/>
  <c r="G404" i="4"/>
  <c r="D408" i="4"/>
  <c r="F409" i="4"/>
  <c r="D410" i="4"/>
  <c r="G413" i="4"/>
  <c r="F415" i="4"/>
  <c r="D420" i="4"/>
  <c r="G422" i="4"/>
  <c r="G424" i="4"/>
  <c r="F427" i="4"/>
  <c r="G427" i="4" s="1"/>
  <c r="G436" i="4"/>
  <c r="D440" i="4"/>
  <c r="F441" i="4"/>
  <c r="D442" i="4"/>
  <c r="G445" i="4"/>
  <c r="F447" i="4"/>
  <c r="D452" i="4"/>
  <c r="G454" i="4"/>
  <c r="G456" i="4"/>
  <c r="F459" i="4"/>
  <c r="G459" i="4" s="1"/>
  <c r="G468" i="4"/>
  <c r="D472" i="4"/>
  <c r="F473" i="4"/>
  <c r="D474" i="4"/>
  <c r="G477" i="4"/>
  <c r="F479" i="4"/>
  <c r="D484" i="4"/>
  <c r="G486" i="4"/>
  <c r="G488" i="4"/>
  <c r="F491" i="4"/>
  <c r="G491" i="4" s="1"/>
  <c r="G500" i="4"/>
  <c r="D504" i="4"/>
  <c r="F505" i="4"/>
  <c r="D506" i="4"/>
  <c r="G509" i="4"/>
  <c r="F511" i="4"/>
  <c r="D516" i="4"/>
  <c r="G518" i="4"/>
  <c r="G520" i="4"/>
  <c r="F523" i="4"/>
  <c r="G523" i="4" s="1"/>
  <c r="G532" i="4"/>
  <c r="D536" i="4"/>
  <c r="F537" i="4"/>
  <c r="D538" i="4"/>
  <c r="G541" i="4"/>
  <c r="F543" i="4"/>
  <c r="D548" i="4"/>
  <c r="G550" i="4"/>
  <c r="G552" i="4"/>
  <c r="F555" i="4"/>
  <c r="G555" i="4" s="1"/>
  <c r="G564" i="4"/>
  <c r="D568" i="4"/>
  <c r="F569" i="4"/>
  <c r="D570" i="4"/>
  <c r="G573" i="4"/>
  <c r="F575" i="4"/>
  <c r="D580" i="4"/>
  <c r="G582" i="4"/>
  <c r="G584" i="4"/>
  <c r="F587" i="4"/>
  <c r="G587" i="4" s="1"/>
  <c r="G596" i="4"/>
  <c r="D600" i="4"/>
  <c r="F601" i="4"/>
  <c r="D602" i="4"/>
  <c r="G605" i="4"/>
  <c r="F607" i="4"/>
  <c r="D612" i="4"/>
  <c r="G614" i="4"/>
  <c r="G616" i="4"/>
  <c r="F619" i="4"/>
  <c r="G619" i="4" s="1"/>
  <c r="G628" i="4"/>
  <c r="D632" i="4"/>
  <c r="F633" i="4"/>
  <c r="D634" i="4"/>
  <c r="G637" i="4"/>
  <c r="F639" i="4"/>
  <c r="D644" i="4"/>
  <c r="G646" i="4"/>
  <c r="G648" i="4"/>
  <c r="F651" i="4"/>
  <c r="G651" i="4" s="1"/>
  <c r="G660" i="4"/>
  <c r="D664" i="4"/>
  <c r="F665" i="4"/>
  <c r="D666" i="4"/>
  <c r="G669" i="4"/>
  <c r="F671" i="4"/>
  <c r="D676" i="4"/>
  <c r="G678" i="4"/>
  <c r="G680" i="4"/>
  <c r="F683" i="4"/>
  <c r="G683" i="4" s="1"/>
  <c r="G692" i="4"/>
  <c r="D696" i="4"/>
  <c r="F697" i="4"/>
  <c r="D698" i="4"/>
  <c r="G701" i="4"/>
  <c r="F703" i="4"/>
  <c r="D708" i="4"/>
  <c r="G710" i="4"/>
  <c r="D711" i="4"/>
  <c r="F713" i="4"/>
  <c r="G713" i="4" s="1"/>
  <c r="D715" i="4"/>
  <c r="F717" i="4"/>
  <c r="G717" i="4" s="1"/>
  <c r="D719" i="4"/>
  <c r="F721" i="4"/>
  <c r="G721" i="4" s="1"/>
  <c r="D723" i="4"/>
  <c r="F725" i="4"/>
  <c r="G725" i="4" s="1"/>
  <c r="D727" i="4"/>
  <c r="F729" i="4"/>
  <c r="G729" i="4" s="1"/>
  <c r="D731" i="4"/>
  <c r="F733" i="4"/>
  <c r="G733" i="4" s="1"/>
  <c r="D735" i="4"/>
  <c r="F737" i="4"/>
  <c r="G737" i="4" s="1"/>
  <c r="D739" i="4"/>
  <c r="F741" i="4"/>
  <c r="G741" i="4" s="1"/>
  <c r="D743" i="4"/>
  <c r="F745" i="4"/>
  <c r="G745" i="4" s="1"/>
  <c r="D747" i="4"/>
  <c r="F749" i="4"/>
  <c r="G749" i="4" s="1"/>
  <c r="D751" i="4"/>
  <c r="F753" i="4"/>
  <c r="G753" i="4" s="1"/>
  <c r="D755" i="4"/>
  <c r="F757" i="4"/>
  <c r="G757" i="4" s="1"/>
  <c r="D759" i="4"/>
  <c r="F761" i="4"/>
  <c r="G761" i="4" s="1"/>
  <c r="D763" i="4"/>
  <c r="F765" i="4"/>
  <c r="G765" i="4" s="1"/>
  <c r="D767" i="4"/>
  <c r="F769" i="4"/>
  <c r="G769" i="4" s="1"/>
  <c r="D771" i="4"/>
  <c r="F773" i="4"/>
  <c r="G773" i="4" s="1"/>
  <c r="D775" i="4"/>
  <c r="F777" i="4"/>
  <c r="G777" i="4" s="1"/>
  <c r="D779" i="4"/>
  <c r="F781" i="4"/>
  <c r="G781" i="4" s="1"/>
  <c r="D783" i="4"/>
  <c r="F785" i="4"/>
  <c r="G785" i="4" s="1"/>
  <c r="D787" i="4"/>
  <c r="F789" i="4"/>
  <c r="G789" i="4" s="1"/>
  <c r="D791" i="4"/>
  <c r="F793" i="4"/>
  <c r="G793" i="4" s="1"/>
  <c r="D795" i="4"/>
  <c r="F797" i="4"/>
  <c r="G797" i="4" s="1"/>
  <c r="D799" i="4"/>
  <c r="F801" i="4"/>
  <c r="G801" i="4" s="1"/>
  <c r="D803" i="4"/>
  <c r="F805" i="4"/>
  <c r="G805" i="4" s="1"/>
  <c r="D807" i="4"/>
  <c r="F809" i="4"/>
  <c r="G809" i="4" s="1"/>
  <c r="D811" i="4"/>
  <c r="F813" i="4"/>
  <c r="G813" i="4" s="1"/>
  <c r="D815" i="4"/>
  <c r="F817" i="4"/>
  <c r="G817" i="4" s="1"/>
  <c r="D819" i="4"/>
  <c r="F821" i="4"/>
  <c r="G821" i="4" s="1"/>
  <c r="D823" i="4"/>
  <c r="F825" i="4"/>
  <c r="G825" i="4" s="1"/>
  <c r="D827" i="4"/>
  <c r="F829" i="4"/>
  <c r="G829" i="4" s="1"/>
  <c r="D831" i="4"/>
  <c r="F833" i="4"/>
  <c r="G833" i="4" s="1"/>
  <c r="D835" i="4"/>
  <c r="F837" i="4"/>
  <c r="G837" i="4" s="1"/>
  <c r="D839" i="4"/>
  <c r="F841" i="4"/>
  <c r="G841" i="4" s="1"/>
  <c r="D843" i="4"/>
  <c r="F845" i="4"/>
  <c r="G845" i="4" s="1"/>
  <c r="D847" i="4"/>
  <c r="F849" i="4"/>
  <c r="G849" i="4" s="1"/>
  <c r="D851" i="4"/>
  <c r="F853" i="4"/>
  <c r="G853" i="4" s="1"/>
  <c r="D855" i="4"/>
  <c r="F857" i="4"/>
  <c r="G857" i="4" s="1"/>
  <c r="D859" i="4"/>
  <c r="F861" i="4"/>
  <c r="G861" i="4" s="1"/>
  <c r="D863" i="4"/>
  <c r="F865" i="4"/>
  <c r="G865" i="4" s="1"/>
  <c r="D867" i="4"/>
  <c r="F869" i="4"/>
  <c r="G869" i="4" s="1"/>
  <c r="D871" i="4"/>
  <c r="F873" i="4"/>
  <c r="G873" i="4" s="1"/>
  <c r="D875" i="4"/>
  <c r="F877" i="4"/>
  <c r="G877" i="4" s="1"/>
  <c r="D879" i="4"/>
  <c r="F881" i="4"/>
  <c r="G881" i="4" s="1"/>
  <c r="D883" i="4"/>
  <c r="F885" i="4"/>
  <c r="G885" i="4" s="1"/>
  <c r="D887" i="4"/>
  <c r="F889" i="4"/>
  <c r="G889" i="4" s="1"/>
  <c r="D891" i="4"/>
  <c r="F893" i="4"/>
  <c r="G893" i="4" s="1"/>
  <c r="D895" i="4"/>
  <c r="F897" i="4"/>
  <c r="G897" i="4" s="1"/>
  <c r="D899" i="4"/>
  <c r="F901" i="4"/>
  <c r="G901" i="4" s="1"/>
  <c r="D903" i="4"/>
  <c r="F905" i="4"/>
  <c r="G905" i="4" s="1"/>
  <c r="D907" i="4"/>
  <c r="F909" i="4"/>
  <c r="G909" i="4" s="1"/>
  <c r="D911" i="4"/>
  <c r="F913" i="4"/>
  <c r="G913" i="4" s="1"/>
  <c r="D915" i="4"/>
  <c r="F917" i="4"/>
  <c r="G917" i="4" s="1"/>
  <c r="D919" i="4"/>
  <c r="F921" i="4"/>
  <c r="G921" i="4" s="1"/>
  <c r="D923" i="4"/>
  <c r="F925" i="4"/>
  <c r="G925" i="4" s="1"/>
  <c r="D927" i="4"/>
  <c r="F929" i="4"/>
  <c r="G929" i="4" s="1"/>
  <c r="D931" i="4"/>
  <c r="F933" i="4"/>
  <c r="G933" i="4" s="1"/>
  <c r="D935" i="4"/>
  <c r="F937" i="4"/>
  <c r="G937" i="4" s="1"/>
  <c r="D939" i="4"/>
  <c r="F941" i="4"/>
  <c r="G941" i="4" s="1"/>
  <c r="D943" i="4"/>
  <c r="F945" i="4"/>
  <c r="G945" i="4" s="1"/>
  <c r="D947" i="4"/>
  <c r="F949" i="4"/>
  <c r="G949" i="4" s="1"/>
  <c r="D951" i="4"/>
  <c r="F953" i="4"/>
  <c r="G953" i="4" s="1"/>
  <c r="D955" i="4"/>
  <c r="F957" i="4"/>
  <c r="G957" i="4" s="1"/>
  <c r="D959" i="4"/>
  <c r="F961" i="4"/>
  <c r="G961" i="4" s="1"/>
  <c r="D963" i="4"/>
  <c r="F965" i="4"/>
  <c r="G965" i="4" s="1"/>
  <c r="D967" i="4"/>
  <c r="F969" i="4"/>
  <c r="G969" i="4" s="1"/>
  <c r="D971" i="4"/>
  <c r="F973" i="4"/>
  <c r="G973" i="4" s="1"/>
  <c r="D975" i="4"/>
  <c r="F977" i="4"/>
  <c r="G977" i="4" s="1"/>
  <c r="D979" i="4"/>
  <c r="F981" i="4"/>
  <c r="G981" i="4" s="1"/>
  <c r="D983" i="4"/>
  <c r="F985" i="4"/>
  <c r="G985" i="4" s="1"/>
  <c r="D987" i="4"/>
  <c r="F989" i="4"/>
  <c r="G989" i="4" s="1"/>
  <c r="D991" i="4"/>
  <c r="F993" i="4"/>
  <c r="G993" i="4" s="1"/>
  <c r="D995" i="4"/>
  <c r="F997" i="4"/>
  <c r="G997" i="4" s="1"/>
  <c r="D999" i="4"/>
  <c r="F1001" i="4"/>
  <c r="G1001" i="4" s="1"/>
  <c r="D1003" i="4"/>
  <c r="F1005" i="4"/>
  <c r="G1005" i="4" s="1"/>
  <c r="D1007" i="4"/>
  <c r="F1009" i="4"/>
  <c r="G1009" i="4" s="1"/>
  <c r="D1011" i="4"/>
  <c r="F1013" i="4"/>
  <c r="G1013" i="4" s="1"/>
  <c r="D1015" i="4"/>
  <c r="F1017" i="4"/>
  <c r="G1017" i="4" s="1"/>
  <c r="D1019" i="4"/>
  <c r="F1021" i="4"/>
  <c r="G1021" i="4" s="1"/>
  <c r="D1023" i="4"/>
  <c r="F1025" i="4"/>
  <c r="G1025" i="4" s="1"/>
  <c r="D1027" i="4"/>
  <c r="F1029" i="4"/>
  <c r="G1029" i="4" s="1"/>
  <c r="F14" i="4"/>
  <c r="G14" i="4" s="1"/>
  <c r="D28" i="4"/>
  <c r="I32" i="4"/>
  <c r="G35" i="4"/>
  <c r="G39" i="4"/>
  <c r="F41" i="4"/>
  <c r="G41" i="4" s="1"/>
  <c r="G51" i="4"/>
  <c r="F58" i="4"/>
  <c r="G58" i="4" s="1"/>
  <c r="G59" i="4"/>
  <c r="G67" i="4"/>
  <c r="F74" i="4"/>
  <c r="G74" i="4" s="1"/>
  <c r="G75" i="4"/>
  <c r="G83" i="4"/>
  <c r="F90" i="4"/>
  <c r="G90" i="4" s="1"/>
  <c r="G91" i="4"/>
  <c r="G99" i="4"/>
  <c r="F106" i="4"/>
  <c r="G106" i="4" s="1"/>
  <c r="G107" i="4"/>
  <c r="G113" i="4"/>
  <c r="I118" i="4"/>
  <c r="I122" i="4"/>
  <c r="D123" i="4"/>
  <c r="G129" i="4"/>
  <c r="I134" i="4"/>
  <c r="I138" i="4"/>
  <c r="D139" i="4"/>
  <c r="G145" i="4"/>
  <c r="I150" i="4"/>
  <c r="I154" i="4"/>
  <c r="D155" i="4"/>
  <c r="G161" i="4"/>
  <c r="I166" i="4"/>
  <c r="I170" i="4"/>
  <c r="D171" i="4"/>
  <c r="G177" i="4"/>
  <c r="D187" i="4"/>
  <c r="G193" i="4"/>
  <c r="D203" i="4"/>
  <c r="G209" i="4"/>
  <c r="D219" i="4"/>
  <c r="G225" i="4"/>
  <c r="D232" i="4"/>
  <c r="F239" i="4"/>
  <c r="D240" i="4"/>
  <c r="F241" i="4"/>
  <c r="G241" i="4" s="1"/>
  <c r="F247" i="4"/>
  <c r="G247" i="4" s="1"/>
  <c r="G254" i="4"/>
  <c r="D258" i="4"/>
  <c r="F265" i="4"/>
  <c r="D266" i="4"/>
  <c r="D268" i="4"/>
  <c r="G269" i="4"/>
  <c r="D274" i="4"/>
  <c r="G277" i="4"/>
  <c r="G280" i="4"/>
  <c r="G281" i="4"/>
  <c r="G284" i="4"/>
  <c r="G287" i="4"/>
  <c r="G288" i="4"/>
  <c r="F291" i="4"/>
  <c r="G291" i="4" s="1"/>
  <c r="G302" i="4"/>
  <c r="G304" i="4"/>
  <c r="F307" i="4"/>
  <c r="G307" i="4" s="1"/>
  <c r="G324" i="4"/>
  <c r="F327" i="4"/>
  <c r="G332" i="4"/>
  <c r="D340" i="4"/>
  <c r="G342" i="4"/>
  <c r="F347" i="4"/>
  <c r="G347" i="4" s="1"/>
  <c r="D348" i="4"/>
  <c r="D352" i="4"/>
  <c r="F353" i="4"/>
  <c r="G357" i="4"/>
  <c r="D360" i="4"/>
  <c r="F367" i="4"/>
  <c r="D368" i="4"/>
  <c r="F369" i="4"/>
  <c r="G369" i="4" s="1"/>
  <c r="F375" i="4"/>
  <c r="G375" i="4" s="1"/>
  <c r="G382" i="4"/>
  <c r="D386" i="4"/>
  <c r="F393" i="4"/>
  <c r="D394" i="4"/>
  <c r="D396" i="4"/>
  <c r="G397" i="4"/>
  <c r="D402" i="4"/>
  <c r="G405" i="4"/>
  <c r="G408" i="4"/>
  <c r="G409" i="4"/>
  <c r="G412" i="4"/>
  <c r="G415" i="4"/>
  <c r="G416" i="4"/>
  <c r="F419" i="4"/>
  <c r="G419" i="4" s="1"/>
  <c r="G430" i="4"/>
  <c r="G432" i="4"/>
  <c r="F435" i="4"/>
  <c r="G435" i="4" s="1"/>
  <c r="G452" i="4"/>
  <c r="F455" i="4"/>
  <c r="G460" i="4"/>
  <c r="D468" i="4"/>
  <c r="G470" i="4"/>
  <c r="F475" i="4"/>
  <c r="G475" i="4" s="1"/>
  <c r="D476" i="4"/>
  <c r="D480" i="4"/>
  <c r="F481" i="4"/>
  <c r="G485" i="4"/>
  <c r="D488" i="4"/>
  <c r="F495" i="4"/>
  <c r="D496" i="4"/>
  <c r="F497" i="4"/>
  <c r="G497" i="4" s="1"/>
  <c r="F503" i="4"/>
  <c r="G503" i="4" s="1"/>
  <c r="G510" i="4"/>
  <c r="D514" i="4"/>
  <c r="F521" i="4"/>
  <c r="D522" i="4"/>
  <c r="D524" i="4"/>
  <c r="G525" i="4"/>
  <c r="D530" i="4"/>
  <c r="G533" i="4"/>
  <c r="G536" i="4"/>
  <c r="G537" i="4"/>
  <c r="G540" i="4"/>
  <c r="G543" i="4"/>
  <c r="G544" i="4"/>
  <c r="F547" i="4"/>
  <c r="G547" i="4" s="1"/>
  <c r="G558" i="4"/>
  <c r="G560" i="4"/>
  <c r="F563" i="4"/>
  <c r="G563" i="4" s="1"/>
  <c r="G580" i="4"/>
  <c r="F583" i="4"/>
  <c r="G588" i="4"/>
  <c r="D596" i="4"/>
  <c r="G598" i="4"/>
  <c r="F603" i="4"/>
  <c r="G603" i="4" s="1"/>
  <c r="D604" i="4"/>
  <c r="D608" i="4"/>
  <c r="F609" i="4"/>
  <c r="G613" i="4"/>
  <c r="D616" i="4"/>
  <c r="F623" i="4"/>
  <c r="D624" i="4"/>
  <c r="F625" i="4"/>
  <c r="G625" i="4" s="1"/>
  <c r="F631" i="4"/>
  <c r="G631" i="4" s="1"/>
  <c r="G638" i="4"/>
  <c r="D642" i="4"/>
  <c r="F649" i="4"/>
  <c r="D650" i="4"/>
  <c r="D652" i="4"/>
  <c r="G653" i="4"/>
  <c r="D658" i="4"/>
  <c r="G661" i="4"/>
  <c r="G664" i="4"/>
  <c r="G665" i="4"/>
  <c r="G668" i="4"/>
  <c r="G671" i="4"/>
  <c r="G672" i="4"/>
  <c r="F675" i="4"/>
  <c r="G675" i="4" s="1"/>
  <c r="G686" i="4"/>
  <c r="G688" i="4"/>
  <c r="F691" i="4"/>
  <c r="G691" i="4" s="1"/>
  <c r="G708" i="4"/>
  <c r="F711" i="4"/>
  <c r="G711" i="4" s="1"/>
  <c r="D712" i="4"/>
  <c r="F716" i="4"/>
  <c r="F719" i="4"/>
  <c r="G719" i="4" s="1"/>
  <c r="D720" i="4"/>
  <c r="F724" i="4"/>
  <c r="F727" i="4"/>
  <c r="G727" i="4" s="1"/>
  <c r="D728" i="4"/>
  <c r="F732" i="4"/>
  <c r="F735" i="4"/>
  <c r="G735" i="4" s="1"/>
  <c r="D736" i="4"/>
  <c r="F740" i="4"/>
  <c r="F743" i="4"/>
  <c r="G743" i="4" s="1"/>
  <c r="D744" i="4"/>
  <c r="F748" i="4"/>
  <c r="F751" i="4"/>
  <c r="G751" i="4" s="1"/>
  <c r="D752" i="4"/>
  <c r="F756" i="4"/>
  <c r="F759" i="4"/>
  <c r="G759" i="4" s="1"/>
  <c r="D760" i="4"/>
  <c r="F764" i="4"/>
  <c r="F767" i="4"/>
  <c r="G767" i="4" s="1"/>
  <c r="D768" i="4"/>
  <c r="F772" i="4"/>
  <c r="F775" i="4"/>
  <c r="G775" i="4" s="1"/>
  <c r="D776" i="4"/>
  <c r="F780" i="4"/>
  <c r="F783" i="4"/>
  <c r="G783" i="4" s="1"/>
  <c r="D784" i="4"/>
  <c r="F788" i="4"/>
  <c r="F791" i="4"/>
  <c r="G791" i="4" s="1"/>
  <c r="D792" i="4"/>
  <c r="F796" i="4"/>
  <c r="F799" i="4"/>
  <c r="G799" i="4" s="1"/>
  <c r="D800" i="4"/>
  <c r="F804" i="4"/>
  <c r="F807" i="4"/>
  <c r="G807" i="4" s="1"/>
  <c r="D808" i="4"/>
  <c r="F812" i="4"/>
  <c r="F815" i="4"/>
  <c r="G815" i="4" s="1"/>
  <c r="D816" i="4"/>
  <c r="F820" i="4"/>
  <c r="F823" i="4"/>
  <c r="G823" i="4" s="1"/>
  <c r="D824" i="4"/>
  <c r="F828" i="4"/>
  <c r="F831" i="4"/>
  <c r="G831" i="4" s="1"/>
  <c r="D832" i="4"/>
  <c r="F836" i="4"/>
  <c r="F839" i="4"/>
  <c r="G839" i="4" s="1"/>
  <c r="D840" i="4"/>
  <c r="F844" i="4"/>
  <c r="F847" i="4"/>
  <c r="G847" i="4" s="1"/>
  <c r="D848" i="4"/>
  <c r="F852" i="4"/>
  <c r="F855" i="4"/>
  <c r="G855" i="4" s="1"/>
  <c r="D856" i="4"/>
  <c r="F860" i="4"/>
  <c r="F863" i="4"/>
  <c r="G863" i="4" s="1"/>
  <c r="D864" i="4"/>
  <c r="F868" i="4"/>
  <c r="F871" i="4"/>
  <c r="G871" i="4" s="1"/>
  <c r="D872" i="4"/>
  <c r="F876" i="4"/>
  <c r="F879" i="4"/>
  <c r="G879" i="4" s="1"/>
  <c r="D880" i="4"/>
  <c r="F884" i="4"/>
  <c r="F887" i="4"/>
  <c r="G887" i="4" s="1"/>
  <c r="D888" i="4"/>
  <c r="F892" i="4"/>
  <c r="F895" i="4"/>
  <c r="G895" i="4" s="1"/>
  <c r="D896" i="4"/>
  <c r="F900" i="4"/>
  <c r="F903" i="4"/>
  <c r="G903" i="4" s="1"/>
  <c r="D904" i="4"/>
  <c r="F908" i="4"/>
  <c r="F911" i="4"/>
  <c r="G911" i="4" s="1"/>
  <c r="D912" i="4"/>
  <c r="F916" i="4"/>
  <c r="F919" i="4"/>
  <c r="G919" i="4" s="1"/>
  <c r="D920" i="4"/>
  <c r="F924" i="4"/>
  <c r="F927" i="4"/>
  <c r="G927" i="4" s="1"/>
  <c r="D928" i="4"/>
  <c r="F932" i="4"/>
  <c r="F935" i="4"/>
  <c r="G935" i="4" s="1"/>
  <c r="D936" i="4"/>
  <c r="F940" i="4"/>
  <c r="F943" i="4"/>
  <c r="G943" i="4" s="1"/>
  <c r="D944" i="4"/>
  <c r="F948" i="4"/>
  <c r="F951" i="4"/>
  <c r="G951" i="4" s="1"/>
  <c r="D952" i="4"/>
  <c r="F956" i="4"/>
  <c r="F959" i="4"/>
  <c r="G959" i="4" s="1"/>
  <c r="D960" i="4"/>
  <c r="F964" i="4"/>
  <c r="F967" i="4"/>
  <c r="G967" i="4" s="1"/>
  <c r="D968" i="4"/>
  <c r="F972" i="4"/>
  <c r="F975" i="4"/>
  <c r="G975" i="4" s="1"/>
  <c r="D976" i="4"/>
  <c r="F980" i="4"/>
  <c r="F983" i="4"/>
  <c r="G983" i="4" s="1"/>
  <c r="D984" i="4"/>
  <c r="F988" i="4"/>
  <c r="F991" i="4"/>
  <c r="G991" i="4" s="1"/>
  <c r="D992" i="4"/>
  <c r="F996" i="4"/>
  <c r="F999" i="4"/>
  <c r="G999" i="4" s="1"/>
  <c r="D1000" i="4"/>
  <c r="F1004" i="4"/>
  <c r="F1007" i="4"/>
  <c r="G1007" i="4" s="1"/>
  <c r="D1008" i="4"/>
  <c r="F1012" i="4"/>
  <c r="F1015" i="4"/>
  <c r="G1015" i="4" s="1"/>
  <c r="D1016" i="4"/>
  <c r="F1020" i="4"/>
  <c r="F1023" i="4"/>
  <c r="G1023" i="4" s="1"/>
  <c r="D1024" i="4"/>
  <c r="F1028" i="4"/>
  <c r="F1032" i="4"/>
  <c r="D1034" i="4"/>
  <c r="F1036" i="4"/>
  <c r="D1038" i="4"/>
  <c r="F1040" i="4"/>
  <c r="D1042" i="4"/>
  <c r="F1044" i="4"/>
  <c r="D1046" i="4"/>
  <c r="F1048" i="4"/>
  <c r="D1050" i="4"/>
  <c r="F1052" i="4"/>
  <c r="D1054" i="4"/>
  <c r="F1056" i="4"/>
  <c r="D1058" i="4"/>
  <c r="F1060" i="4"/>
  <c r="D1062" i="4"/>
  <c r="F1064" i="4"/>
  <c r="D1066" i="4"/>
  <c r="F1068" i="4"/>
  <c r="D1070" i="4"/>
  <c r="F1072" i="4"/>
  <c r="D1074" i="4"/>
  <c r="F1076" i="4"/>
  <c r="D1078" i="4"/>
  <c r="F1080" i="4"/>
  <c r="D1082" i="4"/>
  <c r="F1084" i="4"/>
  <c r="D1086" i="4"/>
  <c r="F1088" i="4"/>
  <c r="D1090" i="4"/>
  <c r="F1092" i="4"/>
  <c r="D1094" i="4"/>
  <c r="F1096" i="4"/>
  <c r="D1098" i="4"/>
  <c r="F1100" i="4"/>
  <c r="D1102" i="4"/>
  <c r="F1104" i="4"/>
  <c r="D1106" i="4"/>
  <c r="F1108" i="4"/>
  <c r="D1110" i="4"/>
  <c r="F1112" i="4"/>
  <c r="D1114" i="4"/>
  <c r="F1116" i="4"/>
  <c r="D1118" i="4"/>
  <c r="F1120" i="4"/>
  <c r="D1122" i="4"/>
  <c r="F1124" i="4"/>
  <c r="D1126" i="4"/>
  <c r="F1128" i="4"/>
  <c r="D1130" i="4"/>
  <c r="F1132" i="4"/>
  <c r="D1134" i="4"/>
  <c r="F1136" i="4"/>
  <c r="D1138" i="4"/>
  <c r="F1140" i="4"/>
  <c r="D1142" i="4"/>
  <c r="F1144" i="4"/>
  <c r="D1146" i="4"/>
  <c r="F1148" i="4"/>
  <c r="D1150" i="4"/>
  <c r="F1152" i="4"/>
  <c r="D1154" i="4"/>
  <c r="F1156" i="4"/>
  <c r="D1158" i="4"/>
  <c r="F1160" i="4"/>
  <c r="D1162" i="4"/>
  <c r="F1164" i="4"/>
  <c r="D1166" i="4"/>
  <c r="F1168" i="4"/>
  <c r="D1170" i="4"/>
  <c r="F1172" i="4"/>
  <c r="D1174" i="4"/>
  <c r="F1176" i="4"/>
  <c r="D1178" i="4"/>
  <c r="F1180" i="4"/>
  <c r="D1182" i="4"/>
  <c r="F1184" i="4"/>
  <c r="D1186" i="4"/>
  <c r="F1188" i="4"/>
  <c r="D1190" i="4"/>
  <c r="F1192" i="4"/>
  <c r="D1194" i="4"/>
  <c r="F1196" i="4"/>
  <c r="D1198" i="4"/>
  <c r="F1200" i="4"/>
  <c r="D1202" i="4"/>
  <c r="F1204" i="4"/>
  <c r="D1206" i="4"/>
  <c r="F1208" i="4"/>
  <c r="D1210" i="4"/>
  <c r="F1212" i="4"/>
  <c r="D1214" i="4"/>
  <c r="F1216" i="4"/>
  <c r="D1218" i="4"/>
  <c r="F1220" i="4"/>
  <c r="D1222" i="4"/>
  <c r="F1224" i="4"/>
  <c r="D1226" i="4"/>
  <c r="F1228" i="4"/>
  <c r="D1230" i="4"/>
  <c r="F1232" i="4"/>
  <c r="D1234" i="4"/>
  <c r="F1236" i="4"/>
  <c r="D1238" i="4"/>
  <c r="F1240" i="4"/>
  <c r="D1242" i="4"/>
  <c r="F1244" i="4"/>
  <c r="D1246" i="4"/>
  <c r="F1248" i="4"/>
  <c r="D1250" i="4"/>
  <c r="F1252" i="4"/>
  <c r="D1254" i="4"/>
  <c r="F1256" i="4"/>
  <c r="D1258" i="4"/>
  <c r="F1260" i="4"/>
  <c r="D1262" i="4"/>
  <c r="F1264" i="4"/>
  <c r="D1266" i="4"/>
  <c r="F1268" i="4"/>
  <c r="D1270" i="4"/>
  <c r="F1272" i="4"/>
  <c r="D1274" i="4"/>
  <c r="F1276" i="4"/>
  <c r="D1278" i="4"/>
  <c r="F1280" i="4"/>
  <c r="D1282" i="4"/>
  <c r="F1284" i="4"/>
  <c r="D1286" i="4"/>
  <c r="F1288" i="4"/>
  <c r="D1290" i="4"/>
  <c r="F1292" i="4"/>
  <c r="D1294" i="4"/>
  <c r="F1296" i="4"/>
  <c r="D1298" i="4"/>
  <c r="F1300" i="4"/>
  <c r="D1302" i="4"/>
  <c r="F1304" i="4"/>
  <c r="D1306" i="4"/>
  <c r="F1308" i="4"/>
  <c r="D1310" i="4"/>
  <c r="F1312" i="4"/>
  <c r="D1314" i="4"/>
  <c r="F1316" i="4"/>
  <c r="D1318" i="4"/>
  <c r="F1320" i="4"/>
  <c r="D1322" i="4"/>
  <c r="F1324" i="4"/>
  <c r="D1326" i="4"/>
  <c r="F1328" i="4"/>
  <c r="D1330" i="4"/>
  <c r="F1332" i="4"/>
  <c r="D1334" i="4"/>
  <c r="F1336" i="4"/>
  <c r="D1338" i="4"/>
  <c r="F1340" i="4"/>
  <c r="D1342" i="4"/>
  <c r="F1344" i="4"/>
  <c r="D1346" i="4"/>
  <c r="F1348" i="4"/>
  <c r="D1350" i="4"/>
  <c r="F1352" i="4"/>
  <c r="D1354" i="4"/>
  <c r="F1356" i="4"/>
  <c r="D1358" i="4"/>
  <c r="F1360" i="4"/>
  <c r="D1362" i="4"/>
  <c r="F1364" i="4"/>
  <c r="D1366" i="4"/>
  <c r="F1368" i="4"/>
  <c r="D1370" i="4"/>
  <c r="F1372" i="4"/>
  <c r="D1374" i="4"/>
  <c r="F1376" i="4"/>
  <c r="D1378" i="4"/>
  <c r="F1380" i="4"/>
  <c r="D1382" i="4"/>
  <c r="F1384" i="4"/>
  <c r="D1386" i="4"/>
  <c r="F1388" i="4"/>
  <c r="D1390" i="4"/>
  <c r="F1392" i="4"/>
  <c r="D1394" i="4"/>
  <c r="F1396" i="4"/>
  <c r="D1398" i="4"/>
  <c r="F1400" i="4"/>
  <c r="D1402" i="4"/>
  <c r="F1404" i="4"/>
  <c r="D1406" i="4"/>
  <c r="F1408" i="4"/>
  <c r="D1410" i="4"/>
  <c r="F1412" i="4"/>
  <c r="D1414" i="4"/>
  <c r="F1416" i="4"/>
  <c r="D1418" i="4"/>
  <c r="F1420" i="4"/>
  <c r="D1422" i="4"/>
  <c r="F1424" i="4"/>
  <c r="D1426" i="4"/>
  <c r="F1428" i="4"/>
  <c r="D1430" i="4"/>
  <c r="F1432" i="4"/>
  <c r="D1434" i="4"/>
  <c r="F1436" i="4"/>
  <c r="D1438" i="4"/>
  <c r="F1440" i="4"/>
  <c r="D1442" i="4"/>
  <c r="F1444" i="4"/>
  <c r="D1446" i="4"/>
  <c r="F1448" i="4"/>
  <c r="D1450" i="4"/>
  <c r="F1452" i="4"/>
  <c r="D1454" i="4"/>
  <c r="F1456" i="4"/>
  <c r="D1458" i="4"/>
  <c r="F1460" i="4"/>
  <c r="D1462" i="4"/>
  <c r="F1464" i="4"/>
  <c r="D1466" i="4"/>
  <c r="F1468" i="4"/>
  <c r="D1470" i="4"/>
  <c r="F1472" i="4"/>
  <c r="D1474" i="4"/>
  <c r="F1476" i="4"/>
  <c r="D1478" i="4"/>
  <c r="F1480" i="4"/>
  <c r="D1482" i="4"/>
  <c r="F1484" i="4"/>
  <c r="D1486" i="4"/>
  <c r="F1488" i="4"/>
  <c r="D1490" i="4"/>
  <c r="F1492" i="4"/>
  <c r="D1494" i="4"/>
  <c r="F1496" i="4"/>
  <c r="D1498" i="4"/>
  <c r="F1500" i="4"/>
  <c r="D1502" i="4"/>
  <c r="F1504" i="4"/>
  <c r="D1506" i="4"/>
  <c r="F1508" i="4"/>
  <c r="D1510" i="4"/>
  <c r="F1512" i="4"/>
  <c r="D1514" i="4"/>
  <c r="F1516" i="4"/>
  <c r="D1518" i="4"/>
  <c r="F1520" i="4"/>
  <c r="D1522" i="4"/>
  <c r="F1524" i="4"/>
  <c r="D1526" i="4"/>
  <c r="F1528" i="4"/>
  <c r="D1530" i="4"/>
  <c r="F1532" i="4"/>
  <c r="D1534" i="4"/>
  <c r="F1536" i="4"/>
  <c r="D1538" i="4"/>
  <c r="F1540" i="4"/>
  <c r="D1542" i="4"/>
  <c r="F1544" i="4"/>
  <c r="D1546" i="4"/>
  <c r="F1548" i="4"/>
  <c r="D1550" i="4"/>
  <c r="F1552" i="4"/>
  <c r="D1554" i="4"/>
  <c r="F1556" i="4"/>
  <c r="D1558" i="4"/>
  <c r="F1560" i="4"/>
  <c r="D1562" i="4"/>
  <c r="F1564" i="4"/>
  <c r="D1566" i="4"/>
  <c r="F1568" i="4"/>
  <c r="D1570" i="4"/>
  <c r="F1572" i="4"/>
  <c r="D1574" i="4"/>
  <c r="F1576" i="4"/>
  <c r="D1578" i="4"/>
  <c r="F1580" i="4"/>
  <c r="D1582" i="4"/>
  <c r="F1584" i="4"/>
  <c r="D1586" i="4"/>
  <c r="F1588" i="4"/>
  <c r="D1590" i="4"/>
  <c r="F1592" i="4"/>
  <c r="D1594" i="4"/>
  <c r="F1596" i="4"/>
  <c r="D1598" i="4"/>
  <c r="F1600" i="4"/>
  <c r="D1602" i="4"/>
  <c r="F1604" i="4"/>
  <c r="D1606" i="4"/>
  <c r="F1608" i="4"/>
  <c r="D1610" i="4"/>
  <c r="F1612" i="4"/>
  <c r="D1614" i="4"/>
  <c r="F1616" i="4"/>
  <c r="D1618" i="4"/>
  <c r="F1620" i="4"/>
  <c r="D1622" i="4"/>
  <c r="F1624" i="4"/>
  <c r="D1626" i="4"/>
  <c r="F1628" i="4"/>
  <c r="D1630" i="4"/>
  <c r="F1632" i="4"/>
  <c r="D1634" i="4"/>
  <c r="F1636" i="4"/>
  <c r="D1638" i="4"/>
  <c r="F1640" i="4"/>
  <c r="D1642" i="4"/>
  <c r="F1644" i="4"/>
  <c r="D1646" i="4"/>
  <c r="F1648" i="4"/>
  <c r="D1650" i="4"/>
  <c r="F1652" i="4"/>
  <c r="D1654" i="4"/>
  <c r="F1656" i="4"/>
  <c r="D1658" i="4"/>
  <c r="F1660" i="4"/>
  <c r="D1662" i="4"/>
  <c r="F1664" i="4"/>
  <c r="D1666" i="4"/>
  <c r="F1668" i="4"/>
  <c r="D1670" i="4"/>
  <c r="F1672" i="4"/>
  <c r="D1674" i="4"/>
  <c r="F1676" i="4"/>
  <c r="D1678" i="4"/>
  <c r="F1680" i="4"/>
  <c r="D1682" i="4"/>
  <c r="F1684" i="4"/>
  <c r="D1686" i="4"/>
  <c r="F1688" i="4"/>
  <c r="D1690" i="4"/>
  <c r="F1692" i="4"/>
  <c r="D1694" i="4"/>
  <c r="F1696" i="4"/>
  <c r="D1698" i="4"/>
  <c r="F1700" i="4"/>
  <c r="D1702" i="4"/>
  <c r="F1704" i="4"/>
  <c r="D1706" i="4"/>
  <c r="F1708" i="4"/>
  <c r="D1710" i="4"/>
  <c r="F1712" i="4"/>
  <c r="D1714" i="4"/>
  <c r="F1716" i="4"/>
  <c r="D1718" i="4"/>
  <c r="F1720" i="4"/>
  <c r="D1722" i="4"/>
  <c r="F1724" i="4"/>
  <c r="D1726" i="4"/>
  <c r="F1728" i="4"/>
  <c r="D1730" i="4"/>
  <c r="F1732" i="4"/>
  <c r="D1734" i="4"/>
  <c r="F1736" i="4"/>
  <c r="D1738" i="4"/>
  <c r="F1740" i="4"/>
  <c r="D1742" i="4"/>
  <c r="F1744" i="4"/>
  <c r="D1746" i="4"/>
  <c r="F1748" i="4"/>
  <c r="D1750" i="4"/>
  <c r="F1752" i="4"/>
  <c r="D1754" i="4"/>
  <c r="F1756" i="4"/>
  <c r="D1758" i="4"/>
  <c r="F1760" i="4"/>
  <c r="D1762" i="4"/>
  <c r="F1764" i="4"/>
  <c r="D1766" i="4"/>
  <c r="F1768" i="4"/>
  <c r="D1770" i="4"/>
  <c r="F1772" i="4"/>
  <c r="D1774" i="4"/>
  <c r="F1776" i="4"/>
  <c r="D1778" i="4"/>
  <c r="F1780" i="4"/>
  <c r="D1782" i="4"/>
  <c r="F1784" i="4"/>
  <c r="D1786" i="4"/>
  <c r="F1788" i="4"/>
  <c r="D1790" i="4"/>
  <c r="F1792" i="4"/>
  <c r="D1794" i="4"/>
  <c r="F1796" i="4"/>
  <c r="D1798" i="4"/>
  <c r="F1800" i="4"/>
  <c r="D1802" i="4"/>
  <c r="F1804" i="4"/>
  <c r="D1806" i="4"/>
  <c r="F1808" i="4"/>
  <c r="D1810" i="4"/>
  <c r="F1812" i="4"/>
  <c r="D1814" i="4"/>
  <c r="F1816" i="4"/>
  <c r="D1818" i="4"/>
  <c r="F1820" i="4"/>
  <c r="D1822" i="4"/>
  <c r="F1824" i="4"/>
  <c r="D1826" i="4"/>
  <c r="F1828" i="4"/>
  <c r="D1830" i="4"/>
  <c r="F1832" i="4"/>
  <c r="D1834" i="4"/>
  <c r="F1836" i="4"/>
  <c r="D1838" i="4"/>
  <c r="F1840" i="4"/>
  <c r="D1842" i="4"/>
  <c r="F1844" i="4"/>
  <c r="D1846" i="4"/>
  <c r="F1848" i="4"/>
  <c r="D1850" i="4"/>
  <c r="F1852" i="4"/>
  <c r="D1854" i="4"/>
  <c r="F1856" i="4"/>
  <c r="D1858" i="4"/>
  <c r="F1860" i="4"/>
  <c r="D1862" i="4"/>
  <c r="F1864" i="4"/>
  <c r="D1866" i="4"/>
  <c r="F1868" i="4"/>
  <c r="D1870" i="4"/>
  <c r="F1872" i="4"/>
  <c r="D1874" i="4"/>
  <c r="F1876" i="4"/>
  <c r="D1878" i="4"/>
  <c r="F1880" i="4"/>
  <c r="D1882" i="4"/>
  <c r="F1884" i="4"/>
  <c r="D1886" i="4"/>
  <c r="F1888" i="4"/>
  <c r="D1890" i="4"/>
  <c r="F1892" i="4"/>
  <c r="D1894" i="4"/>
  <c r="F1896" i="4"/>
  <c r="D1898" i="4"/>
  <c r="F1900" i="4"/>
  <c r="D1902" i="4"/>
  <c r="F1904" i="4"/>
  <c r="D1906" i="4"/>
  <c r="F1908" i="4"/>
  <c r="D1910" i="4"/>
  <c r="F1912" i="4"/>
  <c r="D1914" i="4"/>
  <c r="F1916" i="4"/>
  <c r="D1918" i="4"/>
  <c r="F1920" i="4"/>
  <c r="D1922" i="4"/>
  <c r="F1924" i="4"/>
  <c r="D1926" i="4"/>
  <c r="F1928" i="4"/>
  <c r="D1930" i="4"/>
  <c r="F1932" i="4"/>
  <c r="D1934" i="4"/>
  <c r="F1936" i="4"/>
  <c r="D1938" i="4"/>
  <c r="F1940" i="4"/>
  <c r="D1942" i="4"/>
  <c r="F1944" i="4"/>
  <c r="D1946" i="4"/>
  <c r="F1948" i="4"/>
  <c r="D1950" i="4"/>
  <c r="F1952" i="4"/>
  <c r="D1954" i="4"/>
  <c r="F1955" i="4"/>
  <c r="D1956" i="4"/>
  <c r="F1957" i="4"/>
  <c r="D1958" i="4"/>
  <c r="F1959" i="4"/>
  <c r="D1960" i="4"/>
  <c r="F1961" i="4"/>
  <c r="D1962" i="4"/>
  <c r="F1963" i="4"/>
  <c r="D1964" i="4"/>
  <c r="F1965" i="4"/>
  <c r="D1966" i="4"/>
  <c r="F1967" i="4"/>
  <c r="D1968" i="4"/>
  <c r="F1969" i="4"/>
  <c r="D1970" i="4"/>
  <c r="F1971" i="4"/>
  <c r="D1972" i="4"/>
  <c r="F1973" i="4"/>
  <c r="D1974" i="4"/>
  <c r="F1975" i="4"/>
  <c r="D1976" i="4"/>
  <c r="F1977" i="4"/>
  <c r="D1978" i="4"/>
  <c r="F1979" i="4"/>
  <c r="D1980" i="4"/>
  <c r="F1981" i="4"/>
  <c r="D1982" i="4"/>
  <c r="F1983" i="4"/>
  <c r="D1984" i="4"/>
  <c r="F1985" i="4"/>
  <c r="D1986" i="4"/>
  <c r="F1987" i="4"/>
  <c r="D1988" i="4"/>
  <c r="F1989" i="4"/>
  <c r="D1990" i="4"/>
  <c r="F1991" i="4"/>
  <c r="D1992" i="4"/>
  <c r="F1993" i="4"/>
  <c r="D1994" i="4"/>
  <c r="F1995" i="4"/>
  <c r="D1996" i="4"/>
  <c r="F1997" i="4"/>
  <c r="D1998" i="4"/>
  <c r="F1999" i="4"/>
  <c r="D2000" i="4"/>
  <c r="F2001" i="4"/>
  <c r="D2002" i="4"/>
  <c r="F2003" i="4"/>
  <c r="D2004" i="4"/>
  <c r="F2005" i="4"/>
  <c r="D2006" i="4"/>
  <c r="F2007" i="4"/>
  <c r="D2008" i="4"/>
  <c r="F2009" i="4"/>
  <c r="D2010" i="4"/>
  <c r="F2011" i="4"/>
  <c r="D12" i="4"/>
  <c r="D15" i="4"/>
  <c r="D26" i="4"/>
  <c r="G31" i="4"/>
  <c r="G45" i="4"/>
  <c r="I48" i="4"/>
  <c r="D50" i="4"/>
  <c r="G53" i="4"/>
  <c r="I54" i="4"/>
  <c r="I56" i="4"/>
  <c r="G61" i="4"/>
  <c r="I64" i="4"/>
  <c r="D66" i="4"/>
  <c r="G69" i="4"/>
  <c r="I70" i="4"/>
  <c r="I72" i="4"/>
  <c r="G77" i="4"/>
  <c r="I80" i="4"/>
  <c r="D82" i="4"/>
  <c r="G85" i="4"/>
  <c r="I86" i="4"/>
  <c r="I88" i="4"/>
  <c r="G93" i="4"/>
  <c r="I96" i="4"/>
  <c r="D98" i="4"/>
  <c r="G101" i="4"/>
  <c r="I102" i="4"/>
  <c r="I104" i="4"/>
  <c r="F109" i="4"/>
  <c r="G109" i="4" s="1"/>
  <c r="I110" i="4"/>
  <c r="D115" i="4"/>
  <c r="D117" i="4"/>
  <c r="F121" i="4"/>
  <c r="D122" i="4"/>
  <c r="F125" i="4"/>
  <c r="G125" i="4" s="1"/>
  <c r="I126" i="4"/>
  <c r="D131" i="4"/>
  <c r="D133" i="4"/>
  <c r="F137" i="4"/>
  <c r="D138" i="4"/>
  <c r="F141" i="4"/>
  <c r="G141" i="4" s="1"/>
  <c r="I142" i="4"/>
  <c r="D147" i="4"/>
  <c r="D149" i="4"/>
  <c r="F153" i="4"/>
  <c r="D154" i="4"/>
  <c r="F157" i="4"/>
  <c r="G157" i="4" s="1"/>
  <c r="I158" i="4"/>
  <c r="D163" i="4"/>
  <c r="D165" i="4"/>
  <c r="F169" i="4"/>
  <c r="D170" i="4"/>
  <c r="F173" i="4"/>
  <c r="G173" i="4" s="1"/>
  <c r="I174" i="4"/>
  <c r="D179" i="4"/>
  <c r="D181" i="4"/>
  <c r="F185" i="4"/>
  <c r="D186" i="4"/>
  <c r="F189" i="4"/>
  <c r="G189" i="4" s="1"/>
  <c r="D195" i="4"/>
  <c r="D197" i="4"/>
  <c r="F201" i="4"/>
  <c r="D202" i="4"/>
  <c r="F205" i="4"/>
  <c r="G205" i="4" s="1"/>
  <c r="D211" i="4"/>
  <c r="D213" i="4"/>
  <c r="F217" i="4"/>
  <c r="D218" i="4"/>
  <c r="F221" i="4"/>
  <c r="G221" i="4" s="1"/>
  <c r="D227" i="4"/>
  <c r="D229" i="4"/>
  <c r="F233" i="4"/>
  <c r="D234" i="4"/>
  <c r="D236" i="4"/>
  <c r="G237" i="4"/>
  <c r="G239" i="4"/>
  <c r="D242" i="4"/>
  <c r="G245" i="4"/>
  <c r="G248" i="4"/>
  <c r="G249" i="4"/>
  <c r="G252" i="4"/>
  <c r="G255" i="4"/>
  <c r="G256" i="4"/>
  <c r="F259" i="4"/>
  <c r="G259" i="4" s="1"/>
  <c r="G265" i="4"/>
  <c r="G270" i="4"/>
  <c r="G272" i="4"/>
  <c r="F275" i="4"/>
  <c r="G275" i="4" s="1"/>
  <c r="G292" i="4"/>
  <c r="F295" i="4"/>
  <c r="G300" i="4"/>
  <c r="D308" i="4"/>
  <c r="G310" i="4"/>
  <c r="F315" i="4"/>
  <c r="G315" i="4" s="1"/>
  <c r="D316" i="4"/>
  <c r="D320" i="4"/>
  <c r="F321" i="4"/>
  <c r="G325" i="4"/>
  <c r="G327" i="4"/>
  <c r="D328" i="4"/>
  <c r="F335" i="4"/>
  <c r="D336" i="4"/>
  <c r="F337" i="4"/>
  <c r="G337" i="4" s="1"/>
  <c r="F343" i="4"/>
  <c r="G343" i="4" s="1"/>
  <c r="G350" i="4"/>
  <c r="G353" i="4"/>
  <c r="D354" i="4"/>
  <c r="F361" i="4"/>
  <c r="D362" i="4"/>
  <c r="D364" i="4"/>
  <c r="G365" i="4"/>
  <c r="G367" i="4"/>
  <c r="D370" i="4"/>
  <c r="G373" i="4"/>
  <c r="G376" i="4"/>
  <c r="G377" i="4"/>
  <c r="G380" i="4"/>
  <c r="G383" i="4"/>
  <c r="G384" i="4"/>
  <c r="F387" i="4"/>
  <c r="G387" i="4" s="1"/>
  <c r="G393" i="4"/>
  <c r="G398" i="4"/>
  <c r="G400" i="4"/>
  <c r="F403" i="4"/>
  <c r="G403" i="4" s="1"/>
  <c r="G420" i="4"/>
  <c r="F423" i="4"/>
  <c r="G428" i="4"/>
  <c r="D436" i="4"/>
  <c r="G438" i="4"/>
  <c r="F443" i="4"/>
  <c r="G443" i="4" s="1"/>
  <c r="D444" i="4"/>
  <c r="D448" i="4"/>
  <c r="F449" i="4"/>
  <c r="G453" i="4"/>
  <c r="G455" i="4"/>
  <c r="D456" i="4"/>
  <c r="F463" i="4"/>
  <c r="D464" i="4"/>
  <c r="F465" i="4"/>
  <c r="G465" i="4" s="1"/>
  <c r="F471" i="4"/>
  <c r="G471" i="4" s="1"/>
  <c r="G478" i="4"/>
  <c r="G481" i="4"/>
  <c r="D482" i="4"/>
  <c r="F489" i="4"/>
  <c r="D490" i="4"/>
  <c r="D492" i="4"/>
  <c r="G493" i="4"/>
  <c r="G495" i="4"/>
  <c r="D498" i="4"/>
  <c r="G501" i="4"/>
  <c r="G504" i="4"/>
  <c r="G505" i="4"/>
  <c r="G508" i="4"/>
  <c r="G511" i="4"/>
  <c r="G512" i="4"/>
  <c r="F515" i="4"/>
  <c r="G515" i="4" s="1"/>
  <c r="G521" i="4"/>
  <c r="G526" i="4"/>
  <c r="G528" i="4"/>
  <c r="F531" i="4"/>
  <c r="G531" i="4" s="1"/>
  <c r="G548" i="4"/>
  <c r="F551" i="4"/>
  <c r="G556" i="4"/>
  <c r="D564" i="4"/>
  <c r="G566" i="4"/>
  <c r="F571" i="4"/>
  <c r="G571" i="4" s="1"/>
  <c r="D572" i="4"/>
  <c r="D576" i="4"/>
  <c r="F577" i="4"/>
  <c r="G581" i="4"/>
  <c r="G583" i="4"/>
  <c r="D584" i="4"/>
  <c r="F591" i="4"/>
  <c r="D592" i="4"/>
  <c r="F593" i="4"/>
  <c r="G593" i="4" s="1"/>
  <c r="F599" i="4"/>
  <c r="G599" i="4" s="1"/>
  <c r="G606" i="4"/>
  <c r="G609" i="4"/>
  <c r="D610" i="4"/>
  <c r="F617" i="4"/>
  <c r="D618" i="4"/>
  <c r="D620" i="4"/>
  <c r="G621" i="4"/>
  <c r="G623" i="4"/>
  <c r="D626" i="4"/>
  <c r="G629" i="4"/>
  <c r="G632" i="4"/>
  <c r="G633" i="4"/>
  <c r="G636" i="4"/>
  <c r="G639" i="4"/>
  <c r="G640" i="4"/>
  <c r="F643" i="4"/>
  <c r="G643" i="4" s="1"/>
  <c r="G649" i="4"/>
  <c r="G654" i="4"/>
  <c r="G656" i="4"/>
  <c r="F659" i="4"/>
  <c r="G659" i="4" s="1"/>
  <c r="G676" i="4"/>
  <c r="F679" i="4"/>
  <c r="G684" i="4"/>
  <c r="D692" i="4"/>
  <c r="G694" i="4"/>
  <c r="F699" i="4"/>
  <c r="G699" i="4" s="1"/>
  <c r="D700" i="4"/>
  <c r="D704" i="4"/>
  <c r="F705" i="4"/>
  <c r="G709" i="4"/>
  <c r="F714" i="4"/>
  <c r="G714" i="4" s="1"/>
  <c r="G716" i="4"/>
  <c r="D717" i="4"/>
  <c r="D718" i="4"/>
  <c r="F722" i="4"/>
  <c r="G722" i="4" s="1"/>
  <c r="G724" i="4"/>
  <c r="D725" i="4"/>
  <c r="D726" i="4"/>
  <c r="F730" i="4"/>
  <c r="G730" i="4" s="1"/>
  <c r="G732" i="4"/>
  <c r="D733" i="4"/>
  <c r="D734" i="4"/>
  <c r="F738" i="4"/>
  <c r="G738" i="4" s="1"/>
  <c r="G740" i="4"/>
  <c r="D741" i="4"/>
  <c r="D742" i="4"/>
  <c r="F746" i="4"/>
  <c r="G746" i="4" s="1"/>
  <c r="G748" i="4"/>
  <c r="D749" i="4"/>
  <c r="D750" i="4"/>
  <c r="F754" i="4"/>
  <c r="G754" i="4" s="1"/>
  <c r="G756" i="4"/>
  <c r="D757" i="4"/>
  <c r="D758" i="4"/>
  <c r="F762" i="4"/>
  <c r="G762" i="4" s="1"/>
  <c r="G764" i="4"/>
  <c r="D765" i="4"/>
  <c r="D766" i="4"/>
  <c r="F770" i="4"/>
  <c r="G770" i="4" s="1"/>
  <c r="G772" i="4"/>
  <c r="D773" i="4"/>
  <c r="D774" i="4"/>
  <c r="F778" i="4"/>
  <c r="G778" i="4" s="1"/>
  <c r="G780" i="4"/>
  <c r="D781" i="4"/>
  <c r="D782" i="4"/>
  <c r="F786" i="4"/>
  <c r="G786" i="4" s="1"/>
  <c r="G788" i="4"/>
  <c r="D789" i="4"/>
  <c r="D790" i="4"/>
  <c r="F794" i="4"/>
  <c r="G794" i="4" s="1"/>
  <c r="G796" i="4"/>
  <c r="D797" i="4"/>
  <c r="D798" i="4"/>
  <c r="F802" i="4"/>
  <c r="G802" i="4" s="1"/>
  <c r="G804" i="4"/>
  <c r="D805" i="4"/>
  <c r="D806" i="4"/>
  <c r="F810" i="4"/>
  <c r="G810" i="4" s="1"/>
  <c r="G812" i="4"/>
  <c r="D813" i="4"/>
  <c r="D814" i="4"/>
  <c r="F818" i="4"/>
  <c r="G818" i="4" s="1"/>
  <c r="G820" i="4"/>
  <c r="D821" i="4"/>
  <c r="D822" i="4"/>
  <c r="F826" i="4"/>
  <c r="G826" i="4" s="1"/>
  <c r="G828" i="4"/>
  <c r="D829" i="4"/>
  <c r="D830" i="4"/>
  <c r="F834" i="4"/>
  <c r="G834" i="4" s="1"/>
  <c r="G836" i="4"/>
  <c r="D837" i="4"/>
  <c r="D838" i="4"/>
  <c r="F842" i="4"/>
  <c r="G842" i="4" s="1"/>
  <c r="G844" i="4"/>
  <c r="D845" i="4"/>
  <c r="D846" i="4"/>
  <c r="F850" i="4"/>
  <c r="G850" i="4" s="1"/>
  <c r="G852" i="4"/>
  <c r="D853" i="4"/>
  <c r="D854" i="4"/>
  <c r="F858" i="4"/>
  <c r="G858" i="4" s="1"/>
  <c r="G860" i="4"/>
  <c r="D861" i="4"/>
  <c r="D862" i="4"/>
  <c r="F866" i="4"/>
  <c r="G866" i="4" s="1"/>
  <c r="G868" i="4"/>
  <c r="D869" i="4"/>
  <c r="D870" i="4"/>
  <c r="F874" i="4"/>
  <c r="G874" i="4" s="1"/>
  <c r="G876" i="4"/>
  <c r="D877" i="4"/>
  <c r="D878" i="4"/>
  <c r="F882" i="4"/>
  <c r="G882" i="4" s="1"/>
  <c r="G884" i="4"/>
  <c r="D885" i="4"/>
  <c r="D886" i="4"/>
  <c r="F890" i="4"/>
  <c r="G890" i="4" s="1"/>
  <c r="G892" i="4"/>
  <c r="D893" i="4"/>
  <c r="D894" i="4"/>
  <c r="F898" i="4"/>
  <c r="G898" i="4" s="1"/>
  <c r="G900" i="4"/>
  <c r="D901" i="4"/>
  <c r="D902" i="4"/>
  <c r="F906" i="4"/>
  <c r="G906" i="4" s="1"/>
  <c r="G908" i="4"/>
  <c r="D909" i="4"/>
  <c r="D910" i="4"/>
  <c r="F914" i="4"/>
  <c r="G914" i="4" s="1"/>
  <c r="G916" i="4"/>
  <c r="D917" i="4"/>
  <c r="D918" i="4"/>
  <c r="F922" i="4"/>
  <c r="G922" i="4" s="1"/>
  <c r="G924" i="4"/>
  <c r="D925" i="4"/>
  <c r="D926" i="4"/>
  <c r="F930" i="4"/>
  <c r="G930" i="4" s="1"/>
  <c r="G932" i="4"/>
  <c r="D933" i="4"/>
  <c r="D934" i="4"/>
  <c r="F938" i="4"/>
  <c r="G938" i="4" s="1"/>
  <c r="G940" i="4"/>
  <c r="D941" i="4"/>
  <c r="D942" i="4"/>
  <c r="F946" i="4"/>
  <c r="G946" i="4" s="1"/>
  <c r="G948" i="4"/>
  <c r="D949" i="4"/>
  <c r="D950" i="4"/>
  <c r="F954" i="4"/>
  <c r="G954" i="4" s="1"/>
  <c r="G956" i="4"/>
  <c r="D957" i="4"/>
  <c r="D958" i="4"/>
  <c r="F962" i="4"/>
  <c r="G962" i="4" s="1"/>
  <c r="G964" i="4"/>
  <c r="D965" i="4"/>
  <c r="D966" i="4"/>
  <c r="F970" i="4"/>
  <c r="G970" i="4" s="1"/>
  <c r="G972" i="4"/>
  <c r="D973" i="4"/>
  <c r="D974" i="4"/>
  <c r="F978" i="4"/>
  <c r="G978" i="4" s="1"/>
  <c r="G980" i="4"/>
  <c r="D981" i="4"/>
  <c r="D982" i="4"/>
  <c r="F986" i="4"/>
  <c r="G986" i="4" s="1"/>
  <c r="G988" i="4"/>
  <c r="D989" i="4"/>
  <c r="D990" i="4"/>
  <c r="F994" i="4"/>
  <c r="G994" i="4" s="1"/>
  <c r="G996" i="4"/>
  <c r="D997" i="4"/>
  <c r="D998" i="4"/>
  <c r="F1002" i="4"/>
  <c r="G1002" i="4" s="1"/>
  <c r="G1004" i="4"/>
  <c r="D1005" i="4"/>
  <c r="D1006" i="4"/>
  <c r="F1010" i="4"/>
  <c r="G1010" i="4" s="1"/>
  <c r="G1012" i="4"/>
  <c r="D1013" i="4"/>
  <c r="D1014" i="4"/>
  <c r="F1018" i="4"/>
  <c r="G1018" i="4" s="1"/>
  <c r="G1020" i="4"/>
  <c r="D1021" i="4"/>
  <c r="D1022" i="4"/>
  <c r="F1026" i="4"/>
  <c r="G1026" i="4" s="1"/>
  <c r="G1028" i="4"/>
  <c r="D1029" i="4"/>
  <c r="D1030" i="4"/>
  <c r="F1031" i="4"/>
  <c r="G1031" i="4" s="1"/>
  <c r="G1032" i="4"/>
  <c r="D1033" i="4"/>
  <c r="F1035" i="4"/>
  <c r="G1035" i="4" s="1"/>
  <c r="G1036" i="4"/>
  <c r="D1037" i="4"/>
  <c r="F1039" i="4"/>
  <c r="G1039" i="4" s="1"/>
  <c r="G1040" i="4"/>
  <c r="D1041" i="4"/>
  <c r="F1043" i="4"/>
  <c r="G1043" i="4" s="1"/>
  <c r="G1044" i="4"/>
  <c r="D1045" i="4"/>
  <c r="F1047" i="4"/>
  <c r="G1047" i="4" s="1"/>
  <c r="G1048" i="4"/>
  <c r="D1049" i="4"/>
  <c r="F1051" i="4"/>
  <c r="G1051" i="4" s="1"/>
  <c r="G1052" i="4"/>
  <c r="D1053" i="4"/>
  <c r="F1055" i="4"/>
  <c r="G1055" i="4" s="1"/>
  <c r="G1056" i="4"/>
  <c r="D1057" i="4"/>
  <c r="F1059" i="4"/>
  <c r="G1059" i="4" s="1"/>
  <c r="G1060" i="4"/>
  <c r="D1061" i="4"/>
  <c r="F1063" i="4"/>
  <c r="G1063" i="4" s="1"/>
  <c r="G1064" i="4"/>
  <c r="D1065" i="4"/>
  <c r="F1067" i="4"/>
  <c r="G1067" i="4" s="1"/>
  <c r="G1068" i="4"/>
  <c r="D1069" i="4"/>
  <c r="F1071" i="4"/>
  <c r="G1071" i="4" s="1"/>
  <c r="G1072" i="4"/>
  <c r="D1073" i="4"/>
  <c r="F1075" i="4"/>
  <c r="G1075" i="4" s="1"/>
  <c r="G1076" i="4"/>
  <c r="D1077" i="4"/>
  <c r="F1079" i="4"/>
  <c r="G1079" i="4" s="1"/>
  <c r="G1080" i="4"/>
  <c r="D1081" i="4"/>
  <c r="F1083" i="4"/>
  <c r="G1083" i="4" s="1"/>
  <c r="G1084" i="4"/>
  <c r="D1085" i="4"/>
  <c r="F1087" i="4"/>
  <c r="G1087" i="4" s="1"/>
  <c r="G1088" i="4"/>
  <c r="D1089" i="4"/>
  <c r="F1091" i="4"/>
  <c r="G1091" i="4" s="1"/>
  <c r="G1092" i="4"/>
  <c r="D1093" i="4"/>
  <c r="F1095" i="4"/>
  <c r="G1095" i="4" s="1"/>
  <c r="G1096" i="4"/>
  <c r="D1097" i="4"/>
  <c r="F1099" i="4"/>
  <c r="G1099" i="4" s="1"/>
  <c r="G1100" i="4"/>
  <c r="D1101" i="4"/>
  <c r="F1103" i="4"/>
  <c r="G1103" i="4" s="1"/>
  <c r="G1104" i="4"/>
  <c r="D1105" i="4"/>
  <c r="F1107" i="4"/>
  <c r="G1107" i="4" s="1"/>
  <c r="G1108" i="4"/>
  <c r="D1109" i="4"/>
  <c r="F1111" i="4"/>
  <c r="G1111" i="4" s="1"/>
  <c r="G1112" i="4"/>
  <c r="D1113" i="4"/>
  <c r="F1115" i="4"/>
  <c r="G1115" i="4" s="1"/>
  <c r="G1116" i="4"/>
  <c r="D1117" i="4"/>
  <c r="F1119" i="4"/>
  <c r="G1119" i="4" s="1"/>
  <c r="G1120" i="4"/>
  <c r="D1121" i="4"/>
  <c r="F1123" i="4"/>
  <c r="G1123" i="4" s="1"/>
  <c r="G1124" i="4"/>
  <c r="D1125" i="4"/>
  <c r="F1127" i="4"/>
  <c r="G1127" i="4" s="1"/>
  <c r="G1128" i="4"/>
  <c r="D1129" i="4"/>
  <c r="F1131" i="4"/>
  <c r="G1131" i="4" s="1"/>
  <c r="G1132" i="4"/>
  <c r="D1133" i="4"/>
  <c r="F1135" i="4"/>
  <c r="G1135" i="4" s="1"/>
  <c r="G1136" i="4"/>
  <c r="D1137" i="4"/>
  <c r="F1139" i="4"/>
  <c r="G1139" i="4" s="1"/>
  <c r="G1140" i="4"/>
  <c r="D1141" i="4"/>
  <c r="F1143" i="4"/>
  <c r="G1143" i="4" s="1"/>
  <c r="G1144" i="4"/>
  <c r="D1145" i="4"/>
  <c r="F1147" i="4"/>
  <c r="G1147" i="4" s="1"/>
  <c r="G1148" i="4"/>
  <c r="D1149" i="4"/>
  <c r="F1151" i="4"/>
  <c r="G1151" i="4" s="1"/>
  <c r="G1152" i="4"/>
  <c r="D1153" i="4"/>
  <c r="F1155" i="4"/>
  <c r="G1155" i="4" s="1"/>
  <c r="G1156" i="4"/>
  <c r="D1157" i="4"/>
  <c r="F1159" i="4"/>
  <c r="G1159" i="4" s="1"/>
  <c r="G1160" i="4"/>
  <c r="D1161" i="4"/>
  <c r="F1163" i="4"/>
  <c r="G1163" i="4" s="1"/>
  <c r="G1164" i="4"/>
  <c r="D1165" i="4"/>
  <c r="F1167" i="4"/>
  <c r="G1167" i="4" s="1"/>
  <c r="G1168" i="4"/>
  <c r="D1169" i="4"/>
  <c r="F1171" i="4"/>
  <c r="G1171" i="4" s="1"/>
  <c r="G1172" i="4"/>
  <c r="D1173" i="4"/>
  <c r="F1175" i="4"/>
  <c r="G1175" i="4" s="1"/>
  <c r="G1176" i="4"/>
  <c r="D1177" i="4"/>
  <c r="F1179" i="4"/>
  <c r="G1179" i="4" s="1"/>
  <c r="G1180" i="4"/>
  <c r="D1181" i="4"/>
  <c r="F1183" i="4"/>
  <c r="G1183" i="4" s="1"/>
  <c r="G1184" i="4"/>
  <c r="D1185" i="4"/>
  <c r="F1187" i="4"/>
  <c r="G1187" i="4" s="1"/>
  <c r="G1188" i="4"/>
  <c r="D1189" i="4"/>
  <c r="F1191" i="4"/>
  <c r="G1191" i="4" s="1"/>
  <c r="G1192" i="4"/>
  <c r="D1193" i="4"/>
  <c r="F1195" i="4"/>
  <c r="G1195" i="4" s="1"/>
  <c r="G1196" i="4"/>
  <c r="D1197" i="4"/>
  <c r="F1199" i="4"/>
  <c r="G1199" i="4" s="1"/>
  <c r="G1200" i="4"/>
  <c r="D1201" i="4"/>
  <c r="F1203" i="4"/>
  <c r="G1203" i="4" s="1"/>
  <c r="G1204" i="4"/>
  <c r="D1205" i="4"/>
  <c r="F1207" i="4"/>
  <c r="G1207" i="4" s="1"/>
  <c r="G1208" i="4"/>
  <c r="D1209" i="4"/>
  <c r="F1211" i="4"/>
  <c r="G1211" i="4" s="1"/>
  <c r="G1212" i="4"/>
  <c r="D1213" i="4"/>
  <c r="F1215" i="4"/>
  <c r="G1215" i="4" s="1"/>
  <c r="G1216" i="4"/>
  <c r="D1217" i="4"/>
  <c r="F1219" i="4"/>
  <c r="G1219" i="4" s="1"/>
  <c r="G1220" i="4"/>
  <c r="D1221" i="4"/>
  <c r="F1223" i="4"/>
  <c r="G1223" i="4" s="1"/>
  <c r="G1224" i="4"/>
  <c r="D1225" i="4"/>
  <c r="F1227" i="4"/>
  <c r="G1227" i="4" s="1"/>
  <c r="G1228" i="4"/>
  <c r="D1229" i="4"/>
  <c r="F1231" i="4"/>
  <c r="G1231" i="4" s="1"/>
  <c r="G1232" i="4"/>
  <c r="D1233" i="4"/>
  <c r="F1235" i="4"/>
  <c r="G1235" i="4" s="1"/>
  <c r="G1236" i="4"/>
  <c r="D1237" i="4"/>
  <c r="F1239" i="4"/>
  <c r="G1239" i="4" s="1"/>
  <c r="G1240" i="4"/>
  <c r="D1241" i="4"/>
  <c r="F1243" i="4"/>
  <c r="G1243" i="4" s="1"/>
  <c r="G1244" i="4"/>
  <c r="D1245" i="4"/>
  <c r="F1247" i="4"/>
  <c r="G1247" i="4" s="1"/>
  <c r="G1248" i="4"/>
  <c r="D1249" i="4"/>
  <c r="F1251" i="4"/>
  <c r="G1251" i="4" s="1"/>
  <c r="G1252" i="4"/>
  <c r="D1253" i="4"/>
  <c r="F1255" i="4"/>
  <c r="G1255" i="4" s="1"/>
  <c r="G1256" i="4"/>
  <c r="D1257" i="4"/>
  <c r="F1259" i="4"/>
  <c r="G1259" i="4" s="1"/>
  <c r="G1260" i="4"/>
  <c r="D1261" i="4"/>
  <c r="F1263" i="4"/>
  <c r="G1263" i="4" s="1"/>
  <c r="G1264" i="4"/>
  <c r="D1265" i="4"/>
  <c r="F1267" i="4"/>
  <c r="G1267" i="4" s="1"/>
  <c r="G1268" i="4"/>
  <c r="D1269" i="4"/>
  <c r="F1271" i="4"/>
  <c r="G1271" i="4" s="1"/>
  <c r="G1272" i="4"/>
  <c r="D1273" i="4"/>
  <c r="F1275" i="4"/>
  <c r="G1275" i="4" s="1"/>
  <c r="G1276" i="4"/>
  <c r="D1277" i="4"/>
  <c r="F1279" i="4"/>
  <c r="G1279" i="4" s="1"/>
  <c r="G1280" i="4"/>
  <c r="D1281" i="4"/>
  <c r="F1283" i="4"/>
  <c r="G1283" i="4" s="1"/>
  <c r="G1284" i="4"/>
  <c r="D1285" i="4"/>
  <c r="F1287" i="4"/>
  <c r="G1287" i="4" s="1"/>
  <c r="G1288" i="4"/>
  <c r="D1289" i="4"/>
  <c r="F1291" i="4"/>
  <c r="G1291" i="4" s="1"/>
  <c r="G1292" i="4"/>
  <c r="D1293" i="4"/>
  <c r="F1295" i="4"/>
  <c r="G1295" i="4" s="1"/>
  <c r="G1296" i="4"/>
  <c r="D1297" i="4"/>
  <c r="F1299" i="4"/>
  <c r="G1299" i="4" s="1"/>
  <c r="G1300" i="4"/>
  <c r="D1301" i="4"/>
  <c r="F1303" i="4"/>
  <c r="G1303" i="4" s="1"/>
  <c r="G1304" i="4"/>
  <c r="D1305" i="4"/>
  <c r="F1307" i="4"/>
  <c r="G1307" i="4" s="1"/>
  <c r="G1308" i="4"/>
  <c r="D1309" i="4"/>
  <c r="F1311" i="4"/>
  <c r="G1311" i="4" s="1"/>
  <c r="G1312" i="4"/>
  <c r="D1313" i="4"/>
  <c r="F1315" i="4"/>
  <c r="G1315" i="4" s="1"/>
  <c r="G1316" i="4"/>
  <c r="D1317" i="4"/>
  <c r="F1319" i="4"/>
  <c r="G1319" i="4" s="1"/>
  <c r="G1320" i="4"/>
  <c r="D1321" i="4"/>
  <c r="F1323" i="4"/>
  <c r="G1323" i="4" s="1"/>
  <c r="G1324" i="4"/>
  <c r="D1325" i="4"/>
  <c r="F1327" i="4"/>
  <c r="G1327" i="4" s="1"/>
  <c r="G1328" i="4"/>
  <c r="D1329" i="4"/>
  <c r="F1331" i="4"/>
  <c r="G1331" i="4" s="1"/>
  <c r="G1332" i="4"/>
  <c r="D1333" i="4"/>
  <c r="F1335" i="4"/>
  <c r="G1335" i="4" s="1"/>
  <c r="G1336" i="4"/>
  <c r="D1337" i="4"/>
  <c r="F1339" i="4"/>
  <c r="G1339" i="4" s="1"/>
  <c r="G1340" i="4"/>
  <c r="D1341" i="4"/>
  <c r="F1343" i="4"/>
  <c r="G1343" i="4" s="1"/>
  <c r="G1344" i="4"/>
  <c r="D1345" i="4"/>
  <c r="F1347" i="4"/>
  <c r="G1347" i="4" s="1"/>
  <c r="G1348" i="4"/>
  <c r="D1349" i="4"/>
  <c r="F1351" i="4"/>
  <c r="G1351" i="4" s="1"/>
  <c r="G1352" i="4"/>
  <c r="D1353" i="4"/>
  <c r="F1355" i="4"/>
  <c r="G1355" i="4" s="1"/>
  <c r="G1356" i="4"/>
  <c r="D1357" i="4"/>
  <c r="F1359" i="4"/>
  <c r="G1359" i="4" s="1"/>
  <c r="G1360" i="4"/>
  <c r="D1361" i="4"/>
  <c r="F1363" i="4"/>
  <c r="G1363" i="4" s="1"/>
  <c r="G1364" i="4"/>
  <c r="D1365" i="4"/>
  <c r="F1367" i="4"/>
  <c r="G1367" i="4" s="1"/>
  <c r="G1368" i="4"/>
  <c r="D1369" i="4"/>
  <c r="F1371" i="4"/>
  <c r="G1371" i="4" s="1"/>
  <c r="G1372" i="4"/>
  <c r="D1373" i="4"/>
  <c r="F1375" i="4"/>
  <c r="G1375" i="4" s="1"/>
  <c r="G1376" i="4"/>
  <c r="D1377" i="4"/>
  <c r="F1379" i="4"/>
  <c r="G1379" i="4" s="1"/>
  <c r="G1380" i="4"/>
  <c r="D1381" i="4"/>
  <c r="F1383" i="4"/>
  <c r="G1383" i="4" s="1"/>
  <c r="G1384" i="4"/>
  <c r="D1385" i="4"/>
  <c r="F1387" i="4"/>
  <c r="G1387" i="4" s="1"/>
  <c r="G1388" i="4"/>
  <c r="D1389" i="4"/>
  <c r="F1391" i="4"/>
  <c r="G1391" i="4" s="1"/>
  <c r="G1392" i="4"/>
  <c r="D1393" i="4"/>
  <c r="F1395" i="4"/>
  <c r="G1395" i="4" s="1"/>
  <c r="G1396" i="4"/>
  <c r="D1397" i="4"/>
  <c r="F1399" i="4"/>
  <c r="G1399" i="4" s="1"/>
  <c r="G1400" i="4"/>
  <c r="D1401" i="4"/>
  <c r="F1403" i="4"/>
  <c r="G1403" i="4" s="1"/>
  <c r="G1404" i="4"/>
  <c r="D1405" i="4"/>
  <c r="F1407" i="4"/>
  <c r="G1407" i="4" s="1"/>
  <c r="G1408" i="4"/>
  <c r="D1409" i="4"/>
  <c r="F1411" i="4"/>
  <c r="G1411" i="4" s="1"/>
  <c r="G1412" i="4"/>
  <c r="D1413" i="4"/>
  <c r="F1415" i="4"/>
  <c r="G1415" i="4" s="1"/>
  <c r="G1416" i="4"/>
  <c r="D1417" i="4"/>
  <c r="F1419" i="4"/>
  <c r="G1419" i="4" s="1"/>
  <c r="G1420" i="4"/>
  <c r="D1421" i="4"/>
  <c r="F1423" i="4"/>
  <c r="G1423" i="4" s="1"/>
  <c r="G1424" i="4"/>
  <c r="D1425" i="4"/>
  <c r="F1427" i="4"/>
  <c r="G1427" i="4" s="1"/>
  <c r="G1428" i="4"/>
  <c r="D1429" i="4"/>
  <c r="F1431" i="4"/>
  <c r="G1431" i="4" s="1"/>
  <c r="G1432" i="4"/>
  <c r="D1433" i="4"/>
  <c r="F1435" i="4"/>
  <c r="G1435" i="4" s="1"/>
  <c r="G1436" i="4"/>
  <c r="D1437" i="4"/>
  <c r="F1439" i="4"/>
  <c r="G1439" i="4" s="1"/>
  <c r="G1440" i="4"/>
  <c r="D1441" i="4"/>
  <c r="F1443" i="4"/>
  <c r="G1443" i="4" s="1"/>
  <c r="G1444" i="4"/>
  <c r="D1445" i="4"/>
  <c r="F1447" i="4"/>
  <c r="G1447" i="4" s="1"/>
  <c r="G1448" i="4"/>
  <c r="D1449" i="4"/>
  <c r="F1451" i="4"/>
  <c r="G1451" i="4" s="1"/>
  <c r="G1452" i="4"/>
  <c r="D1453" i="4"/>
  <c r="F1455" i="4"/>
  <c r="G1455" i="4" s="1"/>
  <c r="G1456" i="4"/>
  <c r="D1457" i="4"/>
  <c r="F1459" i="4"/>
  <c r="G1459" i="4" s="1"/>
  <c r="G1460" i="4"/>
  <c r="D1461" i="4"/>
  <c r="F1463" i="4"/>
  <c r="G1463" i="4" s="1"/>
  <c r="G1464" i="4"/>
  <c r="D1465" i="4"/>
  <c r="F1467" i="4"/>
  <c r="G1467" i="4" s="1"/>
  <c r="G1468" i="4"/>
  <c r="D1469" i="4"/>
  <c r="F1471" i="4"/>
  <c r="G1471" i="4" s="1"/>
  <c r="G1472" i="4"/>
  <c r="D1473" i="4"/>
  <c r="F1475" i="4"/>
  <c r="G1475" i="4" s="1"/>
  <c r="G1476" i="4"/>
  <c r="D1477" i="4"/>
  <c r="F1479" i="4"/>
  <c r="G1479" i="4" s="1"/>
  <c r="G1480" i="4"/>
  <c r="D1481" i="4"/>
  <c r="F1483" i="4"/>
  <c r="G1483" i="4" s="1"/>
  <c r="G1484" i="4"/>
  <c r="D1485" i="4"/>
  <c r="F1487" i="4"/>
  <c r="G1487" i="4" s="1"/>
  <c r="G1488" i="4"/>
  <c r="D1489" i="4"/>
  <c r="F1491" i="4"/>
  <c r="G1491" i="4" s="1"/>
  <c r="G1492" i="4"/>
  <c r="D1493" i="4"/>
  <c r="F1495" i="4"/>
  <c r="G1495" i="4" s="1"/>
  <c r="G1496" i="4"/>
  <c r="D1497" i="4"/>
  <c r="F1499" i="4"/>
  <c r="G1499" i="4" s="1"/>
  <c r="G1500" i="4"/>
  <c r="D1501" i="4"/>
  <c r="F1503" i="4"/>
  <c r="G1503" i="4" s="1"/>
  <c r="G1504" i="4"/>
  <c r="D1505" i="4"/>
  <c r="F1507" i="4"/>
  <c r="G1507" i="4" s="1"/>
  <c r="G1508" i="4"/>
  <c r="D1509" i="4"/>
  <c r="F1511" i="4"/>
  <c r="G1511" i="4" s="1"/>
  <c r="G1512" i="4"/>
  <c r="D1513" i="4"/>
  <c r="F1515" i="4"/>
  <c r="G1515" i="4" s="1"/>
  <c r="G1516" i="4"/>
  <c r="D1517" i="4"/>
  <c r="F1519" i="4"/>
  <c r="G1519" i="4" s="1"/>
  <c r="G1520" i="4"/>
  <c r="D1521" i="4"/>
  <c r="F1523" i="4"/>
  <c r="G1523" i="4" s="1"/>
  <c r="G1524" i="4"/>
  <c r="D1525" i="4"/>
  <c r="F1527" i="4"/>
  <c r="G1527" i="4" s="1"/>
  <c r="G1528" i="4"/>
  <c r="D1529" i="4"/>
  <c r="F1531" i="4"/>
  <c r="G1531" i="4" s="1"/>
  <c r="G1532" i="4"/>
  <c r="D1533" i="4"/>
  <c r="F1535" i="4"/>
  <c r="G1535" i="4" s="1"/>
  <c r="G1536" i="4"/>
  <c r="D1537" i="4"/>
  <c r="F1539" i="4"/>
  <c r="G1539" i="4" s="1"/>
  <c r="G1540" i="4"/>
  <c r="D1541" i="4"/>
  <c r="F1543" i="4"/>
  <c r="G1543" i="4" s="1"/>
  <c r="G1544" i="4"/>
  <c r="D1545" i="4"/>
  <c r="F1547" i="4"/>
  <c r="G1547" i="4" s="1"/>
  <c r="G1548" i="4"/>
  <c r="D1549" i="4"/>
  <c r="F1551" i="4"/>
  <c r="G1551" i="4" s="1"/>
  <c r="G1552" i="4"/>
  <c r="D1553" i="4"/>
  <c r="F1555" i="4"/>
  <c r="G1555" i="4" s="1"/>
  <c r="G1556" i="4"/>
  <c r="D1557" i="4"/>
  <c r="F1559" i="4"/>
  <c r="G1559" i="4" s="1"/>
  <c r="G1560" i="4"/>
  <c r="D1561" i="4"/>
  <c r="F1563" i="4"/>
  <c r="G1563" i="4" s="1"/>
  <c r="G1564" i="4"/>
  <c r="D1565" i="4"/>
  <c r="F1567" i="4"/>
  <c r="G1567" i="4" s="1"/>
  <c r="G1568" i="4"/>
  <c r="D1569" i="4"/>
  <c r="F1571" i="4"/>
  <c r="G1571" i="4" s="1"/>
  <c r="G1572" i="4"/>
  <c r="D1573" i="4"/>
  <c r="F1575" i="4"/>
  <c r="G1575" i="4" s="1"/>
  <c r="G1576" i="4"/>
  <c r="D1577" i="4"/>
  <c r="F1579" i="4"/>
  <c r="G1579" i="4" s="1"/>
  <c r="G1580" i="4"/>
  <c r="D1581" i="4"/>
  <c r="F1583" i="4"/>
  <c r="G1583" i="4" s="1"/>
  <c r="G1584" i="4"/>
  <c r="D1585" i="4"/>
  <c r="F1587" i="4"/>
  <c r="G1587" i="4" s="1"/>
  <c r="G1588" i="4"/>
  <c r="D1589" i="4"/>
  <c r="F1591" i="4"/>
  <c r="G1591" i="4" s="1"/>
  <c r="G1592" i="4"/>
  <c r="D1593" i="4"/>
  <c r="F1595" i="4"/>
  <c r="G1595" i="4" s="1"/>
  <c r="G1596" i="4"/>
  <c r="D1597" i="4"/>
  <c r="F1599" i="4"/>
  <c r="G1599" i="4" s="1"/>
  <c r="G1600" i="4"/>
  <c r="D1601" i="4"/>
  <c r="F1603" i="4"/>
  <c r="G1603" i="4" s="1"/>
  <c r="G1604" i="4"/>
  <c r="D1605" i="4"/>
  <c r="F1607" i="4"/>
  <c r="G1607" i="4" s="1"/>
  <c r="G1608" i="4"/>
  <c r="D1609" i="4"/>
  <c r="F1611" i="4"/>
  <c r="G1611" i="4" s="1"/>
  <c r="G1612" i="4"/>
  <c r="D1613" i="4"/>
  <c r="F1615" i="4"/>
  <c r="G1615" i="4" s="1"/>
  <c r="G1616" i="4"/>
  <c r="D1617" i="4"/>
  <c r="F1619" i="4"/>
  <c r="G1619" i="4" s="1"/>
  <c r="G1620" i="4"/>
  <c r="D1621" i="4"/>
  <c r="F1623" i="4"/>
  <c r="G1623" i="4" s="1"/>
  <c r="G1624" i="4"/>
  <c r="D1625" i="4"/>
  <c r="F1627" i="4"/>
  <c r="G1627" i="4" s="1"/>
  <c r="G1628" i="4"/>
  <c r="D1629" i="4"/>
  <c r="F1631" i="4"/>
  <c r="G1631" i="4" s="1"/>
  <c r="G1632" i="4"/>
  <c r="D1633" i="4"/>
  <c r="F1635" i="4"/>
  <c r="G1635" i="4" s="1"/>
  <c r="G1636" i="4"/>
  <c r="D1637" i="4"/>
  <c r="F1639" i="4"/>
  <c r="G1639" i="4" s="1"/>
  <c r="G1640" i="4"/>
  <c r="D1641" i="4"/>
  <c r="F1643" i="4"/>
  <c r="G1643" i="4" s="1"/>
  <c r="G1644" i="4"/>
  <c r="D1645" i="4"/>
  <c r="F1647" i="4"/>
  <c r="G1647" i="4" s="1"/>
  <c r="G1648" i="4"/>
  <c r="D1649" i="4"/>
  <c r="F1651" i="4"/>
  <c r="G1651" i="4" s="1"/>
  <c r="G1652" i="4"/>
  <c r="D1653" i="4"/>
  <c r="F1655" i="4"/>
  <c r="G1655" i="4" s="1"/>
  <c r="G1656" i="4"/>
  <c r="D1657" i="4"/>
  <c r="F1659" i="4"/>
  <c r="G1659" i="4" s="1"/>
  <c r="G1660" i="4"/>
  <c r="D1661" i="4"/>
  <c r="F1663" i="4"/>
  <c r="G1663" i="4" s="1"/>
  <c r="G1664" i="4"/>
  <c r="D1665" i="4"/>
  <c r="F1667" i="4"/>
  <c r="G1667" i="4" s="1"/>
  <c r="G1668" i="4"/>
  <c r="D1669" i="4"/>
  <c r="F1671" i="4"/>
  <c r="G1671" i="4" s="1"/>
  <c r="G1672" i="4"/>
  <c r="D1673" i="4"/>
  <c r="F1675" i="4"/>
  <c r="G1675" i="4" s="1"/>
  <c r="G1676" i="4"/>
  <c r="D1677" i="4"/>
  <c r="F1679" i="4"/>
  <c r="G1679" i="4" s="1"/>
  <c r="G1680" i="4"/>
  <c r="D1681" i="4"/>
  <c r="F1683" i="4"/>
  <c r="G1683" i="4" s="1"/>
  <c r="G1684" i="4"/>
  <c r="D1685" i="4"/>
  <c r="F1687" i="4"/>
  <c r="G1687" i="4" s="1"/>
  <c r="G1688" i="4"/>
  <c r="D1689" i="4"/>
  <c r="F1691" i="4"/>
  <c r="G1691" i="4" s="1"/>
  <c r="G1692" i="4"/>
  <c r="D1693" i="4"/>
  <c r="F1695" i="4"/>
  <c r="G1695" i="4" s="1"/>
  <c r="G1696" i="4"/>
  <c r="D1697" i="4"/>
  <c r="F1699" i="4"/>
  <c r="G1699" i="4" s="1"/>
  <c r="G1700" i="4"/>
  <c r="D1701" i="4"/>
  <c r="F1703" i="4"/>
  <c r="G1703" i="4" s="1"/>
  <c r="G1704" i="4"/>
  <c r="D1705" i="4"/>
  <c r="F1707" i="4"/>
  <c r="G1707" i="4" s="1"/>
  <c r="G1708" i="4"/>
  <c r="D1709" i="4"/>
  <c r="F1711" i="4"/>
  <c r="G1711" i="4" s="1"/>
  <c r="G1712" i="4"/>
  <c r="D1713" i="4"/>
  <c r="F1715" i="4"/>
  <c r="G1715" i="4" s="1"/>
  <c r="G1716" i="4"/>
  <c r="D1717" i="4"/>
  <c r="F1719" i="4"/>
  <c r="G1719" i="4" s="1"/>
  <c r="G1720" i="4"/>
  <c r="D1721" i="4"/>
  <c r="F1723" i="4"/>
  <c r="G1723" i="4" s="1"/>
  <c r="G1724" i="4"/>
  <c r="D1725" i="4"/>
  <c r="F1727" i="4"/>
  <c r="G1727" i="4" s="1"/>
  <c r="G1728" i="4"/>
  <c r="D1729" i="4"/>
  <c r="F1731" i="4"/>
  <c r="G1731" i="4" s="1"/>
  <c r="G1732" i="4"/>
  <c r="D1733" i="4"/>
  <c r="F1735" i="4"/>
  <c r="G1735" i="4" s="1"/>
  <c r="G1736" i="4"/>
  <c r="D1737" i="4"/>
  <c r="F1739" i="4"/>
  <c r="G1739" i="4" s="1"/>
  <c r="G1740" i="4"/>
  <c r="D1741" i="4"/>
  <c r="F1743" i="4"/>
  <c r="G1743" i="4" s="1"/>
  <c r="G1744" i="4"/>
  <c r="D1745" i="4"/>
  <c r="F1747" i="4"/>
  <c r="G1747" i="4" s="1"/>
  <c r="G1748" i="4"/>
  <c r="D1749" i="4"/>
  <c r="F1751" i="4"/>
  <c r="G1751" i="4" s="1"/>
  <c r="G1752" i="4"/>
  <c r="D1753" i="4"/>
  <c r="F1755" i="4"/>
  <c r="G1755" i="4" s="1"/>
  <c r="G1756" i="4"/>
  <c r="D1757" i="4"/>
  <c r="F1759" i="4"/>
  <c r="G1759" i="4" s="1"/>
  <c r="G1760" i="4"/>
  <c r="D1761" i="4"/>
  <c r="F1763" i="4"/>
  <c r="G1763" i="4" s="1"/>
  <c r="G1764" i="4"/>
  <c r="D1765" i="4"/>
  <c r="F1767" i="4"/>
  <c r="G1767" i="4" s="1"/>
  <c r="G1768" i="4"/>
  <c r="D1769" i="4"/>
  <c r="F1771" i="4"/>
  <c r="G1771" i="4" s="1"/>
  <c r="G1772" i="4"/>
  <c r="D1773" i="4"/>
  <c r="F1775" i="4"/>
  <c r="G1775" i="4" s="1"/>
  <c r="G1776" i="4"/>
  <c r="D1777" i="4"/>
  <c r="F1779" i="4"/>
  <c r="G1779" i="4" s="1"/>
  <c r="G1780" i="4"/>
  <c r="D1781" i="4"/>
  <c r="F1783" i="4"/>
  <c r="G1783" i="4" s="1"/>
  <c r="G1784" i="4"/>
  <c r="D1785" i="4"/>
  <c r="F1787" i="4"/>
  <c r="G1787" i="4" s="1"/>
  <c r="G1788" i="4"/>
  <c r="D1789" i="4"/>
  <c r="F1791" i="4"/>
  <c r="G1791" i="4" s="1"/>
  <c r="G1792" i="4"/>
  <c r="D1793" i="4"/>
  <c r="F1795" i="4"/>
  <c r="G1795" i="4" s="1"/>
  <c r="G1796" i="4"/>
  <c r="D1797" i="4"/>
  <c r="F1799" i="4"/>
  <c r="G1799" i="4" s="1"/>
  <c r="G1800" i="4"/>
  <c r="D1801" i="4"/>
  <c r="F1803" i="4"/>
  <c r="G1803" i="4" s="1"/>
  <c r="G1804" i="4"/>
  <c r="D1805" i="4"/>
  <c r="F1807" i="4"/>
  <c r="G1807" i="4" s="1"/>
  <c r="G1808" i="4"/>
  <c r="D1809" i="4"/>
  <c r="F1811" i="4"/>
  <c r="G1811" i="4" s="1"/>
  <c r="G1812" i="4"/>
  <c r="D1813" i="4"/>
  <c r="F1815" i="4"/>
  <c r="G1815" i="4" s="1"/>
  <c r="G1816" i="4"/>
  <c r="D1817" i="4"/>
  <c r="F1819" i="4"/>
  <c r="G1819" i="4" s="1"/>
  <c r="G1820" i="4"/>
  <c r="D1821" i="4"/>
  <c r="F1823" i="4"/>
  <c r="G1823" i="4" s="1"/>
  <c r="G1824" i="4"/>
  <c r="D1825" i="4"/>
  <c r="F1827" i="4"/>
  <c r="G1827" i="4" s="1"/>
  <c r="G1828" i="4"/>
  <c r="D1829" i="4"/>
  <c r="F1831" i="4"/>
  <c r="G1831" i="4" s="1"/>
  <c r="G1832" i="4"/>
  <c r="D1833" i="4"/>
  <c r="F1835" i="4"/>
  <c r="G1835" i="4" s="1"/>
  <c r="G1836" i="4"/>
  <c r="D1837" i="4"/>
  <c r="F1839" i="4"/>
  <c r="G1839" i="4" s="1"/>
  <c r="G1840" i="4"/>
  <c r="D1841" i="4"/>
  <c r="F1843" i="4"/>
  <c r="G1843" i="4" s="1"/>
  <c r="G1844" i="4"/>
  <c r="D1845" i="4"/>
  <c r="F1847" i="4"/>
  <c r="G1847" i="4" s="1"/>
  <c r="G1848" i="4"/>
  <c r="D1849" i="4"/>
  <c r="F1851" i="4"/>
  <c r="G1851" i="4" s="1"/>
  <c r="G1852" i="4"/>
  <c r="D1853" i="4"/>
  <c r="F1855" i="4"/>
  <c r="G1855" i="4" s="1"/>
  <c r="G1856" i="4"/>
  <c r="D1857" i="4"/>
  <c r="F1859" i="4"/>
  <c r="G1859" i="4" s="1"/>
  <c r="G1860" i="4"/>
  <c r="D1861" i="4"/>
  <c r="F1863" i="4"/>
  <c r="G1863" i="4" s="1"/>
  <c r="G1864" i="4"/>
  <c r="D1865" i="4"/>
  <c r="F1867" i="4"/>
  <c r="G1867" i="4" s="1"/>
  <c r="G1868" i="4"/>
  <c r="D1869" i="4"/>
  <c r="F1871" i="4"/>
  <c r="G1871" i="4" s="1"/>
  <c r="G1872" i="4"/>
  <c r="D1873" i="4"/>
  <c r="F1875" i="4"/>
  <c r="G1875" i="4" s="1"/>
  <c r="G1876" i="4"/>
  <c r="D1877" i="4"/>
  <c r="F1879" i="4"/>
  <c r="G1879" i="4" s="1"/>
  <c r="G1880" i="4"/>
  <c r="D1881" i="4"/>
  <c r="F1883" i="4"/>
  <c r="G1883" i="4" s="1"/>
  <c r="G1884" i="4"/>
  <c r="D1885" i="4"/>
  <c r="F1887" i="4"/>
  <c r="G1887" i="4" s="1"/>
  <c r="G1888" i="4"/>
  <c r="D1889" i="4"/>
  <c r="F1891" i="4"/>
  <c r="G1891" i="4" s="1"/>
  <c r="G1892" i="4"/>
  <c r="D1893" i="4"/>
  <c r="F1895" i="4"/>
  <c r="G1895" i="4" s="1"/>
  <c r="G1896" i="4"/>
  <c r="D1897" i="4"/>
  <c r="F1899" i="4"/>
  <c r="G1899" i="4" s="1"/>
  <c r="G1900" i="4"/>
  <c r="D1901" i="4"/>
  <c r="F1903" i="4"/>
  <c r="G1903" i="4" s="1"/>
  <c r="G1904" i="4"/>
  <c r="D1905" i="4"/>
  <c r="F1907" i="4"/>
  <c r="G1907" i="4" s="1"/>
  <c r="G1908" i="4"/>
  <c r="D1909" i="4"/>
  <c r="F1911" i="4"/>
  <c r="G1911" i="4" s="1"/>
  <c r="G1912" i="4"/>
  <c r="D1913" i="4"/>
  <c r="F1915" i="4"/>
  <c r="G1915" i="4" s="1"/>
  <c r="G1916" i="4"/>
  <c r="D1917" i="4"/>
  <c r="F1919" i="4"/>
  <c r="G1919" i="4" s="1"/>
  <c r="G1920" i="4"/>
  <c r="D1921" i="4"/>
  <c r="F1923" i="4"/>
  <c r="G1923" i="4" s="1"/>
  <c r="G1924" i="4"/>
  <c r="D1925" i="4"/>
  <c r="F1927" i="4"/>
  <c r="G1927" i="4" s="1"/>
  <c r="G1928" i="4"/>
  <c r="D1929" i="4"/>
  <c r="F1931" i="4"/>
  <c r="G1931" i="4" s="1"/>
  <c r="G1932" i="4"/>
  <c r="D1933" i="4"/>
  <c r="F1935" i="4"/>
  <c r="G1935" i="4" s="1"/>
  <c r="G1936" i="4"/>
  <c r="D1937" i="4"/>
  <c r="F1939" i="4"/>
  <c r="G1939" i="4" s="1"/>
  <c r="G1940" i="4"/>
  <c r="D1941" i="4"/>
  <c r="F1943" i="4"/>
  <c r="G1943" i="4" s="1"/>
  <c r="G1944" i="4"/>
  <c r="D1945" i="4"/>
  <c r="F1947" i="4"/>
  <c r="G1947" i="4" s="1"/>
  <c r="G1948" i="4"/>
  <c r="D1949" i="4"/>
  <c r="F1951" i="4"/>
  <c r="G1951" i="4" s="1"/>
  <c r="G1952" i="4"/>
  <c r="D1953" i="4"/>
  <c r="G1955" i="4"/>
  <c r="G1957" i="4"/>
  <c r="G1959" i="4"/>
  <c r="G1961" i="4"/>
  <c r="G1963" i="4"/>
  <c r="G1965" i="4"/>
  <c r="G1967" i="4"/>
  <c r="G1969" i="4"/>
  <c r="G1971" i="4"/>
  <c r="G1973" i="4"/>
  <c r="G1975" i="4"/>
  <c r="G1977" i="4"/>
  <c r="G1979" i="4"/>
  <c r="G1981" i="4"/>
  <c r="G1983" i="4"/>
  <c r="G1985" i="4"/>
  <c r="G1987" i="4"/>
  <c r="G1989" i="4"/>
  <c r="G1991" i="4"/>
  <c r="G1993" i="4"/>
  <c r="G1995" i="4"/>
  <c r="G1997" i="4"/>
  <c r="G1999" i="4"/>
  <c r="G2001" i="4"/>
  <c r="G2003" i="4"/>
  <c r="G2005" i="4"/>
  <c r="G2007" i="4"/>
  <c r="G2009" i="4"/>
  <c r="G2011" i="4"/>
  <c r="D11" i="4"/>
  <c r="G19" i="4"/>
  <c r="G23" i="4"/>
  <c r="F25" i="4"/>
  <c r="G25" i="4" s="1"/>
  <c r="F30" i="4"/>
  <c r="G30" i="4" s="1"/>
  <c r="I42" i="4"/>
  <c r="D43" i="4"/>
  <c r="F47" i="4"/>
  <c r="D48" i="4"/>
  <c r="D49" i="4"/>
  <c r="D54" i="4"/>
  <c r="G55" i="4"/>
  <c r="F60" i="4"/>
  <c r="G60" i="4" s="1"/>
  <c r="F63" i="4"/>
  <c r="D64" i="4"/>
  <c r="D65" i="4"/>
  <c r="D70" i="4"/>
  <c r="G71" i="4"/>
  <c r="F76" i="4"/>
  <c r="G76" i="4" s="1"/>
  <c r="F79" i="4"/>
  <c r="D80" i="4"/>
  <c r="D81" i="4"/>
  <c r="D86" i="4"/>
  <c r="G87" i="4"/>
  <c r="F92" i="4"/>
  <c r="G92" i="4" s="1"/>
  <c r="F95" i="4"/>
  <c r="D96" i="4"/>
  <c r="D97" i="4"/>
  <c r="D102" i="4"/>
  <c r="G103" i="4"/>
  <c r="F108" i="4"/>
  <c r="G108" i="4" s="1"/>
  <c r="F112" i="4"/>
  <c r="G112" i="4" s="1"/>
  <c r="D113" i="4"/>
  <c r="D114" i="4"/>
  <c r="F119" i="4"/>
  <c r="G119" i="4" s="1"/>
  <c r="G121" i="4"/>
  <c r="F124" i="4"/>
  <c r="G124" i="4" s="1"/>
  <c r="F128" i="4"/>
  <c r="G128" i="4" s="1"/>
  <c r="D129" i="4"/>
  <c r="D130" i="4"/>
  <c r="F135" i="4"/>
  <c r="G135" i="4" s="1"/>
  <c r="G137" i="4"/>
  <c r="F140" i="4"/>
  <c r="G140" i="4" s="1"/>
  <c r="F144" i="4"/>
  <c r="G144" i="4" s="1"/>
  <c r="D145" i="4"/>
  <c r="D146" i="4"/>
  <c r="F151" i="4"/>
  <c r="G151" i="4" s="1"/>
  <c r="G153" i="4"/>
  <c r="F156" i="4"/>
  <c r="G156" i="4" s="1"/>
  <c r="F160" i="4"/>
  <c r="G160" i="4" s="1"/>
  <c r="D161" i="4"/>
  <c r="D162" i="4"/>
  <c r="F167" i="4"/>
  <c r="G167" i="4" s="1"/>
  <c r="G169" i="4"/>
  <c r="F172" i="4"/>
  <c r="G172" i="4" s="1"/>
  <c r="F176" i="4"/>
  <c r="G176" i="4" s="1"/>
  <c r="D177" i="4"/>
  <c r="D178" i="4"/>
  <c r="F183" i="4"/>
  <c r="G183" i="4" s="1"/>
  <c r="G185" i="4"/>
  <c r="F188" i="4"/>
  <c r="G188" i="4" s="1"/>
  <c r="F192" i="4"/>
  <c r="G192" i="4" s="1"/>
  <c r="D193" i="4"/>
  <c r="D194" i="4"/>
  <c r="F199" i="4"/>
  <c r="G199" i="4" s="1"/>
  <c r="G201" i="4"/>
  <c r="F204" i="4"/>
  <c r="G204" i="4" s="1"/>
  <c r="F208" i="4"/>
  <c r="G208" i="4" s="1"/>
  <c r="D209" i="4"/>
  <c r="D210" i="4"/>
  <c r="F215" i="4"/>
  <c r="G215" i="4" s="1"/>
  <c r="G217" i="4"/>
  <c r="F220" i="4"/>
  <c r="G220" i="4" s="1"/>
  <c r="F224" i="4"/>
  <c r="G224" i="4" s="1"/>
  <c r="D225" i="4"/>
  <c r="D226" i="4"/>
  <c r="G233" i="4"/>
  <c r="G238" i="4"/>
  <c r="G240" i="4"/>
  <c r="F243" i="4"/>
  <c r="G243" i="4" s="1"/>
  <c r="G260" i="4"/>
  <c r="F263" i="4"/>
  <c r="G268" i="4"/>
  <c r="G278" i="4"/>
  <c r="F283" i="4"/>
  <c r="G283" i="4" s="1"/>
  <c r="D284" i="4"/>
  <c r="D288" i="4"/>
  <c r="F289" i="4"/>
  <c r="G293" i="4"/>
  <c r="G295" i="4"/>
  <c r="D296" i="4"/>
  <c r="F303" i="4"/>
  <c r="D304" i="4"/>
  <c r="F305" i="4"/>
  <c r="G305" i="4" s="1"/>
  <c r="F311" i="4"/>
  <c r="G311" i="4" s="1"/>
  <c r="G318" i="4"/>
  <c r="G321" i="4"/>
  <c r="D322" i="4"/>
  <c r="F329" i="4"/>
  <c r="D330" i="4"/>
  <c r="D332" i="4"/>
  <c r="G333" i="4"/>
  <c r="G335" i="4"/>
  <c r="D338" i="4"/>
  <c r="G341" i="4"/>
  <c r="G344" i="4"/>
  <c r="G345" i="4"/>
  <c r="G348" i="4"/>
  <c r="G351" i="4"/>
  <c r="G352" i="4"/>
  <c r="F355" i="4"/>
  <c r="G355" i="4" s="1"/>
  <c r="G361" i="4"/>
  <c r="G366" i="4"/>
  <c r="G368" i="4"/>
  <c r="F371" i="4"/>
  <c r="G371" i="4" s="1"/>
  <c r="G388" i="4"/>
  <c r="F391" i="4"/>
  <c r="G396" i="4"/>
  <c r="D404" i="4"/>
  <c r="G406" i="4"/>
  <c r="F411" i="4"/>
  <c r="G411" i="4" s="1"/>
  <c r="D412" i="4"/>
  <c r="D416" i="4"/>
  <c r="F417" i="4"/>
  <c r="G421" i="4"/>
  <c r="G423" i="4"/>
  <c r="D424" i="4"/>
  <c r="F431" i="4"/>
  <c r="D432" i="4"/>
  <c r="F433" i="4"/>
  <c r="G433" i="4" s="1"/>
  <c r="F439" i="4"/>
  <c r="G439" i="4" s="1"/>
  <c r="G446" i="4"/>
  <c r="G449" i="4"/>
  <c r="D450" i="4"/>
  <c r="F457" i="4"/>
  <c r="D458" i="4"/>
  <c r="D460" i="4"/>
  <c r="G461" i="4"/>
  <c r="G463" i="4"/>
  <c r="D466" i="4"/>
  <c r="G469" i="4"/>
  <c r="G472" i="4"/>
  <c r="G473" i="4"/>
  <c r="G476" i="4"/>
  <c r="G479" i="4"/>
  <c r="G480" i="4"/>
  <c r="F483" i="4"/>
  <c r="G483" i="4" s="1"/>
  <c r="G489" i="4"/>
  <c r="G494" i="4"/>
  <c r="G496" i="4"/>
  <c r="F499" i="4"/>
  <c r="G499" i="4" s="1"/>
  <c r="G516" i="4"/>
  <c r="F519" i="4"/>
  <c r="G524" i="4"/>
  <c r="D532" i="4"/>
  <c r="G534" i="4"/>
  <c r="F539" i="4"/>
  <c r="G539" i="4" s="1"/>
  <c r="D540" i="4"/>
  <c r="D544" i="4"/>
  <c r="F545" i="4"/>
  <c r="G549" i="4"/>
  <c r="G551" i="4"/>
  <c r="D552" i="4"/>
  <c r="F559" i="4"/>
  <c r="D560" i="4"/>
  <c r="F561" i="4"/>
  <c r="G561" i="4" s="1"/>
  <c r="F567" i="4"/>
  <c r="G567" i="4" s="1"/>
  <c r="G574" i="4"/>
  <c r="G577" i="4"/>
  <c r="D578" i="4"/>
  <c r="F585" i="4"/>
  <c r="D586" i="4"/>
  <c r="D588" i="4"/>
  <c r="G589" i="4"/>
  <c r="G591" i="4"/>
  <c r="D594" i="4"/>
  <c r="G597" i="4"/>
  <c r="G600" i="4"/>
  <c r="G601" i="4"/>
  <c r="G604" i="4"/>
  <c r="G607" i="4"/>
  <c r="G608" i="4"/>
  <c r="F611" i="4"/>
  <c r="G611" i="4" s="1"/>
  <c r="G617" i="4"/>
  <c r="G622" i="4"/>
  <c r="G624" i="4"/>
  <c r="F627" i="4"/>
  <c r="G627" i="4" s="1"/>
  <c r="G644" i="4"/>
  <c r="F647" i="4"/>
  <c r="G652" i="4"/>
  <c r="D660" i="4"/>
  <c r="G662" i="4"/>
  <c r="F667" i="4"/>
  <c r="G667" i="4" s="1"/>
  <c r="D668" i="4"/>
  <c r="D672" i="4"/>
  <c r="F673" i="4"/>
  <c r="G677" i="4"/>
  <c r="G679" i="4"/>
  <c r="D680" i="4"/>
  <c r="F687" i="4"/>
  <c r="D688" i="4"/>
  <c r="F689" i="4"/>
  <c r="G689" i="4" s="1"/>
  <c r="F695" i="4"/>
  <c r="G695" i="4" s="1"/>
  <c r="G702" i="4"/>
  <c r="G705" i="4"/>
  <c r="D706" i="4"/>
  <c r="F712" i="4"/>
  <c r="F715" i="4"/>
  <c r="G715" i="4" s="1"/>
  <c r="D716" i="4"/>
  <c r="F720" i="4"/>
  <c r="F723" i="4"/>
  <c r="G723" i="4" s="1"/>
  <c r="D724" i="4"/>
  <c r="F728" i="4"/>
  <c r="F731" i="4"/>
  <c r="G731" i="4" s="1"/>
  <c r="D732" i="4"/>
  <c r="F736" i="4"/>
  <c r="F739" i="4"/>
  <c r="G739" i="4" s="1"/>
  <c r="D740" i="4"/>
  <c r="F744" i="4"/>
  <c r="F747" i="4"/>
  <c r="G747" i="4" s="1"/>
  <c r="D748" i="4"/>
  <c r="F752" i="4"/>
  <c r="F755" i="4"/>
  <c r="G755" i="4" s="1"/>
  <c r="D756" i="4"/>
  <c r="F760" i="4"/>
  <c r="F763" i="4"/>
  <c r="G763" i="4" s="1"/>
  <c r="D764" i="4"/>
  <c r="F768" i="4"/>
  <c r="F771" i="4"/>
  <c r="G771" i="4" s="1"/>
  <c r="D772" i="4"/>
  <c r="F776" i="4"/>
  <c r="F779" i="4"/>
  <c r="G779" i="4" s="1"/>
  <c r="D780" i="4"/>
  <c r="F784" i="4"/>
  <c r="F787" i="4"/>
  <c r="G787" i="4" s="1"/>
  <c r="D788" i="4"/>
  <c r="F792" i="4"/>
  <c r="F795" i="4"/>
  <c r="G795" i="4" s="1"/>
  <c r="D796" i="4"/>
  <c r="F800" i="4"/>
  <c r="F803" i="4"/>
  <c r="G803" i="4" s="1"/>
  <c r="D804" i="4"/>
  <c r="F808" i="4"/>
  <c r="F811" i="4"/>
  <c r="G811" i="4" s="1"/>
  <c r="D812" i="4"/>
  <c r="F816" i="4"/>
  <c r="F819" i="4"/>
  <c r="G819" i="4" s="1"/>
  <c r="D820" i="4"/>
  <c r="F824" i="4"/>
  <c r="F827" i="4"/>
  <c r="G827" i="4" s="1"/>
  <c r="D828" i="4"/>
  <c r="F832" i="4"/>
  <c r="F835" i="4"/>
  <c r="G835" i="4" s="1"/>
  <c r="D836" i="4"/>
  <c r="F840" i="4"/>
  <c r="F843" i="4"/>
  <c r="G843" i="4" s="1"/>
  <c r="D844" i="4"/>
  <c r="F848" i="4"/>
  <c r="F851" i="4"/>
  <c r="G851" i="4" s="1"/>
  <c r="D852" i="4"/>
  <c r="F856" i="4"/>
  <c r="F859" i="4"/>
  <c r="G859" i="4" s="1"/>
  <c r="D860" i="4"/>
  <c r="F864" i="4"/>
  <c r="F867" i="4"/>
  <c r="G867" i="4" s="1"/>
  <c r="D868" i="4"/>
  <c r="F872" i="4"/>
  <c r="F875" i="4"/>
  <c r="G875" i="4" s="1"/>
  <c r="D876" i="4"/>
  <c r="F880" i="4"/>
  <c r="F883" i="4"/>
  <c r="G883" i="4" s="1"/>
  <c r="D884" i="4"/>
  <c r="F888" i="4"/>
  <c r="F891" i="4"/>
  <c r="G891" i="4" s="1"/>
  <c r="D892" i="4"/>
  <c r="F896" i="4"/>
  <c r="F899" i="4"/>
  <c r="G899" i="4" s="1"/>
  <c r="D900" i="4"/>
  <c r="F904" i="4"/>
  <c r="F907" i="4"/>
  <c r="G907" i="4" s="1"/>
  <c r="D908" i="4"/>
  <c r="F912" i="4"/>
  <c r="F915" i="4"/>
  <c r="G915" i="4" s="1"/>
  <c r="D916" i="4"/>
  <c r="F920" i="4"/>
  <c r="F923" i="4"/>
  <c r="G923" i="4" s="1"/>
  <c r="D924" i="4"/>
  <c r="F928" i="4"/>
  <c r="F931" i="4"/>
  <c r="G931" i="4" s="1"/>
  <c r="D932" i="4"/>
  <c r="F936" i="4"/>
  <c r="F939" i="4"/>
  <c r="G939" i="4" s="1"/>
  <c r="D940" i="4"/>
  <c r="F944" i="4"/>
  <c r="F947" i="4"/>
  <c r="G947" i="4" s="1"/>
  <c r="D948" i="4"/>
  <c r="F952" i="4"/>
  <c r="F955" i="4"/>
  <c r="G955" i="4" s="1"/>
  <c r="D956" i="4"/>
  <c r="F960" i="4"/>
  <c r="F963" i="4"/>
  <c r="G963" i="4" s="1"/>
  <c r="D964" i="4"/>
  <c r="F968" i="4"/>
  <c r="F971" i="4"/>
  <c r="G971" i="4" s="1"/>
  <c r="D972" i="4"/>
  <c r="F976" i="4"/>
  <c r="F979" i="4"/>
  <c r="G979" i="4" s="1"/>
  <c r="D980" i="4"/>
  <c r="F984" i="4"/>
  <c r="F987" i="4"/>
  <c r="G987" i="4" s="1"/>
  <c r="D988" i="4"/>
  <c r="F992" i="4"/>
  <c r="F995" i="4"/>
  <c r="G995" i="4" s="1"/>
  <c r="D996" i="4"/>
  <c r="F1000" i="4"/>
  <c r="F1003" i="4"/>
  <c r="G1003" i="4" s="1"/>
  <c r="D1004" i="4"/>
  <c r="F1008" i="4"/>
  <c r="F1011" i="4"/>
  <c r="G1011" i="4" s="1"/>
  <c r="D1012" i="4"/>
  <c r="F1016" i="4"/>
  <c r="F1019" i="4"/>
  <c r="G1019" i="4" s="1"/>
  <c r="D1020" i="4"/>
  <c r="F1024" i="4"/>
  <c r="F1027" i="4"/>
  <c r="G1027" i="4" s="1"/>
  <c r="D1028" i="4"/>
  <c r="D1032" i="4"/>
  <c r="F1034" i="4"/>
  <c r="D1036" i="4"/>
  <c r="F1038" i="4"/>
  <c r="D1040" i="4"/>
  <c r="F1042" i="4"/>
  <c r="D1044" i="4"/>
  <c r="F1046" i="4"/>
  <c r="D1048" i="4"/>
  <c r="F1050" i="4"/>
  <c r="D1052" i="4"/>
  <c r="F1054" i="4"/>
  <c r="D1056" i="4"/>
  <c r="F1058" i="4"/>
  <c r="D1060" i="4"/>
  <c r="F1062" i="4"/>
  <c r="D1064" i="4"/>
  <c r="F1066" i="4"/>
  <c r="D1068" i="4"/>
  <c r="F1070" i="4"/>
  <c r="D1072" i="4"/>
  <c r="F1074" i="4"/>
  <c r="D1076" i="4"/>
  <c r="F1078" i="4"/>
  <c r="D1080" i="4"/>
  <c r="F1082" i="4"/>
  <c r="D1084" i="4"/>
  <c r="F1086" i="4"/>
  <c r="D1088" i="4"/>
  <c r="F1090" i="4"/>
  <c r="D1092" i="4"/>
  <c r="F1094" i="4"/>
  <c r="D1096" i="4"/>
  <c r="F1098" i="4"/>
  <c r="D1100" i="4"/>
  <c r="F1102" i="4"/>
  <c r="D1104" i="4"/>
  <c r="F1106" i="4"/>
  <c r="D1108" i="4"/>
  <c r="F1110" i="4"/>
  <c r="D1112" i="4"/>
  <c r="F1114" i="4"/>
  <c r="D1116" i="4"/>
  <c r="F1118" i="4"/>
  <c r="D1120" i="4"/>
  <c r="F1122" i="4"/>
  <c r="D1124" i="4"/>
  <c r="F1126" i="4"/>
  <c r="D1128" i="4"/>
  <c r="F1130" i="4"/>
  <c r="D1132" i="4"/>
  <c r="F1134" i="4"/>
  <c r="D1136" i="4"/>
  <c r="F1138" i="4"/>
  <c r="D1140" i="4"/>
  <c r="F1142" i="4"/>
  <c r="D1144" i="4"/>
  <c r="F1146" i="4"/>
  <c r="D1148" i="4"/>
  <c r="F1150" i="4"/>
  <c r="D1152" i="4"/>
  <c r="F1154" i="4"/>
  <c r="D1156" i="4"/>
  <c r="F1158" i="4"/>
  <c r="D1160" i="4"/>
  <c r="F1162" i="4"/>
  <c r="D1164" i="4"/>
  <c r="F1166" i="4"/>
  <c r="D1168" i="4"/>
  <c r="F1170" i="4"/>
  <c r="D1172" i="4"/>
  <c r="F1174" i="4"/>
  <c r="D1176" i="4"/>
  <c r="F1178" i="4"/>
  <c r="D1180" i="4"/>
  <c r="F1182" i="4"/>
  <c r="D1184" i="4"/>
  <c r="F1186" i="4"/>
  <c r="D1188" i="4"/>
  <c r="F1190" i="4"/>
  <c r="D1192" i="4"/>
  <c r="F1194" i="4"/>
  <c r="D1196" i="4"/>
  <c r="F1198" i="4"/>
  <c r="D1200" i="4"/>
  <c r="F1202" i="4"/>
  <c r="D1204" i="4"/>
  <c r="F1206" i="4"/>
  <c r="D1208" i="4"/>
  <c r="F1210" i="4"/>
  <c r="D1212" i="4"/>
  <c r="F1214" i="4"/>
  <c r="D1216" i="4"/>
  <c r="F1218" i="4"/>
  <c r="D1220" i="4"/>
  <c r="F1222" i="4"/>
  <c r="D1224" i="4"/>
  <c r="F1226" i="4"/>
  <c r="D1228" i="4"/>
  <c r="F1230" i="4"/>
  <c r="D1232" i="4"/>
  <c r="F1234" i="4"/>
  <c r="D1236" i="4"/>
  <c r="F1238" i="4"/>
  <c r="D1240" i="4"/>
  <c r="F1242" i="4"/>
  <c r="D1244" i="4"/>
  <c r="F1246" i="4"/>
  <c r="D1248" i="4"/>
  <c r="F1250" i="4"/>
  <c r="D1252" i="4"/>
  <c r="F1254" i="4"/>
  <c r="D1256" i="4"/>
  <c r="F1258" i="4"/>
  <c r="D1260" i="4"/>
  <c r="F1262" i="4"/>
  <c r="D1264" i="4"/>
  <c r="F1266" i="4"/>
  <c r="D1268" i="4"/>
  <c r="F1270" i="4"/>
  <c r="D1272" i="4"/>
  <c r="F1274" i="4"/>
  <c r="D1276" i="4"/>
  <c r="F1278" i="4"/>
  <c r="D1280" i="4"/>
  <c r="F1282" i="4"/>
  <c r="D1284" i="4"/>
  <c r="F1286" i="4"/>
  <c r="D1288" i="4"/>
  <c r="F1290" i="4"/>
  <c r="D1292" i="4"/>
  <c r="F1294" i="4"/>
  <c r="D1296" i="4"/>
  <c r="F1298" i="4"/>
  <c r="D1300" i="4"/>
  <c r="F1302" i="4"/>
  <c r="D1304" i="4"/>
  <c r="F1306" i="4"/>
  <c r="D1308" i="4"/>
  <c r="F1310" i="4"/>
  <c r="D1312" i="4"/>
  <c r="F1314" i="4"/>
  <c r="D1316" i="4"/>
  <c r="F1318" i="4"/>
  <c r="D1320" i="4"/>
  <c r="F1322" i="4"/>
  <c r="D1324" i="4"/>
  <c r="F1326" i="4"/>
  <c r="D1328" i="4"/>
  <c r="F1330" i="4"/>
  <c r="D1332" i="4"/>
  <c r="F1334" i="4"/>
  <c r="D1336" i="4"/>
  <c r="F1338" i="4"/>
  <c r="D1340" i="4"/>
  <c r="F1342" i="4"/>
  <c r="D1344" i="4"/>
  <c r="F1346" i="4"/>
  <c r="D1348" i="4"/>
  <c r="F1350" i="4"/>
  <c r="D1352" i="4"/>
  <c r="F1354" i="4"/>
  <c r="D1356" i="4"/>
  <c r="F1358" i="4"/>
  <c r="D1360" i="4"/>
  <c r="F1362" i="4"/>
  <c r="D1364" i="4"/>
  <c r="F1366" i="4"/>
  <c r="D1368" i="4"/>
  <c r="F1370" i="4"/>
  <c r="D1372" i="4"/>
  <c r="F1374" i="4"/>
  <c r="D1376" i="4"/>
  <c r="F1378" i="4"/>
  <c r="D1380" i="4"/>
  <c r="F1382" i="4"/>
  <c r="D1384" i="4"/>
  <c r="F1386" i="4"/>
  <c r="D1388" i="4"/>
  <c r="F1390" i="4"/>
  <c r="D1392" i="4"/>
  <c r="F1394" i="4"/>
  <c r="D1396" i="4"/>
  <c r="F1398" i="4"/>
  <c r="D1400" i="4"/>
  <c r="F1402" i="4"/>
  <c r="D1404" i="4"/>
  <c r="F1406" i="4"/>
  <c r="D1408" i="4"/>
  <c r="F1410" i="4"/>
  <c r="D1412" i="4"/>
  <c r="F1414" i="4"/>
  <c r="D1416" i="4"/>
  <c r="F1418" i="4"/>
  <c r="D1420" i="4"/>
  <c r="F1422" i="4"/>
  <c r="D1424" i="4"/>
  <c r="F1426" i="4"/>
  <c r="D1428" i="4"/>
  <c r="F1430" i="4"/>
  <c r="D1432" i="4"/>
  <c r="F1434" i="4"/>
  <c r="D1436" i="4"/>
  <c r="F1438" i="4"/>
  <c r="D1440" i="4"/>
  <c r="F1442" i="4"/>
  <c r="D1444" i="4"/>
  <c r="F1446" i="4"/>
  <c r="D1448" i="4"/>
  <c r="F1450" i="4"/>
  <c r="D1452" i="4"/>
  <c r="F1454" i="4"/>
  <c r="D1456" i="4"/>
  <c r="F1458" i="4"/>
  <c r="D1460" i="4"/>
  <c r="F1462" i="4"/>
  <c r="D1464" i="4"/>
  <c r="F1466" i="4"/>
  <c r="D1468" i="4"/>
  <c r="F1470" i="4"/>
  <c r="D1472" i="4"/>
  <c r="F1474" i="4"/>
  <c r="D1476" i="4"/>
  <c r="F1478" i="4"/>
  <c r="D1480" i="4"/>
  <c r="F1482" i="4"/>
  <c r="D1484" i="4"/>
  <c r="F1486" i="4"/>
  <c r="D1488" i="4"/>
  <c r="F1490" i="4"/>
  <c r="D1492" i="4"/>
  <c r="F1494" i="4"/>
  <c r="D1496" i="4"/>
  <c r="F1498" i="4"/>
  <c r="D1500" i="4"/>
  <c r="F1502" i="4"/>
  <c r="D1504" i="4"/>
  <c r="F1506" i="4"/>
  <c r="D1508" i="4"/>
  <c r="F1510" i="4"/>
  <c r="D1512" i="4"/>
  <c r="F1514" i="4"/>
  <c r="D1516" i="4"/>
  <c r="F1518" i="4"/>
  <c r="D1520" i="4"/>
  <c r="F1522" i="4"/>
  <c r="D1524" i="4"/>
  <c r="F1526" i="4"/>
  <c r="D1528" i="4"/>
  <c r="F1530" i="4"/>
  <c r="D1532" i="4"/>
  <c r="F1534" i="4"/>
  <c r="D1536" i="4"/>
  <c r="F1538" i="4"/>
  <c r="D1540" i="4"/>
  <c r="F1542" i="4"/>
  <c r="D1544" i="4"/>
  <c r="F1546" i="4"/>
  <c r="D1548" i="4"/>
  <c r="F1550" i="4"/>
  <c r="D1552" i="4"/>
  <c r="F1554" i="4"/>
  <c r="D1556" i="4"/>
  <c r="F1558" i="4"/>
  <c r="D1560" i="4"/>
  <c r="F1562" i="4"/>
  <c r="D1564" i="4"/>
  <c r="F1566" i="4"/>
  <c r="D1568" i="4"/>
  <c r="F1570" i="4"/>
  <c r="D1572" i="4"/>
  <c r="F1574" i="4"/>
  <c r="D1576" i="4"/>
  <c r="F1578" i="4"/>
  <c r="D1580" i="4"/>
  <c r="F1582" i="4"/>
  <c r="D1584" i="4"/>
  <c r="F1586" i="4"/>
  <c r="D1588" i="4"/>
  <c r="F1590" i="4"/>
  <c r="D1592" i="4"/>
  <c r="F1594" i="4"/>
  <c r="D1596" i="4"/>
  <c r="F1598" i="4"/>
  <c r="D1600" i="4"/>
  <c r="F1602" i="4"/>
  <c r="D1604" i="4"/>
  <c r="F1606" i="4"/>
  <c r="D1608" i="4"/>
  <c r="F1610" i="4"/>
  <c r="D1612" i="4"/>
  <c r="F1614" i="4"/>
  <c r="D1616" i="4"/>
  <c r="F1618" i="4"/>
  <c r="D1620" i="4"/>
  <c r="F1622" i="4"/>
  <c r="D1624" i="4"/>
  <c r="F1626" i="4"/>
  <c r="D1628" i="4"/>
  <c r="F1630" i="4"/>
  <c r="D1632" i="4"/>
  <c r="F1634" i="4"/>
  <c r="D1636" i="4"/>
  <c r="F1638" i="4"/>
  <c r="D1640" i="4"/>
  <c r="F1642" i="4"/>
  <c r="D1644" i="4"/>
  <c r="F1646" i="4"/>
  <c r="D1648" i="4"/>
  <c r="F1650" i="4"/>
  <c r="D1652" i="4"/>
  <c r="F1654" i="4"/>
  <c r="D1656" i="4"/>
  <c r="F1658" i="4"/>
  <c r="D1660" i="4"/>
  <c r="F1662" i="4"/>
  <c r="D1664" i="4"/>
  <c r="F1666" i="4"/>
  <c r="D1668" i="4"/>
  <c r="F1670" i="4"/>
  <c r="D1672" i="4"/>
  <c r="F1674" i="4"/>
  <c r="D1676" i="4"/>
  <c r="F1678" i="4"/>
  <c r="D1680" i="4"/>
  <c r="F1682" i="4"/>
  <c r="D1684" i="4"/>
  <c r="F1686" i="4"/>
  <c r="D1688" i="4"/>
  <c r="F1690" i="4"/>
  <c r="D1692" i="4"/>
  <c r="F1694" i="4"/>
  <c r="D1696" i="4"/>
  <c r="F1698" i="4"/>
  <c r="D1700" i="4"/>
  <c r="F1702" i="4"/>
  <c r="D1704" i="4"/>
  <c r="F1706" i="4"/>
  <c r="D1708" i="4"/>
  <c r="F1710" i="4"/>
  <c r="D1712" i="4"/>
  <c r="F1714" i="4"/>
  <c r="D1716" i="4"/>
  <c r="F1718" i="4"/>
  <c r="D1720" i="4"/>
  <c r="F1722" i="4"/>
  <c r="D1724" i="4"/>
  <c r="F1726" i="4"/>
  <c r="D1728" i="4"/>
  <c r="F1730" i="4"/>
  <c r="D1732" i="4"/>
  <c r="F1734" i="4"/>
  <c r="D1736" i="4"/>
  <c r="F1738" i="4"/>
  <c r="D1740" i="4"/>
  <c r="F1742" i="4"/>
  <c r="D1744" i="4"/>
  <c r="F1746" i="4"/>
  <c r="D1748" i="4"/>
  <c r="F1750" i="4"/>
  <c r="D1752" i="4"/>
  <c r="F1754" i="4"/>
  <c r="D1756" i="4"/>
  <c r="F1758" i="4"/>
  <c r="D1760" i="4"/>
  <c r="F1762" i="4"/>
  <c r="D1764" i="4"/>
  <c r="F1766" i="4"/>
  <c r="D1768" i="4"/>
  <c r="F1770" i="4"/>
  <c r="D1772" i="4"/>
  <c r="F1774" i="4"/>
  <c r="D1776" i="4"/>
  <c r="F1778" i="4"/>
  <c r="D1780" i="4"/>
  <c r="F1782" i="4"/>
  <c r="D1784" i="4"/>
  <c r="F1786" i="4"/>
  <c r="D1788" i="4"/>
  <c r="F1790" i="4"/>
  <c r="D1792" i="4"/>
  <c r="F1794" i="4"/>
  <c r="D1796" i="4"/>
  <c r="F1798" i="4"/>
  <c r="D1800" i="4"/>
  <c r="F1802" i="4"/>
  <c r="D1804" i="4"/>
  <c r="F1806" i="4"/>
  <c r="D1808" i="4"/>
  <c r="F1810" i="4"/>
  <c r="D1812" i="4"/>
  <c r="F1814" i="4"/>
  <c r="D1816" i="4"/>
  <c r="F1818" i="4"/>
  <c r="D1820" i="4"/>
  <c r="F1822" i="4"/>
  <c r="D1824" i="4"/>
  <c r="F1826" i="4"/>
  <c r="D1828" i="4"/>
  <c r="F1830" i="4"/>
  <c r="D1832" i="4"/>
  <c r="F1834" i="4"/>
  <c r="D1836" i="4"/>
  <c r="F1838" i="4"/>
  <c r="D1840" i="4"/>
  <c r="F1842" i="4"/>
  <c r="D1844" i="4"/>
  <c r="F1846" i="4"/>
  <c r="D1848" i="4"/>
  <c r="F1850" i="4"/>
  <c r="D1852" i="4"/>
  <c r="F1854" i="4"/>
  <c r="D1856" i="4"/>
  <c r="F1858" i="4"/>
  <c r="D1860" i="4"/>
  <c r="F1862" i="4"/>
  <c r="D1864" i="4"/>
  <c r="F1866" i="4"/>
  <c r="D1868" i="4"/>
  <c r="F1870" i="4"/>
  <c r="D1872" i="4"/>
  <c r="F1874" i="4"/>
  <c r="D1876" i="4"/>
  <c r="F1878" i="4"/>
  <c r="D1880" i="4"/>
  <c r="F1882" i="4"/>
  <c r="D1884" i="4"/>
  <c r="F1886" i="4"/>
  <c r="D1888" i="4"/>
  <c r="F1890" i="4"/>
  <c r="D1892" i="4"/>
  <c r="F1894" i="4"/>
  <c r="D1896" i="4"/>
  <c r="F1898" i="4"/>
  <c r="D1900" i="4"/>
  <c r="F1902" i="4"/>
  <c r="D1904" i="4"/>
  <c r="F1906" i="4"/>
  <c r="D1908" i="4"/>
  <c r="F1910" i="4"/>
  <c r="D1912" i="4"/>
  <c r="F1914" i="4"/>
  <c r="D1916" i="4"/>
  <c r="F1918" i="4"/>
  <c r="D1920" i="4"/>
  <c r="F1922" i="4"/>
  <c r="D1924" i="4"/>
  <c r="F1926" i="4"/>
  <c r="D1928" i="4"/>
  <c r="F1930" i="4"/>
  <c r="D1932" i="4"/>
  <c r="F1934" i="4"/>
  <c r="D1936" i="4"/>
  <c r="F1938" i="4"/>
  <c r="D1940" i="4"/>
  <c r="F1942" i="4"/>
  <c r="D1944" i="4"/>
  <c r="F1946" i="4"/>
  <c r="D1948" i="4"/>
  <c r="F1950" i="4"/>
  <c r="D1952" i="4"/>
  <c r="F1954" i="4"/>
  <c r="D1955" i="4"/>
  <c r="F1956" i="4"/>
  <c r="D1957" i="4"/>
  <c r="F1958" i="4"/>
  <c r="D1959" i="4"/>
  <c r="F1960" i="4"/>
  <c r="D1961" i="4"/>
  <c r="F1962" i="4"/>
  <c r="D1963" i="4"/>
  <c r="F1964" i="4"/>
  <c r="D1965" i="4"/>
  <c r="F1966" i="4"/>
  <c r="G47" i="4"/>
  <c r="F62" i="4"/>
  <c r="G62" i="4" s="1"/>
  <c r="G79" i="4"/>
  <c r="F94" i="4"/>
  <c r="G94" i="4" s="1"/>
  <c r="F111" i="4"/>
  <c r="G111" i="4" s="1"/>
  <c r="F116" i="4"/>
  <c r="G116" i="4" s="1"/>
  <c r="F127" i="4"/>
  <c r="G127" i="4" s="1"/>
  <c r="F132" i="4"/>
  <c r="G132" i="4" s="1"/>
  <c r="F143" i="4"/>
  <c r="G143" i="4" s="1"/>
  <c r="F148" i="4"/>
  <c r="G148" i="4" s="1"/>
  <c r="F159" i="4"/>
  <c r="G159" i="4" s="1"/>
  <c r="F164" i="4"/>
  <c r="G164" i="4" s="1"/>
  <c r="F175" i="4"/>
  <c r="G175" i="4" s="1"/>
  <c r="F180" i="4"/>
  <c r="G180" i="4" s="1"/>
  <c r="F191" i="4"/>
  <c r="G191" i="4" s="1"/>
  <c r="F196" i="4"/>
  <c r="G196" i="4" s="1"/>
  <c r="F207" i="4"/>
  <c r="G207" i="4" s="1"/>
  <c r="F212" i="4"/>
  <c r="G212" i="4" s="1"/>
  <c r="F223" i="4"/>
  <c r="G223" i="4" s="1"/>
  <c r="F228" i="4"/>
  <c r="G228" i="4" s="1"/>
  <c r="G246" i="4"/>
  <c r="D256" i="4"/>
  <c r="D264" i="4"/>
  <c r="D272" i="4"/>
  <c r="G286" i="4"/>
  <c r="G336" i="4"/>
  <c r="G356" i="4"/>
  <c r="F359" i="4"/>
  <c r="G359" i="4" s="1"/>
  <c r="D372" i="4"/>
  <c r="D380" i="4"/>
  <c r="F385" i="4"/>
  <c r="G385" i="4" s="1"/>
  <c r="F399" i="4"/>
  <c r="G399" i="4" s="1"/>
  <c r="F401" i="4"/>
  <c r="G401" i="4" s="1"/>
  <c r="G417" i="4"/>
  <c r="D426" i="4"/>
  <c r="D428" i="4"/>
  <c r="G431" i="4"/>
  <c r="D434" i="4"/>
  <c r="G440" i="4"/>
  <c r="G447" i="4"/>
  <c r="G462" i="4"/>
  <c r="G492" i="4"/>
  <c r="G517" i="4"/>
  <c r="F535" i="4"/>
  <c r="G535" i="4" s="1"/>
  <c r="D546" i="4"/>
  <c r="G557" i="4"/>
  <c r="G565" i="4"/>
  <c r="G572" i="4"/>
  <c r="F579" i="4"/>
  <c r="G579" i="4" s="1"/>
  <c r="F635" i="4"/>
  <c r="G635" i="4" s="1"/>
  <c r="G647" i="4"/>
  <c r="F681" i="4"/>
  <c r="G681" i="4" s="1"/>
  <c r="G697" i="4"/>
  <c r="G704" i="4"/>
  <c r="D714" i="4"/>
  <c r="D721" i="4"/>
  <c r="F726" i="4"/>
  <c r="G726" i="4" s="1"/>
  <c r="D730" i="4"/>
  <c r="D737" i="4"/>
  <c r="F742" i="4"/>
  <c r="G742" i="4" s="1"/>
  <c r="D746" i="4"/>
  <c r="D753" i="4"/>
  <c r="F758" i="4"/>
  <c r="G758" i="4" s="1"/>
  <c r="D762" i="4"/>
  <c r="D769" i="4"/>
  <c r="F774" i="4"/>
  <c r="G774" i="4" s="1"/>
  <c r="D778" i="4"/>
  <c r="D785" i="4"/>
  <c r="F790" i="4"/>
  <c r="G790" i="4" s="1"/>
  <c r="D794" i="4"/>
  <c r="D801" i="4"/>
  <c r="F806" i="4"/>
  <c r="G806" i="4" s="1"/>
  <c r="D810" i="4"/>
  <c r="D817" i="4"/>
  <c r="F822" i="4"/>
  <c r="G822" i="4" s="1"/>
  <c r="D826" i="4"/>
  <c r="D833" i="4"/>
  <c r="F838" i="4"/>
  <c r="G838" i="4" s="1"/>
  <c r="D842" i="4"/>
  <c r="D849" i="4"/>
  <c r="F854" i="4"/>
  <c r="G854" i="4" s="1"/>
  <c r="D858" i="4"/>
  <c r="D865" i="4"/>
  <c r="F870" i="4"/>
  <c r="G870" i="4" s="1"/>
  <c r="D874" i="4"/>
  <c r="D881" i="4"/>
  <c r="F886" i="4"/>
  <c r="G886" i="4" s="1"/>
  <c r="D890" i="4"/>
  <c r="D897" i="4"/>
  <c r="F902" i="4"/>
  <c r="G902" i="4" s="1"/>
  <c r="D906" i="4"/>
  <c r="D913" i="4"/>
  <c r="F918" i="4"/>
  <c r="G918" i="4" s="1"/>
  <c r="D922" i="4"/>
  <c r="D929" i="4"/>
  <c r="F934" i="4"/>
  <c r="G934" i="4" s="1"/>
  <c r="D938" i="4"/>
  <c r="D945" i="4"/>
  <c r="F950" i="4"/>
  <c r="G950" i="4" s="1"/>
  <c r="D954" i="4"/>
  <c r="D961" i="4"/>
  <c r="F966" i="4"/>
  <c r="G966" i="4" s="1"/>
  <c r="D970" i="4"/>
  <c r="D977" i="4"/>
  <c r="F982" i="4"/>
  <c r="G982" i="4" s="1"/>
  <c r="D986" i="4"/>
  <c r="D993" i="4"/>
  <c r="F998" i="4"/>
  <c r="G998" i="4" s="1"/>
  <c r="D1002" i="4"/>
  <c r="D1009" i="4"/>
  <c r="F1014" i="4"/>
  <c r="G1014" i="4" s="1"/>
  <c r="D1018" i="4"/>
  <c r="D1025" i="4"/>
  <c r="F1030" i="4"/>
  <c r="G1030" i="4" s="1"/>
  <c r="F1037" i="4"/>
  <c r="G1037" i="4" s="1"/>
  <c r="G1038" i="4"/>
  <c r="F1045" i="4"/>
  <c r="G1045" i="4" s="1"/>
  <c r="G1046" i="4"/>
  <c r="F1053" i="4"/>
  <c r="G1053" i="4" s="1"/>
  <c r="G1054" i="4"/>
  <c r="F1061" i="4"/>
  <c r="G1061" i="4" s="1"/>
  <c r="G1062" i="4"/>
  <c r="F1069" i="4"/>
  <c r="G1069" i="4" s="1"/>
  <c r="G1070" i="4"/>
  <c r="F1077" i="4"/>
  <c r="G1077" i="4" s="1"/>
  <c r="G1078" i="4"/>
  <c r="F1085" i="4"/>
  <c r="G1085" i="4" s="1"/>
  <c r="G1086" i="4"/>
  <c r="F1093" i="4"/>
  <c r="G1093" i="4" s="1"/>
  <c r="G1094" i="4"/>
  <c r="F1101" i="4"/>
  <c r="G1101" i="4" s="1"/>
  <c r="G1102" i="4"/>
  <c r="F1109" i="4"/>
  <c r="G1109" i="4" s="1"/>
  <c r="G1110" i="4"/>
  <c r="F1117" i="4"/>
  <c r="G1117" i="4" s="1"/>
  <c r="G1118" i="4"/>
  <c r="F1125" i="4"/>
  <c r="G1125" i="4" s="1"/>
  <c r="G1126" i="4"/>
  <c r="F1133" i="4"/>
  <c r="G1133" i="4" s="1"/>
  <c r="G1134" i="4"/>
  <c r="F1141" i="4"/>
  <c r="G1141" i="4" s="1"/>
  <c r="G1142" i="4"/>
  <c r="F1149" i="4"/>
  <c r="G1149" i="4" s="1"/>
  <c r="G1150" i="4"/>
  <c r="F1157" i="4"/>
  <c r="G1157" i="4" s="1"/>
  <c r="G1158" i="4"/>
  <c r="F1165" i="4"/>
  <c r="G1165" i="4" s="1"/>
  <c r="G1166" i="4"/>
  <c r="F1173" i="4"/>
  <c r="G1173" i="4" s="1"/>
  <c r="G1174" i="4"/>
  <c r="F1181" i="4"/>
  <c r="G1181" i="4" s="1"/>
  <c r="G1182" i="4"/>
  <c r="F1189" i="4"/>
  <c r="G1189" i="4" s="1"/>
  <c r="G1190" i="4"/>
  <c r="F1197" i="4"/>
  <c r="G1197" i="4" s="1"/>
  <c r="G1198" i="4"/>
  <c r="F1205" i="4"/>
  <c r="G1205" i="4" s="1"/>
  <c r="G1206" i="4"/>
  <c r="F1213" i="4"/>
  <c r="G1213" i="4" s="1"/>
  <c r="G1214" i="4"/>
  <c r="F1221" i="4"/>
  <c r="G1221" i="4" s="1"/>
  <c r="G1222" i="4"/>
  <c r="F1229" i="4"/>
  <c r="G1229" i="4" s="1"/>
  <c r="G1230" i="4"/>
  <c r="F1237" i="4"/>
  <c r="G1237" i="4" s="1"/>
  <c r="G1238" i="4"/>
  <c r="F1245" i="4"/>
  <c r="G1245" i="4" s="1"/>
  <c r="G1246" i="4"/>
  <c r="F1253" i="4"/>
  <c r="G1253" i="4" s="1"/>
  <c r="G1254" i="4"/>
  <c r="F1261" i="4"/>
  <c r="G1261" i="4" s="1"/>
  <c r="G1262" i="4"/>
  <c r="F1269" i="4"/>
  <c r="G1269" i="4" s="1"/>
  <c r="G1270" i="4"/>
  <c r="F1277" i="4"/>
  <c r="G1277" i="4" s="1"/>
  <c r="G1278" i="4"/>
  <c r="F1285" i="4"/>
  <c r="G1285" i="4" s="1"/>
  <c r="G1286" i="4"/>
  <c r="F1293" i="4"/>
  <c r="G1293" i="4" s="1"/>
  <c r="G1294" i="4"/>
  <c r="F1301" i="4"/>
  <c r="G1301" i="4" s="1"/>
  <c r="G1302" i="4"/>
  <c r="F1309" i="4"/>
  <c r="G1309" i="4" s="1"/>
  <c r="G1310" i="4"/>
  <c r="F1317" i="4"/>
  <c r="G1317" i="4" s="1"/>
  <c r="G1318" i="4"/>
  <c r="F1325" i="4"/>
  <c r="G1325" i="4" s="1"/>
  <c r="G1326" i="4"/>
  <c r="F1333" i="4"/>
  <c r="G1333" i="4" s="1"/>
  <c r="G1334" i="4"/>
  <c r="F1341" i="4"/>
  <c r="G1341" i="4" s="1"/>
  <c r="G1342" i="4"/>
  <c r="F1349" i="4"/>
  <c r="G1349" i="4" s="1"/>
  <c r="G1350" i="4"/>
  <c r="F1357" i="4"/>
  <c r="G1357" i="4" s="1"/>
  <c r="G1358" i="4"/>
  <c r="F1365" i="4"/>
  <c r="G1365" i="4" s="1"/>
  <c r="G1366" i="4"/>
  <c r="F1373" i="4"/>
  <c r="G1373" i="4" s="1"/>
  <c r="G1374" i="4"/>
  <c r="F1381" i="4"/>
  <c r="G1381" i="4" s="1"/>
  <c r="G1382" i="4"/>
  <c r="F1389" i="4"/>
  <c r="G1389" i="4" s="1"/>
  <c r="G1390" i="4"/>
  <c r="F1397" i="4"/>
  <c r="G1397" i="4" s="1"/>
  <c r="G1398" i="4"/>
  <c r="F1405" i="4"/>
  <c r="G1405" i="4" s="1"/>
  <c r="G1406" i="4"/>
  <c r="F1413" i="4"/>
  <c r="G1413" i="4" s="1"/>
  <c r="G1414" i="4"/>
  <c r="F1421" i="4"/>
  <c r="G1421" i="4" s="1"/>
  <c r="G1422" i="4"/>
  <c r="F1429" i="4"/>
  <c r="G1429" i="4" s="1"/>
  <c r="G1430" i="4"/>
  <c r="F1437" i="4"/>
  <c r="G1437" i="4" s="1"/>
  <c r="G1438" i="4"/>
  <c r="F1445" i="4"/>
  <c r="G1445" i="4" s="1"/>
  <c r="G1446" i="4"/>
  <c r="F1453" i="4"/>
  <c r="G1453" i="4" s="1"/>
  <c r="G1454" i="4"/>
  <c r="F1461" i="4"/>
  <c r="G1461" i="4" s="1"/>
  <c r="G1462" i="4"/>
  <c r="F1469" i="4"/>
  <c r="G1469" i="4" s="1"/>
  <c r="G1470" i="4"/>
  <c r="F1477" i="4"/>
  <c r="G1477" i="4" s="1"/>
  <c r="G1478" i="4"/>
  <c r="F1485" i="4"/>
  <c r="G1485" i="4" s="1"/>
  <c r="G1486" i="4"/>
  <c r="F1493" i="4"/>
  <c r="G1493" i="4" s="1"/>
  <c r="G1494" i="4"/>
  <c r="F1501" i="4"/>
  <c r="G1501" i="4" s="1"/>
  <c r="G1502" i="4"/>
  <c r="F1509" i="4"/>
  <c r="G1509" i="4" s="1"/>
  <c r="G1510" i="4"/>
  <c r="F1517" i="4"/>
  <c r="G1517" i="4" s="1"/>
  <c r="G1518" i="4"/>
  <c r="F1525" i="4"/>
  <c r="G1525" i="4" s="1"/>
  <c r="G1526" i="4"/>
  <c r="F1533" i="4"/>
  <c r="G1533" i="4" s="1"/>
  <c r="G1534" i="4"/>
  <c r="F1541" i="4"/>
  <c r="G1541" i="4" s="1"/>
  <c r="G1542" i="4"/>
  <c r="F1549" i="4"/>
  <c r="G1549" i="4" s="1"/>
  <c r="G1550" i="4"/>
  <c r="F1557" i="4"/>
  <c r="G1557" i="4" s="1"/>
  <c r="G1558" i="4"/>
  <c r="F1565" i="4"/>
  <c r="G1565" i="4" s="1"/>
  <c r="G1566" i="4"/>
  <c r="F1573" i="4"/>
  <c r="G1573" i="4" s="1"/>
  <c r="G1574" i="4"/>
  <c r="F1581" i="4"/>
  <c r="G1581" i="4" s="1"/>
  <c r="G1582" i="4"/>
  <c r="F1589" i="4"/>
  <c r="G1589" i="4" s="1"/>
  <c r="G1590" i="4"/>
  <c r="F1597" i="4"/>
  <c r="G1597" i="4" s="1"/>
  <c r="G1598" i="4"/>
  <c r="F1605" i="4"/>
  <c r="G1605" i="4" s="1"/>
  <c r="G1606" i="4"/>
  <c r="F1613" i="4"/>
  <c r="G1613" i="4" s="1"/>
  <c r="G1614" i="4"/>
  <c r="F1621" i="4"/>
  <c r="G1621" i="4" s="1"/>
  <c r="G1622" i="4"/>
  <c r="F1629" i="4"/>
  <c r="G1629" i="4" s="1"/>
  <c r="G1630" i="4"/>
  <c r="F1637" i="4"/>
  <c r="G1637" i="4" s="1"/>
  <c r="G1638" i="4"/>
  <c r="F1645" i="4"/>
  <c r="G1645" i="4" s="1"/>
  <c r="G1646" i="4"/>
  <c r="F1653" i="4"/>
  <c r="G1653" i="4" s="1"/>
  <c r="G1654" i="4"/>
  <c r="F1661" i="4"/>
  <c r="G1661" i="4" s="1"/>
  <c r="G1662" i="4"/>
  <c r="F1669" i="4"/>
  <c r="G1669" i="4" s="1"/>
  <c r="G1670" i="4"/>
  <c r="F1677" i="4"/>
  <c r="G1677" i="4" s="1"/>
  <c r="G1678" i="4"/>
  <c r="F1685" i="4"/>
  <c r="G1685" i="4" s="1"/>
  <c r="G1686" i="4"/>
  <c r="F1693" i="4"/>
  <c r="G1693" i="4" s="1"/>
  <c r="G1694" i="4"/>
  <c r="F1701" i="4"/>
  <c r="G1701" i="4" s="1"/>
  <c r="G1702" i="4"/>
  <c r="F1709" i="4"/>
  <c r="G1709" i="4" s="1"/>
  <c r="G1710" i="4"/>
  <c r="F1717" i="4"/>
  <c r="G1717" i="4" s="1"/>
  <c r="G1718" i="4"/>
  <c r="F1725" i="4"/>
  <c r="G1725" i="4" s="1"/>
  <c r="G1726" i="4"/>
  <c r="F1733" i="4"/>
  <c r="G1733" i="4" s="1"/>
  <c r="G1734" i="4"/>
  <c r="F1741" i="4"/>
  <c r="G1741" i="4" s="1"/>
  <c r="G1742" i="4"/>
  <c r="F1749" i="4"/>
  <c r="G1749" i="4" s="1"/>
  <c r="G1750" i="4"/>
  <c r="F1757" i="4"/>
  <c r="G1757" i="4" s="1"/>
  <c r="G1758" i="4"/>
  <c r="F1765" i="4"/>
  <c r="G1765" i="4" s="1"/>
  <c r="G1766" i="4"/>
  <c r="F1773" i="4"/>
  <c r="G1773" i="4" s="1"/>
  <c r="G1774" i="4"/>
  <c r="F1781" i="4"/>
  <c r="G1781" i="4" s="1"/>
  <c r="G1782" i="4"/>
  <c r="F1789" i="4"/>
  <c r="G1789" i="4" s="1"/>
  <c r="G1790" i="4"/>
  <c r="F1797" i="4"/>
  <c r="G1797" i="4" s="1"/>
  <c r="G1798" i="4"/>
  <c r="F1805" i="4"/>
  <c r="G1805" i="4" s="1"/>
  <c r="G1806" i="4"/>
  <c r="F1813" i="4"/>
  <c r="G1813" i="4" s="1"/>
  <c r="G1814" i="4"/>
  <c r="F1821" i="4"/>
  <c r="G1821" i="4" s="1"/>
  <c r="G1822" i="4"/>
  <c r="F1829" i="4"/>
  <c r="G1829" i="4" s="1"/>
  <c r="G1830" i="4"/>
  <c r="F1837" i="4"/>
  <c r="G1837" i="4" s="1"/>
  <c r="G1838" i="4"/>
  <c r="F1845" i="4"/>
  <c r="G1845" i="4" s="1"/>
  <c r="G1846" i="4"/>
  <c r="F1853" i="4"/>
  <c r="G1853" i="4" s="1"/>
  <c r="G1854" i="4"/>
  <c r="F1861" i="4"/>
  <c r="G1861" i="4" s="1"/>
  <c r="G1862" i="4"/>
  <c r="F1869" i="4"/>
  <c r="G1869" i="4" s="1"/>
  <c r="G1870" i="4"/>
  <c r="F1877" i="4"/>
  <c r="G1877" i="4" s="1"/>
  <c r="G1878" i="4"/>
  <c r="F1885" i="4"/>
  <c r="G1885" i="4" s="1"/>
  <c r="G1886" i="4"/>
  <c r="F1893" i="4"/>
  <c r="G1893" i="4" s="1"/>
  <c r="G1894" i="4"/>
  <c r="F1901" i="4"/>
  <c r="G1901" i="4" s="1"/>
  <c r="G1902" i="4"/>
  <c r="F1909" i="4"/>
  <c r="G1909" i="4" s="1"/>
  <c r="G1910" i="4"/>
  <c r="F1917" i="4"/>
  <c r="G1917" i="4" s="1"/>
  <c r="G1918" i="4"/>
  <c r="F1925" i="4"/>
  <c r="G1925" i="4" s="1"/>
  <c r="G1926" i="4"/>
  <c r="F1933" i="4"/>
  <c r="G1933" i="4" s="1"/>
  <c r="G1934" i="4"/>
  <c r="F1941" i="4"/>
  <c r="G1941" i="4" s="1"/>
  <c r="G1942" i="4"/>
  <c r="F1949" i="4"/>
  <c r="G1949" i="4" s="1"/>
  <c r="G1950" i="4"/>
  <c r="F1968" i="4"/>
  <c r="D1971" i="4"/>
  <c r="F1976" i="4"/>
  <c r="D1979" i="4"/>
  <c r="F1984" i="4"/>
  <c r="D1987" i="4"/>
  <c r="F1992" i="4"/>
  <c r="D1995" i="4"/>
  <c r="F2000" i="4"/>
  <c r="D2003" i="4"/>
  <c r="F2008" i="4"/>
  <c r="D2011" i="4"/>
  <c r="G15" i="4"/>
  <c r="F22" i="4"/>
  <c r="G22" i="4" s="1"/>
  <c r="D61" i="4"/>
  <c r="D93" i="4"/>
  <c r="F231" i="4"/>
  <c r="G231" i="4" s="1"/>
  <c r="D244" i="4"/>
  <c r="D252" i="4"/>
  <c r="F257" i="4"/>
  <c r="G257" i="4" s="1"/>
  <c r="F271" i="4"/>
  <c r="G271" i="4" s="1"/>
  <c r="F273" i="4"/>
  <c r="G273" i="4" s="1"/>
  <c r="G289" i="4"/>
  <c r="D298" i="4"/>
  <c r="D300" i="4"/>
  <c r="G303" i="4"/>
  <c r="D306" i="4"/>
  <c r="G312" i="4"/>
  <c r="G319" i="4"/>
  <c r="G334" i="4"/>
  <c r="G364" i="4"/>
  <c r="G389" i="4"/>
  <c r="F407" i="4"/>
  <c r="G407" i="4" s="1"/>
  <c r="D418" i="4"/>
  <c r="G429" i="4"/>
  <c r="G437" i="4"/>
  <c r="G444" i="4"/>
  <c r="F451" i="4"/>
  <c r="G451" i="4" s="1"/>
  <c r="F507" i="4"/>
  <c r="G507" i="4" s="1"/>
  <c r="G519" i="4"/>
  <c r="F553" i="4"/>
  <c r="G553" i="4" s="1"/>
  <c r="G569" i="4"/>
  <c r="G576" i="4"/>
  <c r="G585" i="4"/>
  <c r="F595" i="4"/>
  <c r="G595" i="4" s="1"/>
  <c r="G630" i="4"/>
  <c r="D640" i="4"/>
  <c r="D648" i="4"/>
  <c r="D656" i="4"/>
  <c r="G670" i="4"/>
  <c r="G712" i="4"/>
  <c r="G728" i="4"/>
  <c r="G744" i="4"/>
  <c r="G760" i="4"/>
  <c r="G776" i="4"/>
  <c r="G792" i="4"/>
  <c r="G808" i="4"/>
  <c r="G824" i="4"/>
  <c r="G840" i="4"/>
  <c r="G856" i="4"/>
  <c r="G872" i="4"/>
  <c r="G888" i="4"/>
  <c r="G904" i="4"/>
  <c r="G920" i="4"/>
  <c r="G936" i="4"/>
  <c r="G952" i="4"/>
  <c r="G968" i="4"/>
  <c r="G984" i="4"/>
  <c r="G1000" i="4"/>
  <c r="G1016" i="4"/>
  <c r="D1031" i="4"/>
  <c r="D1039" i="4"/>
  <c r="D1047" i="4"/>
  <c r="D1055" i="4"/>
  <c r="D1063" i="4"/>
  <c r="D1071" i="4"/>
  <c r="D1079" i="4"/>
  <c r="D1087" i="4"/>
  <c r="D1095" i="4"/>
  <c r="D1103" i="4"/>
  <c r="D1111" i="4"/>
  <c r="D1119" i="4"/>
  <c r="D1127" i="4"/>
  <c r="D1135" i="4"/>
  <c r="D1143" i="4"/>
  <c r="D1151" i="4"/>
  <c r="D1159" i="4"/>
  <c r="D1167" i="4"/>
  <c r="D1175" i="4"/>
  <c r="D1183" i="4"/>
  <c r="D1191" i="4"/>
  <c r="D1199" i="4"/>
  <c r="D1207" i="4"/>
  <c r="D1215" i="4"/>
  <c r="D1223" i="4"/>
  <c r="D1231" i="4"/>
  <c r="D1239" i="4"/>
  <c r="D1247" i="4"/>
  <c r="D1255" i="4"/>
  <c r="D1263" i="4"/>
  <c r="D1271" i="4"/>
  <c r="D1279" i="4"/>
  <c r="D1287" i="4"/>
  <c r="D1295" i="4"/>
  <c r="D1303" i="4"/>
  <c r="D1311" i="4"/>
  <c r="D1319" i="4"/>
  <c r="D1327" i="4"/>
  <c r="D1335" i="4"/>
  <c r="D1343" i="4"/>
  <c r="D1351" i="4"/>
  <c r="D1359" i="4"/>
  <c r="D1367" i="4"/>
  <c r="D1375" i="4"/>
  <c r="D1383" i="4"/>
  <c r="D1391" i="4"/>
  <c r="D1399" i="4"/>
  <c r="D1407" i="4"/>
  <c r="D1415" i="4"/>
  <c r="D1423" i="4"/>
  <c r="D1431" i="4"/>
  <c r="D1439" i="4"/>
  <c r="D1447" i="4"/>
  <c r="D1455" i="4"/>
  <c r="D1463" i="4"/>
  <c r="D1471" i="4"/>
  <c r="D1479" i="4"/>
  <c r="D1487" i="4"/>
  <c r="D1495" i="4"/>
  <c r="D1503" i="4"/>
  <c r="D1511" i="4"/>
  <c r="D1519" i="4"/>
  <c r="D1527" i="4"/>
  <c r="D1535" i="4"/>
  <c r="D1543" i="4"/>
  <c r="D1551" i="4"/>
  <c r="D1559" i="4"/>
  <c r="D1567" i="4"/>
  <c r="D1575" i="4"/>
  <c r="D1583" i="4"/>
  <c r="D1591" i="4"/>
  <c r="D1599" i="4"/>
  <c r="D1607" i="4"/>
  <c r="D1615" i="4"/>
  <c r="D1623" i="4"/>
  <c r="D1631" i="4"/>
  <c r="D1639" i="4"/>
  <c r="D1647" i="4"/>
  <c r="D1655" i="4"/>
  <c r="D1663" i="4"/>
  <c r="D1671" i="4"/>
  <c r="D1679" i="4"/>
  <c r="D1687" i="4"/>
  <c r="D1695" i="4"/>
  <c r="D1703" i="4"/>
  <c r="D1711" i="4"/>
  <c r="D1719" i="4"/>
  <c r="D1727" i="4"/>
  <c r="D1735" i="4"/>
  <c r="D1743" i="4"/>
  <c r="D1751" i="4"/>
  <c r="D1759" i="4"/>
  <c r="D1767" i="4"/>
  <c r="D1775" i="4"/>
  <c r="D1783" i="4"/>
  <c r="D1791" i="4"/>
  <c r="D1799" i="4"/>
  <c r="D1807" i="4"/>
  <c r="D1815" i="4"/>
  <c r="D1823" i="4"/>
  <c r="D1831" i="4"/>
  <c r="D1839" i="4"/>
  <c r="D1847" i="4"/>
  <c r="D1855" i="4"/>
  <c r="D1863" i="4"/>
  <c r="D1871" i="4"/>
  <c r="D1879" i="4"/>
  <c r="D1887" i="4"/>
  <c r="D1895" i="4"/>
  <c r="D1903" i="4"/>
  <c r="D1911" i="4"/>
  <c r="D1919" i="4"/>
  <c r="D1927" i="4"/>
  <c r="D1935" i="4"/>
  <c r="D1943" i="4"/>
  <c r="D1951" i="4"/>
  <c r="G1968" i="4"/>
  <c r="D1969" i="4"/>
  <c r="F1974" i="4"/>
  <c r="G1976" i="4"/>
  <c r="D1977" i="4"/>
  <c r="F1982" i="4"/>
  <c r="G1984" i="4"/>
  <c r="D1985" i="4"/>
  <c r="F1990" i="4"/>
  <c r="G1992" i="4"/>
  <c r="D1993" i="4"/>
  <c r="F1998" i="4"/>
  <c r="G2000" i="4"/>
  <c r="D2001" i="4"/>
  <c r="F2006" i="4"/>
  <c r="G2008" i="4"/>
  <c r="D2009" i="4"/>
  <c r="D42" i="4"/>
  <c r="F46" i="4"/>
  <c r="G46" i="4" s="1"/>
  <c r="G63" i="4"/>
  <c r="F78" i="4"/>
  <c r="G78" i="4" s="1"/>
  <c r="G95" i="4"/>
  <c r="F117" i="4"/>
  <c r="G117" i="4" s="1"/>
  <c r="F133" i="4"/>
  <c r="G133" i="4" s="1"/>
  <c r="F149" i="4"/>
  <c r="G149" i="4" s="1"/>
  <c r="F165" i="4"/>
  <c r="G165" i="4" s="1"/>
  <c r="F181" i="4"/>
  <c r="G181" i="4" s="1"/>
  <c r="F197" i="4"/>
  <c r="G197" i="4" s="1"/>
  <c r="F213" i="4"/>
  <c r="G213" i="4" s="1"/>
  <c r="F229" i="4"/>
  <c r="G229" i="4" s="1"/>
  <c r="G236" i="4"/>
  <c r="G261" i="4"/>
  <c r="F279" i="4"/>
  <c r="G279" i="4" s="1"/>
  <c r="D290" i="4"/>
  <c r="G301" i="4"/>
  <c r="G309" i="4"/>
  <c r="G316" i="4"/>
  <c r="F323" i="4"/>
  <c r="G323" i="4" s="1"/>
  <c r="F379" i="4"/>
  <c r="G379" i="4" s="1"/>
  <c r="G391" i="4"/>
  <c r="F425" i="4"/>
  <c r="G425" i="4" s="1"/>
  <c r="G441" i="4"/>
  <c r="G448" i="4"/>
  <c r="G457" i="4"/>
  <c r="F467" i="4"/>
  <c r="G467" i="4" s="1"/>
  <c r="G502" i="4"/>
  <c r="D512" i="4"/>
  <c r="D520" i="4"/>
  <c r="D528" i="4"/>
  <c r="G542" i="4"/>
  <c r="G592" i="4"/>
  <c r="G612" i="4"/>
  <c r="F615" i="4"/>
  <c r="G615" i="4" s="1"/>
  <c r="D628" i="4"/>
  <c r="D636" i="4"/>
  <c r="F641" i="4"/>
  <c r="G641" i="4" s="1"/>
  <c r="F655" i="4"/>
  <c r="G655" i="4" s="1"/>
  <c r="F657" i="4"/>
  <c r="G657" i="4" s="1"/>
  <c r="G673" i="4"/>
  <c r="D682" i="4"/>
  <c r="D684" i="4"/>
  <c r="G687" i="4"/>
  <c r="D690" i="4"/>
  <c r="G696" i="4"/>
  <c r="G703" i="4"/>
  <c r="D713" i="4"/>
  <c r="F718" i="4"/>
  <c r="G718" i="4" s="1"/>
  <c r="D722" i="4"/>
  <c r="D729" i="4"/>
  <c r="F734" i="4"/>
  <c r="G734" i="4" s="1"/>
  <c r="D738" i="4"/>
  <c r="D745" i="4"/>
  <c r="F750" i="4"/>
  <c r="G750" i="4" s="1"/>
  <c r="D754" i="4"/>
  <c r="D761" i="4"/>
  <c r="F766" i="4"/>
  <c r="G766" i="4" s="1"/>
  <c r="D770" i="4"/>
  <c r="D777" i="4"/>
  <c r="F782" i="4"/>
  <c r="G782" i="4" s="1"/>
  <c r="D786" i="4"/>
  <c r="D793" i="4"/>
  <c r="F798" i="4"/>
  <c r="G798" i="4" s="1"/>
  <c r="D802" i="4"/>
  <c r="D809" i="4"/>
  <c r="F814" i="4"/>
  <c r="G814" i="4" s="1"/>
  <c r="D818" i="4"/>
  <c r="D825" i="4"/>
  <c r="F830" i="4"/>
  <c r="G830" i="4" s="1"/>
  <c r="D834" i="4"/>
  <c r="D841" i="4"/>
  <c r="F846" i="4"/>
  <c r="G846" i="4" s="1"/>
  <c r="D850" i="4"/>
  <c r="D857" i="4"/>
  <c r="F862" i="4"/>
  <c r="G862" i="4" s="1"/>
  <c r="D866" i="4"/>
  <c r="D873" i="4"/>
  <c r="F878" i="4"/>
  <c r="G878" i="4" s="1"/>
  <c r="D882" i="4"/>
  <c r="D889" i="4"/>
  <c r="F894" i="4"/>
  <c r="G894" i="4" s="1"/>
  <c r="D898" i="4"/>
  <c r="D905" i="4"/>
  <c r="F910" i="4"/>
  <c r="G910" i="4" s="1"/>
  <c r="D914" i="4"/>
  <c r="D921" i="4"/>
  <c r="F926" i="4"/>
  <c r="G926" i="4" s="1"/>
  <c r="D930" i="4"/>
  <c r="D937" i="4"/>
  <c r="F942" i="4"/>
  <c r="G942" i="4" s="1"/>
  <c r="D946" i="4"/>
  <c r="D953" i="4"/>
  <c r="F958" i="4"/>
  <c r="G958" i="4" s="1"/>
  <c r="D962" i="4"/>
  <c r="D969" i="4"/>
  <c r="F974" i="4"/>
  <c r="G974" i="4" s="1"/>
  <c r="D978" i="4"/>
  <c r="D985" i="4"/>
  <c r="F990" i="4"/>
  <c r="G990" i="4" s="1"/>
  <c r="D994" i="4"/>
  <c r="D1001" i="4"/>
  <c r="F1006" i="4"/>
  <c r="G1006" i="4" s="1"/>
  <c r="D1010" i="4"/>
  <c r="D1017" i="4"/>
  <c r="F1022" i="4"/>
  <c r="G1022" i="4" s="1"/>
  <c r="D1026" i="4"/>
  <c r="F1033" i="4"/>
  <c r="G1033" i="4" s="1"/>
  <c r="G1034" i="4"/>
  <c r="F1041" i="4"/>
  <c r="G1041" i="4" s="1"/>
  <c r="G1042" i="4"/>
  <c r="F1049" i="4"/>
  <c r="G1049" i="4" s="1"/>
  <c r="G1050" i="4"/>
  <c r="F1057" i="4"/>
  <c r="G1057" i="4" s="1"/>
  <c r="G1058" i="4"/>
  <c r="I44" i="4"/>
  <c r="D77" i="4"/>
  <c r="D109" i="4"/>
  <c r="D125" i="4"/>
  <c r="D141" i="4"/>
  <c r="D157" i="4"/>
  <c r="D173" i="4"/>
  <c r="D189" i="4"/>
  <c r="D205" i="4"/>
  <c r="D221" i="4"/>
  <c r="F251" i="4"/>
  <c r="G251" i="4" s="1"/>
  <c r="G263" i="4"/>
  <c r="F297" i="4"/>
  <c r="G297" i="4" s="1"/>
  <c r="G313" i="4"/>
  <c r="G320" i="4"/>
  <c r="G329" i="4"/>
  <c r="F339" i="4"/>
  <c r="G339" i="4" s="1"/>
  <c r="G374" i="4"/>
  <c r="D384" i="4"/>
  <c r="D392" i="4"/>
  <c r="D400" i="4"/>
  <c r="G414" i="4"/>
  <c r="G464" i="4"/>
  <c r="G484" i="4"/>
  <c r="F487" i="4"/>
  <c r="G487" i="4" s="1"/>
  <c r="D500" i="4"/>
  <c r="D508" i="4"/>
  <c r="F513" i="4"/>
  <c r="G513" i="4" s="1"/>
  <c r="F527" i="4"/>
  <c r="G527" i="4" s="1"/>
  <c r="F529" i="4"/>
  <c r="G529" i="4" s="1"/>
  <c r="G545" i="4"/>
  <c r="D554" i="4"/>
  <c r="D556" i="4"/>
  <c r="G559" i="4"/>
  <c r="D562" i="4"/>
  <c r="G568" i="4"/>
  <c r="G575" i="4"/>
  <c r="G590" i="4"/>
  <c r="G620" i="4"/>
  <c r="G645" i="4"/>
  <c r="F663" i="4"/>
  <c r="G663" i="4" s="1"/>
  <c r="G693" i="4"/>
  <c r="F707" i="4"/>
  <c r="G707" i="4" s="1"/>
  <c r="G720" i="4"/>
  <c r="G752" i="4"/>
  <c r="G784" i="4"/>
  <c r="G816" i="4"/>
  <c r="G848" i="4"/>
  <c r="G880" i="4"/>
  <c r="G912" i="4"/>
  <c r="G944" i="4"/>
  <c r="G976" i="4"/>
  <c r="G1008" i="4"/>
  <c r="D1067" i="4"/>
  <c r="D1083" i="4"/>
  <c r="D1099" i="4"/>
  <c r="D1115" i="4"/>
  <c r="D1131" i="4"/>
  <c r="D1147" i="4"/>
  <c r="D1163" i="4"/>
  <c r="D1179" i="4"/>
  <c r="D1195" i="4"/>
  <c r="D1211" i="4"/>
  <c r="D1227" i="4"/>
  <c r="D1243" i="4"/>
  <c r="D1259" i="4"/>
  <c r="D1275" i="4"/>
  <c r="D1291" i="4"/>
  <c r="D1307" i="4"/>
  <c r="D1323" i="4"/>
  <c r="D1339" i="4"/>
  <c r="D1355" i="4"/>
  <c r="D1371" i="4"/>
  <c r="D1387" i="4"/>
  <c r="D1403" i="4"/>
  <c r="D1419" i="4"/>
  <c r="D1435" i="4"/>
  <c r="D1451" i="4"/>
  <c r="D1467" i="4"/>
  <c r="D1483" i="4"/>
  <c r="D1499" i="4"/>
  <c r="D1515" i="4"/>
  <c r="D1531" i="4"/>
  <c r="D1547" i="4"/>
  <c r="D1563" i="4"/>
  <c r="D1579" i="4"/>
  <c r="D1595" i="4"/>
  <c r="D1611" i="4"/>
  <c r="D1627" i="4"/>
  <c r="D1643" i="4"/>
  <c r="D1659" i="4"/>
  <c r="D1675" i="4"/>
  <c r="D1691" i="4"/>
  <c r="D1707" i="4"/>
  <c r="D1723" i="4"/>
  <c r="D1739" i="4"/>
  <c r="D1755" i="4"/>
  <c r="D1771" i="4"/>
  <c r="D1787" i="4"/>
  <c r="D1803" i="4"/>
  <c r="D1819" i="4"/>
  <c r="D1835" i="4"/>
  <c r="D1851" i="4"/>
  <c r="D1867" i="4"/>
  <c r="D1883" i="4"/>
  <c r="D1899" i="4"/>
  <c r="D1915" i="4"/>
  <c r="D1931" i="4"/>
  <c r="D1947" i="4"/>
  <c r="F1970" i="4"/>
  <c r="G1970" i="4" s="1"/>
  <c r="F1980" i="4"/>
  <c r="D1981" i="4"/>
  <c r="F1986" i="4"/>
  <c r="G1986" i="4" s="1"/>
  <c r="F1996" i="4"/>
  <c r="D1997" i="4"/>
  <c r="F2002" i="4"/>
  <c r="G2002" i="4" s="1"/>
  <c r="D674" i="4"/>
  <c r="D1035" i="4"/>
  <c r="D1051" i="4"/>
  <c r="F1065" i="4"/>
  <c r="G1065" i="4" s="1"/>
  <c r="G1074" i="4"/>
  <c r="F1081" i="4"/>
  <c r="G1081" i="4" s="1"/>
  <c r="G1090" i="4"/>
  <c r="F1097" i="4"/>
  <c r="G1097" i="4" s="1"/>
  <c r="G1106" i="4"/>
  <c r="F1113" i="4"/>
  <c r="G1113" i="4" s="1"/>
  <c r="G1122" i="4"/>
  <c r="F1129" i="4"/>
  <c r="G1129" i="4" s="1"/>
  <c r="G1138" i="4"/>
  <c r="F1145" i="4"/>
  <c r="G1145" i="4" s="1"/>
  <c r="G1154" i="4"/>
  <c r="F1161" i="4"/>
  <c r="G1161" i="4" s="1"/>
  <c r="G1170" i="4"/>
  <c r="F1177" i="4"/>
  <c r="G1177" i="4" s="1"/>
  <c r="G1186" i="4"/>
  <c r="F1193" i="4"/>
  <c r="G1193" i="4" s="1"/>
  <c r="G1202" i="4"/>
  <c r="F1209" i="4"/>
  <c r="G1209" i="4" s="1"/>
  <c r="G1218" i="4"/>
  <c r="F1225" i="4"/>
  <c r="G1225" i="4" s="1"/>
  <c r="G1234" i="4"/>
  <c r="F1241" i="4"/>
  <c r="G1241" i="4" s="1"/>
  <c r="G1250" i="4"/>
  <c r="F1257" i="4"/>
  <c r="G1257" i="4" s="1"/>
  <c r="G1266" i="4"/>
  <c r="F1273" i="4"/>
  <c r="G1273" i="4" s="1"/>
  <c r="G1282" i="4"/>
  <c r="F1289" i="4"/>
  <c r="G1289" i="4" s="1"/>
  <c r="G1298" i="4"/>
  <c r="F1305" i="4"/>
  <c r="G1305" i="4" s="1"/>
  <c r="G1314" i="4"/>
  <c r="F1321" i="4"/>
  <c r="G1321" i="4" s="1"/>
  <c r="G1330" i="4"/>
  <c r="F1337" i="4"/>
  <c r="G1337" i="4" s="1"/>
  <c r="G1346" i="4"/>
  <c r="F1353" i="4"/>
  <c r="G1353" i="4" s="1"/>
  <c r="G1362" i="4"/>
  <c r="F1369" i="4"/>
  <c r="G1369" i="4" s="1"/>
  <c r="G1378" i="4"/>
  <c r="F1385" i="4"/>
  <c r="G1385" i="4" s="1"/>
  <c r="G1394" i="4"/>
  <c r="F1401" i="4"/>
  <c r="G1401" i="4" s="1"/>
  <c r="G1410" i="4"/>
  <c r="F1417" i="4"/>
  <c r="G1417" i="4" s="1"/>
  <c r="G1426" i="4"/>
  <c r="F1433" i="4"/>
  <c r="G1433" i="4" s="1"/>
  <c r="G1442" i="4"/>
  <c r="F1449" i="4"/>
  <c r="G1449" i="4" s="1"/>
  <c r="G1458" i="4"/>
  <c r="F1465" i="4"/>
  <c r="G1465" i="4" s="1"/>
  <c r="G1474" i="4"/>
  <c r="F1481" i="4"/>
  <c r="G1481" i="4" s="1"/>
  <c r="G1490" i="4"/>
  <c r="F1497" i="4"/>
  <c r="G1497" i="4" s="1"/>
  <c r="G1506" i="4"/>
  <c r="F1513" i="4"/>
  <c r="G1513" i="4" s="1"/>
  <c r="G1522" i="4"/>
  <c r="F1529" i="4"/>
  <c r="G1529" i="4" s="1"/>
  <c r="G1538" i="4"/>
  <c r="F1545" i="4"/>
  <c r="G1545" i="4" s="1"/>
  <c r="G1554" i="4"/>
  <c r="F1561" i="4"/>
  <c r="G1561" i="4" s="1"/>
  <c r="G1570" i="4"/>
  <c r="F1577" i="4"/>
  <c r="G1577" i="4" s="1"/>
  <c r="G1586" i="4"/>
  <c r="F1593" i="4"/>
  <c r="G1593" i="4" s="1"/>
  <c r="G1602" i="4"/>
  <c r="F1609" i="4"/>
  <c r="G1609" i="4" s="1"/>
  <c r="G1618" i="4"/>
  <c r="F1625" i="4"/>
  <c r="G1625" i="4" s="1"/>
  <c r="G1634" i="4"/>
  <c r="F1641" i="4"/>
  <c r="G1641" i="4" s="1"/>
  <c r="G1650" i="4"/>
  <c r="F1657" i="4"/>
  <c r="G1657" i="4" s="1"/>
  <c r="G1666" i="4"/>
  <c r="F1673" i="4"/>
  <c r="G1673" i="4" s="1"/>
  <c r="G1682" i="4"/>
  <c r="F1689" i="4"/>
  <c r="G1689" i="4" s="1"/>
  <c r="G1698" i="4"/>
  <c r="F1705" i="4"/>
  <c r="G1705" i="4" s="1"/>
  <c r="G1714" i="4"/>
  <c r="F1721" i="4"/>
  <c r="G1721" i="4" s="1"/>
  <c r="G1730" i="4"/>
  <c r="F1737" i="4"/>
  <c r="G1737" i="4" s="1"/>
  <c r="G1746" i="4"/>
  <c r="F1753" i="4"/>
  <c r="G1753" i="4" s="1"/>
  <c r="G1762" i="4"/>
  <c r="F1769" i="4"/>
  <c r="G1769" i="4" s="1"/>
  <c r="G1778" i="4"/>
  <c r="F1785" i="4"/>
  <c r="G1785" i="4" s="1"/>
  <c r="G1794" i="4"/>
  <c r="F1801" i="4"/>
  <c r="G1801" i="4" s="1"/>
  <c r="G1810" i="4"/>
  <c r="F1817" i="4"/>
  <c r="G1817" i="4" s="1"/>
  <c r="G1826" i="4"/>
  <c r="F1833" i="4"/>
  <c r="G1833" i="4" s="1"/>
  <c r="G1842" i="4"/>
  <c r="F1849" i="4"/>
  <c r="G1849" i="4" s="1"/>
  <c r="G1858" i="4"/>
  <c r="F1865" i="4"/>
  <c r="G1865" i="4" s="1"/>
  <c r="G1874" i="4"/>
  <c r="F1881" i="4"/>
  <c r="G1881" i="4" s="1"/>
  <c r="G1890" i="4"/>
  <c r="F1897" i="4"/>
  <c r="G1897" i="4" s="1"/>
  <c r="G1906" i="4"/>
  <c r="F1913" i="4"/>
  <c r="G1913" i="4" s="1"/>
  <c r="G1922" i="4"/>
  <c r="F1929" i="4"/>
  <c r="G1929" i="4" s="1"/>
  <c r="G1938" i="4"/>
  <c r="F1945" i="4"/>
  <c r="G1945" i="4" s="1"/>
  <c r="G1954" i="4"/>
  <c r="G1956" i="4"/>
  <c r="G1958" i="4"/>
  <c r="G1960" i="4"/>
  <c r="G1962" i="4"/>
  <c r="G1964" i="4"/>
  <c r="G1966" i="4"/>
  <c r="D1975" i="4"/>
  <c r="G1980" i="4"/>
  <c r="G1982" i="4"/>
  <c r="D1991" i="4"/>
  <c r="G1996" i="4"/>
  <c r="G1998" i="4"/>
  <c r="D2007" i="4"/>
  <c r="G685" i="4"/>
  <c r="G700" i="4"/>
  <c r="G736" i="4"/>
  <c r="G768" i="4"/>
  <c r="G800" i="4"/>
  <c r="G832" i="4"/>
  <c r="G864" i="4"/>
  <c r="G896" i="4"/>
  <c r="G928" i="4"/>
  <c r="G960" i="4"/>
  <c r="G992" i="4"/>
  <c r="G1024" i="4"/>
  <c r="D1075" i="4"/>
  <c r="D1091" i="4"/>
  <c r="D1107" i="4"/>
  <c r="D1123" i="4"/>
  <c r="D1139" i="4"/>
  <c r="D1155" i="4"/>
  <c r="D1171" i="4"/>
  <c r="D1187" i="4"/>
  <c r="D1203" i="4"/>
  <c r="D1219" i="4"/>
  <c r="D1235" i="4"/>
  <c r="D1251" i="4"/>
  <c r="D1267" i="4"/>
  <c r="D1283" i="4"/>
  <c r="D1299" i="4"/>
  <c r="D1315" i="4"/>
  <c r="D1331" i="4"/>
  <c r="D1347" i="4"/>
  <c r="D1363" i="4"/>
  <c r="D1379" i="4"/>
  <c r="D1395" i="4"/>
  <c r="D1411" i="4"/>
  <c r="D1427" i="4"/>
  <c r="D1443" i="4"/>
  <c r="D1459" i="4"/>
  <c r="D1475" i="4"/>
  <c r="D1491" i="4"/>
  <c r="D1507" i="4"/>
  <c r="D1523" i="4"/>
  <c r="D1539" i="4"/>
  <c r="D1555" i="4"/>
  <c r="D1571" i="4"/>
  <c r="D1587" i="4"/>
  <c r="D1603" i="4"/>
  <c r="D1619" i="4"/>
  <c r="D1635" i="4"/>
  <c r="D1651" i="4"/>
  <c r="D1667" i="4"/>
  <c r="D1683" i="4"/>
  <c r="D1699" i="4"/>
  <c r="D1715" i="4"/>
  <c r="D1731" i="4"/>
  <c r="D1747" i="4"/>
  <c r="D1763" i="4"/>
  <c r="D1779" i="4"/>
  <c r="D1795" i="4"/>
  <c r="D1811" i="4"/>
  <c r="D1827" i="4"/>
  <c r="D1843" i="4"/>
  <c r="D1859" i="4"/>
  <c r="D1875" i="4"/>
  <c r="D1891" i="4"/>
  <c r="D1907" i="4"/>
  <c r="D1923" i="4"/>
  <c r="D1939" i="4"/>
  <c r="F1972" i="4"/>
  <c r="D1973" i="4"/>
  <c r="F1978" i="4"/>
  <c r="G1978" i="4" s="1"/>
  <c r="F1988" i="4"/>
  <c r="D1989" i="4"/>
  <c r="F1994" i="4"/>
  <c r="G1994" i="4" s="1"/>
  <c r="F2004" i="4"/>
  <c r="D2005" i="4"/>
  <c r="F2010" i="4"/>
  <c r="G2010" i="4" s="1"/>
  <c r="D1043" i="4"/>
  <c r="D1059" i="4"/>
  <c r="G1066" i="4"/>
  <c r="F1073" i="4"/>
  <c r="G1073" i="4" s="1"/>
  <c r="G1082" i="4"/>
  <c r="F1089" i="4"/>
  <c r="G1089" i="4" s="1"/>
  <c r="G1098" i="4"/>
  <c r="F1105" i="4"/>
  <c r="G1105" i="4" s="1"/>
  <c r="G1114" i="4"/>
  <c r="F1121" i="4"/>
  <c r="G1121" i="4" s="1"/>
  <c r="G1130" i="4"/>
  <c r="F1137" i="4"/>
  <c r="G1137" i="4" s="1"/>
  <c r="G1146" i="4"/>
  <c r="F1153" i="4"/>
  <c r="G1153" i="4" s="1"/>
  <c r="G1162" i="4"/>
  <c r="F1169" i="4"/>
  <c r="G1169" i="4" s="1"/>
  <c r="G1178" i="4"/>
  <c r="F1185" i="4"/>
  <c r="G1185" i="4" s="1"/>
  <c r="G1194" i="4"/>
  <c r="F1201" i="4"/>
  <c r="G1201" i="4" s="1"/>
  <c r="G1210" i="4"/>
  <c r="F1217" i="4"/>
  <c r="G1217" i="4" s="1"/>
  <c r="G1226" i="4"/>
  <c r="F1233" i="4"/>
  <c r="G1233" i="4" s="1"/>
  <c r="G1242" i="4"/>
  <c r="F1249" i="4"/>
  <c r="G1249" i="4" s="1"/>
  <c r="G1258" i="4"/>
  <c r="F1265" i="4"/>
  <c r="G1265" i="4" s="1"/>
  <c r="G1274" i="4"/>
  <c r="F1281" i="4"/>
  <c r="G1281" i="4" s="1"/>
  <c r="G1290" i="4"/>
  <c r="F1297" i="4"/>
  <c r="G1297" i="4" s="1"/>
  <c r="G1306" i="4"/>
  <c r="F1313" i="4"/>
  <c r="G1313" i="4" s="1"/>
  <c r="G1322" i="4"/>
  <c r="F1329" i="4"/>
  <c r="G1329" i="4" s="1"/>
  <c r="G1338" i="4"/>
  <c r="F1345" i="4"/>
  <c r="G1345" i="4" s="1"/>
  <c r="G1354" i="4"/>
  <c r="F1361" i="4"/>
  <c r="G1361" i="4" s="1"/>
  <c r="G1370" i="4"/>
  <c r="F1377" i="4"/>
  <c r="G1377" i="4" s="1"/>
  <c r="G1386" i="4"/>
  <c r="F1393" i="4"/>
  <c r="G1393" i="4" s="1"/>
  <c r="G1402" i="4"/>
  <c r="F1409" i="4"/>
  <c r="G1409" i="4" s="1"/>
  <c r="G1418" i="4"/>
  <c r="F1425" i="4"/>
  <c r="G1425" i="4" s="1"/>
  <c r="G1434" i="4"/>
  <c r="F1441" i="4"/>
  <c r="G1441" i="4" s="1"/>
  <c r="G1450" i="4"/>
  <c r="F1457" i="4"/>
  <c r="G1457" i="4" s="1"/>
  <c r="G1466" i="4"/>
  <c r="F1473" i="4"/>
  <c r="G1473" i="4" s="1"/>
  <c r="G1482" i="4"/>
  <c r="F1489" i="4"/>
  <c r="G1489" i="4" s="1"/>
  <c r="G1498" i="4"/>
  <c r="F1505" i="4"/>
  <c r="G1505" i="4" s="1"/>
  <c r="G1514" i="4"/>
  <c r="F1521" i="4"/>
  <c r="G1521" i="4" s="1"/>
  <c r="G1530" i="4"/>
  <c r="F1537" i="4"/>
  <c r="G1537" i="4" s="1"/>
  <c r="G1546" i="4"/>
  <c r="F1553" i="4"/>
  <c r="G1553" i="4" s="1"/>
  <c r="G1562" i="4"/>
  <c r="F1569" i="4"/>
  <c r="G1569" i="4" s="1"/>
  <c r="G1578" i="4"/>
  <c r="F1585" i="4"/>
  <c r="G1585" i="4" s="1"/>
  <c r="G1594" i="4"/>
  <c r="F1601" i="4"/>
  <c r="G1601" i="4" s="1"/>
  <c r="G1610" i="4"/>
  <c r="F1617" i="4"/>
  <c r="G1617" i="4" s="1"/>
  <c r="G1626" i="4"/>
  <c r="F1633" i="4"/>
  <c r="G1633" i="4" s="1"/>
  <c r="G1642" i="4"/>
  <c r="F1649" i="4"/>
  <c r="G1649" i="4" s="1"/>
  <c r="G1658" i="4"/>
  <c r="F1665" i="4"/>
  <c r="G1665" i="4" s="1"/>
  <c r="G1674" i="4"/>
  <c r="F1681" i="4"/>
  <c r="G1681" i="4" s="1"/>
  <c r="G1690" i="4"/>
  <c r="F1697" i="4"/>
  <c r="G1697" i="4" s="1"/>
  <c r="G1706" i="4"/>
  <c r="F1713" i="4"/>
  <c r="G1713" i="4" s="1"/>
  <c r="G1722" i="4"/>
  <c r="F1729" i="4"/>
  <c r="G1729" i="4" s="1"/>
  <c r="G1738" i="4"/>
  <c r="F1745" i="4"/>
  <c r="G1745" i="4" s="1"/>
  <c r="G1754" i="4"/>
  <c r="F1761" i="4"/>
  <c r="G1761" i="4" s="1"/>
  <c r="G1770" i="4"/>
  <c r="F1777" i="4"/>
  <c r="G1777" i="4" s="1"/>
  <c r="G1786" i="4"/>
  <c r="F1793" i="4"/>
  <c r="G1793" i="4" s="1"/>
  <c r="G1802" i="4"/>
  <c r="F1809" i="4"/>
  <c r="G1809" i="4" s="1"/>
  <c r="G1818" i="4"/>
  <c r="F1825" i="4"/>
  <c r="G1825" i="4" s="1"/>
  <c r="G1834" i="4"/>
  <c r="F1841" i="4"/>
  <c r="G1841" i="4" s="1"/>
  <c r="G1850" i="4"/>
  <c r="F1857" i="4"/>
  <c r="G1857" i="4" s="1"/>
  <c r="G1866" i="4"/>
  <c r="F1873" i="4"/>
  <c r="G1873" i="4" s="1"/>
  <c r="G1882" i="4"/>
  <c r="F1889" i="4"/>
  <c r="G1889" i="4" s="1"/>
  <c r="G1898" i="4"/>
  <c r="F1905" i="4"/>
  <c r="G1905" i="4" s="1"/>
  <c r="G1914" i="4"/>
  <c r="F1921" i="4"/>
  <c r="G1921" i="4" s="1"/>
  <c r="G1930" i="4"/>
  <c r="F1937" i="4"/>
  <c r="G1937" i="4" s="1"/>
  <c r="G1946" i="4"/>
  <c r="F1953" i="4"/>
  <c r="G1953" i="4" s="1"/>
  <c r="D1967" i="4"/>
  <c r="G1972" i="4"/>
  <c r="G1974" i="4"/>
  <c r="D1983" i="4"/>
  <c r="G1988" i="4"/>
  <c r="G1990" i="4"/>
  <c r="D1999" i="4"/>
  <c r="G2004" i="4"/>
  <c r="G2006" i="4"/>
  <c r="I175" i="4"/>
  <c r="I179" i="4"/>
  <c r="I183" i="4"/>
  <c r="I187" i="4"/>
  <c r="I191" i="4"/>
  <c r="I195" i="4"/>
  <c r="I199" i="4"/>
  <c r="I203" i="4"/>
  <c r="I207" i="4"/>
  <c r="I211" i="4"/>
  <c r="I215" i="4"/>
  <c r="I219" i="4"/>
  <c r="I223" i="4"/>
  <c r="I227" i="4"/>
  <c r="I231" i="4"/>
  <c r="I235" i="4"/>
  <c r="I239" i="4"/>
  <c r="I243" i="4"/>
  <c r="I247" i="4"/>
  <c r="I251" i="4"/>
  <c r="I255" i="4"/>
  <c r="I259" i="4"/>
  <c r="I263" i="4"/>
  <c r="I267" i="4"/>
  <c r="I271" i="4"/>
  <c r="I275" i="4"/>
  <c r="I279" i="4"/>
  <c r="I283" i="4"/>
  <c r="I287" i="4"/>
  <c r="I291" i="4"/>
  <c r="I295" i="4"/>
  <c r="I299" i="4"/>
  <c r="I303" i="4"/>
  <c r="I307" i="4"/>
  <c r="I311" i="4"/>
  <c r="I315" i="4"/>
  <c r="I319" i="4"/>
  <c r="I323" i="4"/>
  <c r="I327" i="4"/>
  <c r="I331" i="4"/>
  <c r="I335" i="4"/>
  <c r="I339" i="4"/>
  <c r="I343" i="4"/>
  <c r="I347" i="4"/>
  <c r="I351" i="4"/>
  <c r="I355" i="4"/>
  <c r="I359" i="4"/>
  <c r="I363" i="4"/>
  <c r="I367" i="4"/>
  <c r="I371" i="4"/>
  <c r="I375" i="4"/>
  <c r="I379" i="4"/>
  <c r="I383" i="4"/>
  <c r="I387" i="4"/>
  <c r="I391" i="4"/>
  <c r="I395" i="4"/>
  <c r="I399" i="4"/>
  <c r="I403" i="4"/>
  <c r="I407" i="4"/>
  <c r="I411" i="4"/>
  <c r="I415" i="4"/>
  <c r="I419" i="4"/>
  <c r="I423" i="4"/>
  <c r="I427" i="4"/>
  <c r="I431" i="4"/>
  <c r="I435" i="4"/>
  <c r="I439" i="4"/>
  <c r="I443" i="4"/>
  <c r="I447" i="4"/>
  <c r="I451" i="4"/>
  <c r="I455" i="4"/>
  <c r="I459" i="4"/>
  <c r="I463" i="4"/>
  <c r="I467" i="4"/>
  <c r="I471" i="4"/>
  <c r="I475" i="4"/>
  <c r="I479" i="4"/>
  <c r="I483" i="4"/>
  <c r="I487" i="4"/>
  <c r="I491" i="4"/>
  <c r="I495" i="4"/>
  <c r="I499" i="4"/>
  <c r="I503" i="4"/>
  <c r="I507" i="4"/>
  <c r="I511" i="4"/>
  <c r="I515" i="4"/>
  <c r="I519" i="4"/>
  <c r="I523" i="4"/>
  <c r="I527" i="4"/>
  <c r="I531" i="4"/>
  <c r="I535" i="4"/>
  <c r="I539" i="4"/>
  <c r="I543" i="4"/>
  <c r="I547" i="4"/>
  <c r="I551" i="4"/>
  <c r="I555" i="4"/>
  <c r="I559" i="4"/>
  <c r="I563" i="4"/>
  <c r="I567" i="4"/>
  <c r="I571" i="4"/>
  <c r="I575" i="4"/>
  <c r="I579" i="4"/>
  <c r="I583" i="4"/>
  <c r="I587" i="4"/>
  <c r="I591" i="4"/>
  <c r="I595" i="4"/>
  <c r="I599" i="4"/>
  <c r="I603" i="4"/>
  <c r="I607" i="4"/>
  <c r="I611" i="4"/>
  <c r="I615" i="4"/>
  <c r="I619" i="4"/>
  <c r="I623" i="4"/>
  <c r="I627" i="4"/>
  <c r="I631" i="4"/>
  <c r="I635" i="4"/>
  <c r="I639" i="4"/>
  <c r="I643" i="4"/>
  <c r="I647" i="4"/>
  <c r="I651" i="4"/>
  <c r="I655" i="4"/>
  <c r="I659" i="4"/>
  <c r="I663" i="4"/>
  <c r="I667" i="4"/>
  <c r="I671" i="4"/>
  <c r="I675" i="4"/>
  <c r="I679" i="4"/>
  <c r="I176" i="4"/>
  <c r="I180" i="4"/>
  <c r="I184" i="4"/>
  <c r="I188" i="4"/>
  <c r="I192" i="4"/>
  <c r="I196" i="4"/>
  <c r="I200" i="4"/>
  <c r="I204" i="4"/>
  <c r="I208" i="4"/>
  <c r="I212" i="4"/>
  <c r="I216" i="4"/>
  <c r="I220" i="4"/>
  <c r="I224" i="4"/>
  <c r="I228" i="4"/>
  <c r="I232" i="4"/>
  <c r="I236" i="4"/>
  <c r="I240" i="4"/>
  <c r="I244" i="4"/>
  <c r="I248" i="4"/>
  <c r="I252" i="4"/>
  <c r="I256" i="4"/>
  <c r="I260" i="4"/>
  <c r="I264" i="4"/>
  <c r="I268" i="4"/>
  <c r="I272" i="4"/>
  <c r="I276" i="4"/>
  <c r="I280" i="4"/>
  <c r="I284" i="4"/>
  <c r="I288" i="4"/>
  <c r="I292" i="4"/>
  <c r="I296" i="4"/>
  <c r="I300" i="4"/>
  <c r="I304" i="4"/>
  <c r="I308" i="4"/>
  <c r="I312" i="4"/>
  <c r="I316" i="4"/>
  <c r="I320" i="4"/>
  <c r="I324" i="4"/>
  <c r="I328" i="4"/>
  <c r="I332" i="4"/>
  <c r="I336" i="4"/>
  <c r="I340" i="4"/>
  <c r="I344" i="4"/>
  <c r="I348" i="4"/>
  <c r="I352" i="4"/>
  <c r="I356" i="4"/>
  <c r="I360" i="4"/>
  <c r="I364" i="4"/>
  <c r="I368" i="4"/>
  <c r="I372" i="4"/>
  <c r="I376" i="4"/>
  <c r="I380" i="4"/>
  <c r="I384" i="4"/>
  <c r="I388" i="4"/>
  <c r="I392" i="4"/>
  <c r="I396" i="4"/>
  <c r="I400" i="4"/>
  <c r="I404" i="4"/>
  <c r="I408" i="4"/>
  <c r="I412" i="4"/>
  <c r="I416" i="4"/>
  <c r="I420" i="4"/>
  <c r="I424" i="4"/>
  <c r="I428" i="4"/>
  <c r="I432" i="4"/>
  <c r="I436" i="4"/>
  <c r="I440" i="4"/>
  <c r="I444" i="4"/>
  <c r="I448" i="4"/>
  <c r="I452" i="4"/>
  <c r="I456" i="4"/>
  <c r="I460" i="4"/>
  <c r="I464" i="4"/>
  <c r="I468" i="4"/>
  <c r="I472" i="4"/>
  <c r="I476" i="4"/>
  <c r="I480" i="4"/>
  <c r="I484" i="4"/>
  <c r="I488" i="4"/>
  <c r="I492" i="4"/>
  <c r="I496" i="4"/>
  <c r="I500" i="4"/>
  <c r="I504" i="4"/>
  <c r="I508" i="4"/>
  <c r="I512" i="4"/>
  <c r="I516" i="4"/>
  <c r="I520" i="4"/>
  <c r="I524" i="4"/>
  <c r="I528" i="4"/>
  <c r="I532" i="4"/>
  <c r="I536" i="4"/>
  <c r="I540" i="4"/>
  <c r="I544" i="4"/>
  <c r="I548" i="4"/>
  <c r="I552" i="4"/>
  <c r="I556" i="4"/>
  <c r="I560" i="4"/>
  <c r="I564" i="4"/>
  <c r="I568" i="4"/>
  <c r="I572" i="4"/>
  <c r="I576" i="4"/>
  <c r="I580" i="4"/>
  <c r="I584" i="4"/>
  <c r="I588" i="4"/>
  <c r="I592" i="4"/>
  <c r="I596" i="4"/>
  <c r="I600" i="4"/>
  <c r="I604" i="4"/>
  <c r="I608" i="4"/>
  <c r="I612" i="4"/>
  <c r="I616" i="4"/>
  <c r="I620" i="4"/>
  <c r="I624" i="4"/>
  <c r="I628" i="4"/>
  <c r="I177" i="4"/>
  <c r="I185" i="4"/>
  <c r="I193" i="4"/>
  <c r="I201" i="4"/>
  <c r="I209" i="4"/>
  <c r="I217" i="4"/>
  <c r="I225" i="4"/>
  <c r="I233" i="4"/>
  <c r="I241" i="4"/>
  <c r="I249" i="4"/>
  <c r="I257" i="4"/>
  <c r="I265" i="4"/>
  <c r="I273" i="4"/>
  <c r="I281" i="4"/>
  <c r="I289" i="4"/>
  <c r="I297" i="4"/>
  <c r="I305" i="4"/>
  <c r="I313" i="4"/>
  <c r="I321" i="4"/>
  <c r="I329" i="4"/>
  <c r="I337" i="4"/>
  <c r="I345" i="4"/>
  <c r="I353" i="4"/>
  <c r="I361" i="4"/>
  <c r="I369" i="4"/>
  <c r="I377" i="4"/>
  <c r="I385" i="4"/>
  <c r="I393" i="4"/>
  <c r="I401" i="4"/>
  <c r="I409" i="4"/>
  <c r="I417" i="4"/>
  <c r="I425" i="4"/>
  <c r="I433" i="4"/>
  <c r="I441" i="4"/>
  <c r="I449" i="4"/>
  <c r="I457" i="4"/>
  <c r="I465" i="4"/>
  <c r="I473" i="4"/>
  <c r="I481" i="4"/>
  <c r="I489" i="4"/>
  <c r="I497" i="4"/>
  <c r="I505" i="4"/>
  <c r="I513" i="4"/>
  <c r="I521" i="4"/>
  <c r="I529" i="4"/>
  <c r="I537" i="4"/>
  <c r="I545" i="4"/>
  <c r="I553" i="4"/>
  <c r="I561" i="4"/>
  <c r="I569" i="4"/>
  <c r="I577" i="4"/>
  <c r="I585" i="4"/>
  <c r="I593" i="4"/>
  <c r="I601" i="4"/>
  <c r="I609" i="4"/>
  <c r="I617" i="4"/>
  <c r="I625" i="4"/>
  <c r="I632" i="4"/>
  <c r="I637" i="4"/>
  <c r="I642" i="4"/>
  <c r="I648" i="4"/>
  <c r="I653" i="4"/>
  <c r="I658" i="4"/>
  <c r="I664" i="4"/>
  <c r="I669" i="4"/>
  <c r="I674" i="4"/>
  <c r="I680" i="4"/>
  <c r="I684" i="4"/>
  <c r="I688" i="4"/>
  <c r="I692" i="4"/>
  <c r="I696" i="4"/>
  <c r="I700" i="4"/>
  <c r="I704" i="4"/>
  <c r="I708" i="4"/>
  <c r="I712" i="4"/>
  <c r="I716" i="4"/>
  <c r="I720" i="4"/>
  <c r="I724" i="4"/>
  <c r="I728" i="4"/>
  <c r="I732" i="4"/>
  <c r="I736" i="4"/>
  <c r="I740" i="4"/>
  <c r="I744" i="4"/>
  <c r="I748" i="4"/>
  <c r="I752" i="4"/>
  <c r="I756" i="4"/>
  <c r="I760" i="4"/>
  <c r="I178" i="4"/>
  <c r="I186" i="4"/>
  <c r="I194" i="4"/>
  <c r="I202" i="4"/>
  <c r="I210" i="4"/>
  <c r="I218" i="4"/>
  <c r="I226" i="4"/>
  <c r="I234" i="4"/>
  <c r="I242" i="4"/>
  <c r="I250" i="4"/>
  <c r="I258" i="4"/>
  <c r="I266" i="4"/>
  <c r="I274" i="4"/>
  <c r="I282" i="4"/>
  <c r="I290" i="4"/>
  <c r="I298" i="4"/>
  <c r="I306" i="4"/>
  <c r="I314" i="4"/>
  <c r="I322" i="4"/>
  <c r="I330" i="4"/>
  <c r="I338" i="4"/>
  <c r="I346" i="4"/>
  <c r="I354" i="4"/>
  <c r="I362" i="4"/>
  <c r="I370" i="4"/>
  <c r="I378" i="4"/>
  <c r="I386" i="4"/>
  <c r="I394" i="4"/>
  <c r="I402" i="4"/>
  <c r="I410" i="4"/>
  <c r="I418" i="4"/>
  <c r="I426" i="4"/>
  <c r="I434" i="4"/>
  <c r="I442" i="4"/>
  <c r="I450" i="4"/>
  <c r="I458" i="4"/>
  <c r="I466" i="4"/>
  <c r="I474" i="4"/>
  <c r="I482" i="4"/>
  <c r="I490" i="4"/>
  <c r="I498" i="4"/>
  <c r="I506" i="4"/>
  <c r="I514" i="4"/>
  <c r="I522" i="4"/>
  <c r="I530" i="4"/>
  <c r="I538" i="4"/>
  <c r="I546" i="4"/>
  <c r="I554" i="4"/>
  <c r="I562" i="4"/>
  <c r="I570" i="4"/>
  <c r="I578" i="4"/>
  <c r="I586" i="4"/>
  <c r="I594" i="4"/>
  <c r="I602" i="4"/>
  <c r="I610" i="4"/>
  <c r="I618" i="4"/>
  <c r="I626" i="4"/>
  <c r="I633" i="4"/>
  <c r="I638" i="4"/>
  <c r="I644" i="4"/>
  <c r="I649" i="4"/>
  <c r="I654" i="4"/>
  <c r="I660" i="4"/>
  <c r="I665" i="4"/>
  <c r="I670" i="4"/>
  <c r="I676" i="4"/>
  <c r="I681" i="4"/>
  <c r="I685" i="4"/>
  <c r="I689" i="4"/>
  <c r="I693" i="4"/>
  <c r="I697" i="4"/>
  <c r="I701" i="4"/>
  <c r="I705" i="4"/>
  <c r="I709" i="4"/>
  <c r="I713" i="4"/>
  <c r="I717" i="4"/>
  <c r="I721" i="4"/>
  <c r="I725" i="4"/>
  <c r="I729" i="4"/>
  <c r="I733" i="4"/>
  <c r="I737" i="4"/>
  <c r="I741" i="4"/>
  <c r="I745" i="4"/>
  <c r="I749" i="4"/>
  <c r="I753" i="4"/>
  <c r="I757" i="4"/>
  <c r="I761" i="4"/>
  <c r="I765" i="4"/>
  <c r="I769" i="4"/>
  <c r="I773" i="4"/>
  <c r="I777" i="4"/>
  <c r="I781" i="4"/>
  <c r="I785" i="4"/>
  <c r="I789" i="4"/>
  <c r="I793" i="4"/>
  <c r="I797" i="4"/>
  <c r="I801" i="4"/>
  <c r="I805" i="4"/>
  <c r="I809" i="4"/>
  <c r="I813" i="4"/>
  <c r="I817" i="4"/>
  <c r="I821" i="4"/>
  <c r="I825" i="4"/>
  <c r="I829" i="4"/>
  <c r="I833" i="4"/>
  <c r="I837" i="4"/>
  <c r="I841" i="4"/>
  <c r="I845" i="4"/>
  <c r="I849" i="4"/>
  <c r="I853" i="4"/>
  <c r="I857" i="4"/>
  <c r="I861" i="4"/>
  <c r="I865" i="4"/>
  <c r="I869" i="4"/>
  <c r="I873" i="4"/>
  <c r="I877" i="4"/>
  <c r="I881" i="4"/>
  <c r="I885" i="4"/>
  <c r="I889" i="4"/>
  <c r="I893" i="4"/>
  <c r="I897" i="4"/>
  <c r="I901" i="4"/>
  <c r="I905" i="4"/>
  <c r="I909" i="4"/>
  <c r="I913" i="4"/>
  <c r="I917" i="4"/>
  <c r="I921" i="4"/>
  <c r="I181" i="4"/>
  <c r="I197" i="4"/>
  <c r="I213" i="4"/>
  <c r="I229" i="4"/>
  <c r="I245" i="4"/>
  <c r="I261" i="4"/>
  <c r="I277" i="4"/>
  <c r="I293" i="4"/>
  <c r="I309" i="4"/>
  <c r="I325" i="4"/>
  <c r="I341" i="4"/>
  <c r="I357" i="4"/>
  <c r="I373" i="4"/>
  <c r="I389" i="4"/>
  <c r="I405" i="4"/>
  <c r="I421" i="4"/>
  <c r="I437" i="4"/>
  <c r="I453" i="4"/>
  <c r="I469" i="4"/>
  <c r="I485" i="4"/>
  <c r="I501" i="4"/>
  <c r="I517" i="4"/>
  <c r="I533" i="4"/>
  <c r="I549" i="4"/>
  <c r="I565" i="4"/>
  <c r="I581" i="4"/>
  <c r="I597" i="4"/>
  <c r="I613" i="4"/>
  <c r="I629" i="4"/>
  <c r="I640" i="4"/>
  <c r="I650" i="4"/>
  <c r="I661" i="4"/>
  <c r="I672" i="4"/>
  <c r="I682" i="4"/>
  <c r="I690" i="4"/>
  <c r="I698" i="4"/>
  <c r="I706" i="4"/>
  <c r="I714" i="4"/>
  <c r="I722" i="4"/>
  <c r="I730" i="4"/>
  <c r="I738" i="4"/>
  <c r="I746" i="4"/>
  <c r="I754" i="4"/>
  <c r="I762" i="4"/>
  <c r="I767" i="4"/>
  <c r="I772" i="4"/>
  <c r="I778" i="4"/>
  <c r="I783" i="4"/>
  <c r="I788" i="4"/>
  <c r="I794" i="4"/>
  <c r="I799" i="4"/>
  <c r="I804" i="4"/>
  <c r="I810" i="4"/>
  <c r="I815" i="4"/>
  <c r="I820" i="4"/>
  <c r="I826" i="4"/>
  <c r="I831" i="4"/>
  <c r="I836" i="4"/>
  <c r="I842" i="4"/>
  <c r="I847" i="4"/>
  <c r="I852" i="4"/>
  <c r="I858" i="4"/>
  <c r="I863" i="4"/>
  <c r="I868" i="4"/>
  <c r="I874" i="4"/>
  <c r="I879" i="4"/>
  <c r="I884" i="4"/>
  <c r="I890" i="4"/>
  <c r="I895" i="4"/>
  <c r="I900" i="4"/>
  <c r="I906" i="4"/>
  <c r="I911" i="4"/>
  <c r="I916" i="4"/>
  <c r="I922" i="4"/>
  <c r="I926" i="4"/>
  <c r="I930" i="4"/>
  <c r="I934" i="4"/>
  <c r="I938" i="4"/>
  <c r="I190" i="4"/>
  <c r="I206" i="4"/>
  <c r="I222" i="4"/>
  <c r="I238" i="4"/>
  <c r="I254" i="4"/>
  <c r="I270" i="4"/>
  <c r="I286" i="4"/>
  <c r="I302" i="4"/>
  <c r="I318" i="4"/>
  <c r="I334" i="4"/>
  <c r="I350" i="4"/>
  <c r="I366" i="4"/>
  <c r="I382" i="4"/>
  <c r="I398" i="4"/>
  <c r="I414" i="4"/>
  <c r="I430" i="4"/>
  <c r="I446" i="4"/>
  <c r="I462" i="4"/>
  <c r="I478" i="4"/>
  <c r="I494" i="4"/>
  <c r="I510" i="4"/>
  <c r="I526" i="4"/>
  <c r="I542" i="4"/>
  <c r="I558" i="4"/>
  <c r="I574" i="4"/>
  <c r="I590" i="4"/>
  <c r="I606" i="4"/>
  <c r="I622" i="4"/>
  <c r="I636" i="4"/>
  <c r="I646" i="4"/>
  <c r="I657" i="4"/>
  <c r="I668" i="4"/>
  <c r="I678" i="4"/>
  <c r="I687" i="4"/>
  <c r="I695" i="4"/>
  <c r="I703" i="4"/>
  <c r="I711" i="4"/>
  <c r="I719" i="4"/>
  <c r="I727" i="4"/>
  <c r="I735" i="4"/>
  <c r="I743" i="4"/>
  <c r="I751" i="4"/>
  <c r="I759" i="4"/>
  <c r="I766" i="4"/>
  <c r="I771" i="4"/>
  <c r="I776" i="4"/>
  <c r="I782" i="4"/>
  <c r="I787" i="4"/>
  <c r="I792" i="4"/>
  <c r="I798" i="4"/>
  <c r="I803" i="4"/>
  <c r="I808" i="4"/>
  <c r="I814" i="4"/>
  <c r="I819" i="4"/>
  <c r="I824" i="4"/>
  <c r="I830" i="4"/>
  <c r="I835" i="4"/>
  <c r="I840" i="4"/>
  <c r="I846" i="4"/>
  <c r="I851" i="4"/>
  <c r="I856" i="4"/>
  <c r="I862" i="4"/>
  <c r="I867" i="4"/>
  <c r="I872" i="4"/>
  <c r="I878" i="4"/>
  <c r="I883" i="4"/>
  <c r="I888" i="4"/>
  <c r="I894" i="4"/>
  <c r="I899" i="4"/>
  <c r="I904" i="4"/>
  <c r="I910" i="4"/>
  <c r="I915" i="4"/>
  <c r="I920" i="4"/>
  <c r="I925" i="4"/>
  <c r="I929" i="4"/>
  <c r="I933" i="4"/>
  <c r="I937" i="4"/>
  <c r="I941" i="4"/>
  <c r="I945" i="4"/>
  <c r="I949" i="4"/>
  <c r="I953" i="4"/>
  <c r="I957" i="4"/>
  <c r="I961" i="4"/>
  <c r="I965" i="4"/>
  <c r="I969" i="4"/>
  <c r="I973" i="4"/>
  <c r="I977" i="4"/>
  <c r="I981" i="4"/>
  <c r="I985" i="4"/>
  <c r="I989" i="4"/>
  <c r="I993" i="4"/>
  <c r="I997" i="4"/>
  <c r="I1001" i="4"/>
  <c r="I1005" i="4"/>
  <c r="I1009" i="4"/>
  <c r="I1013" i="4"/>
  <c r="I1017" i="4"/>
  <c r="I1021" i="4"/>
  <c r="I1025" i="4"/>
  <c r="I1029" i="4"/>
  <c r="I1033" i="4"/>
  <c r="I1037" i="4"/>
  <c r="I1041" i="4"/>
  <c r="I1045" i="4"/>
  <c r="I1049" i="4"/>
  <c r="I1053" i="4"/>
  <c r="I1057" i="4"/>
  <c r="I1061" i="4"/>
  <c r="I1065" i="4"/>
  <c r="I1069" i="4"/>
  <c r="I1073" i="4"/>
  <c r="I1077" i="4"/>
  <c r="I1081" i="4"/>
  <c r="I1085" i="4"/>
  <c r="I1089" i="4"/>
  <c r="I1093" i="4"/>
  <c r="I1097" i="4"/>
  <c r="I1101" i="4"/>
  <c r="I1105" i="4"/>
  <c r="I1109" i="4"/>
  <c r="I1113" i="4"/>
  <c r="I1117" i="4"/>
  <c r="I1121" i="4"/>
  <c r="I1125" i="4"/>
  <c r="I1129" i="4"/>
  <c r="I1133" i="4"/>
  <c r="I1137" i="4"/>
  <c r="I182" i="4"/>
  <c r="I214" i="4"/>
  <c r="I246" i="4"/>
  <c r="I278" i="4"/>
  <c r="I310" i="4"/>
  <c r="I342" i="4"/>
  <c r="I374" i="4"/>
  <c r="I406" i="4"/>
  <c r="I438" i="4"/>
  <c r="I470" i="4"/>
  <c r="I502" i="4"/>
  <c r="I534" i="4"/>
  <c r="I566" i="4"/>
  <c r="I598" i="4"/>
  <c r="I630" i="4"/>
  <c r="I652" i="4"/>
  <c r="I673" i="4"/>
  <c r="I691" i="4"/>
  <c r="I707" i="4"/>
  <c r="I723" i="4"/>
  <c r="I739" i="4"/>
  <c r="I755" i="4"/>
  <c r="I768" i="4"/>
  <c r="I779" i="4"/>
  <c r="I790" i="4"/>
  <c r="I800" i="4"/>
  <c r="I811" i="4"/>
  <c r="I822" i="4"/>
  <c r="I832" i="4"/>
  <c r="I843" i="4"/>
  <c r="I854" i="4"/>
  <c r="I864" i="4"/>
  <c r="I875" i="4"/>
  <c r="I886" i="4"/>
  <c r="I896" i="4"/>
  <c r="I907" i="4"/>
  <c r="I918" i="4"/>
  <c r="I927" i="4"/>
  <c r="I935" i="4"/>
  <c r="I942" i="4"/>
  <c r="I947" i="4"/>
  <c r="I952" i="4"/>
  <c r="I958" i="4"/>
  <c r="I963" i="4"/>
  <c r="I968" i="4"/>
  <c r="I974" i="4"/>
  <c r="I979" i="4"/>
  <c r="I984" i="4"/>
  <c r="I990" i="4"/>
  <c r="I995" i="4"/>
  <c r="I1000" i="4"/>
  <c r="I1006" i="4"/>
  <c r="I1011" i="4"/>
  <c r="I1016" i="4"/>
  <c r="I1022" i="4"/>
  <c r="I1027" i="4"/>
  <c r="I1032" i="4"/>
  <c r="I1038" i="4"/>
  <c r="I1043" i="4"/>
  <c r="I1048" i="4"/>
  <c r="I1054" i="4"/>
  <c r="I1059" i="4"/>
  <c r="I1064" i="4"/>
  <c r="I1070" i="4"/>
  <c r="I1075" i="4"/>
  <c r="I1080" i="4"/>
  <c r="I1086" i="4"/>
  <c r="I1091" i="4"/>
  <c r="I1096" i="4"/>
  <c r="I1102" i="4"/>
  <c r="I1107" i="4"/>
  <c r="I1112" i="4"/>
  <c r="I1118" i="4"/>
  <c r="I1123" i="4"/>
  <c r="I1128" i="4"/>
  <c r="I1134" i="4"/>
  <c r="I1139" i="4"/>
  <c r="I1143" i="4"/>
  <c r="I1147" i="4"/>
  <c r="I1151" i="4"/>
  <c r="I1155" i="4"/>
  <c r="I1159" i="4"/>
  <c r="I1163" i="4"/>
  <c r="I1167" i="4"/>
  <c r="I1171" i="4"/>
  <c r="I1175" i="4"/>
  <c r="I1179" i="4"/>
  <c r="I1183" i="4"/>
  <c r="I1187" i="4"/>
  <c r="I1191" i="4"/>
  <c r="I1195" i="4"/>
  <c r="I1199" i="4"/>
  <c r="I1203" i="4"/>
  <c r="I1207" i="4"/>
  <c r="I1211" i="4"/>
  <c r="I1215" i="4"/>
  <c r="I1219" i="4"/>
  <c r="I1223" i="4"/>
  <c r="I1227" i="4"/>
  <c r="I1231" i="4"/>
  <c r="I1235" i="4"/>
  <c r="I1239" i="4"/>
  <c r="I1243" i="4"/>
  <c r="I1247" i="4"/>
  <c r="I1251" i="4"/>
  <c r="I1255" i="4"/>
  <c r="I1259" i="4"/>
  <c r="I1263" i="4"/>
  <c r="I1267" i="4"/>
  <c r="I1271" i="4"/>
  <c r="I1275" i="4"/>
  <c r="I1279" i="4"/>
  <c r="I1283" i="4"/>
  <c r="I1287" i="4"/>
  <c r="I1291" i="4"/>
  <c r="I1295" i="4"/>
  <c r="I1299" i="4"/>
  <c r="I1303" i="4"/>
  <c r="I1307" i="4"/>
  <c r="I1311" i="4"/>
  <c r="I1315" i="4"/>
  <c r="I1319" i="4"/>
  <c r="I1323" i="4"/>
  <c r="I1327" i="4"/>
  <c r="I1331" i="4"/>
  <c r="I1335" i="4"/>
  <c r="I1339" i="4"/>
  <c r="I1343" i="4"/>
  <c r="I1347" i="4"/>
  <c r="I1351" i="4"/>
  <c r="I1355" i="4"/>
  <c r="I1359" i="4"/>
  <c r="I1363" i="4"/>
  <c r="I1367" i="4"/>
  <c r="I1371" i="4"/>
  <c r="I1375" i="4"/>
  <c r="I1379" i="4"/>
  <c r="I1383" i="4"/>
  <c r="I1387" i="4"/>
  <c r="I1391" i="4"/>
  <c r="I1395" i="4"/>
  <c r="I1399" i="4"/>
  <c r="I1403" i="4"/>
  <c r="I1407" i="4"/>
  <c r="I1411" i="4"/>
  <c r="I1415" i="4"/>
  <c r="I1419" i="4"/>
  <c r="I1423" i="4"/>
  <c r="I1427" i="4"/>
  <c r="I1431" i="4"/>
  <c r="I1435" i="4"/>
  <c r="I1439" i="4"/>
  <c r="I1443" i="4"/>
  <c r="I1447" i="4"/>
  <c r="I1451" i="4"/>
  <c r="I1455" i="4"/>
  <c r="I1459" i="4"/>
  <c r="I1463" i="4"/>
  <c r="I1467" i="4"/>
  <c r="I1471" i="4"/>
  <c r="I1475" i="4"/>
  <c r="I1479" i="4"/>
  <c r="I1483" i="4"/>
  <c r="I1487" i="4"/>
  <c r="I1491" i="4"/>
  <c r="I1495" i="4"/>
  <c r="I1499" i="4"/>
  <c r="I1503" i="4"/>
  <c r="I1507" i="4"/>
  <c r="I1511" i="4"/>
  <c r="I1515" i="4"/>
  <c r="I1519" i="4"/>
  <c r="I1523" i="4"/>
  <c r="I1527" i="4"/>
  <c r="I1531" i="4"/>
  <c r="I1535" i="4"/>
  <c r="I1539" i="4"/>
  <c r="I1543" i="4"/>
  <c r="I1547" i="4"/>
  <c r="I1551" i="4"/>
  <c r="I1555" i="4"/>
  <c r="I1559" i="4"/>
  <c r="I205" i="4"/>
  <c r="I237" i="4"/>
  <c r="I269" i="4"/>
  <c r="I301" i="4"/>
  <c r="I333" i="4"/>
  <c r="I365" i="4"/>
  <c r="I397" i="4"/>
  <c r="I429" i="4"/>
  <c r="I461" i="4"/>
  <c r="I493" i="4"/>
  <c r="I525" i="4"/>
  <c r="I557" i="4"/>
  <c r="I589" i="4"/>
  <c r="I621" i="4"/>
  <c r="I645" i="4"/>
  <c r="I666" i="4"/>
  <c r="I686" i="4"/>
  <c r="I702" i="4"/>
  <c r="I718" i="4"/>
  <c r="I734" i="4"/>
  <c r="I750" i="4"/>
  <c r="I764" i="4"/>
  <c r="I775" i="4"/>
  <c r="I786" i="4"/>
  <c r="I796" i="4"/>
  <c r="I807" i="4"/>
  <c r="I818" i="4"/>
  <c r="I828" i="4"/>
  <c r="I839" i="4"/>
  <c r="I850" i="4"/>
  <c r="I860" i="4"/>
  <c r="I871" i="4"/>
  <c r="I882" i="4"/>
  <c r="I892" i="4"/>
  <c r="I903" i="4"/>
  <c r="I914" i="4"/>
  <c r="I924" i="4"/>
  <c r="I932" i="4"/>
  <c r="I940" i="4"/>
  <c r="I946" i="4"/>
  <c r="I951" i="4"/>
  <c r="I956" i="4"/>
  <c r="I962" i="4"/>
  <c r="I967" i="4"/>
  <c r="I972" i="4"/>
  <c r="I978" i="4"/>
  <c r="I983" i="4"/>
  <c r="I988" i="4"/>
  <c r="I994" i="4"/>
  <c r="I999" i="4"/>
  <c r="I1004" i="4"/>
  <c r="I1010" i="4"/>
  <c r="I1015" i="4"/>
  <c r="I1020" i="4"/>
  <c r="I1026" i="4"/>
  <c r="I1031" i="4"/>
  <c r="I1036" i="4"/>
  <c r="I1042" i="4"/>
  <c r="I1047" i="4"/>
  <c r="I1052" i="4"/>
  <c r="I1058" i="4"/>
  <c r="I1063" i="4"/>
  <c r="I1068" i="4"/>
  <c r="I1074" i="4"/>
  <c r="I1079" i="4"/>
  <c r="I1084" i="4"/>
  <c r="I1090" i="4"/>
  <c r="I1095" i="4"/>
  <c r="I1100" i="4"/>
  <c r="I1106" i="4"/>
  <c r="I1111" i="4"/>
  <c r="I1116" i="4"/>
  <c r="I1122" i="4"/>
  <c r="I1127" i="4"/>
  <c r="I1132" i="4"/>
  <c r="I1138" i="4"/>
  <c r="I1142" i="4"/>
  <c r="I1146" i="4"/>
  <c r="I1150" i="4"/>
  <c r="I1154" i="4"/>
  <c r="I1158" i="4"/>
  <c r="I1162" i="4"/>
  <c r="I1166" i="4"/>
  <c r="I1170" i="4"/>
  <c r="I1174" i="4"/>
  <c r="I1178" i="4"/>
  <c r="I1182" i="4"/>
  <c r="I1186" i="4"/>
  <c r="I1190" i="4"/>
  <c r="I1194" i="4"/>
  <c r="I1198" i="4"/>
  <c r="I1202" i="4"/>
  <c r="I1206" i="4"/>
  <c r="I1210" i="4"/>
  <c r="I1214" i="4"/>
  <c r="I1218" i="4"/>
  <c r="I1222" i="4"/>
  <c r="I1226" i="4"/>
  <c r="I1230" i="4"/>
  <c r="I1234" i="4"/>
  <c r="I1238" i="4"/>
  <c r="I1242" i="4"/>
  <c r="I1246" i="4"/>
  <c r="I1250" i="4"/>
  <c r="I1254" i="4"/>
  <c r="I1258" i="4"/>
  <c r="I1262" i="4"/>
  <c r="I1266" i="4"/>
  <c r="I1270" i="4"/>
  <c r="I1274" i="4"/>
  <c r="I1278" i="4"/>
  <c r="I1282" i="4"/>
  <c r="I1286" i="4"/>
  <c r="I1290" i="4"/>
  <c r="I1294" i="4"/>
  <c r="I1298" i="4"/>
  <c r="I1302" i="4"/>
  <c r="I1306" i="4"/>
  <c r="I1310" i="4"/>
  <c r="I1314" i="4"/>
  <c r="I1318" i="4"/>
  <c r="I1322" i="4"/>
  <c r="I1326" i="4"/>
  <c r="I1330" i="4"/>
  <c r="I1334" i="4"/>
  <c r="I1338" i="4"/>
  <c r="I1342" i="4"/>
  <c r="I1346" i="4"/>
  <c r="I1350" i="4"/>
  <c r="I1354" i="4"/>
  <c r="I1358" i="4"/>
  <c r="I1362" i="4"/>
  <c r="I1366" i="4"/>
  <c r="I1370" i="4"/>
  <c r="I1374" i="4"/>
  <c r="I1378" i="4"/>
  <c r="I1382" i="4"/>
  <c r="I1386" i="4"/>
  <c r="I1390" i="4"/>
  <c r="I1394" i="4"/>
  <c r="I1398" i="4"/>
  <c r="I1402" i="4"/>
  <c r="I1406" i="4"/>
  <c r="I1410" i="4"/>
  <c r="I1414" i="4"/>
  <c r="I1418" i="4"/>
  <c r="I1422" i="4"/>
  <c r="I1426" i="4"/>
  <c r="I1430" i="4"/>
  <c r="I1434" i="4"/>
  <c r="I1438" i="4"/>
  <c r="I1442" i="4"/>
  <c r="I1446" i="4"/>
  <c r="I1450" i="4"/>
  <c r="I1454" i="4"/>
  <c r="I1458" i="4"/>
  <c r="I1462" i="4"/>
  <c r="I1466" i="4"/>
  <c r="I1470" i="4"/>
  <c r="I1474" i="4"/>
  <c r="I1478" i="4"/>
  <c r="I1482" i="4"/>
  <c r="I1486" i="4"/>
  <c r="I1490" i="4"/>
  <c r="I1494" i="4"/>
  <c r="I1498" i="4"/>
  <c r="I1502" i="4"/>
  <c r="I1506" i="4"/>
  <c r="I1510" i="4"/>
  <c r="I1514" i="4"/>
  <c r="I1518" i="4"/>
  <c r="I1522" i="4"/>
  <c r="I1526" i="4"/>
  <c r="I1530" i="4"/>
  <c r="I1534" i="4"/>
  <c r="I1538" i="4"/>
  <c r="I1542" i="4"/>
  <c r="I1546" i="4"/>
  <c r="I1550" i="4"/>
  <c r="I1554" i="4"/>
  <c r="I1558" i="4"/>
  <c r="I1562" i="4"/>
  <c r="I1566" i="4"/>
  <c r="I1570" i="4"/>
  <c r="I1574" i="4"/>
  <c r="I1578" i="4"/>
  <c r="I1582" i="4"/>
  <c r="I1586" i="4"/>
  <c r="I1590" i="4"/>
  <c r="I1594" i="4"/>
  <c r="I1598" i="4"/>
  <c r="I1602" i="4"/>
  <c r="I1606" i="4"/>
  <c r="I1610" i="4"/>
  <c r="I1614" i="4"/>
  <c r="I1618" i="4"/>
  <c r="I1622" i="4"/>
  <c r="I1626" i="4"/>
  <c r="I1630" i="4"/>
  <c r="I1634" i="4"/>
  <c r="I1638" i="4"/>
  <c r="I1642" i="4"/>
  <c r="I1646" i="4"/>
  <c r="I1650" i="4"/>
  <c r="I1654" i="4"/>
  <c r="I1658" i="4"/>
  <c r="I1662" i="4"/>
  <c r="I1666" i="4"/>
  <c r="I1670" i="4"/>
  <c r="I1674" i="4"/>
  <c r="I1678" i="4"/>
  <c r="I1682" i="4"/>
  <c r="I1686" i="4"/>
  <c r="I1690" i="4"/>
  <c r="I1694" i="4"/>
  <c r="I1698" i="4"/>
  <c r="I1702" i="4"/>
  <c r="I1706" i="4"/>
  <c r="I1710" i="4"/>
  <c r="I1714" i="4"/>
  <c r="I1718" i="4"/>
  <c r="I1722" i="4"/>
  <c r="I1726" i="4"/>
  <c r="I1730" i="4"/>
  <c r="I1734" i="4"/>
  <c r="I1738" i="4"/>
  <c r="I1742" i="4"/>
  <c r="I1746" i="4"/>
  <c r="I1750" i="4"/>
  <c r="I1754" i="4"/>
  <c r="I1758" i="4"/>
  <c r="I1762" i="4"/>
  <c r="I1766" i="4"/>
  <c r="I1770" i="4"/>
  <c r="I1774" i="4"/>
  <c r="I1778" i="4"/>
  <c r="I1782" i="4"/>
  <c r="I1786" i="4"/>
  <c r="I1790" i="4"/>
  <c r="I1794" i="4"/>
  <c r="I1798" i="4"/>
  <c r="I1802" i="4"/>
  <c r="I1806" i="4"/>
  <c r="I1810" i="4"/>
  <c r="I1814" i="4"/>
  <c r="I1818" i="4"/>
  <c r="I1822" i="4"/>
  <c r="I1826" i="4"/>
  <c r="I1830" i="4"/>
  <c r="I1834" i="4"/>
  <c r="I1838" i="4"/>
  <c r="I1842" i="4"/>
  <c r="I1846" i="4"/>
  <c r="I1850" i="4"/>
  <c r="I1854" i="4"/>
  <c r="I189" i="4"/>
  <c r="I253" i="4"/>
  <c r="I317" i="4"/>
  <c r="I381" i="4"/>
  <c r="I445" i="4"/>
  <c r="I509" i="4"/>
  <c r="I573" i="4"/>
  <c r="I634" i="4"/>
  <c r="I677" i="4"/>
  <c r="I710" i="4"/>
  <c r="I742" i="4"/>
  <c r="I770" i="4"/>
  <c r="I791" i="4"/>
  <c r="I812" i="4"/>
  <c r="I834" i="4"/>
  <c r="I855" i="4"/>
  <c r="I876" i="4"/>
  <c r="I898" i="4"/>
  <c r="I919" i="4"/>
  <c r="I936" i="4"/>
  <c r="I948" i="4"/>
  <c r="I959" i="4"/>
  <c r="I970" i="4"/>
  <c r="I980" i="4"/>
  <c r="I991" i="4"/>
  <c r="I1002" i="4"/>
  <c r="I1012" i="4"/>
  <c r="I1023" i="4"/>
  <c r="I1034" i="4"/>
  <c r="I1044" i="4"/>
  <c r="I1055" i="4"/>
  <c r="I1066" i="4"/>
  <c r="I1076" i="4"/>
  <c r="I1087" i="4"/>
  <c r="I1098" i="4"/>
  <c r="I1108" i="4"/>
  <c r="I1119" i="4"/>
  <c r="I1130" i="4"/>
  <c r="I1140" i="4"/>
  <c r="I1148" i="4"/>
  <c r="I1156" i="4"/>
  <c r="I1164" i="4"/>
  <c r="I1172" i="4"/>
  <c r="I1180" i="4"/>
  <c r="I1188" i="4"/>
  <c r="I1196" i="4"/>
  <c r="I1204" i="4"/>
  <c r="I1212" i="4"/>
  <c r="I1220" i="4"/>
  <c r="I1228" i="4"/>
  <c r="I1236" i="4"/>
  <c r="I1244" i="4"/>
  <c r="I1252" i="4"/>
  <c r="I1260" i="4"/>
  <c r="I1268" i="4"/>
  <c r="I1276" i="4"/>
  <c r="I1284" i="4"/>
  <c r="I1292" i="4"/>
  <c r="I1300" i="4"/>
  <c r="I1308" i="4"/>
  <c r="I1316" i="4"/>
  <c r="I1324" i="4"/>
  <c r="I1332" i="4"/>
  <c r="I1340" i="4"/>
  <c r="I1348" i="4"/>
  <c r="I1356" i="4"/>
  <c r="I1364" i="4"/>
  <c r="I1372" i="4"/>
  <c r="I1380" i="4"/>
  <c r="I1388" i="4"/>
  <c r="I1396" i="4"/>
  <c r="I1404" i="4"/>
  <c r="I1412" i="4"/>
  <c r="I1420" i="4"/>
  <c r="I1428" i="4"/>
  <c r="I1436" i="4"/>
  <c r="I1444" i="4"/>
  <c r="I1452" i="4"/>
  <c r="I1460" i="4"/>
  <c r="I1468" i="4"/>
  <c r="I1476" i="4"/>
  <c r="I1484" i="4"/>
  <c r="I1500" i="4"/>
  <c r="I1508" i="4"/>
  <c r="I1516" i="4"/>
  <c r="I1524" i="4"/>
  <c r="I1540" i="4"/>
  <c r="I1563" i="4"/>
  <c r="I1573" i="4"/>
  <c r="I1589" i="4"/>
  <c r="I1611" i="4"/>
  <c r="I1627" i="4"/>
  <c r="I1648" i="4"/>
  <c r="I1664" i="4"/>
  <c r="I1680" i="4"/>
  <c r="I1691" i="4"/>
  <c r="I1707" i="4"/>
  <c r="I1728" i="4"/>
  <c r="I1749" i="4"/>
  <c r="I1771" i="4"/>
  <c r="I1792" i="4"/>
  <c r="I1808" i="4"/>
  <c r="I1824" i="4"/>
  <c r="I1840" i="4"/>
  <c r="I1856" i="4"/>
  <c r="I1868" i="4"/>
  <c r="I1880" i="4"/>
  <c r="I1892" i="4"/>
  <c r="I1900" i="4"/>
  <c r="I1912" i="4"/>
  <c r="I1920" i="4"/>
  <c r="I1932" i="4"/>
  <c r="I1948" i="4"/>
  <c r="I1960" i="4"/>
  <c r="I1976" i="4"/>
  <c r="I1984" i="4"/>
  <c r="I1996" i="4"/>
  <c r="I2008" i="4"/>
  <c r="I262" i="4"/>
  <c r="I326" i="4"/>
  <c r="I390" i="4"/>
  <c r="I454" i="4"/>
  <c r="I518" i="4"/>
  <c r="I582" i="4"/>
  <c r="I641" i="4"/>
  <c r="I715" i="4"/>
  <c r="I774" i="4"/>
  <c r="I816" i="4"/>
  <c r="I880" i="4"/>
  <c r="I950" i="4"/>
  <c r="I982" i="4"/>
  <c r="I1014" i="4"/>
  <c r="I1046" i="4"/>
  <c r="I1078" i="4"/>
  <c r="I1110" i="4"/>
  <c r="I1149" i="4"/>
  <c r="I1173" i="4"/>
  <c r="I1197" i="4"/>
  <c r="I1221" i="4"/>
  <c r="I1237" i="4"/>
  <c r="I1261" i="4"/>
  <c r="I1285" i="4"/>
  <c r="I1301" i="4"/>
  <c r="I1325" i="4"/>
  <c r="I1341" i="4"/>
  <c r="I1357" i="4"/>
  <c r="I1381" i="4"/>
  <c r="I1405" i="4"/>
  <c r="I1437" i="4"/>
  <c r="I1469" i="4"/>
  <c r="I1485" i="4"/>
  <c r="I1509" i="4"/>
  <c r="I1525" i="4"/>
  <c r="I1557" i="4"/>
  <c r="I1575" i="4"/>
  <c r="I1585" i="4"/>
  <c r="I1601" i="4"/>
  <c r="I1617" i="4"/>
  <c r="I1628" i="4"/>
  <c r="I1633" i="4"/>
  <c r="I1639" i="4"/>
  <c r="I1644" i="4"/>
  <c r="I1649" i="4"/>
  <c r="I1655" i="4"/>
  <c r="I1660" i="4"/>
  <c r="I1665" i="4"/>
  <c r="I1671" i="4"/>
  <c r="I1676" i="4"/>
  <c r="I1681" i="4"/>
  <c r="I1687" i="4"/>
  <c r="I1692" i="4"/>
  <c r="I1697" i="4"/>
  <c r="I1703" i="4"/>
  <c r="I1708" i="4"/>
  <c r="I1713" i="4"/>
  <c r="I1719" i="4"/>
  <c r="I1724" i="4"/>
  <c r="I1729" i="4"/>
  <c r="I1735" i="4"/>
  <c r="I1740" i="4"/>
  <c r="I1745" i="4"/>
  <c r="I1751" i="4"/>
  <c r="I1756" i="4"/>
  <c r="I1761" i="4"/>
  <c r="I1767" i="4"/>
  <c r="I1772" i="4"/>
  <c r="I1777" i="4"/>
  <c r="I1783" i="4"/>
  <c r="I1788" i="4"/>
  <c r="I1793" i="4"/>
  <c r="I1799" i="4"/>
  <c r="I1804" i="4"/>
  <c r="I1809" i="4"/>
  <c r="I1815" i="4"/>
  <c r="I1820" i="4"/>
  <c r="I1825" i="4"/>
  <c r="I1831" i="4"/>
  <c r="I1836" i="4"/>
  <c r="I1841" i="4"/>
  <c r="I1847" i="4"/>
  <c r="I1852" i="4"/>
  <c r="I1857" i="4"/>
  <c r="I1861" i="4"/>
  <c r="I1865" i="4"/>
  <c r="I1869" i="4"/>
  <c r="I1873" i="4"/>
  <c r="I1877" i="4"/>
  <c r="I1881" i="4"/>
  <c r="I1885" i="4"/>
  <c r="I1889" i="4"/>
  <c r="I1893" i="4"/>
  <c r="I1897" i="4"/>
  <c r="I1901" i="4"/>
  <c r="I1905" i="4"/>
  <c r="I1909" i="4"/>
  <c r="I1913" i="4"/>
  <c r="I1917" i="4"/>
  <c r="I1921" i="4"/>
  <c r="I1925" i="4"/>
  <c r="I1929" i="4"/>
  <c r="I1933" i="4"/>
  <c r="I1937" i="4"/>
  <c r="I1941" i="4"/>
  <c r="I1945" i="4"/>
  <c r="I1949" i="4"/>
  <c r="I1953" i="4"/>
  <c r="I1957" i="4"/>
  <c r="I1961" i="4"/>
  <c r="I1965" i="4"/>
  <c r="I1969" i="4"/>
  <c r="I1973" i="4"/>
  <c r="I1977" i="4"/>
  <c r="I1981" i="4"/>
  <c r="I1985" i="4"/>
  <c r="I1989" i="4"/>
  <c r="I1993" i="4"/>
  <c r="I1997" i="4"/>
  <c r="I2001" i="4"/>
  <c r="I2005" i="4"/>
  <c r="I2009" i="4"/>
  <c r="I221" i="4"/>
  <c r="I285" i="4"/>
  <c r="I349" i="4"/>
  <c r="I413" i="4"/>
  <c r="I477" i="4"/>
  <c r="I541" i="4"/>
  <c r="I605" i="4"/>
  <c r="I656" i="4"/>
  <c r="I694" i="4"/>
  <c r="I726" i="4"/>
  <c r="I758" i="4"/>
  <c r="I780" i="4"/>
  <c r="I802" i="4"/>
  <c r="I823" i="4"/>
  <c r="I844" i="4"/>
  <c r="I230" i="4"/>
  <c r="I294" i="4"/>
  <c r="I358" i="4"/>
  <c r="I422" i="4"/>
  <c r="I486" i="4"/>
  <c r="I550" i="4"/>
  <c r="I614" i="4"/>
  <c r="I662" i="4"/>
  <c r="I699" i="4"/>
  <c r="I731" i="4"/>
  <c r="I763" i="4"/>
  <c r="I784" i="4"/>
  <c r="I806" i="4"/>
  <c r="I827" i="4"/>
  <c r="I848" i="4"/>
  <c r="I870" i="4"/>
  <c r="I891" i="4"/>
  <c r="I912" i="4"/>
  <c r="I931" i="4"/>
  <c r="I944" i="4"/>
  <c r="I955" i="4"/>
  <c r="I966" i="4"/>
  <c r="I976" i="4"/>
  <c r="I987" i="4"/>
  <c r="I998" i="4"/>
  <c r="I1008" i="4"/>
  <c r="I1019" i="4"/>
  <c r="I1030" i="4"/>
  <c r="I1040" i="4"/>
  <c r="I1051" i="4"/>
  <c r="I1062" i="4"/>
  <c r="I1072" i="4"/>
  <c r="I1083" i="4"/>
  <c r="I1094" i="4"/>
  <c r="I1104" i="4"/>
  <c r="I1115" i="4"/>
  <c r="I1126" i="4"/>
  <c r="I1136" i="4"/>
  <c r="I1145" i="4"/>
  <c r="I1153" i="4"/>
  <c r="I1161" i="4"/>
  <c r="I1169" i="4"/>
  <c r="I1177" i="4"/>
  <c r="I1185" i="4"/>
  <c r="I1193" i="4"/>
  <c r="I1201" i="4"/>
  <c r="I1209" i="4"/>
  <c r="I1217" i="4"/>
  <c r="I1225" i="4"/>
  <c r="I1233" i="4"/>
  <c r="I1241" i="4"/>
  <c r="I1249" i="4"/>
  <c r="I1257" i="4"/>
  <c r="I1265" i="4"/>
  <c r="I1273" i="4"/>
  <c r="I1281" i="4"/>
  <c r="I1289" i="4"/>
  <c r="I1297" i="4"/>
  <c r="I1305" i="4"/>
  <c r="I1313" i="4"/>
  <c r="I1321" i="4"/>
  <c r="I1329" i="4"/>
  <c r="I1337" i="4"/>
  <c r="I1345" i="4"/>
  <c r="I1353" i="4"/>
  <c r="I1361" i="4"/>
  <c r="I1369" i="4"/>
  <c r="I1377" i="4"/>
  <c r="I1385" i="4"/>
  <c r="I1393" i="4"/>
  <c r="I1401" i="4"/>
  <c r="I1409" i="4"/>
  <c r="I1417" i="4"/>
  <c r="I1425" i="4"/>
  <c r="I1433" i="4"/>
  <c r="I1441" i="4"/>
  <c r="I1449" i="4"/>
  <c r="I1457" i="4"/>
  <c r="I1465" i="4"/>
  <c r="I1473" i="4"/>
  <c r="I1481" i="4"/>
  <c r="I1489" i="4"/>
  <c r="I1497" i="4"/>
  <c r="I1505" i="4"/>
  <c r="I1513" i="4"/>
  <c r="I1521" i="4"/>
  <c r="I1529" i="4"/>
  <c r="I1537" i="4"/>
  <c r="I1545" i="4"/>
  <c r="I1553" i="4"/>
  <c r="I1561" i="4"/>
  <c r="I1567" i="4"/>
  <c r="I1572" i="4"/>
  <c r="I1577" i="4"/>
  <c r="I1583" i="4"/>
  <c r="I1588" i="4"/>
  <c r="I1593" i="4"/>
  <c r="I1599" i="4"/>
  <c r="I1604" i="4"/>
  <c r="I1609" i="4"/>
  <c r="I1615" i="4"/>
  <c r="I1620" i="4"/>
  <c r="I1625" i="4"/>
  <c r="I1631" i="4"/>
  <c r="I1636" i="4"/>
  <c r="I1641" i="4"/>
  <c r="I1647" i="4"/>
  <c r="I1652" i="4"/>
  <c r="I1657" i="4"/>
  <c r="I1663" i="4"/>
  <c r="I1668" i="4"/>
  <c r="I1673" i="4"/>
  <c r="I1679" i="4"/>
  <c r="I1684" i="4"/>
  <c r="I1689" i="4"/>
  <c r="I1695" i="4"/>
  <c r="I1700" i="4"/>
  <c r="I1705" i="4"/>
  <c r="I1711" i="4"/>
  <c r="I1716" i="4"/>
  <c r="I1721" i="4"/>
  <c r="I1727" i="4"/>
  <c r="I1732" i="4"/>
  <c r="I1737" i="4"/>
  <c r="I1743" i="4"/>
  <c r="I1748" i="4"/>
  <c r="I1753" i="4"/>
  <c r="I1759" i="4"/>
  <c r="I1764" i="4"/>
  <c r="I1769" i="4"/>
  <c r="I1775" i="4"/>
  <c r="I1780" i="4"/>
  <c r="I1785" i="4"/>
  <c r="I1791" i="4"/>
  <c r="I1796" i="4"/>
  <c r="I1801" i="4"/>
  <c r="I1807" i="4"/>
  <c r="I1812" i="4"/>
  <c r="I1817" i="4"/>
  <c r="I1823" i="4"/>
  <c r="I1828" i="4"/>
  <c r="I1833" i="4"/>
  <c r="I1839" i="4"/>
  <c r="I1844" i="4"/>
  <c r="I1849" i="4"/>
  <c r="I1855" i="4"/>
  <c r="I1859" i="4"/>
  <c r="I1863" i="4"/>
  <c r="I1867" i="4"/>
  <c r="I1871" i="4"/>
  <c r="I1875" i="4"/>
  <c r="I1879" i="4"/>
  <c r="I1883" i="4"/>
  <c r="I1887" i="4"/>
  <c r="I1891" i="4"/>
  <c r="I1895" i="4"/>
  <c r="I1899" i="4"/>
  <c r="I1903" i="4"/>
  <c r="I1907" i="4"/>
  <c r="I1911" i="4"/>
  <c r="I1915" i="4"/>
  <c r="I1919" i="4"/>
  <c r="I1923" i="4"/>
  <c r="I1927" i="4"/>
  <c r="I1931" i="4"/>
  <c r="I1935" i="4"/>
  <c r="I1939" i="4"/>
  <c r="I1943" i="4"/>
  <c r="I1947" i="4"/>
  <c r="I1951" i="4"/>
  <c r="I1955" i="4"/>
  <c r="I1959" i="4"/>
  <c r="I1963" i="4"/>
  <c r="I1967" i="4"/>
  <c r="I1971" i="4"/>
  <c r="I1975" i="4"/>
  <c r="I1979" i="4"/>
  <c r="I1983" i="4"/>
  <c r="I1987" i="4"/>
  <c r="I1991" i="4"/>
  <c r="I1995" i="4"/>
  <c r="I1999" i="4"/>
  <c r="I2003" i="4"/>
  <c r="I2007" i="4"/>
  <c r="I2011" i="4"/>
  <c r="I1492" i="4"/>
  <c r="I1532" i="4"/>
  <c r="I1548" i="4"/>
  <c r="I1556" i="4"/>
  <c r="I1568" i="4"/>
  <c r="I1579" i="4"/>
  <c r="I1584" i="4"/>
  <c r="I1595" i="4"/>
  <c r="I1600" i="4"/>
  <c r="I1605" i="4"/>
  <c r="I1616" i="4"/>
  <c r="I1621" i="4"/>
  <c r="I1632" i="4"/>
  <c r="I1637" i="4"/>
  <c r="I1643" i="4"/>
  <c r="I1653" i="4"/>
  <c r="I1659" i="4"/>
  <c r="I1669" i="4"/>
  <c r="I1675" i="4"/>
  <c r="I1685" i="4"/>
  <c r="I1696" i="4"/>
  <c r="I1701" i="4"/>
  <c r="I1712" i="4"/>
  <c r="I1717" i="4"/>
  <c r="I1723" i="4"/>
  <c r="I1733" i="4"/>
  <c r="I1739" i="4"/>
  <c r="I1744" i="4"/>
  <c r="I1755" i="4"/>
  <c r="I1760" i="4"/>
  <c r="I1765" i="4"/>
  <c r="I1776" i="4"/>
  <c r="I1781" i="4"/>
  <c r="I1787" i="4"/>
  <c r="I1797" i="4"/>
  <c r="I1803" i="4"/>
  <c r="I1813" i="4"/>
  <c r="I1819" i="4"/>
  <c r="I1829" i="4"/>
  <c r="I1835" i="4"/>
  <c r="I1845" i="4"/>
  <c r="I1851" i="4"/>
  <c r="I1860" i="4"/>
  <c r="I1864" i="4"/>
  <c r="I1872" i="4"/>
  <c r="I1876" i="4"/>
  <c r="I1884" i="4"/>
  <c r="I1888" i="4"/>
  <c r="I1896" i="4"/>
  <c r="I1904" i="4"/>
  <c r="I1908" i="4"/>
  <c r="I1916" i="4"/>
  <c r="I1924" i="4"/>
  <c r="I1928" i="4"/>
  <c r="I1936" i="4"/>
  <c r="I1940" i="4"/>
  <c r="I1944" i="4"/>
  <c r="I1952" i="4"/>
  <c r="I1956" i="4"/>
  <c r="I1964" i="4"/>
  <c r="I1968" i="4"/>
  <c r="I1972" i="4"/>
  <c r="I1980" i="4"/>
  <c r="I1988" i="4"/>
  <c r="I1992" i="4"/>
  <c r="I2000" i="4"/>
  <c r="I2004" i="4"/>
  <c r="I198" i="4"/>
  <c r="I683" i="4"/>
  <c r="I747" i="4"/>
  <c r="I795" i="4"/>
  <c r="I838" i="4"/>
  <c r="I859" i="4"/>
  <c r="I902" i="4"/>
  <c r="I923" i="4"/>
  <c r="I939" i="4"/>
  <c r="I960" i="4"/>
  <c r="I971" i="4"/>
  <c r="I992" i="4"/>
  <c r="I1003" i="4"/>
  <c r="I1024" i="4"/>
  <c r="I1035" i="4"/>
  <c r="I1056" i="4"/>
  <c r="I1067" i="4"/>
  <c r="I1088" i="4"/>
  <c r="I1099" i="4"/>
  <c r="I1120" i="4"/>
  <c r="I1131" i="4"/>
  <c r="I1141" i="4"/>
  <c r="I1157" i="4"/>
  <c r="I1165" i="4"/>
  <c r="I1181" i="4"/>
  <c r="I1189" i="4"/>
  <c r="I1205" i="4"/>
  <c r="I1213" i="4"/>
  <c r="I1229" i="4"/>
  <c r="I1245" i="4"/>
  <c r="I1253" i="4"/>
  <c r="I1269" i="4"/>
  <c r="I1277" i="4"/>
  <c r="I1293" i="4"/>
  <c r="I1309" i="4"/>
  <c r="I1317" i="4"/>
  <c r="I1333" i="4"/>
  <c r="I1349" i="4"/>
  <c r="I1365" i="4"/>
  <c r="I1373" i="4"/>
  <c r="I1389" i="4"/>
  <c r="I1397" i="4"/>
  <c r="I1413" i="4"/>
  <c r="I1421" i="4"/>
  <c r="I1429" i="4"/>
  <c r="I1445" i="4"/>
  <c r="I1453" i="4"/>
  <c r="I1461" i="4"/>
  <c r="I1477" i="4"/>
  <c r="I1493" i="4"/>
  <c r="I1501" i="4"/>
  <c r="I1517" i="4"/>
  <c r="I1533" i="4"/>
  <c r="I1541" i="4"/>
  <c r="I1549" i="4"/>
  <c r="I1564" i="4"/>
  <c r="I1569" i="4"/>
  <c r="I1580" i="4"/>
  <c r="I1591" i="4"/>
  <c r="I1596" i="4"/>
  <c r="I1607" i="4"/>
  <c r="I1612" i="4"/>
  <c r="I1623" i="4"/>
  <c r="I887" i="4"/>
  <c r="I954" i="4"/>
  <c r="I996" i="4"/>
  <c r="I1039" i="4"/>
  <c r="I1082" i="4"/>
  <c r="I1124" i="4"/>
  <c r="I1160" i="4"/>
  <c r="I1192" i="4"/>
  <c r="I1224" i="4"/>
  <c r="I1256" i="4"/>
  <c r="I1288" i="4"/>
  <c r="I1320" i="4"/>
  <c r="I1352" i="4"/>
  <c r="I1384" i="4"/>
  <c r="I1416" i="4"/>
  <c r="I1448" i="4"/>
  <c r="I1480" i="4"/>
  <c r="I1512" i="4"/>
  <c r="I1544" i="4"/>
  <c r="I1571" i="4"/>
  <c r="I1592" i="4"/>
  <c r="I1613" i="4"/>
  <c r="I1635" i="4"/>
  <c r="I1656" i="4"/>
  <c r="I1677" i="4"/>
  <c r="I1699" i="4"/>
  <c r="I1720" i="4"/>
  <c r="I1741" i="4"/>
  <c r="I1763" i="4"/>
  <c r="I1784" i="4"/>
  <c r="I1805" i="4"/>
  <c r="I1827" i="4"/>
  <c r="I1848" i="4"/>
  <c r="I1866" i="4"/>
  <c r="I1882" i="4"/>
  <c r="I1898" i="4"/>
  <c r="I1914" i="4"/>
  <c r="I1930" i="4"/>
  <c r="I1946" i="4"/>
  <c r="I1962" i="4"/>
  <c r="I1978" i="4"/>
  <c r="I1994" i="4"/>
  <c r="I2010" i="4"/>
  <c r="I908" i="4"/>
  <c r="I964" i="4"/>
  <c r="I1007" i="4"/>
  <c r="I1050" i="4"/>
  <c r="I1092" i="4"/>
  <c r="I1135" i="4"/>
  <c r="I1168" i="4"/>
  <c r="I1200" i="4"/>
  <c r="I1232" i="4"/>
  <c r="I1264" i="4"/>
  <c r="I1296" i="4"/>
  <c r="I1328" i="4"/>
  <c r="I1360" i="4"/>
  <c r="I1392" i="4"/>
  <c r="I1424" i="4"/>
  <c r="I1456" i="4"/>
  <c r="I1488" i="4"/>
  <c r="I1520" i="4"/>
  <c r="I1552" i="4"/>
  <c r="I1576" i="4"/>
  <c r="I1597" i="4"/>
  <c r="I1619" i="4"/>
  <c r="I1640" i="4"/>
  <c r="I1661" i="4"/>
  <c r="I1683" i="4"/>
  <c r="I1704" i="4"/>
  <c r="I1725" i="4"/>
  <c r="I1747" i="4"/>
  <c r="I1768" i="4"/>
  <c r="I1789" i="4"/>
  <c r="I1811" i="4"/>
  <c r="I1832" i="4"/>
  <c r="I1853" i="4"/>
  <c r="I1870" i="4"/>
  <c r="I1886" i="4"/>
  <c r="I1902" i="4"/>
  <c r="I1918" i="4"/>
  <c r="I1934" i="4"/>
  <c r="I1950" i="4"/>
  <c r="I1966" i="4"/>
  <c r="I1982" i="4"/>
  <c r="I1998" i="4"/>
  <c r="I928" i="4"/>
  <c r="I975" i="4"/>
  <c r="I1018" i="4"/>
  <c r="I1060" i="4"/>
  <c r="I1103" i="4"/>
  <c r="I1144" i="4"/>
  <c r="I1176" i="4"/>
  <c r="I1208" i="4"/>
  <c r="I1240" i="4"/>
  <c r="I1272" i="4"/>
  <c r="I1304" i="4"/>
  <c r="I1336" i="4"/>
  <c r="I1368" i="4"/>
  <c r="I1400" i="4"/>
  <c r="I1432" i="4"/>
  <c r="I1464" i="4"/>
  <c r="I1496" i="4"/>
  <c r="I1528" i="4"/>
  <c r="I1560" i="4"/>
  <c r="I1581" i="4"/>
  <c r="I1603" i="4"/>
  <c r="I1624" i="4"/>
  <c r="I1645" i="4"/>
  <c r="I1667" i="4"/>
  <c r="I1688" i="4"/>
  <c r="I1709" i="4"/>
  <c r="I1731" i="4"/>
  <c r="I1752" i="4"/>
  <c r="I1773" i="4"/>
  <c r="I1795" i="4"/>
  <c r="I1816" i="4"/>
  <c r="I1837" i="4"/>
  <c r="I1858" i="4"/>
  <c r="I1874" i="4"/>
  <c r="I1890" i="4"/>
  <c r="I1906" i="4"/>
  <c r="I1922" i="4"/>
  <c r="I1938" i="4"/>
  <c r="I1954" i="4"/>
  <c r="I1970" i="4"/>
  <c r="I1986" i="4"/>
  <c r="I2002" i="4"/>
  <c r="I866" i="4"/>
  <c r="I943" i="4"/>
  <c r="I986" i="4"/>
  <c r="I1028" i="4"/>
  <c r="I1071" i="4"/>
  <c r="I1114" i="4"/>
  <c r="I1152" i="4"/>
  <c r="I1184" i="4"/>
  <c r="I1216" i="4"/>
  <c r="I1248" i="4"/>
  <c r="I1280" i="4"/>
  <c r="I1312" i="4"/>
  <c r="I1344" i="4"/>
  <c r="I1376" i="4"/>
  <c r="I1408" i="4"/>
  <c r="I1440" i="4"/>
  <c r="I1472" i="4"/>
  <c r="I1504" i="4"/>
  <c r="I1536" i="4"/>
  <c r="I1565" i="4"/>
  <c r="I1587" i="4"/>
  <c r="I1608" i="4"/>
  <c r="I1629" i="4"/>
  <c r="I1651" i="4"/>
  <c r="I1672" i="4"/>
  <c r="I1693" i="4"/>
  <c r="I1715" i="4"/>
  <c r="I1736" i="4"/>
  <c r="I1757" i="4"/>
  <c r="I1779" i="4"/>
  <c r="I1800" i="4"/>
  <c r="I1821" i="4"/>
  <c r="I1843" i="4"/>
  <c r="I1862" i="4"/>
  <c r="I1878" i="4"/>
  <c r="I1894" i="4"/>
  <c r="I1910" i="4"/>
  <c r="I1926" i="4"/>
  <c r="I1942" i="4"/>
  <c r="I1958" i="4"/>
  <c r="I1974" i="4"/>
  <c r="I1990" i="4"/>
  <c r="I2006" i="4"/>
  <c r="R221" i="4"/>
  <c r="Q221" i="4"/>
  <c r="R220" i="4"/>
  <c r="Q220" i="4"/>
  <c r="R217" i="4"/>
  <c r="Q217" i="4"/>
  <c r="R216" i="4"/>
  <c r="Q216" i="4"/>
  <c r="C276" i="4"/>
  <c r="D276" i="4"/>
  <c r="O1695" i="4"/>
  <c r="R1242" i="4"/>
  <c r="Q1242" i="4"/>
  <c r="R1241" i="4"/>
  <c r="Q1241" i="4"/>
  <c r="Q1240" i="4"/>
  <c r="R1240" i="4"/>
  <c r="R1062" i="4"/>
  <c r="Q1062" i="4"/>
  <c r="Q1061" i="4"/>
  <c r="R1061" i="4"/>
  <c r="Q1060" i="4"/>
  <c r="R1060" i="4"/>
  <c r="Q1059" i="4"/>
  <c r="R1059" i="4"/>
  <c r="K675" i="4"/>
  <c r="K644" i="4"/>
  <c r="R477" i="4"/>
  <c r="Q477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comments1.xml><?xml version="1.0" encoding="utf-8"?>
<comments xmlns="http://schemas.openxmlformats.org/spreadsheetml/2006/main">
  <authors>
    <author>Michael Müller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Michael Müller:</t>
        </r>
        <r>
          <rPr>
            <sz val="9"/>
            <color indexed="81"/>
            <rFont val="Segoe UI"/>
            <family val="2"/>
          </rPr>
          <t xml:space="preserve">
Dont have "xx - xxmm" as expected instead "xx-xxmm"
</t>
        </r>
      </text>
    </comment>
    <comment ref="H1" authorId="0" shapeId="0">
      <text>
        <r>
          <rPr>
            <b/>
            <sz val="9"/>
            <color indexed="81"/>
            <rFont val="Segoe UI"/>
            <family val="2"/>
          </rPr>
          <t>Michael Müller:</t>
        </r>
        <r>
          <rPr>
            <sz val="9"/>
            <color indexed="81"/>
            <rFont val="Segoe UI"/>
            <family val="2"/>
          </rPr>
          <t xml:space="preserve">
manche daten schlicht falsch "nein" / leere Zeile
</t>
        </r>
      </text>
    </comment>
    <comment ref="O1" authorId="0" shapeId="0">
      <text>
        <r>
          <rPr>
            <b/>
            <sz val="9"/>
            <color indexed="81"/>
            <rFont val="Segoe UI"/>
            <family val="2"/>
          </rPr>
          <t>Michael Müller:</t>
        </r>
        <r>
          <rPr>
            <sz val="9"/>
            <color indexed="81"/>
            <rFont val="Segoe UI"/>
            <family val="2"/>
          </rPr>
          <t xml:space="preserve">
Manchmal mit "kg" statt erwartetedm "g"</t>
        </r>
      </text>
    </comment>
    <comment ref="P1" authorId="0" shapeId="0">
      <text>
        <r>
          <rPr>
            <b/>
            <sz val="9"/>
            <color indexed="81"/>
            <rFont val="Segoe UI"/>
            <family val="2"/>
          </rPr>
          <t>Michael Müller:</t>
        </r>
        <r>
          <rPr>
            <sz val="9"/>
            <color indexed="81"/>
            <rFont val="Segoe UI"/>
            <family val="2"/>
          </rPr>
          <t xml:space="preserve">
auch hier wieder fehlende leerzeichen, statt "00 x 00mm" "00x00mm"</t>
        </r>
      </text>
    </comment>
  </commentList>
</comments>
</file>

<file path=xl/sharedStrings.xml><?xml version="1.0" encoding="utf-8"?>
<sst xmlns="http://schemas.openxmlformats.org/spreadsheetml/2006/main" count="25128" uniqueCount="4520">
  <si>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</si>
  <si>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</si>
  <si>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</si>
  <si>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</si>
  <si>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</si>
  <si>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</si>
  <si>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</si>
  <si>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</si>
  <si>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</si>
  <si>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</si>
  <si>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</si>
  <si>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</si>
  <si>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</si>
  <si>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</si>
  <si>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</si>
  <si>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</si>
  <si>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</si>
  <si>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</si>
  <si>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</si>
  <si>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</si>
  <si>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</si>
  <si>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</si>
  <si>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</si>
  <si>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</si>
  <si>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</si>
  <si>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</si>
  <si>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</si>
  <si>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</si>
  <si>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</si>
  <si>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</si>
  <si>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</si>
  <si>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</si>
  <si>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</si>
  <si>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</si>
  <si>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</si>
  <si>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</si>
  <si>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</si>
  <si>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</si>
  <si>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</si>
  <si>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</si>
  <si>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</si>
  <si>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</si>
  <si>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</si>
  <si>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</si>
  <si>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</si>
  <si>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</si>
  <si>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</si>
  <si>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</si>
  <si>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</si>
  <si>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</si>
  <si>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</si>
  <si>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</si>
  <si>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</si>
  <si>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</si>
  <si>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</si>
  <si>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</si>
  <si>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</si>
  <si>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</si>
  <si>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</si>
  <si>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</si>
  <si>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</si>
  <si>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</si>
  <si>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</si>
  <si>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</si>
  <si>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</si>
  <si>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</si>
  <si>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</si>
  <si>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</si>
  <si>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</si>
  <si>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</si>
  <si>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</si>
  <si>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</si>
  <si>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</si>
  <si>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</si>
  <si>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</si>
  <si>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</si>
  <si>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</si>
  <si>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</si>
  <si>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</si>
  <si>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</si>
  <si>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</si>
  <si>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</si>
  <si>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</si>
  <si>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</si>
  <si>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</si>
  <si>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</si>
  <si>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</si>
  <si>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</si>
  <si>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</si>
  <si>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</si>
  <si>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</si>
  <si>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</si>
  <si>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</si>
  <si>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</si>
  <si>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</si>
  <si>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</si>
  <si>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</si>
  <si>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</si>
  <si>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</si>
  <si>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</si>
  <si>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</si>
  <si>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</si>
  <si>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</si>
  <si>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</si>
  <si>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</si>
  <si>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</si>
  <si>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</si>
  <si>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</si>
  <si>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</si>
  <si>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</si>
  <si>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</si>
  <si>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</si>
  <si>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</si>
  <si>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</si>
  <si>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</si>
  <si>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</si>
  <si>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</si>
  <si>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</si>
  <si>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</si>
  <si>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</si>
  <si>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</si>
  <si>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</si>
  <si>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</si>
  <si>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</si>
  <si>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</si>
  <si>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</si>
  <si>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</si>
  <si>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</si>
  <si>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</si>
  <si>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</si>
  <si>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</si>
  <si>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</si>
  <si>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</si>
  <si>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</si>
  <si>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</si>
  <si>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</si>
  <si>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</si>
  <si>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</si>
  <si>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</si>
  <si>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</si>
  <si>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</si>
  <si>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</si>
  <si>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</si>
  <si>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</si>
  <si>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</si>
  <si>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</si>
  <si>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</si>
  <si>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</si>
  <si>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</si>
  <si>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</si>
  <si>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</si>
  <si>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</si>
  <si>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</si>
  <si>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</si>
  <si>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</si>
  <si>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</si>
  <si>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</si>
  <si>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</si>
  <si>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</si>
  <si>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</si>
  <si>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</si>
  <si>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</si>
  <si>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</si>
  <si>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</si>
  <si>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</si>
  <si>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</si>
  <si>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</si>
  <si>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</si>
  <si>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</si>
  <si>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</si>
  <si>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</si>
  <si>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</si>
  <si>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</si>
  <si>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</si>
  <si>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</si>
  <si>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</si>
  <si>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</si>
  <si>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</si>
  <si>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</si>
  <si>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</si>
  <si>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</si>
  <si>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</si>
  <si>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</si>
  <si>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</si>
  <si>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</si>
  <si>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</si>
  <si>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</si>
  <si>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</si>
  <si>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</si>
  <si>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</si>
  <si>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</si>
  <si>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</si>
  <si>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</si>
  <si>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</si>
  <si>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</si>
  <si>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</si>
  <si>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</si>
  <si>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</si>
  <si>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</si>
  <si>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</si>
  <si>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</si>
  <si>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</si>
  <si>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</si>
  <si>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</si>
  <si>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</si>
  <si>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</si>
  <si>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</si>
  <si>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</si>
  <si>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</si>
  <si>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</si>
  <si>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</si>
  <si>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</si>
  <si>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</si>
  <si>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</si>
  <si>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</si>
  <si>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</si>
  <si>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</si>
  <si>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</si>
  <si>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</si>
  <si>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</si>
  <si>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</si>
  <si>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</si>
  <si>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</si>
  <si>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</si>
  <si>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</si>
  <si>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</si>
  <si>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</si>
  <si>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</si>
  <si>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</si>
  <si>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</si>
  <si>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</si>
  <si>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</si>
  <si>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</si>
  <si>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</si>
  <si>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</si>
  <si>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</si>
  <si>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</si>
  <si>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</si>
  <si>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</si>
  <si>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</si>
  <si>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</si>
  <si>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</si>
  <si>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</si>
  <si>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</si>
  <si>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</si>
  <si>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</si>
  <si>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</si>
  <si>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</si>
  <si>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</si>
  <si>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</si>
  <si>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</si>
  <si>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</si>
  <si>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</si>
  <si>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</si>
  <si>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</si>
  <si>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</si>
  <si>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</si>
  <si>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</si>
  <si>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</si>
  <si>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</si>
  <si>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</si>
  <si>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</si>
  <si>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</si>
  <si>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</si>
  <si>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</si>
  <si>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</si>
  <si>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</si>
  <si>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</si>
  <si>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</si>
  <si>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</si>
  <si>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</si>
  <si>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</si>
  <si>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</si>
  <si>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</si>
  <si>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</si>
  <si>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</si>
  <si>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</si>
  <si>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</si>
  <si>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</si>
  <si>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</si>
  <si>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</si>
  <si>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</si>
  <si>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</si>
  <si>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</si>
  <si>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</si>
  <si>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</si>
  <si>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</si>
  <si>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</si>
  <si>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</si>
  <si>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</si>
  <si>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</si>
  <si>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</si>
  <si>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</si>
  <si>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</si>
  <si>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</si>
  <si>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</si>
  <si>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</si>
  <si>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</si>
  <si>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</si>
  <si>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</si>
  <si>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</si>
  <si>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</si>
  <si>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</si>
  <si>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</si>
  <si>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</si>
  <si>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</si>
  <si>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</si>
  <si>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</si>
  <si>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</si>
  <si>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</si>
  <si>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</si>
  <si>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</si>
  <si>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</si>
  <si>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</si>
  <si>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</si>
  <si>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</si>
  <si>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</si>
  <si>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</si>
  <si>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</si>
  <si>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</si>
  <si>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</si>
  <si>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</si>
  <si>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</si>
  <si>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</si>
  <si>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</si>
  <si>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</si>
  <si>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</si>
  <si>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</si>
  <si>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</si>
  <si>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</si>
  <si>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</si>
  <si>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</si>
  <si>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</si>
  <si>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</si>
  <si>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</si>
  <si>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</si>
  <si>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</si>
  <si>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</si>
  <si>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</si>
  <si>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</si>
  <si>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</si>
  <si>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</si>
  <si>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</si>
  <si>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</si>
  <si>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</si>
  <si>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</si>
  <si>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</si>
  <si>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</si>
  <si>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</si>
  <si>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</si>
  <si>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</si>
  <si>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</si>
  <si>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</si>
  <si>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</si>
  <si>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</si>
  <si>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</si>
  <si>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</si>
  <si>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</si>
  <si>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</si>
  <si>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</si>
  <si>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</si>
  <si>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</si>
  <si>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</si>
  <si>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</si>
  <si>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</si>
  <si>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</si>
  <si>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</si>
  <si>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</si>
  <si>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</si>
  <si>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</si>
  <si>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</si>
  <si>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</si>
  <si>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</si>
  <si>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</si>
  <si>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</si>
  <si>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</si>
  <si>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</si>
  <si>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</si>
  <si>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</si>
  <si>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</si>
  <si>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</si>
  <si>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</si>
  <si>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</si>
  <si>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</si>
  <si>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</si>
  <si>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</si>
  <si>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</si>
  <si>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</si>
  <si>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</si>
  <si>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</si>
  <si>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</si>
  <si>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</si>
  <si>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</si>
  <si>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</si>
  <si>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</si>
  <si>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</si>
  <si>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</si>
  <si>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</si>
  <si>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</si>
  <si>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</si>
  <si>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</si>
  <si>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</si>
  <si>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</si>
  <si>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</si>
  <si>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</si>
  <si>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</si>
  <si>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</si>
  <si>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</si>
  <si>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</si>
  <si>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</si>
  <si>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</si>
  <si>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</si>
  <si>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</si>
  <si>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</si>
  <si>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</si>
  <si>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</si>
  <si>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</si>
  <si>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</si>
  <si>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</si>
  <si>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</si>
  <si>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</si>
  <si>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</si>
  <si>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</si>
  <si>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</si>
  <si>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</si>
  <si>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</si>
  <si>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</si>
  <si>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</si>
  <si>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</si>
  <si>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</si>
  <si>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</si>
  <si>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</si>
  <si>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</si>
  <si>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</si>
  <si>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</si>
  <si>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</si>
  <si>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</si>
  <si>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</si>
  <si>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</si>
  <si>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</si>
  <si>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</si>
  <si>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</si>
  <si>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</si>
  <si>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</si>
  <si>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</si>
  <si>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</si>
  <si>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</si>
  <si>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</si>
  <si>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</si>
  <si>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</si>
  <si>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</si>
  <si>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</si>
  <si>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</si>
  <si>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</si>
  <si>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</si>
  <si>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</si>
  <si>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</si>
  <si>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</si>
  <si>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</si>
  <si>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</si>
  <si>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</si>
  <si>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</si>
  <si>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</si>
  <si>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</si>
  <si>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</si>
  <si>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</si>
  <si>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</si>
  <si>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</si>
  <si>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</si>
  <si>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</si>
  <si>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</si>
  <si>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</si>
  <si>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</si>
  <si>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</si>
  <si>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</si>
  <si>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</si>
  <si>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</si>
  <si>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</si>
  <si>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</si>
  <si>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</si>
  <si>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</si>
  <si>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</si>
  <si>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</si>
  <si>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</si>
  <si>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</si>
  <si>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</si>
  <si>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</si>
  <si>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</si>
  <si>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</si>
  <si>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</si>
  <si>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</si>
  <si>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</si>
  <si>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</si>
  <si>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</si>
  <si>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</si>
  <si>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</si>
  <si>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</si>
  <si>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</si>
  <si>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</si>
  <si>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</si>
  <si>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</si>
  <si>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</si>
  <si>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</si>
  <si>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</si>
  <si>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</si>
  <si>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</si>
  <si>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</si>
  <si>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</si>
  <si>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</si>
  <si>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</si>
  <si>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</si>
  <si>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</si>
  <si>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</si>
  <si>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</si>
  <si>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</si>
  <si>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</si>
  <si>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</si>
  <si>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</si>
  <si>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</si>
  <si>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</si>
  <si>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</si>
  <si>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</si>
  <si>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</si>
  <si>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</si>
  <si>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</si>
  <si>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</si>
  <si>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</si>
  <si>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</si>
  <si>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</si>
  <si>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</si>
  <si>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</si>
  <si>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</si>
  <si>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</si>
  <si>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</si>
  <si>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</si>
  <si>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</si>
  <si>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</si>
  <si>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</si>
  <si>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</si>
  <si>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</si>
  <si>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</si>
  <si>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</si>
  <si>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</si>
  <si>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</si>
  <si>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</si>
  <si>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</si>
  <si>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</si>
  <si>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</si>
  <si>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</si>
  <si>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</si>
  <si>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</si>
  <si>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</si>
  <si>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</si>
  <si>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</si>
  <si>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</si>
  <si>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</si>
  <si>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</si>
  <si>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</si>
  <si>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</si>
  <si>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</si>
  <si>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</si>
  <si>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</si>
  <si>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</si>
  <si>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</si>
  <si>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</si>
  <si>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</si>
  <si>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</si>
  <si>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</si>
  <si>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</si>
  <si>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</si>
  <si>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</si>
  <si>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</si>
  <si>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</si>
  <si>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</si>
  <si>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</si>
  <si>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</si>
  <si>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</si>
  <si>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</si>
  <si>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</si>
  <si>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</si>
  <si>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</si>
  <si>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</si>
  <si>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</si>
  <si>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</si>
  <si>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</si>
  <si>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</si>
  <si>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</si>
  <si>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</si>
  <si>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</si>
  <si>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</si>
  <si>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</si>
  <si>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</si>
  <si>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</si>
  <si>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</si>
  <si>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</si>
  <si>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</si>
  <si>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</si>
  <si>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</si>
  <si>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</si>
  <si>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</si>
  <si>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</si>
  <si>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</si>
  <si>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</si>
  <si>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</si>
  <si>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</si>
  <si>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</si>
  <si>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</si>
  <si>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</si>
  <si>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</si>
  <si>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</si>
  <si>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</si>
  <si>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</si>
  <si>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</si>
  <si>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</si>
  <si>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</si>
  <si>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</si>
  <si>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</si>
  <si>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</si>
  <si>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</si>
  <si>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</si>
  <si>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</si>
  <si>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</si>
  <si>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</si>
  <si>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</si>
  <si>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</si>
  <si>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</si>
  <si>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</si>
  <si>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</si>
  <si>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</si>
  <si>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</si>
  <si>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</si>
  <si>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</si>
  <si>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</si>
  <si>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</si>
  <si>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</si>
  <si>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</si>
  <si>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</si>
  <si>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</si>
  <si>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</si>
  <si>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</si>
  <si>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</si>
  <si>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</si>
  <si>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</si>
  <si>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</si>
  <si>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</si>
  <si>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</si>
  <si>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</si>
  <si>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</si>
  <si>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</si>
  <si>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</si>
  <si>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</si>
  <si>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</si>
  <si>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</si>
  <si>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</si>
  <si>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</si>
  <si>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</si>
  <si>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</si>
  <si>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</si>
  <si>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</si>
  <si>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</si>
  <si>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</si>
  <si>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</si>
  <si>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</si>
  <si>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</si>
  <si>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</si>
  <si>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</si>
  <si>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</si>
  <si>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</si>
  <si>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</si>
  <si>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</si>
  <si>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</si>
  <si>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</si>
  <si>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</si>
  <si>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</si>
  <si>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</si>
  <si>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</si>
  <si>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</si>
  <si>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</si>
  <si>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</si>
  <si>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</si>
  <si>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</si>
  <si>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</si>
  <si>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</si>
  <si>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</si>
  <si>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</si>
  <si>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</si>
  <si>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</si>
  <si>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</si>
  <si>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</si>
  <si>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</si>
  <si>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</si>
  <si>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</si>
  <si>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</si>
  <si>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</si>
  <si>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</si>
  <si>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</si>
  <si>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</si>
  <si>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</si>
  <si>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</si>
  <si>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</si>
  <si>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</si>
  <si>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</si>
  <si>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</si>
  <si>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</si>
  <si>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</si>
  <si>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</si>
  <si>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</si>
  <si>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</si>
  <si>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</si>
  <si>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</si>
  <si>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</si>
  <si>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</si>
  <si>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</si>
  <si>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</si>
  <si>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</si>
  <si>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</si>
  <si>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</si>
  <si>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</si>
  <si>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</si>
  <si>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</si>
  <si>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</si>
  <si>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</si>
  <si>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</si>
  <si>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</si>
  <si>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</si>
  <si>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</si>
  <si>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</si>
  <si>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</si>
  <si>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</si>
  <si>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</si>
  <si>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</si>
  <si>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</si>
  <si>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</si>
  <si>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</si>
  <si>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</si>
  <si>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</si>
  <si>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</si>
  <si>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</si>
  <si>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</si>
  <si>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</si>
  <si>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</si>
  <si>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</si>
  <si>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</si>
  <si>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</si>
  <si>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</si>
  <si>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</si>
  <si>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</si>
  <si>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</si>
  <si>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</si>
  <si>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</si>
  <si>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</si>
  <si>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</si>
  <si>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</si>
  <si>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</si>
  <si>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</si>
  <si>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</si>
  <si>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</si>
  <si>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</si>
  <si>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</si>
  <si>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</si>
  <si>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</si>
  <si>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</si>
  <si>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</si>
  <si>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</si>
  <si>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</si>
  <si>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</si>
  <si>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</si>
  <si>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</si>
  <si>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</si>
  <si>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</si>
  <si>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</si>
  <si>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</si>
  <si>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</si>
  <si>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</si>
  <si>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</si>
  <si>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</si>
  <si>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</si>
  <si>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</si>
  <si>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</si>
  <si>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</si>
  <si>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</si>
  <si>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</si>
  <si>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</si>
  <si>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</si>
  <si>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</si>
  <si>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</si>
  <si>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</si>
  <si>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</si>
  <si>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</si>
  <si>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</si>
  <si>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</si>
  <si>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</si>
  <si>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</si>
  <si>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</si>
  <si>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</si>
  <si>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</si>
  <si>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</si>
  <si>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</si>
  <si>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</si>
  <si>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</si>
  <si>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</si>
  <si>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</si>
  <si>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</si>
  <si>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</si>
  <si>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</si>
  <si>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</si>
  <si>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</si>
  <si>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</si>
  <si>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</si>
  <si>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</si>
  <si>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</si>
  <si>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</si>
  <si>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</si>
  <si>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</si>
  <si>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</si>
  <si>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</si>
  <si>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</si>
  <si>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</si>
  <si>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</si>
  <si>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</si>
  <si>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</si>
  <si>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</si>
  <si>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</si>
  <si>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</si>
  <si>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</si>
  <si>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</si>
  <si>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</si>
  <si>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</si>
  <si>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</si>
  <si>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</si>
  <si>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</si>
  <si>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</si>
  <si>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</si>
  <si>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</si>
  <si>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</si>
  <si>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</si>
  <si>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</si>
  <si>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</si>
  <si>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</si>
  <si>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</si>
  <si>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</si>
  <si>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</si>
  <si>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</si>
  <si>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</si>
  <si>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</si>
  <si>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</si>
  <si>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</si>
  <si>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</si>
  <si>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</si>
  <si>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</si>
  <si>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</si>
  <si>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</si>
  <si>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</si>
  <si>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</si>
  <si>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</si>
  <si>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</si>
  <si>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</si>
  <si>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</si>
  <si>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</si>
  <si>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</si>
  <si>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</si>
  <si>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</si>
  <si>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</si>
  <si>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</si>
  <si>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</si>
  <si>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</si>
  <si>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</si>
  <si>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</si>
  <si>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</si>
  <si>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</si>
  <si>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</si>
  <si>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</si>
  <si>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</si>
  <si>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</si>
  <si>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</si>
  <si>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AF-S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</si>
  <si>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</si>
  <si>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</si>
  <si>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</si>
  <si>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</si>
  <si>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</si>
  <si>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</si>
  <si>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</si>
  <si>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</si>
  <si>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</si>
  <si>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</si>
  <si>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</si>
  <si>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</si>
  <si>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</si>
  <si>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</si>
  <si>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</si>
  <si>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</si>
  <si>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</si>
  <si>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</si>
  <si>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</si>
  <si>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</si>
  <si>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</si>
  <si>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</si>
  <si>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</si>
  <si>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</si>
  <si>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</si>
  <si>
    <t>Wie clearen? Max Zeile?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</si>
  <si>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</si>
  <si>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</si>
  <si>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</si>
  <si>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</si>
  <si>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</si>
  <si>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</si>
  <si>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</si>
  <si>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</si>
  <si>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</si>
  <si>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</si>
  <si>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</si>
  <si>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</si>
  <si>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</si>
  <si>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</si>
  <si>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</si>
  <si>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</si>
  <si>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</si>
  <si>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</si>
  <si>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</si>
  <si>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</si>
  <si>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</si>
  <si>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</si>
  <si>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</si>
  <si>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</si>
  <si>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</si>
  <si>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</si>
  <si>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</si>
  <si>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</si>
  <si>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</si>
  <si>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</si>
  <si>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</si>
  <si>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</si>
  <si>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</si>
  <si>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</si>
  <si>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</si>
  <si>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</si>
  <si>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</si>
  <si>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</si>
  <si>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</si>
  <si>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</si>
  <si>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</si>
  <si>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</si>
  <si>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</si>
  <si>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</si>
  <si>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</si>
  <si>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</si>
  <si>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</si>
  <si>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</si>
  <si>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</si>
  <si>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</si>
  <si>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</si>
  <si>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</si>
  <si>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</si>
  <si>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</si>
  <si>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</si>
  <si>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</si>
  <si>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</si>
  <si>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</si>
  <si>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</si>
  <si>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</si>
  <si>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</si>
  <si>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</si>
  <si>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</si>
  <si>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</si>
  <si>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</si>
  <si>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</si>
  <si>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</si>
  <si>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</si>
  <si>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</si>
  <si>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</si>
  <si>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</si>
  <si>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</si>
  <si>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</si>
  <si>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</si>
  <si>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</si>
  <si>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</si>
  <si>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</si>
  <si>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</si>
  <si>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</si>
  <si>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</si>
  <si>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</si>
  <si>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</si>
  <si>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</si>
  <si>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</si>
  <si>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</si>
  <si>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</si>
  <si>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</si>
  <si>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</si>
  <si>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</si>
  <si>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</si>
  <si>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</si>
  <si>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</si>
  <si>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</si>
  <si>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</si>
  <si>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</si>
  <si>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</si>
  <si>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</si>
  <si>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</si>
  <si>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</si>
  <si>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</si>
  <si>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</si>
  <si>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</si>
  <si>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</si>
  <si>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</si>
  <si>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</si>
  <si>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</si>
  <si>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</si>
  <si>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</si>
  <si>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</si>
  <si>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</si>
  <si>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</si>
  <si>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</si>
  <si>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</si>
  <si>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</si>
  <si>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</si>
  <si>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</si>
  <si>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</si>
  <si>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</si>
  <si>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</si>
  <si>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</si>
  <si>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</si>
  <si>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</si>
  <si>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</si>
  <si>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</si>
  <si>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</si>
  <si>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</si>
  <si>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</si>
  <si>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</si>
  <si>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</si>
  <si>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</si>
  <si>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</si>
  <si>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</si>
  <si>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</si>
  <si>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</si>
  <si>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</si>
  <si>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</si>
  <si>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</si>
  <si>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</si>
  <si>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</si>
  <si>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</si>
  <si>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</si>
  <si>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</si>
  <si>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</si>
  <si>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</si>
  <si>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</si>
  <si>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</si>
  <si>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</si>
  <si>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</si>
  <si>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</si>
  <si>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</si>
  <si>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</si>
  <si>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</si>
  <si>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</si>
  <si>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</si>
  <si>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</si>
  <si>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</si>
  <si>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</si>
  <si>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</si>
  <si>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</si>
  <si>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</si>
  <si>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</si>
  <si>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</si>
  <si>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</si>
  <si>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</si>
  <si>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</si>
  <si>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</si>
  <si>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</si>
  <si>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</si>
  <si>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</si>
  <si>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</si>
  <si>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</si>
  <si>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</si>
  <si>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</si>
  <si>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</si>
  <si>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</si>
  <si>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</si>
  <si>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</si>
  <si>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</si>
  <si>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</si>
  <si>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</si>
  <si>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</si>
  <si>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</si>
  <si>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</si>
  <si>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</si>
  <si>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</si>
  <si>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</si>
  <si>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</si>
  <si>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</si>
  <si>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</si>
  <si>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</si>
  <si>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</si>
  <si>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</si>
  <si>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</si>
  <si>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</si>
  <si>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</si>
  <si>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</si>
  <si>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</si>
  <si>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</si>
  <si>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</si>
  <si>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</si>
  <si>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</si>
  <si>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</si>
  <si>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</si>
  <si>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</si>
  <si>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</si>
  <si>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</si>
  <si>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</si>
  <si>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</si>
  <si>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</si>
  <si>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</si>
  <si>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</si>
  <si>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</si>
  <si>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</si>
  <si>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</si>
  <si>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</si>
  <si>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</si>
  <si>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</si>
  <si>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</si>
  <si>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</si>
  <si>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</si>
  <si>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</si>
  <si>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</si>
  <si>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</si>
  <si>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</si>
  <si>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</si>
  <si>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</si>
  <si>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</si>
  <si>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</si>
  <si>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</si>
  <si>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</si>
  <si>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</si>
  <si>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</si>
  <si>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</si>
  <si>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</si>
  <si>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</si>
  <si>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</si>
  <si>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</si>
  <si>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</si>
  <si>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</si>
  <si>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</si>
  <si>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</si>
  <si>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</si>
  <si>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</si>
  <si>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</si>
  <si>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</si>
  <si>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</si>
  <si>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</si>
  <si>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</si>
  <si>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</si>
  <si>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</si>
  <si>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</si>
  <si>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</si>
  <si>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</si>
  <si>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</si>
  <si>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</si>
  <si>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</si>
  <si>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</si>
  <si>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</si>
  <si>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</si>
  <si>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</si>
  <si>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</si>
  <si>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</si>
  <si>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</si>
  <si>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</si>
  <si>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</si>
  <si>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</si>
  <si>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</si>
  <si>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</si>
  <si>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</si>
  <si>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</si>
  <si>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</si>
  <si>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</si>
  <si>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</si>
  <si>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</si>
  <si>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</si>
  <si>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</si>
  <si>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</si>
  <si>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</si>
  <si>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</si>
  <si>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</si>
  <si>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</si>
  <si>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</si>
  <si>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</si>
  <si>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</si>
  <si>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</si>
  <si>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</si>
  <si>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</si>
  <si>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</si>
  <si>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</si>
  <si>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</si>
  <si>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</si>
  <si>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</si>
  <si>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</si>
  <si>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</si>
  <si>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</si>
  <si>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</si>
  <si>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</si>
  <si>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</si>
  <si>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</si>
  <si>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</si>
  <si>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</si>
  <si>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</si>
  <si>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</si>
  <si>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</si>
  <si>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</si>
  <si>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</si>
  <si>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</si>
  <si>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</si>
  <si>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</si>
  <si>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</si>
  <si>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</si>
  <si>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</si>
  <si>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</si>
  <si>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</si>
  <si>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</si>
  <si>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</si>
  <si>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</si>
  <si>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</si>
  <si>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</si>
  <si>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</si>
  <si>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</si>
  <si>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</si>
  <si>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</si>
  <si>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</si>
  <si>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</si>
  <si>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</si>
  <si>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</si>
  <si>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</si>
  <si>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</si>
  <si>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</si>
  <si>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</si>
  <si>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</si>
  <si>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</si>
  <si>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</si>
  <si>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</si>
  <si>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</si>
  <si>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</si>
  <si>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</si>
  <si>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</si>
  <si>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</si>
  <si>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</si>
  <si>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</si>
  <si>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</si>
  <si>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</si>
  <si>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</si>
  <si>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</si>
  <si>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</si>
  <si>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</si>
  <si>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</si>
  <si>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</si>
  <si>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</si>
  <si>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</si>
  <si>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</si>
  <si>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</si>
  <si>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</si>
  <si>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</si>
  <si>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</si>
  <si>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</si>
  <si>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</si>
  <si>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</si>
  <si>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</si>
  <si>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</si>
  <si>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</si>
  <si>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</si>
  <si>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</si>
  <si>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</si>
  <si>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</si>
  <si>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</si>
  <si>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</si>
  <si>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</si>
  <si>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</si>
  <si>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</si>
  <si>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</si>
  <si>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</si>
  <si>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</si>
  <si>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</si>
  <si>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</si>
  <si>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</si>
  <si>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</si>
  <si>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</si>
  <si>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</si>
  <si>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</si>
  <si>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</si>
  <si>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</si>
  <si>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</si>
  <si>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</si>
  <si>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</si>
  <si>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</si>
  <si>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</si>
  <si>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</si>
  <si>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</si>
  <si>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</si>
  <si>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</si>
  <si>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</si>
  <si>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</si>
  <si>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</si>
  <si>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</si>
  <si>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</si>
  <si>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</si>
  <si>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</si>
  <si>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</si>
  <si>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</si>
  <si>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</si>
  <si>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</si>
  <si>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</si>
  <si>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</si>
  <si>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</si>
  <si>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</si>
  <si>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</si>
  <si>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</si>
  <si>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</si>
  <si>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</si>
  <si>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</si>
  <si>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</si>
  <si>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</si>
  <si>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</si>
  <si>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</si>
  <si>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</si>
  <si>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</si>
  <si>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</si>
  <si>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</si>
  <si>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</si>
  <si>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</si>
  <si>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</si>
  <si>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</si>
  <si>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</si>
  <si>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</si>
  <si>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</si>
  <si>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</si>
  <si>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</si>
  <si>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</si>
  <si>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</si>
  <si>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</si>
  <si>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</si>
  <si>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</si>
  <si>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</si>
  <si>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</si>
  <si>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</si>
  <si>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</si>
  <si>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</si>
  <si>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</si>
  <si>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</si>
  <si>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</si>
  <si>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</si>
  <si>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</si>
  <si>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</si>
  <si>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</si>
  <si>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</si>
  <si>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</si>
  <si>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</si>
  <si>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</si>
  <si>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</si>
  <si>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</si>
  <si>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</si>
  <si>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</si>
  <si>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</si>
  <si>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</si>
  <si>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</si>
  <si>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</si>
  <si>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</si>
  <si>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</si>
  <si>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</si>
  <si>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</si>
  <si>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</si>
  <si>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</si>
  <si>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</si>
  <si>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</si>
  <si>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</si>
  <si>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</si>
  <si>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</si>
  <si>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</si>
  <si>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</si>
  <si>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</si>
  <si>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</si>
  <si>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</si>
  <si>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</si>
  <si>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</si>
  <si>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</si>
  <si>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</si>
  <si>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</si>
  <si>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</si>
  <si>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</si>
  <si>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</si>
  <si>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</si>
  <si>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</si>
  <si>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</si>
  <si>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</si>
  <si>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</si>
  <si>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</si>
  <si>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</si>
  <si>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</si>
  <si>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</si>
  <si>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</si>
  <si>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</si>
  <si>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</si>
  <si>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</si>
  <si>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</si>
  <si>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</si>
  <si>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</si>
  <si>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</si>
  <si>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</si>
  <si>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</si>
  <si>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</si>
  <si>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</si>
  <si>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</si>
  <si>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</si>
  <si>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</si>
  <si>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</si>
  <si>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</si>
  <si>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</si>
  <si>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</si>
  <si>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</si>
  <si>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</si>
  <si>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</si>
  <si>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</si>
  <si>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</si>
  <si>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</si>
  <si>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</si>
  <si>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</si>
  <si>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</si>
  <si>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</si>
  <si>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</si>
  <si>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</si>
  <si>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</si>
  <si>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</si>
  <si>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</si>
  <si>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</si>
  <si>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</si>
  <si>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</si>
  <si>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</si>
  <si>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</si>
  <si>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</si>
  <si>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</si>
  <si>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</si>
  <si>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</si>
  <si>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</si>
  <si>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</si>
  <si>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</si>
  <si>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</si>
  <si>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</si>
  <si>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</si>
  <si>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</si>
  <si>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</si>
  <si>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</si>
  <si>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</si>
  <si>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</si>
  <si>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</si>
  <si>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</si>
  <si>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</si>
  <si>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</si>
  <si>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</si>
  <si>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</si>
  <si>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</si>
  <si>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</si>
  <si>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</si>
  <si>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</si>
  <si>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</si>
  <si>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</si>
  <si>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</si>
  <si>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</si>
  <si>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</si>
  <si>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</si>
  <si>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</si>
  <si>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</si>
  <si>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</si>
  <si>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</si>
  <si>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</si>
  <si>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</si>
  <si>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</si>
  <si>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</si>
  <si>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</si>
  <si>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</si>
  <si>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</si>
  <si>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</si>
  <si>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</si>
  <si>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</si>
  <si>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</si>
  <si>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</si>
  <si>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</si>
  <si>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</si>
  <si>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</si>
  <si>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</si>
  <si>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</si>
  <si>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</si>
  <si>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</si>
  <si>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</si>
  <si>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</si>
  <si>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</si>
  <si>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</si>
  <si>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</si>
  <si>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</si>
  <si>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</si>
  <si>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</si>
  <si>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</si>
  <si>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</si>
  <si>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</si>
  <si>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</si>
  <si>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</si>
  <si>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</si>
  <si>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</si>
  <si>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</si>
  <si>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</si>
  <si>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</si>
  <si>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</si>
  <si>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</si>
  <si>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</si>
  <si>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</si>
  <si>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</si>
  <si>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</si>
  <si>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</si>
  <si>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</si>
  <si>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</si>
  <si>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</si>
  <si>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</si>
  <si>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</si>
  <si>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</si>
  <si>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</si>
  <si>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</si>
  <si>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</si>
  <si>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</si>
  <si>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</si>
  <si>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</si>
  <si>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</si>
  <si>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</si>
  <si>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</si>
  <si>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</si>
  <si>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</si>
  <si>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</si>
  <si>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</si>
  <si>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</si>
  <si>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</si>
  <si>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</si>
  <si>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</si>
  <si>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</si>
  <si>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</si>
  <si>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</si>
  <si>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</si>
  <si>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</si>
  <si>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</si>
  <si>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</si>
  <si>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</si>
  <si>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</si>
  <si>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</si>
  <si>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</si>
  <si>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</si>
  <si>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</si>
  <si>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</si>
  <si>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</si>
  <si>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</si>
  <si>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</si>
  <si>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</si>
  <si>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</si>
  <si>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</si>
  <si>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</si>
  <si>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</si>
  <si>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</si>
  <si>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</si>
  <si>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</si>
  <si>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</si>
  <si>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</si>
  <si>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</si>
  <si>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</si>
  <si>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</si>
  <si>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</si>
  <si>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</si>
  <si>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</si>
  <si>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</si>
  <si>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</si>
  <si>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</si>
  <si>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</si>
  <si>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</si>
  <si>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</si>
  <si>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</si>
  <si>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</si>
  <si>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</si>
  <si>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</si>
  <si>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</si>
  <si>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</si>
  <si>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</si>
  <si>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</si>
  <si>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</si>
  <si>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</si>
  <si>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</si>
  <si>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</si>
  <si>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</si>
  <si>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</si>
  <si>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</si>
  <si>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</si>
  <si>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</si>
  <si>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</si>
  <si>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</si>
  <si>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</si>
  <si>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</si>
  <si>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</si>
  <si>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</si>
  <si>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</si>
  <si>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</si>
  <si>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</si>
  <si>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</si>
  <si>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</si>
  <si>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</si>
  <si>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</si>
  <si>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</si>
  <si>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</si>
  <si>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</si>
  <si>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</si>
  <si>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</si>
  <si>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</si>
  <si>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</si>
  <si>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</si>
  <si>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</si>
  <si>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</si>
  <si>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</si>
  <si>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</si>
  <si>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</si>
  <si>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</si>
  <si>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</si>
  <si>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</si>
  <si>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</si>
  <si>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</si>
  <si>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</si>
  <si>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</si>
  <si>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</si>
  <si>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</si>
  <si>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</si>
  <si>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</si>
  <si>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</si>
  <si>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</si>
  <si>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</si>
  <si>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</si>
  <si>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</si>
  <si>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</si>
  <si>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</si>
  <si>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</si>
  <si>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</si>
  <si>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</si>
  <si>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</si>
  <si>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</si>
  <si>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</si>
  <si>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</si>
  <si>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</si>
  <si>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</si>
  <si>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</si>
  <si>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</si>
  <si>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</si>
  <si>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</si>
  <si>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</si>
  <si>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</si>
  <si>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</si>
  <si>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</si>
  <si>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</si>
  <si>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</si>
  <si>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</si>
  <si>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</si>
  <si>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</si>
  <si>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</si>
  <si>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</si>
  <si>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</si>
  <si>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</si>
  <si>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</si>
  <si>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</si>
  <si>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</si>
  <si>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</si>
  <si>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</si>
  <si>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</si>
  <si>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</si>
  <si>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</si>
  <si>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</si>
  <si>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</si>
  <si>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</si>
  <si>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</si>
  <si>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</si>
  <si>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</si>
  <si>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</si>
  <si>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</si>
  <si>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</si>
  <si>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</si>
  <si>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</si>
  <si>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</si>
  <si>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</si>
  <si>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</si>
  <si>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</si>
  <si>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</si>
  <si>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</si>
  <si>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</si>
  <si>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</si>
  <si>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</si>
  <si>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</si>
  <si>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</si>
  <si>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</si>
  <si>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</si>
  <si>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</si>
  <si>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</si>
  <si>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</si>
  <si>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</si>
  <si>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</si>
  <si>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</si>
  <si>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</si>
  <si>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</si>
  <si>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</si>
  <si>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</si>
  <si>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</si>
  <si>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</si>
  <si>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</si>
  <si>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</si>
  <si>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</si>
  <si>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</si>
  <si>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</si>
  <si>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</si>
  <si>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</si>
  <si>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</si>
  <si>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</si>
  <si>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</si>
  <si>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</si>
  <si>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</si>
  <si>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</si>
  <si>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</si>
  <si>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</si>
  <si>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</si>
  <si>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</si>
  <si>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</si>
  <si>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</si>
  <si>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</si>
  <si>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</si>
  <si>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</si>
  <si>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</si>
  <si>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</si>
  <si>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</si>
  <si>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</si>
  <si>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</si>
  <si>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</si>
  <si>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</si>
  <si>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</si>
  <si>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</si>
  <si>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</si>
  <si>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</si>
  <si>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</si>
  <si>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</si>
  <si>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</si>
  <si>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</si>
  <si>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</si>
  <si>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</si>
  <si>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</si>
  <si>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</si>
  <si>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</si>
  <si>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</si>
  <si>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</si>
  <si>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</si>
  <si>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</si>
  <si>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</si>
  <si>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</si>
  <si>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</si>
  <si>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</si>
  <si>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</si>
  <si>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</si>
  <si>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</si>
  <si>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</si>
  <si>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</si>
  <si>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</si>
  <si>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</si>
  <si>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</si>
  <si>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</si>
  <si>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</si>
  <si>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</si>
  <si>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</si>
  <si>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</si>
  <si>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</si>
  <si>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</si>
  <si>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</si>
  <si>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</si>
  <si>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</si>
  <si>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</si>
  <si>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</si>
  <si>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</si>
  <si>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</si>
  <si>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</si>
  <si>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</si>
  <si>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</si>
  <si>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</si>
  <si>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</si>
  <si>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</si>
  <si>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</si>
  <si>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</si>
  <si>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</si>
  <si>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</si>
  <si>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</si>
  <si>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</si>
  <si>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</si>
  <si>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</si>
  <si>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</si>
  <si>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</si>
  <si>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</si>
  <si>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</si>
  <si>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</si>
  <si>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</si>
  <si>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</si>
  <si>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</si>
  <si>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</si>
  <si>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</si>
  <si>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</si>
  <si>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</si>
  <si>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</si>
  <si>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</si>
  <si>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</si>
  <si>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</si>
  <si>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</si>
  <si>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</si>
  <si>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</si>
  <si>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</si>
  <si>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</si>
  <si>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</si>
  <si>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</si>
  <si>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</si>
  <si>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</si>
  <si>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</si>
  <si>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</si>
  <si>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</si>
  <si>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</si>
  <si>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</si>
  <si>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</si>
  <si>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</si>
  <si>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</si>
  <si>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</si>
  <si>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</si>
  <si>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</si>
  <si>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</si>
  <si>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</si>
  <si>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</si>
  <si>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</si>
  <si>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</si>
  <si>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</si>
  <si>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</si>
  <si>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</si>
  <si>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</si>
  <si>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</si>
  <si>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</si>
  <si>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</si>
  <si>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</si>
  <si>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</si>
  <si>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</si>
  <si>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</si>
  <si>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</si>
  <si>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</si>
  <si>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</si>
  <si>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</si>
  <si>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</si>
  <si>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</si>
  <si>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</si>
  <si>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</si>
  <si>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</si>
  <si>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</si>
  <si>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</si>
  <si>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</si>
  <si>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</si>
  <si>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</si>
  <si>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</si>
  <si>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</si>
  <si>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</si>
  <si>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</si>
  <si>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</si>
  <si>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</si>
  <si>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</si>
  <si>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</si>
  <si>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</si>
  <si>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</si>
  <si>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</si>
  <si>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</si>
  <si>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</si>
  <si>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</si>
  <si>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</si>
  <si>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</si>
  <si>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</si>
  <si>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</si>
  <si>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</si>
  <si>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</si>
  <si>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</si>
  <si>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</si>
  <si>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</si>
  <si>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</si>
  <si>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</si>
  <si>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</si>
  <si>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</si>
  <si>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</si>
  <si>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</si>
  <si>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</si>
  <si>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</si>
  <si>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</si>
  <si>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</si>
  <si>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</si>
  <si>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</si>
  <si>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</si>
  <si>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</si>
  <si>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</si>
  <si>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</si>
  <si>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</si>
  <si>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</si>
  <si>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</si>
  <si>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</si>
  <si>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</si>
  <si>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</si>
  <si>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</si>
  <si>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</si>
  <si>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</si>
  <si>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</si>
  <si>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</si>
  <si>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</si>
  <si>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</si>
  <si>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</si>
  <si>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</si>
  <si>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</si>
  <si>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</si>
  <si>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</si>
  <si>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</si>
  <si>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</si>
  <si>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</si>
  <si>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</si>
  <si>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</si>
  <si>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</si>
  <si>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</si>
  <si>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</si>
  <si>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</si>
  <si>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</si>
  <si>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</si>
  <si>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</si>
  <si>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</si>
  <si>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</si>
  <si>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</si>
  <si>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</si>
  <si>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</si>
  <si>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</si>
  <si>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</si>
  <si>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</si>
  <si>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</si>
  <si>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</si>
  <si>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</si>
  <si>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</si>
  <si>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</si>
  <si>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</si>
  <si>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</si>
  <si>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</si>
  <si>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</si>
  <si>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</si>
  <si>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</si>
  <si>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</si>
  <si>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</si>
  <si>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</si>
  <si>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</si>
  <si>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</si>
  <si>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</si>
  <si>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</si>
  <si>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</si>
  <si>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</si>
  <si>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</si>
  <si>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</si>
  <si>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</si>
  <si>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</si>
  <si>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</si>
  <si>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</si>
  <si>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</si>
  <si>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</si>
  <si>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</si>
  <si>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</si>
  <si>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</si>
  <si>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</si>
  <si>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</si>
  <si>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</si>
  <si>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</si>
  <si>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</si>
  <si>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</si>
  <si>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</si>
  <si>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</si>
  <si>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</si>
  <si>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</si>
  <si>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</si>
  <si>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</si>
  <si>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</si>
  <si>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</si>
  <si>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</si>
  <si>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</si>
  <si>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</si>
  <si>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</si>
  <si>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</si>
  <si>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</si>
  <si>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</si>
  <si>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</si>
  <si>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</si>
  <si>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</si>
  <si>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</si>
  <si>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</si>
  <si>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</si>
  <si>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</si>
  <si>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</si>
  <si>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</si>
  <si>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</si>
  <si>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</si>
  <si>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</si>
  <si>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</si>
  <si>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</si>
  <si>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</si>
  <si>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</si>
  <si>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</si>
  <si>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</si>
  <si>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</si>
  <si>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</si>
  <si>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</si>
  <si>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</si>
  <si>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</si>
  <si>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</si>
  <si>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</si>
  <si>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</si>
  <si>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</si>
  <si>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</si>
  <si>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</si>
  <si>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</si>
  <si>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</si>
  <si>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</si>
  <si>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</si>
  <si>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</si>
  <si>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</si>
  <si>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</si>
  <si>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</si>
  <si>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</si>
  <si>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</si>
  <si>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</si>
  <si>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</si>
  <si>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</si>
  <si>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</si>
  <si>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</si>
  <si>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</si>
  <si>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</si>
  <si>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</si>
  <si>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</si>
  <si>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</si>
  <si>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</si>
  <si>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</si>
  <si>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</si>
  <si>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</si>
  <si>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</si>
  <si>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</si>
  <si>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</si>
  <si>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</si>
  <si>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</si>
  <si>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</si>
  <si>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</si>
  <si>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</si>
  <si>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</si>
  <si>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</si>
  <si>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</si>
  <si>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</si>
  <si>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</si>
  <si>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</si>
  <si>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</si>
  <si>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</si>
  <si>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</si>
  <si>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</si>
  <si>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</si>
  <si>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</si>
  <si>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</si>
  <si>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</si>
  <si>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</si>
  <si>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</si>
  <si>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</si>
  <si>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</si>
  <si>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</si>
  <si>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</si>
  <si>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</si>
  <si>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</si>
  <si>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</si>
  <si>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</si>
  <si>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</si>
  <si>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</si>
  <si>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</si>
  <si>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</si>
  <si>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</si>
  <si>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</si>
  <si>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</si>
  <si>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</si>
  <si>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</si>
  <si>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</si>
  <si>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</si>
  <si>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</si>
  <si>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</si>
  <si>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</si>
  <si>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</si>
  <si>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</si>
  <si>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</si>
  <si>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</si>
  <si>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</si>
  <si>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</si>
  <si>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</si>
  <si>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</si>
  <si>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</si>
  <si>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</si>
  <si>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</si>
  <si>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</si>
  <si>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</si>
  <si>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</si>
  <si>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</si>
  <si>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</si>
  <si>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</si>
  <si>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</si>
  <si>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</si>
  <si>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</si>
  <si>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</si>
  <si>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</si>
  <si>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</si>
  <si>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</si>
  <si>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</si>
  <si>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</si>
  <si>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</si>
  <si>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</si>
  <si>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</si>
  <si>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</si>
  <si>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</si>
  <si>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</si>
  <si>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</si>
  <si>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</si>
  <si>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</si>
  <si>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</si>
  <si>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</si>
  <si>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</si>
  <si>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</si>
  <si>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</si>
  <si>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</si>
  <si>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</si>
  <si>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</si>
  <si>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</si>
  <si>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</si>
  <si>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</si>
  <si>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</si>
  <si>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</si>
  <si>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</si>
  <si>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</si>
  <si>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</si>
  <si>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</si>
  <si>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</si>
  <si>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</si>
  <si>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</si>
  <si>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</si>
  <si>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</si>
  <si>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</si>
  <si>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</si>
  <si>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</si>
  <si>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</si>
  <si>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</si>
  <si>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</si>
  <si>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</si>
  <si>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</si>
  <si>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</si>
  <si>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</si>
  <si>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</si>
  <si>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</si>
  <si>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</si>
  <si>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</si>
  <si>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</si>
  <si>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</si>
  <si>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</si>
  <si>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</si>
  <si>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</si>
  <si>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</si>
  <si>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</si>
  <si>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</si>
  <si>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</si>
  <si>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</si>
  <si>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</si>
  <si>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</si>
  <si>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</si>
  <si>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</si>
  <si>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</si>
  <si>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</si>
  <si>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</si>
  <si>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</si>
  <si>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</si>
  <si>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</si>
  <si>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</si>
  <si>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</si>
  <si>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</si>
  <si>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</si>
  <si>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</si>
  <si>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</si>
  <si>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</si>
  <si>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</si>
  <si>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</si>
  <si>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</si>
  <si>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</si>
  <si>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</si>
  <si>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</si>
  <si>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</si>
  <si>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</si>
  <si>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</si>
  <si>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</si>
  <si>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</si>
  <si>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</si>
  <si>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</si>
  <si>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</si>
  <si>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</si>
  <si>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</si>
  <si>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</si>
  <si>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</si>
  <si>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</si>
  <si>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</si>
  <si>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</si>
  <si>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</si>
  <si>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</si>
  <si>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</si>
  <si>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</si>
  <si>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</si>
  <si>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</si>
  <si>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</si>
  <si>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</si>
  <si>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</si>
  <si>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</si>
  <si>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</si>
  <si>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</si>
  <si>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</si>
  <si>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</si>
  <si>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</si>
  <si>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</si>
  <si>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</si>
  <si>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</si>
  <si>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</si>
  <si>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</si>
  <si>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</si>
  <si>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</si>
  <si>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</si>
  <si>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</si>
  <si>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</si>
  <si>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</si>
  <si>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</si>
  <si>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</si>
  <si>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</si>
  <si>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</si>
  <si>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</si>
  <si>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</si>
  <si>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</si>
  <si>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</si>
  <si>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</si>
  <si>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</si>
  <si>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</si>
  <si>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</si>
  <si>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</si>
  <si>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</si>
  <si>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</si>
  <si>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</si>
  <si>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</si>
  <si>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</si>
  <si>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</si>
  <si>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</si>
  <si>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</si>
  <si>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</si>
  <si>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</si>
  <si>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</si>
  <si>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</si>
  <si>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</si>
  <si>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</si>
  <si>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</si>
  <si>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</si>
  <si>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</si>
  <si>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</si>
  <si>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</si>
  <si>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</si>
  <si>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</si>
  <si>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</si>
  <si>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</si>
  <si>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</si>
  <si>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</si>
  <si>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</si>
  <si>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</si>
  <si>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</si>
  <si>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</si>
  <si>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</si>
  <si>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</si>
  <si>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</si>
  <si>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</si>
  <si>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</si>
  <si>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</si>
  <si>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</si>
  <si>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</si>
  <si>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</si>
  <si>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</si>
  <si>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</si>
  <si>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</si>
  <si>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</si>
  <si>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</si>
  <si>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</si>
  <si>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</si>
  <si>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</si>
  <si>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</si>
  <si>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</si>
  <si>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</si>
  <si>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</si>
  <si>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</si>
  <si>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</si>
  <si>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</si>
  <si>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</si>
  <si>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</si>
  <si>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</si>
  <si>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</si>
  <si>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</si>
  <si>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</si>
  <si>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</si>
  <si>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</si>
  <si>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</si>
  <si>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</si>
  <si>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</si>
  <si>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</si>
  <si>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</si>
  <si>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</si>
  <si>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</si>
  <si>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</si>
  <si>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</si>
  <si>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</si>
  <si>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</si>
  <si>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</si>
  <si>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</si>
  <si>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</si>
  <si>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</si>
  <si>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</si>
  <si>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</si>
  <si>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</si>
  <si>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</si>
  <si>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</si>
  <si>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</si>
  <si>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</si>
  <si>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</si>
  <si>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</si>
  <si>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</si>
  <si>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</si>
  <si>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</si>
  <si>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</si>
  <si>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</si>
  <si>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</si>
  <si>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</si>
  <si>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</si>
  <si>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</si>
  <si>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</si>
  <si>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</si>
  <si>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</si>
  <si>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</si>
  <si>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</si>
  <si>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</si>
  <si>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</si>
  <si>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</si>
  <si>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</si>
  <si>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</si>
  <si>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</si>
  <si>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</si>
  <si>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</si>
  <si>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</si>
  <si>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</si>
  <si>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</si>
  <si>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</si>
  <si>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</si>
  <si>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</si>
  <si>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</si>
  <si>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</si>
  <si>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</si>
  <si>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</si>
  <si>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</si>
  <si>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</si>
  <si>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</si>
  <si>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</si>
  <si>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</si>
  <si>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</si>
  <si>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</si>
  <si>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</si>
  <si>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</si>
  <si>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</si>
  <si>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</si>
  <si>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</si>
  <si>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</si>
  <si>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</si>
  <si>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</si>
  <si>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</si>
  <si>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</si>
  <si>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</si>
  <si>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</si>
  <si>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</si>
  <si>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</si>
  <si>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</si>
  <si>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</si>
  <si>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</si>
  <si>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</si>
  <si>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</si>
  <si>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</si>
  <si>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</si>
  <si>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</si>
  <si>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</si>
  <si>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</si>
  <si>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</si>
  <si>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</si>
  <si>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</si>
  <si>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</si>
  <si>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</si>
  <si>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</si>
  <si>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</si>
  <si>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</si>
  <si>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</si>
  <si>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</si>
  <si>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</si>
  <si>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</si>
  <si>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</si>
  <si>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</si>
  <si>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</si>
  <si>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</si>
  <si>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</si>
  <si>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</si>
  <si>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</si>
  <si>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</si>
  <si>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</si>
  <si>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</si>
  <si>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</si>
  <si>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</si>
  <si>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</si>
  <si>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</si>
  <si>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</si>
  <si>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</si>
  <si>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</si>
  <si>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</si>
  <si>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</si>
  <si>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</si>
  <si>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</si>
  <si>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</si>
  <si>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</si>
  <si>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</si>
  <si>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</si>
  <si>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</si>
  <si>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</si>
  <si>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</si>
  <si>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</si>
  <si>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</si>
  <si>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</si>
  <si>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</si>
  <si>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</si>
  <si>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</si>
  <si>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</si>
  <si>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</si>
  <si>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</si>
  <si>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</si>
  <si>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</si>
  <si>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</si>
  <si>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</si>
  <si>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</si>
  <si>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</si>
  <si>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</si>
  <si>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</si>
  <si>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</si>
  <si>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</si>
  <si>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</si>
  <si>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</si>
  <si>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</si>
  <si>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</si>
  <si>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</si>
  <si>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</si>
  <si>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</si>
  <si>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</si>
  <si>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</si>
  <si>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</si>
  <si>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</si>
  <si>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</si>
  <si>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</si>
  <si>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</si>
  <si>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</si>
  <si>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</si>
  <si>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</si>
  <si>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</si>
  <si>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</si>
  <si>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</si>
  <si>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</si>
  <si>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</si>
  <si>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</si>
  <si>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</si>
  <si>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</si>
  <si>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</si>
  <si>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</si>
  <si>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</si>
  <si>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</si>
  <si>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</si>
  <si>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</si>
  <si>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</si>
  <si>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</si>
  <si>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</si>
  <si>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</si>
  <si>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</si>
  <si>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</si>
  <si>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</si>
  <si>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</si>
  <si>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</si>
  <si>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</si>
  <si>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</si>
  <si>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</si>
  <si>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</si>
  <si>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</si>
  <si>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</si>
  <si>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</si>
  <si>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</si>
  <si>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</si>
  <si>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</si>
  <si>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</si>
  <si>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</si>
  <si>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</si>
  <si>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</si>
  <si>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</si>
  <si>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</si>
  <si>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</si>
  <si>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</si>
  <si>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</si>
  <si>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</si>
  <si>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</si>
  <si>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</si>
  <si>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</si>
  <si>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</si>
  <si>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</si>
  <si>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</si>
  <si>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</si>
  <si>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</si>
  <si>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</si>
  <si>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</si>
  <si>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</si>
  <si>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</si>
  <si>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</si>
  <si>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</si>
  <si>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</si>
  <si>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</si>
  <si>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</si>
  <si>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</si>
  <si>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</si>
  <si>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</si>
  <si>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</si>
  <si>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</si>
  <si>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</si>
  <si>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</si>
  <si>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</si>
  <si>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</si>
  <si>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</si>
  <si>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</si>
  <si>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</si>
  <si>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</si>
  <si>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</si>
  <si>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</si>
  <si>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</si>
  <si>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</si>
  <si>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</si>
  <si>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</si>
  <si>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</si>
  <si>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</si>
  <si>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</si>
  <si>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</si>
  <si>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</si>
  <si>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</si>
  <si>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</si>
  <si>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</si>
  <si>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</si>
  <si>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</si>
  <si>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</si>
  <si>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</si>
  <si>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</si>
  <si>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</si>
  <si>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</si>
  <si>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</si>
  <si>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</si>
  <si>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</si>
  <si>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</si>
  <si>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</si>
  <si>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</si>
  <si>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</si>
  <si>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</si>
  <si>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</si>
  <si>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</si>
  <si>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</si>
  <si>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</si>
  <si>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</si>
  <si>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</si>
  <si>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</si>
  <si>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</si>
  <si>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</si>
  <si>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</si>
  <si>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</si>
  <si>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</si>
  <si>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</si>
  <si>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</si>
  <si>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</si>
  <si>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</si>
  <si>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</si>
  <si>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</si>
  <si>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</si>
  <si>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</si>
  <si>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</si>
  <si>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</si>
  <si>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</si>
  <si>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</si>
  <si>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</si>
  <si>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</si>
  <si>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</si>
  <si>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</si>
  <si>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</si>
  <si>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</si>
  <si>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</si>
  <si>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</si>
  <si>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</si>
  <si>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</si>
  <si>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</si>
  <si>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</si>
  <si>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</si>
  <si>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</si>
  <si>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</si>
  <si>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</si>
  <si>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</si>
  <si>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</si>
  <si>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</si>
  <si>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</si>
  <si>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</si>
  <si>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</si>
  <si>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</si>
  <si>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</si>
  <si>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</si>
  <si>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</si>
  <si>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</si>
  <si>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</si>
  <si>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</si>
  <si>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</si>
  <si>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</si>
  <si>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</si>
  <si>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</si>
  <si>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</si>
  <si>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</si>
  <si>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</si>
  <si>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</si>
  <si>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</si>
  <si>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</si>
  <si>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</si>
  <si>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</si>
  <si>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</si>
  <si>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</si>
  <si>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</si>
  <si>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</si>
  <si>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</si>
  <si>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</si>
  <si>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</si>
  <si>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</si>
  <si>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</si>
  <si>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</si>
  <si>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</si>
  <si>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</si>
  <si>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</si>
  <si>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</si>
  <si>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</si>
  <si>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</si>
  <si>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</si>
  <si>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</si>
  <si>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</si>
  <si>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</si>
  <si>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</si>
  <si>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</si>
  <si>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</si>
  <si>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</si>
  <si>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</si>
  <si>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</si>
  <si>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</si>
  <si>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</si>
  <si>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</si>
  <si>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</si>
  <si>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</si>
  <si>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</si>
  <si>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</si>
  <si>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</si>
  <si>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</si>
  <si>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</si>
  <si>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</si>
  <si>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</si>
  <si>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</si>
  <si>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</si>
  <si>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</si>
  <si>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</si>
  <si>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</si>
  <si>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</si>
  <si>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</si>
  <si>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</si>
  <si>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</si>
  <si>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</si>
  <si>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</si>
  <si>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</si>
  <si>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</si>
  <si>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</si>
  <si>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</si>
  <si>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</si>
  <si>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</si>
  <si>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</si>
  <si>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</si>
  <si>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</si>
  <si>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</si>
  <si>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</si>
  <si>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</si>
  <si>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</si>
  <si>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</si>
  <si>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</si>
  <si>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</si>
  <si>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</si>
  <si>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</si>
  <si>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</si>
  <si>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</si>
  <si>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</si>
  <si>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</si>
  <si>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</si>
  <si>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</si>
  <si>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</si>
  <si>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</si>
  <si>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</si>
  <si>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</si>
  <si>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</si>
  <si>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</si>
  <si>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</si>
  <si>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</si>
  <si>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</si>
  <si>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</si>
  <si>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</si>
  <si>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</si>
  <si>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</si>
  <si>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</si>
  <si>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</si>
  <si>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</si>
  <si>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</si>
  <si>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</si>
  <si>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</si>
  <si>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</si>
  <si>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</si>
  <si>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</si>
  <si>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</si>
  <si>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</si>
  <si>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</si>
  <si>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</si>
  <si>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</si>
  <si>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</si>
  <si>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</si>
  <si>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</si>
  <si>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</si>
  <si>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</si>
  <si>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</si>
  <si>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</si>
  <si>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</si>
  <si>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</si>
  <si>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</si>
  <si>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</si>
  <si>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</si>
  <si>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</si>
  <si>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</si>
  <si>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</si>
  <si>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</si>
  <si>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</si>
  <si>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</si>
  <si>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</si>
  <si>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</si>
  <si>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</si>
  <si>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</si>
  <si>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</si>
  <si>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</si>
  <si>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</si>
  <si>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</si>
  <si>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</si>
  <si>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</si>
  <si>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</si>
  <si>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</si>
  <si>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</si>
  <si>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</si>
  <si>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</si>
  <si>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</si>
  <si>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</si>
  <si>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</si>
  <si>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</si>
  <si>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</si>
  <si>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</si>
  <si>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</si>
  <si>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</si>
  <si>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</si>
  <si>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</si>
  <si>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</si>
  <si>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</si>
  <si>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</si>
  <si>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</si>
  <si>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</si>
  <si>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</si>
  <si>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</si>
  <si>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</si>
  <si>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</si>
  <si>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</si>
  <si>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</si>
  <si>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</si>
  <si>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</si>
  <si>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</si>
  <si>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</si>
  <si>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</si>
  <si>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</si>
  <si>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</si>
  <si>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</si>
  <si>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</si>
  <si>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</si>
  <si>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</si>
  <si>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</si>
  <si>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</si>
  <si>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</si>
  <si>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</si>
  <si>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</si>
  <si>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</si>
  <si>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</si>
  <si>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</si>
  <si>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</si>
  <si>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</si>
  <si>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</si>
  <si>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</si>
  <si>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</si>
  <si>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</si>
  <si>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</si>
  <si>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</si>
  <si>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</si>
  <si>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</si>
  <si>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</si>
  <si>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</si>
  <si>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</si>
  <si>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</si>
  <si>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</si>
  <si>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</si>
  <si>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</si>
  <si>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</si>
  <si>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</si>
  <si>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</si>
  <si>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</si>
  <si>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</si>
  <si>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</si>
  <si>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</si>
  <si>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</si>
  <si>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</si>
  <si>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</si>
  <si>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</si>
  <si>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</si>
  <si>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</si>
  <si>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</si>
  <si>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</si>
  <si>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</si>
  <si>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</si>
  <si>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</si>
  <si>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</si>
  <si>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</si>
  <si>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</si>
  <si>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</si>
  <si>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</si>
  <si>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</si>
  <si>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</si>
  <si>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</si>
  <si>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</si>
  <si>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</si>
  <si>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</si>
  <si>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</si>
  <si>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</si>
  <si>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</si>
  <si>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</si>
  <si>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</si>
  <si>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</si>
  <si>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</si>
  <si>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</si>
  <si>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</si>
  <si>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</si>
  <si>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</si>
  <si>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</si>
  <si>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</si>
  <si>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</si>
  <si>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</si>
  <si>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</si>
  <si>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</si>
  <si>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</si>
  <si>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</si>
  <si>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</si>
  <si>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</si>
  <si>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</si>
  <si>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</si>
  <si>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</si>
  <si>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</si>
  <si>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</si>
  <si>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</si>
  <si>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</si>
  <si>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</si>
  <si>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</si>
  <si>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</si>
  <si>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</si>
  <si>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</si>
  <si>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</si>
  <si>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</si>
  <si>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</si>
  <si>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</si>
  <si>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</si>
  <si>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</si>
  <si>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</si>
  <si>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</si>
  <si>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</si>
  <si>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</si>
  <si>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</si>
  <si>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</si>
  <si>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</si>
  <si>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</si>
  <si>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</si>
  <si>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</si>
  <si>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</si>
  <si>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</si>
  <si>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</si>
  <si>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</si>
  <si>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</si>
  <si>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</si>
  <si>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</si>
  <si>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</si>
  <si>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</si>
  <si>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</si>
  <si>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</si>
  <si>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</si>
  <si>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</si>
  <si>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</si>
  <si>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</si>
  <si>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</si>
  <si>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</si>
  <si>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</si>
  <si>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</si>
  <si>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</si>
  <si>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</si>
  <si>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</si>
  <si>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</si>
  <si>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</si>
  <si>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</si>
  <si>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</si>
  <si>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</si>
  <si>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</si>
  <si>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</si>
  <si>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</si>
  <si>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</si>
  <si>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</si>
  <si>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</si>
  <si>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</si>
  <si>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</si>
  <si>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</si>
  <si>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</si>
  <si>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</si>
  <si>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</si>
  <si>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</si>
  <si>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</si>
  <si>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</si>
  <si>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</si>
  <si>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</si>
  <si>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</si>
  <si>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</si>
  <si>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</si>
  <si>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</si>
  <si>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</si>
  <si>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</si>
  <si>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</si>
  <si>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</si>
  <si>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</si>
  <si>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</si>
  <si>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</si>
  <si>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</si>
  <si>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</si>
  <si>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</si>
  <si>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</si>
  <si>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</si>
  <si>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</si>
  <si>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</si>
  <si>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</si>
  <si>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</si>
  <si>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</si>
  <si>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</si>
  <si>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</si>
  <si>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</si>
  <si>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</si>
  <si>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</si>
  <si>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</si>
  <si>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</si>
  <si>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</si>
  <si>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</si>
  <si>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</si>
  <si>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</si>
  <si>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</si>
  <si>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</si>
  <si>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</si>
  <si>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</si>
  <si>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</si>
  <si>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</si>
  <si>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</si>
  <si>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</si>
  <si>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</si>
  <si>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</si>
  <si>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</si>
  <si>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</si>
  <si>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</si>
  <si>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</si>
  <si>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</si>
  <si>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</si>
  <si>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</si>
  <si>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</si>
  <si>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</si>
  <si>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</si>
  <si>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</si>
  <si>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</si>
  <si>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</si>
  <si>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</si>
  <si>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</si>
  <si>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</si>
  <si>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</si>
  <si>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</si>
  <si>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</si>
  <si>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</si>
  <si>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</si>
  <si>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</si>
  <si>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</si>
  <si>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</si>
  <si>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</si>
  <si>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</si>
  <si>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</si>
  <si>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</si>
  <si>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</si>
  <si>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</si>
  <si>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</si>
  <si>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</si>
  <si>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</si>
  <si>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</si>
  <si>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</si>
  <si>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</si>
  <si>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</si>
  <si>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</si>
  <si>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</si>
  <si>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</si>
  <si>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</si>
  <si>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</si>
  <si>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</si>
  <si>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</si>
  <si>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</si>
  <si>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</si>
  <si>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</si>
  <si>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</si>
  <si>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</si>
  <si>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</si>
  <si>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</si>
  <si>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</si>
  <si>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</si>
  <si>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</si>
  <si>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</si>
  <si>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</si>
  <si>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</si>
  <si>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</si>
  <si>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</si>
  <si>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</si>
  <si>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</si>
  <si>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</si>
  <si>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</si>
  <si>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</si>
  <si>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</si>
  <si>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</si>
  <si>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</si>
  <si>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</si>
  <si>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</si>
  <si>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</si>
  <si>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</si>
  <si>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</si>
  <si>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</si>
  <si>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</si>
  <si>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</si>
  <si>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</si>
  <si>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</si>
  <si>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</si>
  <si>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</si>
  <si>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</si>
  <si>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</si>
  <si>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</si>
  <si>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</si>
  <si>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</si>
  <si>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</si>
  <si>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</si>
  <si>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</si>
  <si>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</si>
  <si>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</si>
  <si>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</si>
  <si>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</si>
  <si>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</si>
  <si>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</si>
  <si>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</si>
  <si>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</si>
  <si>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</si>
  <si>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</si>
  <si>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</si>
  <si>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</si>
  <si>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</si>
  <si>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</si>
  <si>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</si>
  <si>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</si>
  <si>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</si>
  <si>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</si>
  <si>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</si>
  <si>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</si>
  <si>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</si>
  <si>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</si>
  <si>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</si>
  <si>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</si>
  <si>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</si>
  <si>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</si>
  <si>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</si>
  <si>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</si>
  <si>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</si>
  <si>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</si>
  <si>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</si>
  <si>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</si>
  <si>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</si>
  <si>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</si>
  <si>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</si>
  <si>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</si>
  <si>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</si>
  <si>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</si>
  <si>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</si>
  <si>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</si>
  <si>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</si>
  <si>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</si>
  <si>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</si>
  <si>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</si>
  <si>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</si>
  <si>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</si>
  <si>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</si>
  <si>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</si>
  <si>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</si>
  <si>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</si>
  <si>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</si>
  <si>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</si>
  <si>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</si>
  <si>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</si>
  <si>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</si>
  <si>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</si>
  <si>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</si>
  <si>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</si>
  <si>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</si>
  <si>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</si>
  <si>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</si>
  <si>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</si>
  <si>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</si>
  <si>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</si>
  <si>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</si>
  <si>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</si>
  <si>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</si>
  <si>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</si>
  <si>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</si>
  <si>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</si>
  <si>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</si>
  <si>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</si>
  <si>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</si>
  <si>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</si>
  <si>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</si>
  <si>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</si>
  <si>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</si>
  <si>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</si>
  <si>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</si>
  <si>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</si>
  <si>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</si>
  <si>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</si>
  <si>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</si>
  <si>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</si>
  <si>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</si>
  <si>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</si>
  <si>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</si>
  <si>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</si>
  <si>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</si>
  <si>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</si>
  <si>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</si>
  <si>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</si>
  <si>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</si>
  <si>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</si>
  <si>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</si>
  <si>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</si>
  <si>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</si>
  <si>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</si>
  <si>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</si>
  <si>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</si>
  <si>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</si>
  <si>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</si>
  <si>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</si>
  <si>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</si>
  <si>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</si>
  <si>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</si>
  <si>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</si>
  <si>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</si>
  <si>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</si>
  <si>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</si>
  <si>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</si>
  <si>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</si>
  <si>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</si>
  <si>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</si>
  <si>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</si>
  <si>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</si>
  <si>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</si>
  <si>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</si>
  <si>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</si>
  <si>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</si>
  <si>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</si>
  <si>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</si>
  <si>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</si>
  <si>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</si>
  <si>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</si>
  <si>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</si>
  <si>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</si>
  <si>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</si>
  <si>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</si>
  <si>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</si>
  <si>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</si>
  <si>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</si>
  <si>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</si>
  <si>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</si>
  <si>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</si>
  <si>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</si>
  <si>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</si>
  <si>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</si>
  <si>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</si>
  <si>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</si>
  <si>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</si>
  <si>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</si>
  <si>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</si>
  <si>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</si>
  <si>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</si>
  <si>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</si>
  <si>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</si>
  <si>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</si>
  <si>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</si>
  <si>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</si>
  <si>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</si>
  <si>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</si>
  <si>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</si>
  <si>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</si>
  <si>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</si>
  <si>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</si>
  <si>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</si>
  <si>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</si>
  <si>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</si>
  <si>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</si>
  <si>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</si>
  <si>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</si>
  <si>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</si>
  <si>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</si>
  <si>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</si>
  <si>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</si>
  <si>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</si>
  <si>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</si>
  <si>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</si>
  <si>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</si>
  <si>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</si>
  <si>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</si>
  <si>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</si>
  <si>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</si>
  <si>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</si>
  <si>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</si>
  <si>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</si>
  <si>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</si>
  <si>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</si>
  <si>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</si>
  <si>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</si>
  <si>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</si>
  <si>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</si>
  <si>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</si>
  <si>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</si>
  <si>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</si>
  <si>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</si>
  <si>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</si>
  <si>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</si>
  <si>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</si>
  <si>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</si>
  <si>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</si>
  <si>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</si>
  <si>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</si>
  <si>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</si>
  <si>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</si>
  <si>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</si>
  <si>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</si>
  <si>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</si>
  <si>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</si>
  <si>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</si>
  <si>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</si>
  <si>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</si>
  <si>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</si>
  <si>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</si>
  <si>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</si>
  <si>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</si>
  <si>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</si>
  <si>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</si>
  <si>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</si>
  <si>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</si>
  <si>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</si>
  <si>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</si>
  <si>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</si>
  <si>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</si>
  <si>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</si>
  <si>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</si>
  <si>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</si>
  <si>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</si>
  <si>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</si>
  <si>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</si>
  <si>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</si>
  <si>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</si>
  <si>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</si>
  <si>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</si>
  <si>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</si>
  <si>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</si>
  <si>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</si>
  <si>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</si>
  <si>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</si>
  <si>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</si>
  <si>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</si>
  <si>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</si>
  <si>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</si>
  <si>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</si>
  <si>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</si>
  <si>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</si>
  <si>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</si>
  <si>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</si>
  <si>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</si>
  <si>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</si>
  <si>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</si>
  <si>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</si>
  <si>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</si>
  <si>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</si>
  <si>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</si>
  <si>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</si>
  <si>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</si>
  <si>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</si>
  <si>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</si>
  <si>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</si>
  <si>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</si>
  <si>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</si>
  <si>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</si>
  <si>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</si>
  <si>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</si>
  <si>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</si>
  <si>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</si>
  <si>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</si>
  <si>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</si>
  <si>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</si>
  <si>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</si>
  <si>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</si>
  <si>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</si>
  <si>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</si>
  <si>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</si>
  <si>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</si>
  <si>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</si>
  <si>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</si>
  <si>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</si>
  <si>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</si>
  <si>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</si>
  <si>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</si>
  <si>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</si>
  <si>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</si>
  <si>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</si>
  <si>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</si>
  <si>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</si>
  <si>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</si>
  <si>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</si>
  <si>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</si>
  <si>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</si>
  <si>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</si>
  <si>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</si>
  <si>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</si>
  <si>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</si>
  <si>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</si>
  <si>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</si>
  <si>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</si>
  <si>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</si>
  <si>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</si>
  <si>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</si>
  <si>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</si>
  <si>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</si>
  <si>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</si>
  <si>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</si>
  <si>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</si>
  <si>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</si>
  <si>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</si>
  <si>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</si>
  <si>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</si>
  <si>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</si>
  <si>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</si>
  <si>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</si>
  <si>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</si>
  <si>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</si>
  <si>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</si>
  <si>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</si>
  <si>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</si>
  <si>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</si>
  <si>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</si>
  <si>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</si>
  <si>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</si>
  <si>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</si>
  <si>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</si>
  <si>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</si>
  <si>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</si>
  <si>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</si>
  <si>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</si>
  <si>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</si>
  <si>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</si>
  <si>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</si>
  <si>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</si>
  <si>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</si>
  <si>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</si>
  <si>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</si>
  <si>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</si>
  <si>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</si>
  <si>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</si>
  <si>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</si>
  <si>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</si>
  <si>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</si>
  <si>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</si>
  <si>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</si>
  <si>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</si>
  <si>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</si>
  <si>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</si>
  <si>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</si>
  <si>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</si>
  <si>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</si>
  <si>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</si>
  <si>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</si>
  <si>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</si>
  <si>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</si>
  <si>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</si>
  <si>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</si>
  <si>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</si>
  <si>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</si>
  <si>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</si>
  <si>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</si>
  <si>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</si>
  <si>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</si>
  <si>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</si>
  <si>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</si>
  <si>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</si>
  <si>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</si>
  <si>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</si>
  <si>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</si>
  <si>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</si>
  <si>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</si>
  <si>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</si>
  <si>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</si>
  <si>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</si>
  <si>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</si>
  <si>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</si>
  <si>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</si>
  <si>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</si>
  <si>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</si>
  <si>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</si>
  <si>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</si>
  <si>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</si>
  <si>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</si>
  <si>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</si>
  <si>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</si>
  <si>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</si>
  <si>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</si>
  <si>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</si>
  <si>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</si>
  <si>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</si>
  <si>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</si>
  <si>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</si>
  <si>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</si>
  <si>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</si>
  <si>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</si>
  <si>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</si>
  <si>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</si>
  <si>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</si>
  <si>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</si>
  <si>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</si>
  <si>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</si>
  <si>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</si>
  <si>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</si>
  <si>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</si>
  <si>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</si>
  <si>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</si>
  <si>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</si>
  <si>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</si>
  <si>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</si>
  <si>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</si>
  <si>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</si>
  <si>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</si>
  <si>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</si>
  <si>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</si>
  <si>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</si>
  <si>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</si>
  <si>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</si>
  <si>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</si>
  <si>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</si>
  <si>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</si>
  <si>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</si>
  <si>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</si>
  <si>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</si>
  <si>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</si>
  <si>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</si>
  <si>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</si>
  <si>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</si>
  <si>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</si>
  <si>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</si>
  <si>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</si>
  <si>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</si>
  <si>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</si>
  <si>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</si>
  <si>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</si>
  <si>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</si>
  <si>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</si>
  <si>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</si>
  <si>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</si>
  <si>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</si>
  <si>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</si>
  <si>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</si>
  <si>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</si>
  <si>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</si>
  <si>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</si>
  <si>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</si>
  <si>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</si>
  <si>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</si>
  <si>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</si>
  <si>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</si>
  <si>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</si>
  <si>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</si>
  <si>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</si>
  <si>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</si>
  <si>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</si>
  <si>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</si>
  <si>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</si>
  <si>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</si>
  <si>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</si>
  <si>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</si>
  <si>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</si>
  <si>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</si>
  <si>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</si>
  <si>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</si>
  <si>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</si>
  <si>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</si>
  <si>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</si>
  <si>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</si>
  <si>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</si>
  <si>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</si>
  <si>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</si>
  <si>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</si>
  <si>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</si>
  <si>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</si>
  <si>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</si>
  <si>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</si>
  <si>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</si>
  <si>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</si>
  <si>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</si>
  <si>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</si>
  <si>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</si>
  <si>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</si>
  <si>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</si>
  <si>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</si>
  <si>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</si>
  <si>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</si>
  <si>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</si>
  <si>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</si>
  <si>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</si>
  <si>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</si>
  <si>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</si>
  <si>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</si>
  <si>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</si>
  <si>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</si>
  <si>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</si>
  <si>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</si>
  <si>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</si>
  <si>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</si>
  <si>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</si>
  <si>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</si>
  <si>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</si>
  <si>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</si>
  <si>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</si>
  <si>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</si>
  <si>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</si>
  <si>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</si>
  <si>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</si>
  <si>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</si>
  <si>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</si>
  <si>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</si>
  <si>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</si>
  <si>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</si>
  <si>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</si>
  <si>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</si>
  <si>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</si>
  <si>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</si>
  <si>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</si>
  <si>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</si>
  <si>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</si>
  <si>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</si>
  <si>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</si>
  <si>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</si>
  <si>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</si>
  <si>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</si>
  <si>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</si>
  <si>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</si>
  <si>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</si>
  <si>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</si>
  <si>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</si>
  <si>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</si>
  <si>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</si>
  <si>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</si>
  <si>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</si>
  <si>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</si>
  <si>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</si>
  <si>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</si>
  <si>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</si>
  <si>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</si>
  <si>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</si>
  <si>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</si>
  <si>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</si>
  <si>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</si>
  <si>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</si>
  <si>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</si>
  <si>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</si>
  <si>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</si>
  <si>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</si>
  <si>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</si>
  <si>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</si>
  <si>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</si>
  <si>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</si>
  <si>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</si>
  <si>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</si>
  <si>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</si>
  <si>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</si>
  <si>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</si>
  <si>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</si>
  <si>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</si>
  <si>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</si>
  <si>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</si>
  <si>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</si>
  <si>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</si>
  <si>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</si>
  <si>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</si>
  <si>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</si>
  <si>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</si>
  <si>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</si>
  <si>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</si>
  <si>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</si>
  <si>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</si>
  <si>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</si>
  <si>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</si>
  <si>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</si>
  <si>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</si>
  <si>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</si>
  <si>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</si>
  <si>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</si>
  <si>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</si>
  <si>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</si>
  <si>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</si>
  <si>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</si>
  <si>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</si>
  <si>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</si>
  <si>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</si>
  <si>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</si>
  <si>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</si>
  <si>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</si>
  <si>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</si>
  <si>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</si>
  <si>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</si>
  <si>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</si>
  <si>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</si>
  <si>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</si>
  <si>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</si>
  <si>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</si>
  <si>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</si>
  <si>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</si>
  <si>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</si>
  <si>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</si>
  <si>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</si>
  <si>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</si>
  <si>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</si>
  <si>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</si>
  <si>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</si>
  <si>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</si>
  <si>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</si>
  <si>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</si>
  <si>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</si>
  <si>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</si>
  <si>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</si>
  <si>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</si>
  <si>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</si>
  <si>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</si>
  <si>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</si>
  <si>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</si>
  <si>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</si>
  <si>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</si>
  <si>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</si>
  <si>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</si>
  <si>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</si>
  <si>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</si>
  <si>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</si>
  <si>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</si>
  <si>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</si>
  <si>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</si>
  <si>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</si>
  <si>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</si>
  <si>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</si>
  <si>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</si>
  <si>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</si>
  <si>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</si>
  <si>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</si>
  <si>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</si>
  <si>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</si>
  <si>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</si>
  <si>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</si>
  <si>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</si>
  <si>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</si>
  <si>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</si>
  <si>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</si>
  <si>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</si>
  <si>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</si>
  <si>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</si>
  <si>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</si>
  <si>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</si>
  <si>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</si>
  <si>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</si>
  <si>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</si>
  <si>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</si>
  <si>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</si>
  <si>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</si>
  <si>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</si>
  <si>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</si>
  <si>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</si>
  <si>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</si>
  <si>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</si>
  <si>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</si>
  <si>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</si>
  <si>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</si>
  <si>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</si>
  <si>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</si>
  <si>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</si>
  <si>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</si>
  <si>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</si>
  <si>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</si>
  <si>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</si>
  <si>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</si>
  <si>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</si>
  <si>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</si>
  <si>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</si>
  <si>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</si>
  <si>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</si>
  <si>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</si>
  <si>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</si>
  <si>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</si>
  <si>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</si>
  <si>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</si>
  <si>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</si>
  <si>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</si>
  <si>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</si>
  <si>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</si>
  <si>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</si>
  <si>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</si>
  <si>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</si>
  <si>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</si>
  <si>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</si>
  <si>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</si>
  <si>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</si>
  <si>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</si>
  <si>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</si>
  <si>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</si>
  <si>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</si>
  <si>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</si>
  <si>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</si>
  <si>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</si>
  <si>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</si>
  <si>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</si>
  <si>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</si>
  <si>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</si>
  <si>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</si>
  <si>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</si>
  <si>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</si>
  <si>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</si>
  <si>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</si>
  <si>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</si>
  <si>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</si>
  <si>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</si>
  <si>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</si>
  <si>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</si>
  <si>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</si>
  <si>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</si>
  <si>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</si>
  <si>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</si>
  <si>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</si>
  <si>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</si>
  <si>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</si>
  <si>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</si>
  <si>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</si>
  <si>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</si>
  <si>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</si>
  <si>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</si>
  <si>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</si>
  <si>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</si>
  <si>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</si>
  <si>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</si>
  <si>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</si>
  <si>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</si>
  <si>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</si>
  <si>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</si>
  <si>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</si>
  <si>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</si>
  <si>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</si>
  <si>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</si>
  <si>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</si>
  <si>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</si>
  <si>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</si>
  <si>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</si>
  <si>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</si>
  <si>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</si>
  <si>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</si>
  <si>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</si>
  <si>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</si>
  <si>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</si>
  <si>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</si>
  <si>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</si>
  <si>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</si>
  <si>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</si>
  <si>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</si>
  <si>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</si>
  <si>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</si>
  <si>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</si>
  <si>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</si>
  <si>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</si>
  <si>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</si>
  <si>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</si>
  <si>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</si>
  <si>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</si>
  <si>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</si>
  <si>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</si>
  <si>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</si>
  <si>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</si>
  <si>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</si>
  <si>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</si>
  <si>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</si>
  <si>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</si>
  <si>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</si>
  <si>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</si>
  <si>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</si>
  <si>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</si>
  <si>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</si>
  <si>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</si>
  <si>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</si>
  <si>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</si>
  <si>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</si>
  <si>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</si>
  <si>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</si>
  <si>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</si>
  <si>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</si>
  <si>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</si>
  <si>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</si>
  <si>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</si>
  <si>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</si>
  <si>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</si>
  <si>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</si>
  <si>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</si>
  <si>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</si>
  <si>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</si>
  <si>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</si>
  <si>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</si>
  <si>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</si>
  <si>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</si>
  <si>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</si>
  <si>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</si>
  <si>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</si>
  <si>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</si>
  <si>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</si>
  <si>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</si>
  <si>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</si>
  <si>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</si>
  <si>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</si>
  <si>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</si>
  <si>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</si>
  <si>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</si>
  <si>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</si>
  <si>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</si>
  <si>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</si>
  <si>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</si>
  <si>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</si>
  <si>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</si>
  <si>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</si>
  <si>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</si>
  <si>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</si>
  <si>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</si>
  <si>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</si>
  <si>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</si>
  <si>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</si>
  <si>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</si>
  <si>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</si>
  <si>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</si>
  <si>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</si>
  <si>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</si>
  <si>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</si>
  <si>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</si>
  <si>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</si>
  <si>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</si>
  <si>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</si>
  <si>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</si>
  <si>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</si>
  <si>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</si>
  <si>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</si>
  <si>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</si>
  <si>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</si>
  <si>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</si>
  <si>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</si>
  <si>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</si>
  <si>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</si>
  <si>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</si>
  <si>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</si>
  <si>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</si>
  <si>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</si>
  <si>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</si>
  <si>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</si>
  <si>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</si>
  <si>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</si>
  <si>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</si>
  <si>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</si>
  <si>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</si>
  <si>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</si>
  <si>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</si>
  <si>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</si>
  <si>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</si>
  <si>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</si>
  <si>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</si>
  <si>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</si>
  <si>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</si>
  <si>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</si>
  <si>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</si>
  <si>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</si>
  <si>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</si>
  <si>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</si>
  <si>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</si>
  <si>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</si>
  <si>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</si>
  <si>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</si>
  <si>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</si>
  <si>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</si>
  <si>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</si>
  <si>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</si>
  <si>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</si>
  <si>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</si>
  <si>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</si>
  <si>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</si>
  <si>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</si>
  <si>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</si>
  <si>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</si>
  <si>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</si>
  <si>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</si>
  <si>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</si>
  <si>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</si>
  <si>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</si>
  <si>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</si>
  <si>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</si>
  <si>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</si>
  <si>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</si>
  <si>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</si>
  <si>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</si>
  <si>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</si>
  <si>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</si>
  <si>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</si>
  <si>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</si>
  <si>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</si>
  <si>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</si>
  <si>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</si>
  <si>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</si>
  <si>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</si>
  <si>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</si>
  <si>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</si>
  <si>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</si>
  <si>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</si>
  <si>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</si>
  <si>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</si>
  <si>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</si>
  <si>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</si>
  <si>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</si>
  <si>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</si>
  <si>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</si>
  <si>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</si>
  <si>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</si>
  <si>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</si>
  <si>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</si>
  <si>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</si>
  <si>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</si>
  <si>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</si>
  <si>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</si>
  <si>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</si>
  <si>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</si>
  <si>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</si>
  <si>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</si>
  <si>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</si>
  <si>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</si>
  <si>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</si>
  <si>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</si>
  <si>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</si>
  <si>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</si>
  <si>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</si>
  <si>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</si>
  <si>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</si>
  <si>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</si>
  <si>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</si>
  <si>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</si>
  <si>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</si>
  <si>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</si>
  <si>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</si>
  <si>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</si>
  <si>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</si>
  <si>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</si>
  <si>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</si>
  <si>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</si>
  <si>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</si>
  <si>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</si>
  <si>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</si>
  <si>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</si>
  <si>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</si>
  <si>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</si>
  <si>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</si>
  <si>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</si>
  <si>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</si>
  <si>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</si>
  <si>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</si>
  <si>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</si>
  <si>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</si>
  <si>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</si>
  <si>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</si>
  <si>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</si>
  <si>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</si>
  <si>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</si>
  <si>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</si>
  <si>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</si>
  <si>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</si>
  <si>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</si>
  <si>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</si>
  <si>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</si>
  <si>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</si>
  <si>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</si>
  <si>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</si>
  <si>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</si>
  <si>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</si>
  <si>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</si>
  <si>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</si>
  <si>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</si>
  <si>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</si>
  <si>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</si>
  <si>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</si>
  <si>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</si>
  <si>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</si>
  <si>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</si>
  <si>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</si>
  <si>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</si>
  <si>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</si>
  <si>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</si>
  <si>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</si>
  <si>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</si>
  <si>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</si>
  <si>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</si>
  <si>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</si>
  <si>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</si>
  <si>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</si>
  <si>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</si>
  <si>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</si>
  <si>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</si>
  <si>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</si>
  <si>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</si>
  <si>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</si>
  <si>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</si>
  <si>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</si>
  <si>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</si>
  <si>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</si>
  <si>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</si>
  <si>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</si>
  <si>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</si>
  <si>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</si>
  <si>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</si>
  <si>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</si>
  <si>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</si>
  <si>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</si>
  <si>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</si>
  <si>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</si>
  <si>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</si>
  <si>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</si>
  <si>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</si>
  <si>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</si>
  <si>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</si>
  <si>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</si>
  <si>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</si>
  <si>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</si>
  <si>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</si>
  <si>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</si>
  <si>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</si>
  <si>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</si>
  <si>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</si>
  <si>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</si>
  <si>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</si>
  <si>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</si>
  <si>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</si>
  <si>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</si>
  <si>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</si>
  <si>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</si>
  <si>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</si>
  <si>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</si>
  <si>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</si>
  <si>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</si>
  <si>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</si>
  <si>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</si>
  <si>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</si>
  <si>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</si>
  <si>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</si>
  <si>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</si>
  <si>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</si>
  <si>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</si>
  <si>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</si>
  <si>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</si>
  <si>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</si>
  <si>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</si>
  <si>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</si>
  <si>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</si>
  <si>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</si>
  <si>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</si>
  <si>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</si>
  <si>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</si>
  <si>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</si>
  <si>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</si>
  <si>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</si>
  <si>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</si>
  <si>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</si>
  <si>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</si>
  <si>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</si>
  <si>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</si>
  <si>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</si>
  <si>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</si>
  <si>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</si>
  <si>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</si>
  <si>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</si>
  <si>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</si>
  <si>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</si>
  <si>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</si>
  <si>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</si>
  <si>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</si>
  <si>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</si>
  <si>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</si>
  <si>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</si>
  <si>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</si>
  <si>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</si>
  <si>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</si>
  <si>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</si>
  <si>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</si>
  <si>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</si>
  <si>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</si>
  <si>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</si>
  <si>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</si>
  <si>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</si>
  <si>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</si>
  <si>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</si>
  <si>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</si>
  <si>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</si>
  <si>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</si>
  <si>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</si>
  <si>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</si>
  <si>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</si>
  <si>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</si>
  <si>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</si>
  <si>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</si>
  <si>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</si>
  <si>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</si>
  <si>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</si>
  <si>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</si>
  <si>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</si>
  <si>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</si>
  <si>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</si>
  <si>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</si>
  <si>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</si>
  <si>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</si>
  <si>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</si>
  <si>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</si>
  <si>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</si>
  <si>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</si>
  <si>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</si>
  <si>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</si>
  <si>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</si>
  <si>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</si>
  <si>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</si>
  <si>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</si>
  <si>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</si>
  <si>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</si>
  <si>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</si>
  <si>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</si>
  <si>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</si>
  <si>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</si>
  <si>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</si>
  <si>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</si>
  <si>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</si>
  <si>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</si>
  <si>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</si>
  <si>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</si>
  <si>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</si>
  <si>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</si>
  <si>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</si>
  <si>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</si>
  <si>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</si>
  <si>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</si>
  <si>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</si>
  <si>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</si>
  <si>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</si>
  <si>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</si>
  <si>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</si>
  <si>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</si>
  <si>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</si>
  <si>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</si>
  <si>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</si>
  <si>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</si>
  <si>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</si>
  <si>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</si>
  <si>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</si>
  <si>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</si>
  <si>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</si>
  <si>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</si>
  <si>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</si>
  <si>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</si>
  <si>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</si>
  <si>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</si>
  <si>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</si>
  <si>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</si>
  <si>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</si>
  <si>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</si>
  <si>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</si>
  <si>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</si>
  <si>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</si>
  <si>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</si>
  <si>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</si>
  <si>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</si>
  <si>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</si>
  <si>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</si>
  <si>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</si>
  <si>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</si>
  <si>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</si>
  <si>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</si>
  <si>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</si>
  <si>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</si>
  <si>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</si>
  <si>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</si>
  <si>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</si>
  <si>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</si>
  <si>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</si>
  <si>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</si>
  <si>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</si>
  <si>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</si>
  <si>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</si>
  <si>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</si>
  <si>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</si>
  <si>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</si>
  <si>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</si>
  <si>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</si>
  <si>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</si>
  <si>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</si>
  <si>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</si>
  <si>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</si>
  <si>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</si>
  <si>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</si>
  <si>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</si>
  <si>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</si>
  <si>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</si>
  <si>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</si>
  <si>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</si>
  <si>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</si>
  <si>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</si>
  <si>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</si>
  <si>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</si>
  <si>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</si>
  <si>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</si>
  <si>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</si>
  <si>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</si>
  <si>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</si>
  <si>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</si>
  <si>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</si>
  <si>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</si>
  <si>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</si>
  <si>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</si>
  <si>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</si>
  <si>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</si>
  <si>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</si>
  <si>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</si>
  <si>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</si>
  <si>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</si>
  <si>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</si>
  <si>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</si>
  <si>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</si>
  <si>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</si>
  <si>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</si>
  <si>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</si>
  <si>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</si>
  <si>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</si>
  <si>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</si>
  <si>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</si>
  <si>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</si>
  <si>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</si>
  <si>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</si>
  <si>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</si>
  <si>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</si>
  <si>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</si>
  <si>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</si>
  <si>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</si>
  <si>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</si>
  <si>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</si>
  <si>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</si>
  <si>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</si>
  <si>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</si>
  <si>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</si>
  <si>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</si>
  <si>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</si>
  <si>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</si>
  <si>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</si>
  <si>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</si>
  <si>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</si>
  <si>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</si>
  <si>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</si>
  <si>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</si>
  <si>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</si>
  <si>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</si>
  <si>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</si>
  <si>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</si>
  <si>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</si>
  <si>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</si>
  <si>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</si>
  <si>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</si>
  <si>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</si>
  <si>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</si>
  <si>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</si>
  <si>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</si>
  <si>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</si>
  <si>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</si>
  <si>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</si>
  <si>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</si>
  <si>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</si>
  <si>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</si>
  <si>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</si>
  <si>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</si>
  <si>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</si>
  <si>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</si>
  <si>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</si>
  <si>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</si>
  <si>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</si>
  <si>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</si>
  <si>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</si>
  <si>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</si>
  <si>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</si>
  <si>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</si>
  <si>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</si>
  <si>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</si>
  <si>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</si>
  <si>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</si>
  <si>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</si>
  <si>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</si>
  <si>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</si>
  <si>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</si>
  <si>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</si>
  <si>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</si>
  <si>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</si>
  <si>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</si>
  <si>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</si>
  <si>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</si>
  <si>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</si>
  <si>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</si>
  <si>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</si>
  <si>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</si>
  <si>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</si>
  <si>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</si>
  <si>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</si>
  <si>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</si>
  <si>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</si>
  <si>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</si>
  <si>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</si>
  <si>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</si>
  <si>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</si>
  <si>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</si>
  <si>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</si>
  <si>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</si>
  <si>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</si>
  <si>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</si>
  <si>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</si>
  <si>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</si>
  <si>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</si>
  <si>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</si>
  <si>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</si>
  <si>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</si>
  <si>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</si>
  <si>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</si>
  <si>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</si>
  <si>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</si>
  <si>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</si>
  <si>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</si>
  <si>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</si>
  <si>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</si>
  <si>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</si>
  <si>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</si>
  <si>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</si>
  <si>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</si>
  <si>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</si>
  <si>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</si>
  <si>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</si>
  <si>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</si>
  <si>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</si>
  <si>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</si>
  <si>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</si>
  <si>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</si>
  <si>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</si>
  <si>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</si>
  <si>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</si>
  <si>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</si>
  <si>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</si>
  <si>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</si>
  <si>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</si>
  <si>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</si>
  <si>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</si>
  <si>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</si>
  <si>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</si>
  <si>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</si>
  <si>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</si>
  <si>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</si>
  <si>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</si>
  <si>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</si>
  <si>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</si>
  <si>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</si>
  <si>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</si>
  <si>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</si>
  <si>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</si>
  <si>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</si>
  <si>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</si>
  <si>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</si>
  <si>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</si>
  <si>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</si>
  <si>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</si>
  <si>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</si>
  <si>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</si>
  <si>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</si>
  <si>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</si>
  <si>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</si>
  <si>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</si>
  <si>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</si>
  <si>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</si>
  <si>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</si>
  <si>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</si>
  <si>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</si>
  <si>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</si>
  <si>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</si>
  <si>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</si>
  <si>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</si>
  <si>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</si>
  <si>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</si>
  <si>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</si>
  <si>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</si>
  <si>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</si>
  <si>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</si>
  <si>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</si>
  <si>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</si>
  <si>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</si>
  <si>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</si>
  <si>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</si>
  <si>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</si>
  <si>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</si>
  <si>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</si>
  <si>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</si>
  <si>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</si>
  <si>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</si>
  <si>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</si>
  <si>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</si>
  <si>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</si>
  <si>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</si>
  <si>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</si>
  <si>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</si>
  <si>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</si>
  <si>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</si>
  <si>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</si>
  <si>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</si>
  <si>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</si>
  <si>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</si>
  <si>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</si>
  <si>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</si>
  <si>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</si>
  <si>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</si>
  <si>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</si>
  <si>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</si>
  <si>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</si>
  <si>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</si>
  <si>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</si>
  <si>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</si>
  <si>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</si>
  <si>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</si>
  <si>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</si>
  <si>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</si>
  <si>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</si>
  <si>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</si>
  <si>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</si>
  <si>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</si>
  <si>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</si>
  <si>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</si>
  <si>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</si>
  <si>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</si>
  <si>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</si>
  <si>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</si>
  <si>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</si>
  <si>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</si>
  <si>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</si>
  <si>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</si>
  <si>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</si>
  <si>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</si>
  <si>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</si>
  <si>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</si>
  <si>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</si>
  <si>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</si>
  <si>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</si>
  <si>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</si>
  <si>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</si>
  <si>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</si>
  <si>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</si>
  <si>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</si>
  <si>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</si>
  <si>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</si>
  <si>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</si>
  <si>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</si>
  <si>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</si>
  <si>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</si>
  <si>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</si>
  <si>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</si>
  <si>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</si>
  <si>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Brand NYI</t>
  </si>
  <si>
    <t>AF NYI</t>
  </si>
  <si>
    <t>VR NYI</t>
  </si>
  <si>
    <t>NYI=Not yet implemented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</si>
</sst>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&quot;1:&quot;#0.00"/>
    <numFmt numFmtId="166" formatCode="0&quot;mm&quot;"/>
    <numFmt numFmtId="167" formatCode="0.000"/>
    <numFmt numFmtId="168" formatCode="0.0&quot;mm&quot;"/>
  </numFmts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0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" fontId="1" fillId="2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164" fontId="1" fillId="2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8</xdr:row>
          <xdr:rowOff>76200</xdr:rowOff>
        </xdr:from>
        <xdr:to>
          <xdr:col>6</xdr:col>
          <xdr:colOff>447675</xdr:colOff>
          <xdr:row>11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Modul1 / testFilters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1914525</xdr:colOff>
          <xdr:row>9</xdr:row>
          <xdr:rowOff>38100</xdr:rowOff>
        </xdr:from>
        <xdr:to>
          <xdr:col>2</xdr:col>
          <xdr:colOff>666750</xdr:colOff>
          <xdr:row>12</xdr:row>
          <xdr:rowOff>152400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2025"/>
  <sheetViews>
    <sheetView tabSelected="1" workbookViewId="0">
      <selection activeCell="D11" sqref="D11"/>
    </sheetView>
  </sheetViews>
  <sheetFormatPr baseColWidth="10" defaultRowHeight="15" x14ac:dyDescent="0.25"/>
  <cols>
    <col min="1" max="1" width="3" customWidth="1"/>
    <col min="2" max="2" width="66.28515625" style="50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1" t="s">
        <v>0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</row>
    <row r="2" spans="2:15" ht="17.25" x14ac:dyDescent="0.3">
      <c r="B2" s="46"/>
      <c r="C2" s="21" t="s">
        <v>891</v>
      </c>
      <c r="D2" s="21" t="s">
        <v>892</v>
      </c>
      <c r="E2" s="17"/>
      <c r="F2" s="21"/>
      <c r="G2" s="52" t="s">
        <v>889</v>
      </c>
      <c r="H2" s="53"/>
      <c r="I2" s="53"/>
      <c r="J2" s="53"/>
      <c r="K2" s="53"/>
      <c r="L2" s="53"/>
      <c r="M2" s="53"/>
      <c r="N2" s="53"/>
      <c r="O2" s="54"/>
    </row>
    <row r="3" spans="2:15" ht="17.25" x14ac:dyDescent="0.3">
      <c r="B3" s="18" t="s">
        <v>890</v>
      </c>
      <c r="C3" s="41"/>
      <c r="D3" s="41"/>
      <c r="E3" s="14"/>
      <c r="F3" s="18" t="s">
        <v>1</v>
      </c>
      <c r="G3" s="31" t="s">
        <v>8</v>
      </c>
      <c r="H3" s="19"/>
      <c r="I3" s="19"/>
      <c r="J3" s="19"/>
      <c r="K3" s="19"/>
      <c r="L3" s="19"/>
      <c r="M3" s="19"/>
      <c r="N3" s="19"/>
      <c r="O3" s="29"/>
    </row>
    <row r="4" spans="2:15" ht="17.25" x14ac:dyDescent="0.3">
      <c r="B4" s="20" t="s">
        <v>883</v>
      </c>
      <c r="C4" s="42"/>
      <c r="D4" s="42"/>
      <c r="E4" s="14"/>
      <c r="F4" s="20" t="s">
        <v>886</v>
      </c>
      <c r="G4" s="30" t="s">
        <v>910</v>
      </c>
      <c r="H4" s="30" t="s">
        <v>900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41"/>
      <c r="D5" s="41"/>
      <c r="E5" s="14"/>
      <c r="F5" s="18" t="s">
        <v>4516</v>
      </c>
      <c r="G5" s="31" t="s">
        <v>878</v>
      </c>
      <c r="H5" s="31" t="s">
        <v>877</v>
      </c>
      <c r="I5" s="19"/>
      <c r="J5" s="19"/>
      <c r="K5" s="19"/>
      <c r="L5" s="19"/>
      <c r="M5" s="19"/>
      <c r="N5" s="19"/>
      <c r="O5" s="19"/>
    </row>
    <row r="6" spans="2:15" ht="17.25" x14ac:dyDescent="0.3">
      <c r="B6" s="20" t="s">
        <v>871</v>
      </c>
      <c r="C6" s="42"/>
      <c r="D6" s="42"/>
      <c r="E6" s="14"/>
      <c r="F6" s="20" t="s">
        <v>4517</v>
      </c>
      <c r="G6" s="30" t="s">
        <v>873</v>
      </c>
      <c r="H6" s="30" t="s">
        <v>874</v>
      </c>
      <c r="I6" s="30" t="s">
        <v>875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41"/>
      <c r="D7" s="41"/>
      <c r="E7" s="14"/>
      <c r="F7" s="18" t="s">
        <v>4518</v>
      </c>
      <c r="G7" s="31" t="s">
        <v>873</v>
      </c>
      <c r="H7" s="31" t="s">
        <v>876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888</v>
      </c>
      <c r="C8" s="42"/>
      <c r="D8" s="42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887</v>
      </c>
      <c r="C9" s="41"/>
      <c r="D9" s="41"/>
      <c r="E9" s="14"/>
      <c r="F9" s="13"/>
      <c r="G9" s="7"/>
      <c r="H9" s="2" t="s">
        <v>4519</v>
      </c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55" t="s">
        <v>899</v>
      </c>
      <c r="J10" s="55"/>
      <c r="K10" s="55"/>
      <c r="L10" s="55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55"/>
      <c r="J11" s="55"/>
      <c r="K11" s="55"/>
      <c r="L11" s="55"/>
      <c r="M11" s="3"/>
      <c r="N11" s="2"/>
      <c r="O11" s="2"/>
    </row>
    <row r="12" spans="2:15" x14ac:dyDescent="0.25">
      <c r="B12" s="47"/>
      <c r="C12" s="7"/>
      <c r="D12" s="2"/>
      <c r="E12" s="2"/>
      <c r="F12" s="13"/>
      <c r="G12" s="7"/>
      <c r="H12" s="2"/>
      <c r="I12" s="59" t="s">
        <v>901</v>
      </c>
      <c r="J12" s="59"/>
      <c r="K12" s="59"/>
      <c r="L12" s="59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56" t="s">
        <v>893</v>
      </c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8"/>
    </row>
    <row r="15" spans="2:15" s="27" customFormat="1" ht="19.5" x14ac:dyDescent="0.25">
      <c r="B15" s="43" t="s">
        <v>879</v>
      </c>
      <c r="C15" s="43" t="s">
        <v>881</v>
      </c>
      <c r="D15" s="43" t="s">
        <v>882</v>
      </c>
      <c r="E15" s="44" t="s">
        <v>884</v>
      </c>
      <c r="F15" s="44" t="s">
        <v>885</v>
      </c>
      <c r="G15" s="43" t="s">
        <v>0</v>
      </c>
      <c r="H15" s="43" t="s">
        <v>898</v>
      </c>
      <c r="I15" s="43" t="s">
        <v>1</v>
      </c>
      <c r="J15" s="43" t="s">
        <v>886</v>
      </c>
      <c r="K15" s="43" t="s">
        <v>2</v>
      </c>
      <c r="L15" s="45" t="s">
        <v>888</v>
      </c>
      <c r="M15" s="45" t="s">
        <v>887</v>
      </c>
      <c r="N15" s="28"/>
    </row>
    <row r="16" spans="2:15" x14ac:dyDescent="0.25">
      <c r="B16" s="48" t="s">
        <v>2507</v>
      </c>
      <c r="C16" s="32">
        <v>100</v>
      </c>
      <c r="D16" s="32">
        <v>400</v>
      </c>
      <c r="E16" s="32">
        <v>4.5</v>
      </c>
      <c r="F16" s="32">
        <v>4.5</v>
      </c>
      <c r="G16" s="32">
        <v>77</v>
      </c>
      <c r="H16" s="32">
        <v>3.23</v>
      </c>
      <c r="I16" s="33" t="s">
        <v>1229</v>
      </c>
      <c r="J16" s="33" t="s">
        <v>910</v>
      </c>
      <c r="K16" s="36">
        <v>1570</v>
      </c>
      <c r="L16" s="36">
        <v>94</v>
      </c>
      <c r="M16" s="36">
        <v>193</v>
      </c>
    </row>
    <row r="17" spans="2:13" x14ac:dyDescent="0.25">
      <c r="B17" s="49" t="s">
        <v>2746</v>
      </c>
      <c r="C17" s="34">
        <v>100</v>
      </c>
      <c r="D17" s="34">
        <v>400</v>
      </c>
      <c r="E17" s="34">
        <v>4.5</v>
      </c>
      <c r="F17" s="34">
        <v>4.5</v>
      </c>
      <c r="G17" s="34">
        <v>77</v>
      </c>
      <c r="H17" s="34">
        <v>5</v>
      </c>
      <c r="I17" s="35" t="s">
        <v>1229</v>
      </c>
      <c r="J17" s="35" t="s">
        <v>910</v>
      </c>
      <c r="K17" s="37">
        <v>1360</v>
      </c>
      <c r="L17" s="37">
        <v>92</v>
      </c>
      <c r="M17" s="37">
        <v>189</v>
      </c>
    </row>
    <row r="18" spans="2:13" x14ac:dyDescent="0.25">
      <c r="B18" s="48" t="s">
        <v>2779</v>
      </c>
      <c r="C18" s="32">
        <v>100</v>
      </c>
      <c r="D18" s="32">
        <v>100</v>
      </c>
      <c r="E18" s="32">
        <v>2</v>
      </c>
      <c r="F18" s="32">
        <v>2</v>
      </c>
      <c r="G18" s="32">
        <v>58</v>
      </c>
      <c r="H18" s="32">
        <v>7.14</v>
      </c>
      <c r="I18" s="33" t="s">
        <v>1229</v>
      </c>
      <c r="J18" s="33" t="s">
        <v>910</v>
      </c>
      <c r="K18" s="36">
        <v>460</v>
      </c>
      <c r="L18" s="36">
        <v>75</v>
      </c>
      <c r="M18" s="36">
        <v>73.5</v>
      </c>
    </row>
    <row r="19" spans="2:13" x14ac:dyDescent="0.25">
      <c r="B19" s="49" t="s">
        <v>2547</v>
      </c>
      <c r="C19" s="34">
        <v>100</v>
      </c>
      <c r="D19" s="34">
        <v>100</v>
      </c>
      <c r="E19" s="34">
        <v>2.8</v>
      </c>
      <c r="F19" s="34">
        <v>2.8</v>
      </c>
      <c r="G19" s="34">
        <v>67</v>
      </c>
      <c r="H19" s="34">
        <v>1</v>
      </c>
      <c r="I19" s="35" t="s">
        <v>1229</v>
      </c>
      <c r="J19" s="35" t="s">
        <v>910</v>
      </c>
      <c r="K19" s="37">
        <v>625</v>
      </c>
      <c r="L19" s="37">
        <v>77.7</v>
      </c>
      <c r="M19" s="37">
        <v>123</v>
      </c>
    </row>
    <row r="20" spans="2:13" x14ac:dyDescent="0.25">
      <c r="B20" s="48" t="s">
        <v>4297</v>
      </c>
      <c r="C20" s="32">
        <v>100</v>
      </c>
      <c r="D20" s="32">
        <v>100</v>
      </c>
      <c r="E20" s="32">
        <v>2.8</v>
      </c>
      <c r="F20" s="32">
        <v>2.8</v>
      </c>
      <c r="G20" s="32">
        <v>58</v>
      </c>
      <c r="H20" s="32">
        <v>1</v>
      </c>
      <c r="I20" s="33" t="s">
        <v>1229</v>
      </c>
      <c r="J20" s="33" t="s">
        <v>910</v>
      </c>
      <c r="K20" s="36">
        <v>600</v>
      </c>
      <c r="L20" s="36">
        <v>79</v>
      </c>
      <c r="M20" s="36">
        <v>119</v>
      </c>
    </row>
    <row r="21" spans="2:13" x14ac:dyDescent="0.25">
      <c r="B21" s="49" t="s">
        <v>2785</v>
      </c>
      <c r="C21" s="34">
        <v>11</v>
      </c>
      <c r="D21" s="34">
        <v>24</v>
      </c>
      <c r="E21" s="34">
        <v>4</v>
      </c>
      <c r="F21" s="34">
        <v>4</v>
      </c>
      <c r="G21" s="34">
        <v>0</v>
      </c>
      <c r="H21" s="34">
        <v>6.25</v>
      </c>
      <c r="I21" s="35" t="s">
        <v>1229</v>
      </c>
      <c r="J21" s="35" t="s">
        <v>910</v>
      </c>
      <c r="K21" s="37">
        <v>1180</v>
      </c>
      <c r="L21" s="37">
        <v>108</v>
      </c>
      <c r="M21" s="37">
        <v>132</v>
      </c>
    </row>
    <row r="22" spans="2:13" x14ac:dyDescent="0.25">
      <c r="B22" s="48" t="s">
        <v>4455</v>
      </c>
      <c r="C22" s="32">
        <v>135</v>
      </c>
      <c r="D22" s="32">
        <v>135</v>
      </c>
      <c r="E22" s="32">
        <v>2</v>
      </c>
      <c r="F22" s="32">
        <v>2</v>
      </c>
      <c r="G22" s="32">
        <v>72</v>
      </c>
      <c r="H22" s="32">
        <v>5.26</v>
      </c>
      <c r="I22" s="33" t="s">
        <v>1229</v>
      </c>
      <c r="J22" s="33" t="s">
        <v>910</v>
      </c>
      <c r="K22" s="36">
        <v>750</v>
      </c>
      <c r="L22" s="36">
        <v>82.5</v>
      </c>
      <c r="M22" s="36">
        <v>112</v>
      </c>
    </row>
    <row r="23" spans="2:13" x14ac:dyDescent="0.25">
      <c r="B23" s="49" t="s">
        <v>3112</v>
      </c>
      <c r="C23" s="34">
        <v>135</v>
      </c>
      <c r="D23" s="34">
        <v>135</v>
      </c>
      <c r="E23" s="34">
        <v>2.8</v>
      </c>
      <c r="F23" s="34">
        <v>2.8</v>
      </c>
      <c r="G23" s="34">
        <v>52</v>
      </c>
      <c r="H23" s="34">
        <v>8.33</v>
      </c>
      <c r="I23" s="35" t="s">
        <v>1229</v>
      </c>
      <c r="J23" s="35" t="s">
        <v>910</v>
      </c>
      <c r="K23" s="37">
        <v>390</v>
      </c>
      <c r="L23" s="37">
        <v>69.2</v>
      </c>
      <c r="M23" s="37">
        <v>98.4</v>
      </c>
    </row>
    <row r="24" spans="2:13" x14ac:dyDescent="0.25">
      <c r="B24" s="48" t="s">
        <v>2784</v>
      </c>
      <c r="C24" s="32">
        <v>14</v>
      </c>
      <c r="D24" s="32">
        <v>14</v>
      </c>
      <c r="E24" s="32">
        <v>2.8</v>
      </c>
      <c r="F24" s="32">
        <v>2.8</v>
      </c>
      <c r="G24" s="32">
        <v>0</v>
      </c>
      <c r="H24" s="32">
        <v>6.67</v>
      </c>
      <c r="I24" s="33" t="s">
        <v>1229</v>
      </c>
      <c r="J24" s="33" t="s">
        <v>910</v>
      </c>
      <c r="K24" s="36">
        <v>645</v>
      </c>
      <c r="L24" s="36">
        <v>80</v>
      </c>
      <c r="M24" s="36">
        <v>94</v>
      </c>
    </row>
    <row r="25" spans="2:13" x14ac:dyDescent="0.25">
      <c r="B25" s="49" t="s">
        <v>2595</v>
      </c>
      <c r="C25" s="34">
        <v>16</v>
      </c>
      <c r="D25" s="34">
        <v>35</v>
      </c>
      <c r="E25" s="34">
        <v>2.8</v>
      </c>
      <c r="F25" s="34">
        <v>2.8</v>
      </c>
      <c r="G25" s="34">
        <v>82</v>
      </c>
      <c r="H25" s="34">
        <v>4.55</v>
      </c>
      <c r="I25" s="35" t="s">
        <v>1229</v>
      </c>
      <c r="J25" s="35" t="s">
        <v>910</v>
      </c>
      <c r="K25" s="37">
        <v>635</v>
      </c>
      <c r="L25" s="37">
        <v>88.5</v>
      </c>
      <c r="M25" s="37">
        <v>111.6</v>
      </c>
    </row>
    <row r="26" spans="2:13" x14ac:dyDescent="0.25">
      <c r="B26" s="48" t="s">
        <v>2672</v>
      </c>
      <c r="C26" s="32">
        <v>16</v>
      </c>
      <c r="D26" s="32">
        <v>35</v>
      </c>
      <c r="E26" s="32">
        <v>2.8</v>
      </c>
      <c r="F26" s="32">
        <v>2.8</v>
      </c>
      <c r="G26" s="32">
        <v>82</v>
      </c>
      <c r="H26" s="32">
        <v>4</v>
      </c>
      <c r="I26" s="33" t="s">
        <v>1229</v>
      </c>
      <c r="J26" s="33" t="s">
        <v>910</v>
      </c>
      <c r="K26" s="36">
        <v>790</v>
      </c>
      <c r="L26" s="36">
        <v>88.5</v>
      </c>
      <c r="M26" s="36">
        <v>127.5</v>
      </c>
    </row>
    <row r="27" spans="2:13" x14ac:dyDescent="0.25">
      <c r="B27" s="49" t="s">
        <v>2525</v>
      </c>
      <c r="C27" s="34">
        <v>16</v>
      </c>
      <c r="D27" s="34">
        <v>35</v>
      </c>
      <c r="E27" s="34">
        <v>4</v>
      </c>
      <c r="F27" s="34">
        <v>4</v>
      </c>
      <c r="G27" s="34">
        <v>77</v>
      </c>
      <c r="H27" s="34">
        <v>4.3499999999999996</v>
      </c>
      <c r="I27" s="35" t="s">
        <v>1229</v>
      </c>
      <c r="J27" s="35" t="s">
        <v>910</v>
      </c>
      <c r="K27" s="37">
        <v>615</v>
      </c>
      <c r="L27" s="37">
        <v>82.6</v>
      </c>
      <c r="M27" s="37">
        <v>112.8</v>
      </c>
    </row>
    <row r="28" spans="2:13" x14ac:dyDescent="0.25">
      <c r="B28" s="48" t="s">
        <v>4458</v>
      </c>
      <c r="C28" s="32">
        <v>17</v>
      </c>
      <c r="D28" s="32">
        <v>40</v>
      </c>
      <c r="E28" s="32">
        <v>4</v>
      </c>
      <c r="F28" s="32">
        <v>4</v>
      </c>
      <c r="G28" s="32">
        <v>77</v>
      </c>
      <c r="H28" s="32">
        <v>4.17</v>
      </c>
      <c r="I28" s="33" t="s">
        <v>1229</v>
      </c>
      <c r="J28" s="33" t="s">
        <v>910</v>
      </c>
      <c r="K28" s="36">
        <v>500</v>
      </c>
      <c r="L28" s="36">
        <v>83.5</v>
      </c>
      <c r="M28" s="36">
        <v>96.8</v>
      </c>
    </row>
    <row r="29" spans="2:13" x14ac:dyDescent="0.25">
      <c r="B29" s="49" t="s">
        <v>4215</v>
      </c>
      <c r="C29" s="34">
        <v>180</v>
      </c>
      <c r="D29" s="34">
        <v>180</v>
      </c>
      <c r="E29" s="34">
        <v>3.5</v>
      </c>
      <c r="F29" s="34">
        <v>3.5</v>
      </c>
      <c r="G29" s="34">
        <v>72</v>
      </c>
      <c r="H29" s="34">
        <v>1</v>
      </c>
      <c r="I29" s="35" t="s">
        <v>1229</v>
      </c>
      <c r="J29" s="35" t="s">
        <v>910</v>
      </c>
      <c r="K29" s="37">
        <v>1090</v>
      </c>
      <c r="L29" s="37">
        <v>82.5</v>
      </c>
      <c r="M29" s="37">
        <v>186.5</v>
      </c>
    </row>
    <row r="30" spans="2:13" x14ac:dyDescent="0.25">
      <c r="B30" s="48" t="s">
        <v>4295</v>
      </c>
      <c r="C30" s="32">
        <v>200</v>
      </c>
      <c r="D30" s="32">
        <v>400</v>
      </c>
      <c r="E30" s="32">
        <v>4</v>
      </c>
      <c r="F30" s="32">
        <v>4</v>
      </c>
      <c r="G30" s="32">
        <v>52</v>
      </c>
      <c r="H30" s="32">
        <v>6.67</v>
      </c>
      <c r="I30" s="33" t="s">
        <v>1229</v>
      </c>
      <c r="J30" s="33" t="s">
        <v>910</v>
      </c>
      <c r="K30" s="36">
        <v>3620</v>
      </c>
      <c r="L30" s="36">
        <v>128</v>
      </c>
      <c r="M30" s="36">
        <v>366</v>
      </c>
    </row>
    <row r="31" spans="2:13" x14ac:dyDescent="0.25">
      <c r="B31" s="49" t="s">
        <v>4212</v>
      </c>
      <c r="C31" s="34">
        <v>200</v>
      </c>
      <c r="D31" s="34">
        <v>200</v>
      </c>
      <c r="E31" s="34">
        <v>2</v>
      </c>
      <c r="F31" s="34">
        <v>2</v>
      </c>
      <c r="G31" s="34">
        <v>52</v>
      </c>
      <c r="H31" s="34">
        <v>8.33</v>
      </c>
      <c r="I31" s="35" t="s">
        <v>1229</v>
      </c>
      <c r="J31" s="35" t="s">
        <v>910</v>
      </c>
      <c r="K31" s="37">
        <v>2520</v>
      </c>
      <c r="L31" s="37">
        <v>128</v>
      </c>
      <c r="M31" s="37">
        <v>208</v>
      </c>
    </row>
    <row r="32" spans="2:13" x14ac:dyDescent="0.25">
      <c r="B32" s="48" t="s">
        <v>4294</v>
      </c>
      <c r="C32" s="32">
        <v>200</v>
      </c>
      <c r="D32" s="32">
        <v>200</v>
      </c>
      <c r="E32" s="32">
        <v>2.8</v>
      </c>
      <c r="F32" s="32">
        <v>2.8</v>
      </c>
      <c r="G32" s="32">
        <v>72</v>
      </c>
      <c r="H32" s="32">
        <v>6.25</v>
      </c>
      <c r="I32" s="33" t="s">
        <v>1229</v>
      </c>
      <c r="J32" s="33" t="s">
        <v>910</v>
      </c>
      <c r="K32" s="36">
        <v>765</v>
      </c>
      <c r="L32" s="36">
        <v>83.2</v>
      </c>
      <c r="M32" s="36">
        <v>136</v>
      </c>
    </row>
    <row r="33" spans="2:13" x14ac:dyDescent="0.25">
      <c r="B33" s="49" t="s">
        <v>4368</v>
      </c>
      <c r="C33" s="34">
        <v>20</v>
      </c>
      <c r="D33" s="34">
        <v>20</v>
      </c>
      <c r="E33" s="34">
        <v>2.8</v>
      </c>
      <c r="F33" s="34">
        <v>2.8</v>
      </c>
      <c r="G33" s="34">
        <v>72</v>
      </c>
      <c r="H33" s="34">
        <v>7.14</v>
      </c>
      <c r="I33" s="35" t="s">
        <v>1229</v>
      </c>
      <c r="J33" s="35" t="s">
        <v>910</v>
      </c>
      <c r="K33" s="37">
        <v>405</v>
      </c>
      <c r="L33" s="37">
        <v>77.5</v>
      </c>
      <c r="M33" s="37">
        <v>70.599999999999994</v>
      </c>
    </row>
    <row r="34" spans="2:13" x14ac:dyDescent="0.25">
      <c r="B34" s="48" t="s">
        <v>2594</v>
      </c>
      <c r="C34" s="32">
        <v>24</v>
      </c>
      <c r="D34" s="32">
        <v>105</v>
      </c>
      <c r="E34" s="32">
        <v>3.5</v>
      </c>
      <c r="F34" s="32">
        <v>3.5</v>
      </c>
      <c r="G34" s="32">
        <v>77</v>
      </c>
      <c r="H34" s="32">
        <v>3.33</v>
      </c>
      <c r="I34" s="33" t="s">
        <v>1229</v>
      </c>
      <c r="J34" s="33" t="s">
        <v>910</v>
      </c>
      <c r="K34" s="36">
        <v>525</v>
      </c>
      <c r="L34" s="36">
        <v>83.4</v>
      </c>
      <c r="M34" s="36">
        <v>104</v>
      </c>
    </row>
    <row r="35" spans="2:13" x14ac:dyDescent="0.25">
      <c r="B35" s="49" t="s">
        <v>2500</v>
      </c>
      <c r="C35" s="34">
        <v>24</v>
      </c>
      <c r="D35" s="34">
        <v>105</v>
      </c>
      <c r="E35" s="34">
        <v>4</v>
      </c>
      <c r="F35" s="34">
        <v>4</v>
      </c>
      <c r="G35" s="34">
        <v>77</v>
      </c>
      <c r="H35" s="34">
        <v>4.17</v>
      </c>
      <c r="I35" s="35" t="s">
        <v>1229</v>
      </c>
      <c r="J35" s="35" t="s">
        <v>910</v>
      </c>
      <c r="K35" s="37">
        <v>795</v>
      </c>
      <c r="L35" s="37">
        <v>83.5</v>
      </c>
      <c r="M35" s="37">
        <v>118</v>
      </c>
    </row>
    <row r="36" spans="2:13" x14ac:dyDescent="0.25">
      <c r="B36" s="48" t="s">
        <v>4495</v>
      </c>
      <c r="C36" s="32">
        <v>24</v>
      </c>
      <c r="D36" s="32">
        <v>105</v>
      </c>
      <c r="E36" s="32">
        <v>4</v>
      </c>
      <c r="F36" s="32">
        <v>4</v>
      </c>
      <c r="G36" s="32">
        <v>77</v>
      </c>
      <c r="H36" s="32">
        <v>4.3</v>
      </c>
      <c r="I36" s="33" t="s">
        <v>1229</v>
      </c>
      <c r="J36" s="33" t="s">
        <v>910</v>
      </c>
      <c r="K36" s="36">
        <v>670</v>
      </c>
      <c r="L36" s="36">
        <v>83.5</v>
      </c>
      <c r="M36" s="36">
        <v>107</v>
      </c>
    </row>
    <row r="37" spans="2:13" x14ac:dyDescent="0.25">
      <c r="B37" s="49" t="s">
        <v>2517</v>
      </c>
      <c r="C37" s="34">
        <v>24</v>
      </c>
      <c r="D37" s="34">
        <v>70</v>
      </c>
      <c r="E37" s="34">
        <v>2.8</v>
      </c>
      <c r="F37" s="34">
        <v>2.8</v>
      </c>
      <c r="G37" s="34">
        <v>82</v>
      </c>
      <c r="H37" s="34">
        <v>4.76</v>
      </c>
      <c r="I37" s="35" t="s">
        <v>1229</v>
      </c>
      <c r="J37" s="35" t="s">
        <v>910</v>
      </c>
      <c r="K37" s="37">
        <v>805</v>
      </c>
      <c r="L37" s="37">
        <v>88.5</v>
      </c>
      <c r="M37" s="37">
        <v>113</v>
      </c>
    </row>
    <row r="38" spans="2:13" x14ac:dyDescent="0.25">
      <c r="B38" s="48" t="s">
        <v>2513</v>
      </c>
      <c r="C38" s="32">
        <v>24</v>
      </c>
      <c r="D38" s="32">
        <v>70</v>
      </c>
      <c r="E38" s="32">
        <v>4</v>
      </c>
      <c r="F38" s="32">
        <v>4</v>
      </c>
      <c r="G38" s="32">
        <v>77</v>
      </c>
      <c r="H38" s="32">
        <v>1.43</v>
      </c>
      <c r="I38" s="33" t="s">
        <v>1229</v>
      </c>
      <c r="J38" s="33" t="s">
        <v>910</v>
      </c>
      <c r="K38" s="36">
        <v>600</v>
      </c>
      <c r="L38" s="36">
        <v>83.4</v>
      </c>
      <c r="M38" s="36">
        <v>93</v>
      </c>
    </row>
    <row r="39" spans="2:13" x14ac:dyDescent="0.25">
      <c r="B39" s="49" t="s">
        <v>4219</v>
      </c>
      <c r="C39" s="34">
        <v>24</v>
      </c>
      <c r="D39" s="34">
        <v>85</v>
      </c>
      <c r="E39" s="34">
        <v>3.5</v>
      </c>
      <c r="F39" s="34">
        <v>3.5</v>
      </c>
      <c r="G39" s="34">
        <v>67</v>
      </c>
      <c r="H39" s="34">
        <v>6.25</v>
      </c>
      <c r="I39" s="35" t="s">
        <v>1229</v>
      </c>
      <c r="J39" s="35" t="s">
        <v>910</v>
      </c>
      <c r="K39" s="37">
        <v>380</v>
      </c>
      <c r="L39" s="37">
        <v>73</v>
      </c>
      <c r="M39" s="37">
        <v>69.5</v>
      </c>
    </row>
    <row r="40" spans="2:13" x14ac:dyDescent="0.25">
      <c r="B40" s="48" t="s">
        <v>2783</v>
      </c>
      <c r="C40" s="32">
        <v>24</v>
      </c>
      <c r="D40" s="32">
        <v>24</v>
      </c>
      <c r="E40" s="32">
        <v>1.4</v>
      </c>
      <c r="F40" s="32">
        <v>1.4</v>
      </c>
      <c r="G40" s="32">
        <v>77</v>
      </c>
      <c r="H40" s="32">
        <v>5.88</v>
      </c>
      <c r="I40" s="33" t="s">
        <v>1229</v>
      </c>
      <c r="J40" s="33" t="s">
        <v>910</v>
      </c>
      <c r="K40" s="36">
        <v>650</v>
      </c>
      <c r="L40" s="36">
        <v>93.5</v>
      </c>
      <c r="M40" s="36">
        <v>86.9</v>
      </c>
    </row>
    <row r="41" spans="2:13" x14ac:dyDescent="0.25">
      <c r="B41" s="49" t="s">
        <v>2782</v>
      </c>
      <c r="C41" s="34">
        <v>24</v>
      </c>
      <c r="D41" s="34">
        <v>24</v>
      </c>
      <c r="E41" s="34">
        <v>2.8</v>
      </c>
      <c r="F41" s="34">
        <v>2.8</v>
      </c>
      <c r="G41" s="34">
        <v>58</v>
      </c>
      <c r="H41" s="34">
        <v>4.3499999999999996</v>
      </c>
      <c r="I41" s="35" t="s">
        <v>1229</v>
      </c>
      <c r="J41" s="35" t="s">
        <v>910</v>
      </c>
      <c r="K41" s="37">
        <v>280</v>
      </c>
      <c r="L41" s="37">
        <v>68.400000000000006</v>
      </c>
      <c r="M41" s="37">
        <v>55.7</v>
      </c>
    </row>
    <row r="42" spans="2:13" x14ac:dyDescent="0.25">
      <c r="B42" s="48" t="s">
        <v>4218</v>
      </c>
      <c r="C42" s="32">
        <v>24</v>
      </c>
      <c r="D42" s="32">
        <v>24</v>
      </c>
      <c r="E42" s="32">
        <v>2.8</v>
      </c>
      <c r="F42" s="32">
        <v>2.8</v>
      </c>
      <c r="G42" s="32">
        <v>58</v>
      </c>
      <c r="H42" s="32">
        <v>6.25</v>
      </c>
      <c r="I42" s="33" t="s">
        <v>1229</v>
      </c>
      <c r="J42" s="33" t="s">
        <v>910</v>
      </c>
      <c r="K42" s="36">
        <v>270</v>
      </c>
      <c r="L42" s="36">
        <v>67.5</v>
      </c>
      <c r="M42" s="36">
        <v>48.5</v>
      </c>
    </row>
    <row r="43" spans="2:13" x14ac:dyDescent="0.25">
      <c r="B43" s="49" t="s">
        <v>4367</v>
      </c>
      <c r="C43" s="34">
        <v>28</v>
      </c>
      <c r="D43" s="34">
        <v>135</v>
      </c>
      <c r="E43" s="34">
        <v>3.5</v>
      </c>
      <c r="F43" s="34">
        <v>3.5</v>
      </c>
      <c r="G43" s="34">
        <v>72</v>
      </c>
      <c r="H43" s="34">
        <v>5.26</v>
      </c>
      <c r="I43" s="35" t="s">
        <v>1229</v>
      </c>
      <c r="J43" s="35" t="s">
        <v>910</v>
      </c>
      <c r="K43" s="37">
        <v>540</v>
      </c>
      <c r="L43" s="37">
        <v>78.400000000000006</v>
      </c>
      <c r="M43" s="37">
        <v>96.8</v>
      </c>
    </row>
    <row r="44" spans="2:13" x14ac:dyDescent="0.25">
      <c r="B44" s="48" t="s">
        <v>4333</v>
      </c>
      <c r="C44" s="32">
        <v>28</v>
      </c>
      <c r="D44" s="32">
        <v>300</v>
      </c>
      <c r="E44" s="32">
        <v>3.5</v>
      </c>
      <c r="F44" s="32">
        <v>3.5</v>
      </c>
      <c r="G44" s="32">
        <v>77</v>
      </c>
      <c r="H44" s="32">
        <v>3.33</v>
      </c>
      <c r="I44" s="33" t="s">
        <v>1229</v>
      </c>
      <c r="J44" s="33" t="s">
        <v>910</v>
      </c>
      <c r="K44" s="36">
        <v>1670</v>
      </c>
      <c r="L44" s="36">
        <v>92</v>
      </c>
      <c r="M44" s="36">
        <v>184</v>
      </c>
    </row>
    <row r="45" spans="2:13" x14ac:dyDescent="0.25">
      <c r="B45" s="49" t="s">
        <v>4332</v>
      </c>
      <c r="C45" s="34">
        <v>28</v>
      </c>
      <c r="D45" s="34">
        <v>28</v>
      </c>
      <c r="E45" s="34">
        <v>1.8</v>
      </c>
      <c r="F45" s="34">
        <v>1.8</v>
      </c>
      <c r="G45" s="34">
        <v>58</v>
      </c>
      <c r="H45" s="34">
        <v>5.56</v>
      </c>
      <c r="I45" s="35" t="s">
        <v>1229</v>
      </c>
      <c r="J45" s="35" t="s">
        <v>910</v>
      </c>
      <c r="K45" s="37">
        <v>310</v>
      </c>
      <c r="L45" s="37">
        <v>73.599999999999994</v>
      </c>
      <c r="M45" s="37">
        <v>55.6</v>
      </c>
    </row>
    <row r="46" spans="2:13" x14ac:dyDescent="0.25">
      <c r="B46" s="48" t="s">
        <v>2748</v>
      </c>
      <c r="C46" s="32">
        <v>28</v>
      </c>
      <c r="D46" s="32">
        <v>28</v>
      </c>
      <c r="E46" s="32">
        <v>2.8</v>
      </c>
      <c r="F46" s="32">
        <v>2.8</v>
      </c>
      <c r="G46" s="32">
        <v>58</v>
      </c>
      <c r="H46" s="32">
        <v>5</v>
      </c>
      <c r="I46" s="33" t="s">
        <v>1229</v>
      </c>
      <c r="J46" s="33" t="s">
        <v>910</v>
      </c>
      <c r="K46" s="36">
        <v>260</v>
      </c>
      <c r="L46" s="36">
        <v>68.400000000000006</v>
      </c>
      <c r="M46" s="36">
        <v>51.5</v>
      </c>
    </row>
    <row r="47" spans="2:13" x14ac:dyDescent="0.25">
      <c r="B47" s="49" t="s">
        <v>4454</v>
      </c>
      <c r="C47" s="34">
        <v>300</v>
      </c>
      <c r="D47" s="34">
        <v>300</v>
      </c>
      <c r="E47" s="34">
        <v>2.8</v>
      </c>
      <c r="F47" s="34">
        <v>2.8</v>
      </c>
      <c r="G47" s="34">
        <v>52</v>
      </c>
      <c r="H47" s="34">
        <v>5.56</v>
      </c>
      <c r="I47" s="35" t="s">
        <v>1229</v>
      </c>
      <c r="J47" s="35" t="s">
        <v>910</v>
      </c>
      <c r="K47" s="37">
        <v>2400</v>
      </c>
      <c r="L47" s="37">
        <v>128</v>
      </c>
      <c r="M47" s="37">
        <v>248</v>
      </c>
    </row>
    <row r="48" spans="2:13" x14ac:dyDescent="0.25">
      <c r="B48" s="48" t="s">
        <v>4293</v>
      </c>
      <c r="C48" s="32">
        <v>300</v>
      </c>
      <c r="D48" s="32">
        <v>300</v>
      </c>
      <c r="E48" s="32">
        <v>4</v>
      </c>
      <c r="F48" s="32">
        <v>4</v>
      </c>
      <c r="G48" s="32">
        <v>77</v>
      </c>
      <c r="H48" s="32">
        <v>4.17</v>
      </c>
      <c r="I48" s="33" t="s">
        <v>1229</v>
      </c>
      <c r="J48" s="33" t="s">
        <v>910</v>
      </c>
      <c r="K48" s="36">
        <v>1190</v>
      </c>
      <c r="L48" s="36">
        <v>90</v>
      </c>
      <c r="M48" s="36">
        <v>221</v>
      </c>
    </row>
    <row r="49" spans="2:13" x14ac:dyDescent="0.25">
      <c r="B49" s="49" t="s">
        <v>2593</v>
      </c>
      <c r="C49" s="34">
        <v>35</v>
      </c>
      <c r="D49" s="34">
        <v>35</v>
      </c>
      <c r="E49" s="34">
        <v>1.4</v>
      </c>
      <c r="F49" s="34">
        <v>1.4</v>
      </c>
      <c r="G49" s="34">
        <v>72</v>
      </c>
      <c r="H49" s="34">
        <v>4.76</v>
      </c>
      <c r="I49" s="35" t="s">
        <v>1229</v>
      </c>
      <c r="J49" s="35" t="s">
        <v>910</v>
      </c>
      <c r="K49" s="37">
        <v>760</v>
      </c>
      <c r="L49" s="37">
        <v>80.400000000000006</v>
      </c>
      <c r="M49" s="37">
        <v>105.5</v>
      </c>
    </row>
    <row r="50" spans="2:13" x14ac:dyDescent="0.25">
      <c r="B50" s="48" t="s">
        <v>4042</v>
      </c>
      <c r="C50" s="32">
        <v>35</v>
      </c>
      <c r="D50" s="32">
        <v>35</v>
      </c>
      <c r="E50" s="32">
        <v>1.4</v>
      </c>
      <c r="F50" s="32">
        <v>1.4</v>
      </c>
      <c r="G50" s="32">
        <v>72</v>
      </c>
      <c r="H50" s="32">
        <v>5.56</v>
      </c>
      <c r="I50" s="33" t="s">
        <v>1229</v>
      </c>
      <c r="J50" s="33" t="s">
        <v>910</v>
      </c>
      <c r="K50" s="36">
        <v>580</v>
      </c>
      <c r="L50" s="36">
        <v>79</v>
      </c>
      <c r="M50" s="36">
        <v>86</v>
      </c>
    </row>
    <row r="51" spans="2:13" x14ac:dyDescent="0.25">
      <c r="B51" s="49" t="s">
        <v>2534</v>
      </c>
      <c r="C51" s="34">
        <v>35</v>
      </c>
      <c r="D51" s="34">
        <v>35</v>
      </c>
      <c r="E51" s="34">
        <v>2</v>
      </c>
      <c r="F51" s="34">
        <v>2</v>
      </c>
      <c r="G51" s="34">
        <v>67</v>
      </c>
      <c r="H51" s="34">
        <v>4.17</v>
      </c>
      <c r="I51" s="35" t="s">
        <v>1229</v>
      </c>
      <c r="J51" s="35" t="s">
        <v>910</v>
      </c>
      <c r="K51" s="37">
        <v>335</v>
      </c>
      <c r="L51" s="37">
        <v>77.900000000000006</v>
      </c>
      <c r="M51" s="37">
        <v>62.6</v>
      </c>
    </row>
    <row r="52" spans="2:13" x14ac:dyDescent="0.25">
      <c r="B52" s="48" t="s">
        <v>2744</v>
      </c>
      <c r="C52" s="32">
        <v>400</v>
      </c>
      <c r="D52" s="32">
        <v>400</v>
      </c>
      <c r="E52" s="32">
        <v>2.8</v>
      </c>
      <c r="F52" s="32">
        <v>2.8</v>
      </c>
      <c r="G52" s="32">
        <v>52</v>
      </c>
      <c r="H52" s="32">
        <v>5.88</v>
      </c>
      <c r="I52" s="33" t="s">
        <v>1229</v>
      </c>
      <c r="J52" s="33" t="s">
        <v>910</v>
      </c>
      <c r="K52" s="36">
        <v>3850</v>
      </c>
      <c r="L52" s="36">
        <v>163</v>
      </c>
      <c r="M52" s="36">
        <v>343</v>
      </c>
    </row>
    <row r="53" spans="2:13" x14ac:dyDescent="0.25">
      <c r="B53" s="49" t="s">
        <v>4210</v>
      </c>
      <c r="C53" s="34">
        <v>400</v>
      </c>
      <c r="D53" s="34">
        <v>400</v>
      </c>
      <c r="E53" s="34">
        <v>4</v>
      </c>
      <c r="F53" s="34">
        <v>4</v>
      </c>
      <c r="G53" s="34">
        <v>52</v>
      </c>
      <c r="H53" s="34">
        <v>7.69</v>
      </c>
      <c r="I53" s="35" t="s">
        <v>1229</v>
      </c>
      <c r="J53" s="35" t="s">
        <v>910</v>
      </c>
      <c r="K53" s="37">
        <v>2100</v>
      </c>
      <c r="L53" s="37">
        <v>128</v>
      </c>
      <c r="M53" s="37">
        <v>232.7</v>
      </c>
    </row>
    <row r="54" spans="2:13" x14ac:dyDescent="0.25">
      <c r="B54" s="48" t="s">
        <v>4209</v>
      </c>
      <c r="C54" s="32">
        <v>400</v>
      </c>
      <c r="D54" s="32">
        <v>400</v>
      </c>
      <c r="E54" s="32">
        <v>5.6</v>
      </c>
      <c r="F54" s="32">
        <v>5.6</v>
      </c>
      <c r="G54" s="32">
        <v>77</v>
      </c>
      <c r="H54" s="32">
        <v>8.33</v>
      </c>
      <c r="I54" s="33" t="s">
        <v>1229</v>
      </c>
      <c r="J54" s="33" t="s">
        <v>910</v>
      </c>
      <c r="K54" s="36">
        <v>1250</v>
      </c>
      <c r="L54" s="36">
        <v>90</v>
      </c>
      <c r="M54" s="36">
        <v>256.5</v>
      </c>
    </row>
    <row r="55" spans="2:13" x14ac:dyDescent="0.25">
      <c r="B55" s="49" t="s">
        <v>2747</v>
      </c>
      <c r="C55" s="34">
        <v>40</v>
      </c>
      <c r="D55" s="34">
        <v>40</v>
      </c>
      <c r="E55" s="34">
        <v>2.8</v>
      </c>
      <c r="F55" s="34">
        <v>2.8</v>
      </c>
      <c r="G55" s="34">
        <v>52</v>
      </c>
      <c r="H55" s="34">
        <v>5.56</v>
      </c>
      <c r="I55" s="35" t="s">
        <v>1229</v>
      </c>
      <c r="J55" s="35" t="s">
        <v>910</v>
      </c>
      <c r="K55" s="37">
        <v>130</v>
      </c>
      <c r="L55" s="37">
        <v>68.2</v>
      </c>
      <c r="M55" s="37">
        <v>22.8</v>
      </c>
    </row>
    <row r="56" spans="2:13" x14ac:dyDescent="0.25">
      <c r="B56" s="48" t="s">
        <v>2742</v>
      </c>
      <c r="C56" s="32">
        <v>500</v>
      </c>
      <c r="D56" s="32">
        <v>500</v>
      </c>
      <c r="E56" s="32">
        <v>4</v>
      </c>
      <c r="F56" s="32">
        <v>4</v>
      </c>
      <c r="G56" s="32">
        <v>52</v>
      </c>
      <c r="H56" s="32">
        <v>6.67</v>
      </c>
      <c r="I56" s="33" t="s">
        <v>1229</v>
      </c>
      <c r="J56" s="33" t="s">
        <v>910</v>
      </c>
      <c r="K56" s="36">
        <v>3190</v>
      </c>
      <c r="L56" s="36">
        <v>146</v>
      </c>
      <c r="M56" s="36">
        <v>383</v>
      </c>
    </row>
    <row r="57" spans="2:13" x14ac:dyDescent="0.25">
      <c r="B57" s="49" t="s">
        <v>4427</v>
      </c>
      <c r="C57" s="34">
        <v>50</v>
      </c>
      <c r="D57" s="34">
        <v>50</v>
      </c>
      <c r="E57" s="34">
        <v>1.2</v>
      </c>
      <c r="F57" s="34">
        <v>1.2</v>
      </c>
      <c r="G57" s="34">
        <v>72</v>
      </c>
      <c r="H57" s="34">
        <v>6.67</v>
      </c>
      <c r="I57" s="35" t="s">
        <v>1229</v>
      </c>
      <c r="J57" s="35" t="s">
        <v>910</v>
      </c>
      <c r="K57" s="37">
        <v>580</v>
      </c>
      <c r="L57" s="37">
        <v>85.8</v>
      </c>
      <c r="M57" s="37">
        <v>65.5</v>
      </c>
    </row>
    <row r="58" spans="2:13" x14ac:dyDescent="0.25">
      <c r="B58" s="48" t="s">
        <v>4479</v>
      </c>
      <c r="C58" s="32">
        <v>50</v>
      </c>
      <c r="D58" s="32">
        <v>50</v>
      </c>
      <c r="E58" s="32">
        <v>1.4</v>
      </c>
      <c r="F58" s="32">
        <v>1.4</v>
      </c>
      <c r="G58" s="32">
        <v>58</v>
      </c>
      <c r="H58" s="32">
        <v>6.67</v>
      </c>
      <c r="I58" s="33" t="s">
        <v>1229</v>
      </c>
      <c r="J58" s="33" t="s">
        <v>910</v>
      </c>
      <c r="K58" s="36">
        <v>290</v>
      </c>
      <c r="L58" s="36">
        <v>73.8</v>
      </c>
      <c r="M58" s="36">
        <v>50.5</v>
      </c>
    </row>
    <row r="59" spans="2:13" x14ac:dyDescent="0.25">
      <c r="B59" s="49" t="s">
        <v>4426</v>
      </c>
      <c r="C59" s="34">
        <v>50</v>
      </c>
      <c r="D59" s="34">
        <v>50</v>
      </c>
      <c r="E59" s="34">
        <v>1.8</v>
      </c>
      <c r="F59" s="34">
        <v>1.8</v>
      </c>
      <c r="G59" s="34">
        <v>52</v>
      </c>
      <c r="H59" s="34">
        <v>6.67</v>
      </c>
      <c r="I59" s="35" t="s">
        <v>1229</v>
      </c>
      <c r="J59" s="35" t="s">
        <v>910</v>
      </c>
      <c r="K59" s="37">
        <v>130</v>
      </c>
      <c r="L59" s="37">
        <v>68.2</v>
      </c>
      <c r="M59" s="37">
        <v>41</v>
      </c>
    </row>
    <row r="60" spans="2:13" x14ac:dyDescent="0.25">
      <c r="B60" s="48" t="s">
        <v>2522</v>
      </c>
      <c r="C60" s="32">
        <v>50</v>
      </c>
      <c r="D60" s="32">
        <v>50</v>
      </c>
      <c r="E60" s="32">
        <v>1.8</v>
      </c>
      <c r="F60" s="32">
        <v>1.8</v>
      </c>
      <c r="G60" s="32">
        <v>49</v>
      </c>
      <c r="H60" s="32">
        <v>4.76</v>
      </c>
      <c r="I60" s="33" t="s">
        <v>1229</v>
      </c>
      <c r="J60" s="33" t="s">
        <v>910</v>
      </c>
      <c r="K60" s="36">
        <v>159</v>
      </c>
      <c r="L60" s="36">
        <v>69.2</v>
      </c>
      <c r="M60" s="36">
        <v>39.299999999999997</v>
      </c>
    </row>
    <row r="61" spans="2:13" x14ac:dyDescent="0.25">
      <c r="B61" s="49" t="s">
        <v>2781</v>
      </c>
      <c r="C61" s="34">
        <v>50</v>
      </c>
      <c r="D61" s="34">
        <v>50</v>
      </c>
      <c r="E61" s="34">
        <v>2.5</v>
      </c>
      <c r="F61" s="34">
        <v>2.5</v>
      </c>
      <c r="G61" s="34">
        <v>52</v>
      </c>
      <c r="H61" s="34">
        <v>2</v>
      </c>
      <c r="I61" s="35" t="s">
        <v>1229</v>
      </c>
      <c r="J61" s="35" t="s">
        <v>910</v>
      </c>
      <c r="K61" s="37">
        <v>280</v>
      </c>
      <c r="L61" s="37">
        <v>67.599999999999994</v>
      </c>
      <c r="M61" s="37">
        <v>63</v>
      </c>
    </row>
    <row r="62" spans="2:13" x14ac:dyDescent="0.25">
      <c r="B62" s="48" t="s">
        <v>4408</v>
      </c>
      <c r="C62" s="32">
        <v>600</v>
      </c>
      <c r="D62" s="32">
        <v>600</v>
      </c>
      <c r="E62" s="32">
        <v>4</v>
      </c>
      <c r="F62" s="32">
        <v>4</v>
      </c>
      <c r="G62" s="32">
        <v>52</v>
      </c>
      <c r="H62" s="32">
        <v>6.67</v>
      </c>
      <c r="I62" s="33" t="s">
        <v>1229</v>
      </c>
      <c r="J62" s="33" t="s">
        <v>910</v>
      </c>
      <c r="K62" s="36">
        <v>3920</v>
      </c>
      <c r="L62" s="36">
        <v>168</v>
      </c>
      <c r="M62" s="36">
        <v>448</v>
      </c>
    </row>
    <row r="63" spans="2:13" x14ac:dyDescent="0.25">
      <c r="B63" s="49" t="s">
        <v>4507</v>
      </c>
      <c r="C63" s="34">
        <v>70</v>
      </c>
      <c r="D63" s="34">
        <v>200</v>
      </c>
      <c r="E63" s="34">
        <v>2.8</v>
      </c>
      <c r="F63" s="34">
        <v>2.8</v>
      </c>
      <c r="G63" s="34">
        <v>77</v>
      </c>
      <c r="H63" s="34">
        <v>4.76</v>
      </c>
      <c r="I63" s="35" t="s">
        <v>1229</v>
      </c>
      <c r="J63" s="35" t="s">
        <v>910</v>
      </c>
      <c r="K63" s="37">
        <v>1490</v>
      </c>
      <c r="L63" s="37">
        <v>88.8</v>
      </c>
      <c r="M63" s="37">
        <v>199</v>
      </c>
    </row>
    <row r="64" spans="2:13" x14ac:dyDescent="0.25">
      <c r="B64" s="48" t="s">
        <v>4365</v>
      </c>
      <c r="C64" s="32">
        <v>70</v>
      </c>
      <c r="D64" s="32">
        <v>200</v>
      </c>
      <c r="E64" s="32">
        <v>2.8</v>
      </c>
      <c r="F64" s="32">
        <v>2.8</v>
      </c>
      <c r="G64" s="32">
        <v>77</v>
      </c>
      <c r="H64" s="32">
        <v>6.25</v>
      </c>
      <c r="I64" s="33" t="s">
        <v>1229</v>
      </c>
      <c r="J64" s="33" t="s">
        <v>910</v>
      </c>
      <c r="K64" s="36">
        <v>1310</v>
      </c>
      <c r="L64" s="36">
        <v>84.6</v>
      </c>
      <c r="M64" s="36">
        <v>193.6</v>
      </c>
    </row>
    <row r="65" spans="2:13" x14ac:dyDescent="0.25">
      <c r="B65" s="49" t="s">
        <v>2592</v>
      </c>
      <c r="C65" s="34">
        <v>70</v>
      </c>
      <c r="D65" s="34">
        <v>200</v>
      </c>
      <c r="E65" s="34">
        <v>4</v>
      </c>
      <c r="F65" s="34">
        <v>4</v>
      </c>
      <c r="G65" s="34">
        <v>67</v>
      </c>
      <c r="H65" s="34">
        <v>4.8</v>
      </c>
      <c r="I65" s="35" t="s">
        <v>1229</v>
      </c>
      <c r="J65" s="35" t="s">
        <v>910</v>
      </c>
      <c r="K65" s="37">
        <v>760</v>
      </c>
      <c r="L65" s="37">
        <v>76</v>
      </c>
      <c r="M65" s="37">
        <v>172</v>
      </c>
    </row>
    <row r="66" spans="2:13" x14ac:dyDescent="0.25">
      <c r="B66" s="48" t="s">
        <v>4425</v>
      </c>
      <c r="C66" s="32">
        <v>70</v>
      </c>
      <c r="D66" s="32">
        <v>200</v>
      </c>
      <c r="E66" s="32">
        <v>4</v>
      </c>
      <c r="F66" s="32">
        <v>4</v>
      </c>
      <c r="G66" s="32">
        <v>67</v>
      </c>
      <c r="H66" s="32">
        <v>4.76</v>
      </c>
      <c r="I66" s="33" t="s">
        <v>1229</v>
      </c>
      <c r="J66" s="33" t="s">
        <v>910</v>
      </c>
      <c r="K66" s="36">
        <v>705</v>
      </c>
      <c r="L66" s="36">
        <v>76</v>
      </c>
      <c r="M66" s="36">
        <v>172</v>
      </c>
    </row>
    <row r="67" spans="2:13" x14ac:dyDescent="0.25">
      <c r="B67" s="49" t="s">
        <v>2533</v>
      </c>
      <c r="C67" s="34">
        <v>70</v>
      </c>
      <c r="D67" s="34">
        <v>300</v>
      </c>
      <c r="E67" s="34">
        <v>4</v>
      </c>
      <c r="F67" s="34">
        <v>4</v>
      </c>
      <c r="G67" s="34">
        <v>67</v>
      </c>
      <c r="H67" s="34">
        <v>4</v>
      </c>
      <c r="I67" s="35" t="s">
        <v>1229</v>
      </c>
      <c r="J67" s="35" t="s">
        <v>910</v>
      </c>
      <c r="K67" s="37">
        <v>710</v>
      </c>
      <c r="L67" s="37">
        <v>80</v>
      </c>
      <c r="M67" s="37">
        <v>145.5</v>
      </c>
    </row>
    <row r="68" spans="2:13" x14ac:dyDescent="0.25">
      <c r="B68" s="48" t="s">
        <v>4457</v>
      </c>
      <c r="C68" s="32">
        <v>70</v>
      </c>
      <c r="D68" s="32">
        <v>300</v>
      </c>
      <c r="E68" s="32">
        <v>4</v>
      </c>
      <c r="F68" s="32">
        <v>4</v>
      </c>
      <c r="G68" s="32">
        <v>58</v>
      </c>
      <c r="H68" s="32">
        <v>3.8</v>
      </c>
      <c r="I68" s="33" t="s">
        <v>1229</v>
      </c>
      <c r="J68" s="33" t="s">
        <v>910</v>
      </c>
      <c r="K68" s="36">
        <v>630</v>
      </c>
      <c r="L68" s="36">
        <v>76.5</v>
      </c>
      <c r="M68" s="36">
        <v>142.80000000000001</v>
      </c>
    </row>
    <row r="69" spans="2:13" x14ac:dyDescent="0.25">
      <c r="B69" s="49" t="s">
        <v>4424</v>
      </c>
      <c r="C69" s="34">
        <v>70</v>
      </c>
      <c r="D69" s="34">
        <v>300</v>
      </c>
      <c r="E69" s="34">
        <v>4</v>
      </c>
      <c r="F69" s="34">
        <v>4</v>
      </c>
      <c r="G69" s="34">
        <v>67</v>
      </c>
      <c r="H69" s="34">
        <v>4.76</v>
      </c>
      <c r="I69" s="35" t="s">
        <v>1229</v>
      </c>
      <c r="J69" s="35" t="s">
        <v>910</v>
      </c>
      <c r="K69" s="37">
        <v>1050</v>
      </c>
      <c r="L69" s="37">
        <v>89</v>
      </c>
      <c r="M69" s="37">
        <v>143</v>
      </c>
    </row>
    <row r="70" spans="2:13" x14ac:dyDescent="0.25">
      <c r="B70" s="48" t="s">
        <v>2717</v>
      </c>
      <c r="C70" s="32">
        <v>70</v>
      </c>
      <c r="D70" s="32">
        <v>300</v>
      </c>
      <c r="E70" s="32">
        <v>4.5</v>
      </c>
      <c r="F70" s="32">
        <v>4.5</v>
      </c>
      <c r="G70" s="32">
        <v>58</v>
      </c>
      <c r="H70" s="32">
        <v>5.26</v>
      </c>
      <c r="I70" s="33" t="s">
        <v>1229</v>
      </c>
      <c r="J70" s="33" t="s">
        <v>910</v>
      </c>
      <c r="K70" s="36">
        <v>720</v>
      </c>
      <c r="L70" s="36">
        <v>82.4</v>
      </c>
      <c r="M70" s="36">
        <v>99.9</v>
      </c>
    </row>
    <row r="71" spans="2:13" x14ac:dyDescent="0.25">
      <c r="B71" s="49" t="s">
        <v>4410</v>
      </c>
      <c r="C71" s="34">
        <v>75</v>
      </c>
      <c r="D71" s="34">
        <v>300</v>
      </c>
      <c r="E71" s="34">
        <v>4</v>
      </c>
      <c r="F71" s="34">
        <v>4</v>
      </c>
      <c r="G71" s="34">
        <v>58</v>
      </c>
      <c r="H71" s="34">
        <v>4</v>
      </c>
      <c r="I71" s="35" t="s">
        <v>1229</v>
      </c>
      <c r="J71" s="35" t="s">
        <v>910</v>
      </c>
      <c r="K71" s="37">
        <v>480</v>
      </c>
      <c r="L71" s="37">
        <v>71</v>
      </c>
      <c r="M71" s="37">
        <v>122</v>
      </c>
    </row>
    <row r="72" spans="2:13" x14ac:dyDescent="0.25">
      <c r="B72" s="48" t="s">
        <v>2780</v>
      </c>
      <c r="C72" s="32">
        <v>75</v>
      </c>
      <c r="D72" s="32">
        <v>300</v>
      </c>
      <c r="E72" s="32">
        <v>4</v>
      </c>
      <c r="F72" s="32">
        <v>4</v>
      </c>
      <c r="G72" s="32">
        <v>58</v>
      </c>
      <c r="H72" s="32">
        <v>4</v>
      </c>
      <c r="I72" s="33" t="s">
        <v>1229</v>
      </c>
      <c r="J72" s="33" t="s">
        <v>910</v>
      </c>
      <c r="K72" s="36">
        <v>480</v>
      </c>
      <c r="L72" s="36">
        <v>71</v>
      </c>
      <c r="M72" s="36">
        <v>122</v>
      </c>
    </row>
    <row r="73" spans="2:13" x14ac:dyDescent="0.25">
      <c r="B73" s="49" t="s">
        <v>2670</v>
      </c>
      <c r="C73" s="34">
        <v>800</v>
      </c>
      <c r="D73" s="34">
        <v>800</v>
      </c>
      <c r="E73" s="34">
        <v>5.6</v>
      </c>
      <c r="F73" s="34">
        <v>5.6</v>
      </c>
      <c r="G73" s="34">
        <v>52</v>
      </c>
      <c r="H73" s="34">
        <v>7.14</v>
      </c>
      <c r="I73" s="35" t="s">
        <v>1229</v>
      </c>
      <c r="J73" s="35" t="s">
        <v>910</v>
      </c>
      <c r="K73" s="37">
        <v>4500</v>
      </c>
      <c r="L73" s="37">
        <v>163</v>
      </c>
      <c r="M73" s="37">
        <v>461</v>
      </c>
    </row>
    <row r="74" spans="2:13" x14ac:dyDescent="0.25">
      <c r="B74" s="48" t="s">
        <v>4217</v>
      </c>
      <c r="C74" s="32">
        <v>8</v>
      </c>
      <c r="D74" s="32">
        <v>15</v>
      </c>
      <c r="E74" s="32">
        <v>4</v>
      </c>
      <c r="F74" s="32">
        <v>4</v>
      </c>
      <c r="G74" s="32">
        <v>0</v>
      </c>
      <c r="H74" s="32">
        <v>2.94</v>
      </c>
      <c r="I74" s="33" t="s">
        <v>1229</v>
      </c>
      <c r="J74" s="33" t="s">
        <v>910</v>
      </c>
      <c r="K74" s="36">
        <v>540</v>
      </c>
      <c r="L74" s="36">
        <v>78.5</v>
      </c>
      <c r="M74" s="36">
        <v>83</v>
      </c>
    </row>
    <row r="75" spans="2:13" x14ac:dyDescent="0.25">
      <c r="B75" s="49" t="s">
        <v>4456</v>
      </c>
      <c r="C75" s="34">
        <v>85</v>
      </c>
      <c r="D75" s="34">
        <v>85</v>
      </c>
      <c r="E75" s="34">
        <v>1.2</v>
      </c>
      <c r="F75" s="34">
        <v>1.2</v>
      </c>
      <c r="G75" s="34">
        <v>72</v>
      </c>
      <c r="H75" s="34">
        <v>9.09</v>
      </c>
      <c r="I75" s="35" t="s">
        <v>1229</v>
      </c>
      <c r="J75" s="35" t="s">
        <v>910</v>
      </c>
      <c r="K75" s="37">
        <v>1020</v>
      </c>
      <c r="L75" s="37">
        <v>91.5</v>
      </c>
      <c r="M75" s="37">
        <v>84</v>
      </c>
    </row>
    <row r="76" spans="2:13" x14ac:dyDescent="0.25">
      <c r="B76" s="48" t="s">
        <v>4492</v>
      </c>
      <c r="C76" s="32">
        <v>85</v>
      </c>
      <c r="D76" s="32">
        <v>85</v>
      </c>
      <c r="E76" s="32">
        <v>1.4</v>
      </c>
      <c r="F76" s="32">
        <v>1.4</v>
      </c>
      <c r="G76" s="32">
        <v>77</v>
      </c>
      <c r="H76" s="32">
        <v>8.33</v>
      </c>
      <c r="I76" s="33" t="s">
        <v>1229</v>
      </c>
      <c r="J76" s="33" t="s">
        <v>910</v>
      </c>
      <c r="K76" s="36">
        <v>960</v>
      </c>
      <c r="L76" s="36">
        <v>88.6</v>
      </c>
      <c r="M76" s="36">
        <v>105.4</v>
      </c>
    </row>
    <row r="77" spans="2:13" x14ac:dyDescent="0.25">
      <c r="B77" s="49" t="s">
        <v>4501</v>
      </c>
      <c r="C77" s="34">
        <v>85</v>
      </c>
      <c r="D77" s="34">
        <v>85</v>
      </c>
      <c r="E77" s="34">
        <v>1.8</v>
      </c>
      <c r="F77" s="34">
        <v>1.8</v>
      </c>
      <c r="G77" s="34">
        <v>58</v>
      </c>
      <c r="H77" s="34">
        <v>7.69</v>
      </c>
      <c r="I77" s="35" t="s">
        <v>1229</v>
      </c>
      <c r="J77" s="35" t="s">
        <v>910</v>
      </c>
      <c r="K77" s="37">
        <v>425</v>
      </c>
      <c r="L77" s="37">
        <v>75</v>
      </c>
      <c r="M77" s="37">
        <v>71.5</v>
      </c>
    </row>
    <row r="78" spans="2:13" x14ac:dyDescent="0.25">
      <c r="B78" s="48" t="s">
        <v>4423</v>
      </c>
      <c r="C78" s="32">
        <v>11</v>
      </c>
      <c r="D78" s="32">
        <v>22</v>
      </c>
      <c r="E78" s="32">
        <v>4</v>
      </c>
      <c r="F78" s="32">
        <v>4</v>
      </c>
      <c r="G78" s="32">
        <v>55</v>
      </c>
      <c r="H78" s="32">
        <v>3.33</v>
      </c>
      <c r="I78" s="33" t="s">
        <v>1298</v>
      </c>
      <c r="J78" s="33" t="s">
        <v>900</v>
      </c>
      <c r="K78" s="36">
        <v>220</v>
      </c>
      <c r="L78" s="36">
        <v>60.9</v>
      </c>
      <c r="M78" s="36">
        <v>58.2</v>
      </c>
    </row>
    <row r="79" spans="2:13" x14ac:dyDescent="0.25">
      <c r="B79" s="49" t="s">
        <v>2590</v>
      </c>
      <c r="C79" s="34">
        <v>15</v>
      </c>
      <c r="D79" s="34">
        <v>45</v>
      </c>
      <c r="E79" s="34">
        <v>3.5</v>
      </c>
      <c r="F79" s="34">
        <v>3.5</v>
      </c>
      <c r="G79" s="34">
        <v>49</v>
      </c>
      <c r="H79" s="34">
        <v>4</v>
      </c>
      <c r="I79" s="35" t="s">
        <v>1298</v>
      </c>
      <c r="J79" s="35" t="s">
        <v>900</v>
      </c>
      <c r="K79" s="37">
        <v>130</v>
      </c>
      <c r="L79" s="37">
        <v>60.9</v>
      </c>
      <c r="M79" s="37">
        <v>44.5</v>
      </c>
    </row>
    <row r="80" spans="2:13" x14ac:dyDescent="0.25">
      <c r="B80" s="48" t="s">
        <v>2898</v>
      </c>
      <c r="C80" s="32">
        <v>15</v>
      </c>
      <c r="D80" s="32">
        <v>45</v>
      </c>
      <c r="E80" s="32">
        <v>3.5</v>
      </c>
      <c r="F80" s="32">
        <v>3.5</v>
      </c>
      <c r="G80" s="32">
        <v>49</v>
      </c>
      <c r="H80" s="32">
        <v>4</v>
      </c>
      <c r="I80" s="33" t="s">
        <v>1298</v>
      </c>
      <c r="J80" s="33" t="s">
        <v>900</v>
      </c>
      <c r="K80" s="36">
        <v>130</v>
      </c>
      <c r="L80" s="36">
        <v>60.9</v>
      </c>
      <c r="M80" s="36">
        <v>44.5</v>
      </c>
    </row>
    <row r="81" spans="2:13" x14ac:dyDescent="0.25">
      <c r="B81" s="49" t="s">
        <v>2715</v>
      </c>
      <c r="C81" s="34">
        <v>18</v>
      </c>
      <c r="D81" s="34">
        <v>150</v>
      </c>
      <c r="E81" s="34">
        <v>3.5</v>
      </c>
      <c r="F81" s="34">
        <v>3.5</v>
      </c>
      <c r="G81" s="34">
        <v>55</v>
      </c>
      <c r="H81" s="34">
        <v>4.76</v>
      </c>
      <c r="I81" s="35" t="s">
        <v>1298</v>
      </c>
      <c r="J81" s="35" t="s">
        <v>900</v>
      </c>
      <c r="K81" s="37">
        <v>300</v>
      </c>
      <c r="L81" s="37">
        <v>60.9</v>
      </c>
      <c r="M81" s="37">
        <v>86.5</v>
      </c>
    </row>
    <row r="82" spans="2:13" x14ac:dyDescent="0.25">
      <c r="B82" s="48" t="s">
        <v>2897</v>
      </c>
      <c r="C82" s="32">
        <v>18</v>
      </c>
      <c r="D82" s="32">
        <v>150</v>
      </c>
      <c r="E82" s="32">
        <v>3.5</v>
      </c>
      <c r="F82" s="32">
        <v>3.5</v>
      </c>
      <c r="G82" s="32">
        <v>55</v>
      </c>
      <c r="H82" s="32">
        <v>4.76</v>
      </c>
      <c r="I82" s="33" t="s">
        <v>1298</v>
      </c>
      <c r="J82" s="33" t="s">
        <v>900</v>
      </c>
      <c r="K82" s="36">
        <v>300</v>
      </c>
      <c r="L82" s="36">
        <v>60.9</v>
      </c>
      <c r="M82" s="36">
        <v>86.5</v>
      </c>
    </row>
    <row r="83" spans="2:13" x14ac:dyDescent="0.25">
      <c r="B83" s="49" t="s">
        <v>4407</v>
      </c>
      <c r="C83" s="34">
        <v>18</v>
      </c>
      <c r="D83" s="34">
        <v>55</v>
      </c>
      <c r="E83" s="34">
        <v>3.5</v>
      </c>
      <c r="F83" s="34">
        <v>3.5</v>
      </c>
      <c r="G83" s="34">
        <v>52</v>
      </c>
      <c r="H83" s="34">
        <v>4</v>
      </c>
      <c r="I83" s="35" t="s">
        <v>1298</v>
      </c>
      <c r="J83" s="35" t="s">
        <v>900</v>
      </c>
      <c r="K83" s="37">
        <v>210</v>
      </c>
      <c r="L83" s="37">
        <v>60.9</v>
      </c>
      <c r="M83" s="37">
        <v>61</v>
      </c>
    </row>
    <row r="84" spans="2:13" x14ac:dyDescent="0.25">
      <c r="B84" s="48" t="s">
        <v>2550</v>
      </c>
      <c r="C84" s="32">
        <v>22</v>
      </c>
      <c r="D84" s="32">
        <v>22</v>
      </c>
      <c r="E84" s="32">
        <v>2</v>
      </c>
      <c r="F84" s="32">
        <v>2</v>
      </c>
      <c r="G84" s="32">
        <v>43</v>
      </c>
      <c r="H84" s="32">
        <v>4.76</v>
      </c>
      <c r="I84" s="33" t="s">
        <v>1298</v>
      </c>
      <c r="J84" s="33" t="s">
        <v>900</v>
      </c>
      <c r="K84" s="36">
        <v>105</v>
      </c>
      <c r="L84" s="36">
        <v>60.9</v>
      </c>
      <c r="M84" s="36">
        <v>23.7</v>
      </c>
    </row>
    <row r="85" spans="2:13" x14ac:dyDescent="0.25">
      <c r="B85" s="49" t="s">
        <v>3111</v>
      </c>
      <c r="C85" s="34">
        <v>28</v>
      </c>
      <c r="D85" s="34">
        <v>28</v>
      </c>
      <c r="E85" s="34">
        <v>3.5</v>
      </c>
      <c r="F85" s="34">
        <v>3.5</v>
      </c>
      <c r="G85" s="34">
        <v>43</v>
      </c>
      <c r="H85" s="34">
        <v>0.83</v>
      </c>
      <c r="I85" s="35" t="s">
        <v>1298</v>
      </c>
      <c r="J85" s="35" t="s">
        <v>900</v>
      </c>
      <c r="K85" s="37">
        <v>130</v>
      </c>
      <c r="L85" s="37">
        <v>60.9</v>
      </c>
      <c r="M85" s="37">
        <v>45.5</v>
      </c>
    </row>
    <row r="86" spans="2:13" x14ac:dyDescent="0.25">
      <c r="B86" s="48" t="s">
        <v>2741</v>
      </c>
      <c r="C86" s="32">
        <v>55</v>
      </c>
      <c r="D86" s="32">
        <v>200</v>
      </c>
      <c r="E86" s="32">
        <v>4.5</v>
      </c>
      <c r="F86" s="32">
        <v>4.5</v>
      </c>
      <c r="G86" s="32">
        <v>52</v>
      </c>
      <c r="H86" s="32">
        <v>4.76</v>
      </c>
      <c r="I86" s="33" t="s">
        <v>1298</v>
      </c>
      <c r="J86" s="33" t="s">
        <v>900</v>
      </c>
      <c r="K86" s="36">
        <v>260</v>
      </c>
      <c r="L86" s="36">
        <v>60.9</v>
      </c>
      <c r="M86" s="36">
        <v>86.5</v>
      </c>
    </row>
    <row r="87" spans="2:13" x14ac:dyDescent="0.25">
      <c r="B87" s="49" t="s">
        <v>3110</v>
      </c>
      <c r="C87" s="34">
        <v>55</v>
      </c>
      <c r="D87" s="34">
        <v>200</v>
      </c>
      <c r="E87" s="34">
        <v>4.5</v>
      </c>
      <c r="F87" s="34">
        <v>4.5</v>
      </c>
      <c r="G87" s="34">
        <v>52</v>
      </c>
      <c r="H87" s="34">
        <v>4.76</v>
      </c>
      <c r="I87" s="35" t="s">
        <v>1298</v>
      </c>
      <c r="J87" s="35" t="s">
        <v>900</v>
      </c>
      <c r="K87" s="37">
        <v>260</v>
      </c>
      <c r="L87" s="37">
        <v>60.9</v>
      </c>
      <c r="M87" s="37">
        <v>86.5</v>
      </c>
    </row>
    <row r="88" spans="2:13" x14ac:dyDescent="0.25">
      <c r="B88" s="48" t="s">
        <v>2740</v>
      </c>
      <c r="C88" s="32">
        <v>10</v>
      </c>
      <c r="D88" s="32">
        <v>18</v>
      </c>
      <c r="E88" s="32">
        <v>4.5</v>
      </c>
      <c r="F88" s="32">
        <v>4.5</v>
      </c>
      <c r="G88" s="32">
        <v>67</v>
      </c>
      <c r="H88" s="32">
        <v>6.67</v>
      </c>
      <c r="I88" s="33" t="s">
        <v>1251</v>
      </c>
      <c r="J88" s="33" t="s">
        <v>900</v>
      </c>
      <c r="K88" s="36">
        <v>240</v>
      </c>
      <c r="L88" s="36">
        <v>74.599999999999994</v>
      </c>
      <c r="M88" s="36">
        <v>72</v>
      </c>
    </row>
    <row r="89" spans="2:13" x14ac:dyDescent="0.25">
      <c r="B89" s="49" t="s">
        <v>2528</v>
      </c>
      <c r="C89" s="34">
        <v>10</v>
      </c>
      <c r="D89" s="34">
        <v>18</v>
      </c>
      <c r="E89" s="34">
        <v>4.5</v>
      </c>
      <c r="F89" s="34">
        <v>4.5</v>
      </c>
      <c r="G89" s="34">
        <v>67</v>
      </c>
      <c r="H89" s="34">
        <v>6.67</v>
      </c>
      <c r="I89" s="35" t="s">
        <v>1251</v>
      </c>
      <c r="J89" s="35" t="s">
        <v>900</v>
      </c>
      <c r="K89" s="37">
        <v>240</v>
      </c>
      <c r="L89" s="37">
        <v>74.599999999999994</v>
      </c>
      <c r="M89" s="37">
        <v>72</v>
      </c>
    </row>
    <row r="90" spans="2:13" x14ac:dyDescent="0.25">
      <c r="B90" s="48" t="s">
        <v>2588</v>
      </c>
      <c r="C90" s="32">
        <v>10</v>
      </c>
      <c r="D90" s="32">
        <v>22</v>
      </c>
      <c r="E90" s="32">
        <v>3.5</v>
      </c>
      <c r="F90" s="32">
        <v>3.5</v>
      </c>
      <c r="G90" s="32">
        <v>77</v>
      </c>
      <c r="H90" s="32">
        <v>5.88</v>
      </c>
      <c r="I90" s="33" t="s">
        <v>1251</v>
      </c>
      <c r="J90" s="33" t="s">
        <v>900</v>
      </c>
      <c r="K90" s="36">
        <v>385</v>
      </c>
      <c r="L90" s="36">
        <v>83.5</v>
      </c>
      <c r="M90" s="36">
        <v>89.8</v>
      </c>
    </row>
    <row r="91" spans="2:13" x14ac:dyDescent="0.25">
      <c r="B91" s="49" t="s">
        <v>2586</v>
      </c>
      <c r="C91" s="34">
        <v>15</v>
      </c>
      <c r="D91" s="34">
        <v>85</v>
      </c>
      <c r="E91" s="34">
        <v>3.5</v>
      </c>
      <c r="F91" s="34">
        <v>3.5</v>
      </c>
      <c r="G91" s="34">
        <v>72</v>
      </c>
      <c r="H91" s="34">
        <v>4.76</v>
      </c>
      <c r="I91" s="35" t="s">
        <v>1251</v>
      </c>
      <c r="J91" s="35" t="s">
        <v>900</v>
      </c>
      <c r="K91" s="37">
        <v>575</v>
      </c>
      <c r="L91" s="37">
        <v>81.599999999999994</v>
      </c>
      <c r="M91" s="37">
        <v>87.5</v>
      </c>
    </row>
    <row r="92" spans="2:13" x14ac:dyDescent="0.25">
      <c r="B92" s="48" t="s">
        <v>4422</v>
      </c>
      <c r="C92" s="32">
        <v>17</v>
      </c>
      <c r="D92" s="32">
        <v>55</v>
      </c>
      <c r="E92" s="32">
        <v>2.8</v>
      </c>
      <c r="F92" s="32">
        <v>2.8</v>
      </c>
      <c r="G92" s="32">
        <v>77</v>
      </c>
      <c r="H92" s="32">
        <v>5.88</v>
      </c>
      <c r="I92" s="33" t="s">
        <v>1251</v>
      </c>
      <c r="J92" s="33" t="s">
        <v>900</v>
      </c>
      <c r="K92" s="36">
        <v>645</v>
      </c>
      <c r="L92" s="36">
        <v>83.5</v>
      </c>
      <c r="M92" s="36">
        <v>110.6</v>
      </c>
    </row>
    <row r="93" spans="2:13" x14ac:dyDescent="0.25">
      <c r="B93" s="49" t="s">
        <v>2713</v>
      </c>
      <c r="C93" s="34">
        <v>17</v>
      </c>
      <c r="D93" s="34">
        <v>85</v>
      </c>
      <c r="E93" s="34">
        <v>4</v>
      </c>
      <c r="F93" s="34">
        <v>4</v>
      </c>
      <c r="G93" s="34">
        <v>67</v>
      </c>
      <c r="H93" s="34">
        <v>5</v>
      </c>
      <c r="I93" s="35" t="s">
        <v>1251</v>
      </c>
      <c r="J93" s="35" t="s">
        <v>900</v>
      </c>
      <c r="K93" s="37">
        <v>475</v>
      </c>
      <c r="L93" s="37">
        <v>78.5</v>
      </c>
      <c r="M93" s="37">
        <v>92</v>
      </c>
    </row>
    <row r="94" spans="2:13" x14ac:dyDescent="0.25">
      <c r="B94" s="48" t="s">
        <v>2896</v>
      </c>
      <c r="C94" s="32">
        <v>18</v>
      </c>
      <c r="D94" s="32">
        <v>135</v>
      </c>
      <c r="E94" s="32">
        <v>3.5</v>
      </c>
      <c r="F94" s="32">
        <v>3.5</v>
      </c>
      <c r="G94" s="32">
        <v>67</v>
      </c>
      <c r="H94" s="32">
        <v>4.76</v>
      </c>
      <c r="I94" s="33" t="s">
        <v>1251</v>
      </c>
      <c r="J94" s="33" t="s">
        <v>900</v>
      </c>
      <c r="K94" s="36">
        <v>455</v>
      </c>
      <c r="L94" s="36">
        <v>75.400000000000006</v>
      </c>
      <c r="M94" s="36">
        <v>101</v>
      </c>
    </row>
    <row r="95" spans="2:13" x14ac:dyDescent="0.25">
      <c r="B95" s="49" t="s">
        <v>4292</v>
      </c>
      <c r="C95" s="34">
        <v>18</v>
      </c>
      <c r="D95" s="34">
        <v>135</v>
      </c>
      <c r="E95" s="34">
        <v>3.5</v>
      </c>
      <c r="F95" s="34">
        <v>3.5</v>
      </c>
      <c r="G95" s="34">
        <v>67</v>
      </c>
      <c r="H95" s="34">
        <v>3.57</v>
      </c>
      <c r="I95" s="35" t="s">
        <v>1251</v>
      </c>
      <c r="J95" s="35" t="s">
        <v>900</v>
      </c>
      <c r="K95" s="37">
        <v>480</v>
      </c>
      <c r="L95" s="37">
        <v>76.599999999999994</v>
      </c>
      <c r="M95" s="37">
        <v>96</v>
      </c>
    </row>
    <row r="96" spans="2:13" x14ac:dyDescent="0.25">
      <c r="B96" s="48" t="s">
        <v>4421</v>
      </c>
      <c r="C96" s="32">
        <v>18</v>
      </c>
      <c r="D96" s="32">
        <v>135</v>
      </c>
      <c r="E96" s="32">
        <v>3.5</v>
      </c>
      <c r="F96" s="32">
        <v>3.5</v>
      </c>
      <c r="G96" s="32">
        <v>67</v>
      </c>
      <c r="H96" s="32">
        <v>3.57</v>
      </c>
      <c r="I96" s="33" t="s">
        <v>1251</v>
      </c>
      <c r="J96" s="33" t="s">
        <v>900</v>
      </c>
      <c r="K96" s="36">
        <v>480</v>
      </c>
      <c r="L96" s="36">
        <v>76.599999999999994</v>
      </c>
      <c r="M96" s="36">
        <v>96</v>
      </c>
    </row>
    <row r="97" spans="2:13" x14ac:dyDescent="0.25">
      <c r="B97" s="49" t="s">
        <v>4491</v>
      </c>
      <c r="C97" s="34">
        <v>18</v>
      </c>
      <c r="D97" s="34">
        <v>135</v>
      </c>
      <c r="E97" s="34">
        <v>3.5</v>
      </c>
      <c r="F97" s="34">
        <v>3.5</v>
      </c>
      <c r="G97" s="34">
        <v>67</v>
      </c>
      <c r="H97" s="34">
        <v>3.57</v>
      </c>
      <c r="I97" s="35" t="s">
        <v>1251</v>
      </c>
      <c r="J97" s="35" t="s">
        <v>900</v>
      </c>
      <c r="K97" s="37">
        <v>515</v>
      </c>
      <c r="L97" s="37">
        <v>77.400000000000006</v>
      </c>
      <c r="M97" s="37">
        <v>96</v>
      </c>
    </row>
    <row r="98" spans="2:13" x14ac:dyDescent="0.25">
      <c r="B98" s="48" t="s">
        <v>2585</v>
      </c>
      <c r="C98" s="32">
        <v>18</v>
      </c>
      <c r="D98" s="32">
        <v>200</v>
      </c>
      <c r="E98" s="32">
        <v>3.5</v>
      </c>
      <c r="F98" s="32">
        <v>3.5</v>
      </c>
      <c r="G98" s="32">
        <v>72</v>
      </c>
      <c r="H98" s="32">
        <v>4.17</v>
      </c>
      <c r="I98" s="33" t="s">
        <v>1251</v>
      </c>
      <c r="J98" s="33" t="s">
        <v>900</v>
      </c>
      <c r="K98" s="36">
        <v>600</v>
      </c>
      <c r="L98" s="36">
        <v>79</v>
      </c>
      <c r="M98" s="36">
        <v>102</v>
      </c>
    </row>
    <row r="99" spans="2:13" x14ac:dyDescent="0.25">
      <c r="B99" s="49" t="s">
        <v>2895</v>
      </c>
      <c r="C99" s="34">
        <v>18</v>
      </c>
      <c r="D99" s="34">
        <v>55</v>
      </c>
      <c r="E99" s="34">
        <v>3.5</v>
      </c>
      <c r="F99" s="34">
        <v>3.5</v>
      </c>
      <c r="G99" s="34">
        <v>58</v>
      </c>
      <c r="H99" s="34">
        <v>2.94</v>
      </c>
      <c r="I99" s="35" t="s">
        <v>1251</v>
      </c>
      <c r="J99" s="35" t="s">
        <v>900</v>
      </c>
      <c r="K99" s="37">
        <v>200</v>
      </c>
      <c r="L99" s="37">
        <v>68.5</v>
      </c>
      <c r="M99" s="37">
        <v>70</v>
      </c>
    </row>
    <row r="100" spans="2:13" x14ac:dyDescent="0.25">
      <c r="B100" s="48" t="s">
        <v>3109</v>
      </c>
      <c r="C100" s="32">
        <v>18</v>
      </c>
      <c r="D100" s="32">
        <v>55</v>
      </c>
      <c r="E100" s="32">
        <v>3.5</v>
      </c>
      <c r="F100" s="32">
        <v>3.5</v>
      </c>
      <c r="G100" s="32">
        <v>58</v>
      </c>
      <c r="H100" s="32">
        <v>2.94</v>
      </c>
      <c r="I100" s="33" t="s">
        <v>1251</v>
      </c>
      <c r="J100" s="33" t="s">
        <v>900</v>
      </c>
      <c r="K100" s="36">
        <v>200</v>
      </c>
      <c r="L100" s="36">
        <v>68.5</v>
      </c>
      <c r="M100" s="36">
        <v>70</v>
      </c>
    </row>
    <row r="101" spans="2:13" x14ac:dyDescent="0.25">
      <c r="B101" s="49" t="s">
        <v>2549</v>
      </c>
      <c r="C101" s="34">
        <v>18</v>
      </c>
      <c r="D101" s="34">
        <v>55</v>
      </c>
      <c r="E101" s="34">
        <v>3.5</v>
      </c>
      <c r="F101" s="34">
        <v>3.5</v>
      </c>
      <c r="G101" s="34">
        <v>58</v>
      </c>
      <c r="H101" s="34">
        <v>2.78</v>
      </c>
      <c r="I101" s="35" t="s">
        <v>1251</v>
      </c>
      <c r="J101" s="35" t="s">
        <v>900</v>
      </c>
      <c r="K101" s="37">
        <v>205</v>
      </c>
      <c r="L101" s="37">
        <v>69</v>
      </c>
      <c r="M101" s="37">
        <v>75.2</v>
      </c>
    </row>
    <row r="102" spans="2:13" x14ac:dyDescent="0.25">
      <c r="B102" s="48" t="s">
        <v>940</v>
      </c>
      <c r="C102" s="32">
        <v>18</v>
      </c>
      <c r="D102" s="32">
        <v>55</v>
      </c>
      <c r="E102" s="32">
        <v>3.5</v>
      </c>
      <c r="F102" s="32">
        <v>3.5</v>
      </c>
      <c r="G102" s="32">
        <v>58</v>
      </c>
      <c r="H102" s="32">
        <v>4.76</v>
      </c>
      <c r="I102" s="33" t="s">
        <v>1251</v>
      </c>
      <c r="J102" s="33" t="s">
        <v>900</v>
      </c>
      <c r="K102" s="36">
        <v>190</v>
      </c>
      <c r="L102" s="36">
        <v>68.5</v>
      </c>
      <c r="M102" s="36">
        <v>79.900000000000006</v>
      </c>
    </row>
    <row r="103" spans="2:13" x14ac:dyDescent="0.25">
      <c r="B103" s="49" t="s">
        <v>2575</v>
      </c>
      <c r="C103" s="34">
        <v>18</v>
      </c>
      <c r="D103" s="34">
        <v>55</v>
      </c>
      <c r="E103" s="34">
        <v>4</v>
      </c>
      <c r="F103" s="34">
        <v>4</v>
      </c>
      <c r="G103" s="34">
        <v>58</v>
      </c>
      <c r="H103" s="34">
        <v>4</v>
      </c>
      <c r="I103" s="35" t="s">
        <v>1251</v>
      </c>
      <c r="J103" s="35" t="s">
        <v>900</v>
      </c>
      <c r="K103" s="37">
        <v>215</v>
      </c>
      <c r="L103" s="37">
        <v>66.5</v>
      </c>
      <c r="M103" s="37">
        <v>61.8</v>
      </c>
    </row>
    <row r="104" spans="2:13" x14ac:dyDescent="0.25">
      <c r="B104" s="48" t="s">
        <v>4453</v>
      </c>
      <c r="C104" s="32">
        <v>24</v>
      </c>
      <c r="D104" s="32">
        <v>24</v>
      </c>
      <c r="E104" s="32">
        <v>2.8</v>
      </c>
      <c r="F104" s="32">
        <v>2.8</v>
      </c>
      <c r="G104" s="32">
        <v>52</v>
      </c>
      <c r="H104" s="32">
        <v>0</v>
      </c>
      <c r="I104" s="33" t="s">
        <v>1251</v>
      </c>
      <c r="J104" s="33" t="s">
        <v>900</v>
      </c>
      <c r="K104" s="36">
        <v>125</v>
      </c>
      <c r="L104" s="36">
        <v>68.2</v>
      </c>
      <c r="M104" s="36">
        <v>22.8</v>
      </c>
    </row>
    <row r="105" spans="2:13" x14ac:dyDescent="0.25">
      <c r="B105" s="49" t="s">
        <v>4478</v>
      </c>
      <c r="C105" s="34">
        <v>35</v>
      </c>
      <c r="D105" s="34">
        <v>35</v>
      </c>
      <c r="E105" s="34">
        <v>2.8</v>
      </c>
      <c r="F105" s="34">
        <v>2.8</v>
      </c>
      <c r="G105" s="34">
        <v>49</v>
      </c>
      <c r="H105" s="34">
        <v>1</v>
      </c>
      <c r="I105" s="35" t="s">
        <v>1251</v>
      </c>
      <c r="J105" s="35" t="s">
        <v>900</v>
      </c>
      <c r="K105" s="37">
        <v>190</v>
      </c>
      <c r="L105" s="37">
        <v>69.2</v>
      </c>
      <c r="M105" s="37">
        <v>55.8</v>
      </c>
    </row>
    <row r="106" spans="2:13" x14ac:dyDescent="0.25">
      <c r="B106" s="48" t="s">
        <v>4406</v>
      </c>
      <c r="C106" s="32">
        <v>55</v>
      </c>
      <c r="D106" s="32">
        <v>250</v>
      </c>
      <c r="E106" s="32">
        <v>4</v>
      </c>
      <c r="F106" s="32">
        <v>4</v>
      </c>
      <c r="G106" s="32">
        <v>58</v>
      </c>
      <c r="H106" s="32">
        <v>3.23</v>
      </c>
      <c r="I106" s="33" t="s">
        <v>1251</v>
      </c>
      <c r="J106" s="33" t="s">
        <v>900</v>
      </c>
      <c r="K106" s="36">
        <v>390</v>
      </c>
      <c r="L106" s="36">
        <v>70</v>
      </c>
      <c r="M106" s="36">
        <v>108</v>
      </c>
    </row>
    <row r="107" spans="2:13" x14ac:dyDescent="0.25">
      <c r="B107" s="49" t="s">
        <v>2712</v>
      </c>
      <c r="C107" s="34">
        <v>55</v>
      </c>
      <c r="D107" s="34">
        <v>250</v>
      </c>
      <c r="E107" s="34">
        <v>4</v>
      </c>
      <c r="F107" s="34">
        <v>4</v>
      </c>
      <c r="G107" s="34">
        <v>58</v>
      </c>
      <c r="H107" s="34">
        <v>3.23</v>
      </c>
      <c r="I107" s="35" t="s">
        <v>1251</v>
      </c>
      <c r="J107" s="35" t="s">
        <v>900</v>
      </c>
      <c r="K107" s="37">
        <v>390</v>
      </c>
      <c r="L107" s="37">
        <v>70</v>
      </c>
      <c r="M107" s="37">
        <v>108</v>
      </c>
    </row>
    <row r="108" spans="2:13" x14ac:dyDescent="0.25">
      <c r="B108" s="48" t="s">
        <v>2894</v>
      </c>
      <c r="C108" s="32">
        <v>55</v>
      </c>
      <c r="D108" s="32">
        <v>250</v>
      </c>
      <c r="E108" s="32">
        <v>4</v>
      </c>
      <c r="F108" s="32">
        <v>4</v>
      </c>
      <c r="G108" s="32">
        <v>58</v>
      </c>
      <c r="H108" s="32">
        <v>3.45</v>
      </c>
      <c r="I108" s="33" t="s">
        <v>1251</v>
      </c>
      <c r="J108" s="33" t="s">
        <v>900</v>
      </c>
      <c r="K108" s="36">
        <v>375</v>
      </c>
      <c r="L108" s="36">
        <v>70</v>
      </c>
      <c r="M108" s="36">
        <v>111</v>
      </c>
    </row>
    <row r="109" spans="2:13" x14ac:dyDescent="0.25">
      <c r="B109" s="49" t="s">
        <v>2554</v>
      </c>
      <c r="C109" s="34">
        <v>55</v>
      </c>
      <c r="D109" s="34">
        <v>250</v>
      </c>
      <c r="E109" s="34">
        <v>4</v>
      </c>
      <c r="F109" s="34">
        <v>4</v>
      </c>
      <c r="G109" s="34">
        <v>58</v>
      </c>
      <c r="H109" s="34">
        <v>3.45</v>
      </c>
      <c r="I109" s="35" t="s">
        <v>1251</v>
      </c>
      <c r="J109" s="35" t="s">
        <v>900</v>
      </c>
      <c r="K109" s="37">
        <v>375</v>
      </c>
      <c r="L109" s="37">
        <v>70</v>
      </c>
      <c r="M109" s="37">
        <v>111</v>
      </c>
    </row>
    <row r="110" spans="2:13" x14ac:dyDescent="0.25">
      <c r="B110" s="48" t="s">
        <v>2584</v>
      </c>
      <c r="C110" s="32">
        <v>60</v>
      </c>
      <c r="D110" s="32">
        <v>60</v>
      </c>
      <c r="E110" s="32">
        <v>2.8</v>
      </c>
      <c r="F110" s="32">
        <v>2.8</v>
      </c>
      <c r="G110" s="32">
        <v>52</v>
      </c>
      <c r="H110" s="32">
        <v>1</v>
      </c>
      <c r="I110" s="33" t="s">
        <v>1251</v>
      </c>
      <c r="J110" s="33" t="s">
        <v>900</v>
      </c>
      <c r="K110" s="36">
        <v>335</v>
      </c>
      <c r="L110" s="36">
        <v>73</v>
      </c>
      <c r="M110" s="36">
        <v>69.8</v>
      </c>
    </row>
    <row r="111" spans="2:13" x14ac:dyDescent="0.25">
      <c r="B111" s="49" t="s">
        <v>2711</v>
      </c>
      <c r="C111" s="34">
        <v>65</v>
      </c>
      <c r="D111" s="34">
        <v>65</v>
      </c>
      <c r="E111" s="34">
        <v>2.8</v>
      </c>
      <c r="F111" s="34">
        <v>2.8</v>
      </c>
      <c r="G111" s="34">
        <v>58</v>
      </c>
      <c r="H111" s="34">
        <v>0.2</v>
      </c>
      <c r="I111" s="35" t="s">
        <v>1229</v>
      </c>
      <c r="J111" s="35" t="s">
        <v>910</v>
      </c>
      <c r="K111" s="37">
        <v>730</v>
      </c>
      <c r="L111" s="37">
        <v>81</v>
      </c>
      <c r="M111" s="37">
        <v>98</v>
      </c>
    </row>
    <row r="112" spans="2:13" x14ac:dyDescent="0.25">
      <c r="B112" s="48" t="s">
        <v>1070</v>
      </c>
      <c r="C112" s="32">
        <v>135</v>
      </c>
      <c r="D112" s="32">
        <v>135</v>
      </c>
      <c r="E112" s="32">
        <v>2.2000000000000002</v>
      </c>
      <c r="F112" s="32">
        <v>2.2000000000000002</v>
      </c>
      <c r="G112" s="32">
        <v>0</v>
      </c>
      <c r="H112" s="32">
        <v>0</v>
      </c>
      <c r="I112" s="33" t="s">
        <v>1229</v>
      </c>
      <c r="J112" s="33" t="s">
        <v>910</v>
      </c>
      <c r="K112" s="36">
        <v>0</v>
      </c>
      <c r="L112" s="36">
        <v>0</v>
      </c>
      <c r="M112" s="36">
        <v>0</v>
      </c>
    </row>
    <row r="113" spans="2:13" x14ac:dyDescent="0.25">
      <c r="B113" s="49" t="s">
        <v>1071</v>
      </c>
      <c r="C113" s="34">
        <v>14</v>
      </c>
      <c r="D113" s="34">
        <v>14</v>
      </c>
      <c r="E113" s="34">
        <v>3.1</v>
      </c>
      <c r="F113" s="34">
        <v>3.1</v>
      </c>
      <c r="G113" s="34">
        <v>0</v>
      </c>
      <c r="H113" s="34">
        <v>0</v>
      </c>
      <c r="I113" s="35" t="s">
        <v>1229</v>
      </c>
      <c r="J113" s="35" t="s">
        <v>910</v>
      </c>
      <c r="K113" s="37">
        <v>0</v>
      </c>
      <c r="L113" s="37">
        <v>0</v>
      </c>
      <c r="M113" s="37">
        <v>0</v>
      </c>
    </row>
    <row r="114" spans="2:13" x14ac:dyDescent="0.25">
      <c r="B114" s="48" t="s">
        <v>1146</v>
      </c>
      <c r="C114" s="32">
        <v>18</v>
      </c>
      <c r="D114" s="32">
        <v>80</v>
      </c>
      <c r="E114" s="32">
        <v>4.4000000000000004</v>
      </c>
      <c r="F114" s="32">
        <v>4.4000000000000004</v>
      </c>
      <c r="G114" s="32">
        <v>0</v>
      </c>
      <c r="H114" s="32">
        <v>0</v>
      </c>
      <c r="I114" s="33" t="s">
        <v>1229</v>
      </c>
      <c r="J114" s="33" t="s">
        <v>910</v>
      </c>
      <c r="K114" s="36">
        <v>1200</v>
      </c>
      <c r="L114" s="36">
        <v>107.2</v>
      </c>
      <c r="M114" s="36">
        <v>182.3</v>
      </c>
    </row>
    <row r="115" spans="2:13" x14ac:dyDescent="0.25">
      <c r="B115" s="49" t="s">
        <v>990</v>
      </c>
      <c r="C115" s="34">
        <v>24</v>
      </c>
      <c r="D115" s="34">
        <v>24</v>
      </c>
      <c r="E115" s="34">
        <v>1.5</v>
      </c>
      <c r="F115" s="34">
        <v>1.5</v>
      </c>
      <c r="G115" s="34">
        <v>0</v>
      </c>
      <c r="H115" s="34">
        <v>0</v>
      </c>
      <c r="I115" s="35" t="s">
        <v>1229</v>
      </c>
      <c r="J115" s="35" t="s">
        <v>910</v>
      </c>
      <c r="K115" s="37">
        <v>1200</v>
      </c>
      <c r="L115" s="37">
        <v>118</v>
      </c>
      <c r="M115" s="37">
        <v>102</v>
      </c>
    </row>
    <row r="116" spans="2:13" x14ac:dyDescent="0.25">
      <c r="B116" s="48" t="s">
        <v>3107</v>
      </c>
      <c r="C116" s="32">
        <v>35</v>
      </c>
      <c r="D116" s="32">
        <v>35</v>
      </c>
      <c r="E116" s="32">
        <v>1.5</v>
      </c>
      <c r="F116" s="32">
        <v>1.5</v>
      </c>
      <c r="G116" s="32">
        <v>0</v>
      </c>
      <c r="H116" s="32">
        <v>0</v>
      </c>
      <c r="I116" s="33" t="s">
        <v>1229</v>
      </c>
      <c r="J116" s="33" t="s">
        <v>910</v>
      </c>
      <c r="K116" s="36">
        <v>0</v>
      </c>
      <c r="L116" s="36">
        <v>0</v>
      </c>
      <c r="M116" s="36">
        <v>0</v>
      </c>
    </row>
    <row r="117" spans="2:13" x14ac:dyDescent="0.25">
      <c r="B117" s="49" t="s">
        <v>989</v>
      </c>
      <c r="C117" s="34">
        <v>50</v>
      </c>
      <c r="D117" s="34">
        <v>50</v>
      </c>
      <c r="E117" s="34">
        <v>1.3</v>
      </c>
      <c r="F117" s="34">
        <v>1.3</v>
      </c>
      <c r="G117" s="34">
        <v>0</v>
      </c>
      <c r="H117" s="34">
        <v>0</v>
      </c>
      <c r="I117" s="35" t="s">
        <v>1229</v>
      </c>
      <c r="J117" s="35" t="s">
        <v>910</v>
      </c>
      <c r="K117" s="37">
        <v>1100</v>
      </c>
      <c r="L117" s="37">
        <v>118</v>
      </c>
      <c r="M117" s="37">
        <v>102</v>
      </c>
    </row>
    <row r="118" spans="2:13" x14ac:dyDescent="0.25">
      <c r="B118" s="48" t="s">
        <v>988</v>
      </c>
      <c r="C118" s="32">
        <v>85</v>
      </c>
      <c r="D118" s="32">
        <v>85</v>
      </c>
      <c r="E118" s="32">
        <v>1.3</v>
      </c>
      <c r="F118" s="32">
        <v>1.3</v>
      </c>
      <c r="G118" s="32">
        <v>0</v>
      </c>
      <c r="H118" s="32">
        <v>0</v>
      </c>
      <c r="I118" s="33" t="s">
        <v>1229</v>
      </c>
      <c r="J118" s="33" t="s">
        <v>910</v>
      </c>
      <c r="K118" s="36">
        <v>1300</v>
      </c>
      <c r="L118" s="36">
        <v>118</v>
      </c>
      <c r="M118" s="36">
        <v>102</v>
      </c>
    </row>
    <row r="119" spans="2:13" x14ac:dyDescent="0.25">
      <c r="B119" s="49" t="s">
        <v>4287</v>
      </c>
      <c r="C119" s="34">
        <v>135</v>
      </c>
      <c r="D119" s="34">
        <v>135</v>
      </c>
      <c r="E119" s="34">
        <v>4</v>
      </c>
      <c r="F119" s="34">
        <v>4</v>
      </c>
      <c r="G119" s="34">
        <v>82</v>
      </c>
      <c r="H119" s="34">
        <v>2</v>
      </c>
      <c r="I119" s="35" t="s">
        <v>1229</v>
      </c>
      <c r="J119" s="35" t="s">
        <v>910</v>
      </c>
      <c r="K119" s="37">
        <v>1100</v>
      </c>
      <c r="L119" s="37">
        <v>88.5</v>
      </c>
      <c r="M119" s="37">
        <v>139.1</v>
      </c>
    </row>
    <row r="120" spans="2:13" x14ac:dyDescent="0.25">
      <c r="B120" s="48" t="s">
        <v>4291</v>
      </c>
      <c r="C120" s="32">
        <v>17</v>
      </c>
      <c r="D120" s="32">
        <v>17</v>
      </c>
      <c r="E120" s="32">
        <v>4</v>
      </c>
      <c r="F120" s="32">
        <v>4</v>
      </c>
      <c r="G120" s="32">
        <v>0</v>
      </c>
      <c r="H120" s="32">
        <v>7.14</v>
      </c>
      <c r="I120" s="33" t="s">
        <v>1229</v>
      </c>
      <c r="J120" s="33" t="s">
        <v>910</v>
      </c>
      <c r="K120" s="36">
        <v>820</v>
      </c>
      <c r="L120" s="36">
        <v>88.9</v>
      </c>
      <c r="M120" s="36">
        <v>106.7</v>
      </c>
    </row>
    <row r="121" spans="2:13" x14ac:dyDescent="0.25">
      <c r="B121" s="49" t="s">
        <v>2710</v>
      </c>
      <c r="C121" s="34">
        <v>24</v>
      </c>
      <c r="D121" s="34">
        <v>24</v>
      </c>
      <c r="E121" s="34">
        <v>3.5</v>
      </c>
      <c r="F121" s="34">
        <v>3.5</v>
      </c>
      <c r="G121" s="34">
        <v>82</v>
      </c>
      <c r="H121" s="34">
        <v>2.94</v>
      </c>
      <c r="I121" s="35" t="s">
        <v>1229</v>
      </c>
      <c r="J121" s="35" t="s">
        <v>910</v>
      </c>
      <c r="K121" s="37">
        <v>780</v>
      </c>
      <c r="L121" s="37">
        <v>88.5</v>
      </c>
      <c r="M121" s="37">
        <v>106.9</v>
      </c>
    </row>
    <row r="122" spans="2:13" x14ac:dyDescent="0.25">
      <c r="B122" s="48" t="s">
        <v>2893</v>
      </c>
      <c r="C122" s="32">
        <v>45</v>
      </c>
      <c r="D122" s="32">
        <v>45</v>
      </c>
      <c r="E122" s="32">
        <v>2.8</v>
      </c>
      <c r="F122" s="32">
        <v>2.8</v>
      </c>
      <c r="G122" s="32">
        <v>72</v>
      </c>
      <c r="H122" s="32">
        <v>6.25</v>
      </c>
      <c r="I122" s="33" t="s">
        <v>1229</v>
      </c>
      <c r="J122" s="33" t="s">
        <v>910</v>
      </c>
      <c r="K122" s="36">
        <v>645</v>
      </c>
      <c r="L122" s="36">
        <v>81</v>
      </c>
      <c r="M122" s="36">
        <v>90.1</v>
      </c>
    </row>
    <row r="123" spans="2:13" x14ac:dyDescent="0.25">
      <c r="B123" s="49" t="s">
        <v>2707</v>
      </c>
      <c r="C123" s="34">
        <v>50</v>
      </c>
      <c r="D123" s="34">
        <v>50</v>
      </c>
      <c r="E123" s="34">
        <v>2.8</v>
      </c>
      <c r="F123" s="34">
        <v>2.8</v>
      </c>
      <c r="G123" s="34">
        <v>77</v>
      </c>
      <c r="H123" s="34">
        <v>2</v>
      </c>
      <c r="I123" s="35" t="s">
        <v>1229</v>
      </c>
      <c r="J123" s="35" t="s">
        <v>910</v>
      </c>
      <c r="K123" s="37">
        <v>945</v>
      </c>
      <c r="L123" s="37">
        <v>86.9</v>
      </c>
      <c r="M123" s="37">
        <v>114.9</v>
      </c>
    </row>
    <row r="124" spans="2:13" x14ac:dyDescent="0.25">
      <c r="B124" s="48" t="s">
        <v>4289</v>
      </c>
      <c r="C124" s="32">
        <v>90</v>
      </c>
      <c r="D124" s="32">
        <v>90</v>
      </c>
      <c r="E124" s="32">
        <v>2.8</v>
      </c>
      <c r="F124" s="32">
        <v>2.8</v>
      </c>
      <c r="G124" s="32">
        <v>77</v>
      </c>
      <c r="H124" s="32">
        <v>2</v>
      </c>
      <c r="I124" s="33" t="s">
        <v>1229</v>
      </c>
      <c r="J124" s="33" t="s">
        <v>910</v>
      </c>
      <c r="K124" s="36">
        <v>915</v>
      </c>
      <c r="L124" s="36">
        <v>86.9</v>
      </c>
      <c r="M124" s="36">
        <v>116.5</v>
      </c>
    </row>
    <row r="125" spans="2:13" x14ac:dyDescent="0.25">
      <c r="B125" s="49" t="s">
        <v>3106</v>
      </c>
      <c r="C125" s="34">
        <v>90</v>
      </c>
      <c r="D125" s="34">
        <v>90</v>
      </c>
      <c r="E125" s="34">
        <v>2.8</v>
      </c>
      <c r="F125" s="34">
        <v>2.8</v>
      </c>
      <c r="G125" s="34">
        <v>58</v>
      </c>
      <c r="H125" s="34">
        <v>6.25</v>
      </c>
      <c r="I125" s="35" t="s">
        <v>1229</v>
      </c>
      <c r="J125" s="35" t="s">
        <v>910</v>
      </c>
      <c r="K125" s="37">
        <v>565</v>
      </c>
      <c r="L125" s="37">
        <v>73.599999999999994</v>
      </c>
      <c r="M125" s="37">
        <v>88</v>
      </c>
    </row>
    <row r="126" spans="2:13" x14ac:dyDescent="0.25">
      <c r="B126" s="48" t="s">
        <v>4285</v>
      </c>
      <c r="C126" s="32">
        <v>12</v>
      </c>
      <c r="D126" s="32">
        <v>12</v>
      </c>
      <c r="E126" s="32">
        <v>7.4</v>
      </c>
      <c r="F126" s="32">
        <v>7.4</v>
      </c>
      <c r="G126" s="32">
        <v>0</v>
      </c>
      <c r="H126" s="32">
        <v>0</v>
      </c>
      <c r="I126" s="33" t="s">
        <v>1221</v>
      </c>
      <c r="J126" s="33" t="s">
        <v>900</v>
      </c>
      <c r="K126" s="36">
        <v>220</v>
      </c>
      <c r="L126" s="36">
        <v>65</v>
      </c>
      <c r="M126" s="36">
        <v>59</v>
      </c>
    </row>
    <row r="127" spans="2:13" x14ac:dyDescent="0.25">
      <c r="B127" s="49" t="s">
        <v>2705</v>
      </c>
      <c r="C127" s="34">
        <v>420</v>
      </c>
      <c r="D127" s="34">
        <v>800</v>
      </c>
      <c r="E127" s="34">
        <v>8.3000000000000007</v>
      </c>
      <c r="F127" s="34">
        <v>8.3000000000000007</v>
      </c>
      <c r="G127" s="34">
        <v>67</v>
      </c>
      <c r="H127" s="34">
        <v>0</v>
      </c>
      <c r="I127" s="35" t="s">
        <v>1562</v>
      </c>
      <c r="J127" s="35">
        <v>0</v>
      </c>
      <c r="K127" s="37">
        <v>680</v>
      </c>
      <c r="L127" s="37">
        <v>70</v>
      </c>
      <c r="M127" s="37">
        <v>320</v>
      </c>
    </row>
    <row r="128" spans="2:13" x14ac:dyDescent="0.25">
      <c r="B128" s="48" t="s">
        <v>3105</v>
      </c>
      <c r="C128" s="32">
        <v>7.5</v>
      </c>
      <c r="D128" s="32">
        <v>7.5</v>
      </c>
      <c r="E128" s="32">
        <v>8</v>
      </c>
      <c r="F128" s="32">
        <v>8</v>
      </c>
      <c r="G128" s="32">
        <v>0</v>
      </c>
      <c r="H128" s="32">
        <v>0</v>
      </c>
      <c r="I128" s="33" t="s">
        <v>1314</v>
      </c>
      <c r="J128" s="33" t="s">
        <v>900</v>
      </c>
      <c r="K128" s="36">
        <v>220</v>
      </c>
      <c r="L128" s="36">
        <v>65</v>
      </c>
      <c r="M128" s="36">
        <v>57</v>
      </c>
    </row>
    <row r="129" spans="2:13" x14ac:dyDescent="0.25">
      <c r="B129" s="49" t="s">
        <v>3104</v>
      </c>
      <c r="C129" s="34">
        <v>8</v>
      </c>
      <c r="D129" s="34">
        <v>8</v>
      </c>
      <c r="E129" s="34">
        <v>3.5</v>
      </c>
      <c r="F129" s="34">
        <v>3.5</v>
      </c>
      <c r="G129" s="34">
        <v>0</v>
      </c>
      <c r="H129" s="34">
        <v>0</v>
      </c>
      <c r="I129" s="35" t="s">
        <v>1229</v>
      </c>
      <c r="J129" s="35" t="s">
        <v>900</v>
      </c>
      <c r="K129" s="37">
        <v>430</v>
      </c>
      <c r="L129" s="37">
        <v>0</v>
      </c>
      <c r="M129" s="37">
        <v>0</v>
      </c>
    </row>
    <row r="130" spans="2:13" x14ac:dyDescent="0.25">
      <c r="B130" s="48" t="s">
        <v>3103</v>
      </c>
      <c r="C130" s="32">
        <v>8</v>
      </c>
      <c r="D130" s="32">
        <v>8</v>
      </c>
      <c r="E130" s="32">
        <v>3.5</v>
      </c>
      <c r="F130" s="32">
        <v>3.5</v>
      </c>
      <c r="G130" s="32">
        <v>0</v>
      </c>
      <c r="H130" s="32">
        <v>0</v>
      </c>
      <c r="I130" s="33" t="s">
        <v>8</v>
      </c>
      <c r="J130" s="33" t="s">
        <v>900</v>
      </c>
      <c r="K130" s="36">
        <v>430</v>
      </c>
      <c r="L130" s="36">
        <v>0</v>
      </c>
      <c r="M130" s="36">
        <v>0</v>
      </c>
    </row>
    <row r="131" spans="2:13" x14ac:dyDescent="0.25">
      <c r="B131" s="49" t="s">
        <v>3102</v>
      </c>
      <c r="C131" s="34">
        <v>8</v>
      </c>
      <c r="D131" s="34">
        <v>8</v>
      </c>
      <c r="E131" s="34">
        <v>3.5</v>
      </c>
      <c r="F131" s="34">
        <v>3.5</v>
      </c>
      <c r="G131" s="34">
        <v>0</v>
      </c>
      <c r="H131" s="34">
        <v>0</v>
      </c>
      <c r="I131" s="35" t="s">
        <v>1293</v>
      </c>
      <c r="J131" s="35" t="s">
        <v>900</v>
      </c>
      <c r="K131" s="37">
        <v>430</v>
      </c>
      <c r="L131" s="37">
        <v>0</v>
      </c>
      <c r="M131" s="37">
        <v>0</v>
      </c>
    </row>
    <row r="132" spans="2:13" x14ac:dyDescent="0.25">
      <c r="B132" s="48" t="s">
        <v>4286</v>
      </c>
      <c r="C132" s="32">
        <v>9.3000000000000007</v>
      </c>
      <c r="D132" s="32">
        <v>9.3000000000000007</v>
      </c>
      <c r="E132" s="32">
        <v>8</v>
      </c>
      <c r="F132" s="32">
        <v>8</v>
      </c>
      <c r="G132" s="32">
        <v>0</v>
      </c>
      <c r="H132" s="32">
        <v>0</v>
      </c>
      <c r="I132" s="33" t="s">
        <v>1227</v>
      </c>
      <c r="J132" s="33" t="s">
        <v>900</v>
      </c>
      <c r="K132" s="36">
        <v>220</v>
      </c>
      <c r="L132" s="36">
        <v>65</v>
      </c>
      <c r="M132" s="36">
        <v>57</v>
      </c>
    </row>
    <row r="133" spans="2:13" x14ac:dyDescent="0.25">
      <c r="B133" s="49" t="s">
        <v>3101</v>
      </c>
      <c r="C133" s="34">
        <v>500</v>
      </c>
      <c r="D133" s="34">
        <v>500</v>
      </c>
      <c r="E133" s="34">
        <v>6.3</v>
      </c>
      <c r="F133" s="34">
        <v>6.3</v>
      </c>
      <c r="G133" s="34">
        <v>95</v>
      </c>
      <c r="H133" s="34">
        <v>0</v>
      </c>
      <c r="I133" s="35" t="s">
        <v>1562</v>
      </c>
      <c r="J133" s="35">
        <v>0</v>
      </c>
      <c r="K133" s="37">
        <v>596</v>
      </c>
      <c r="L133" s="37">
        <v>97</v>
      </c>
      <c r="M133" s="37">
        <v>115</v>
      </c>
    </row>
    <row r="134" spans="2:13" x14ac:dyDescent="0.25">
      <c r="B134" s="48" t="s">
        <v>3100</v>
      </c>
      <c r="C134" s="32">
        <v>500</v>
      </c>
      <c r="D134" s="32">
        <v>500</v>
      </c>
      <c r="E134" s="32">
        <v>8</v>
      </c>
      <c r="F134" s="32">
        <v>8</v>
      </c>
      <c r="G134" s="32">
        <v>67</v>
      </c>
      <c r="H134" s="32">
        <v>0</v>
      </c>
      <c r="I134" s="33" t="s">
        <v>1562</v>
      </c>
      <c r="J134" s="33">
        <v>0</v>
      </c>
      <c r="K134" s="36">
        <v>710</v>
      </c>
      <c r="L134" s="36">
        <v>70</v>
      </c>
      <c r="M134" s="36">
        <v>315</v>
      </c>
    </row>
    <row r="135" spans="2:13" x14ac:dyDescent="0.25">
      <c r="B135" s="49" t="s">
        <v>2892</v>
      </c>
      <c r="C135" s="34">
        <v>500</v>
      </c>
      <c r="D135" s="34">
        <v>500</v>
      </c>
      <c r="E135" s="34">
        <v>8</v>
      </c>
      <c r="F135" s="34">
        <v>8</v>
      </c>
      <c r="G135" s="34">
        <v>74</v>
      </c>
      <c r="H135" s="34">
        <v>0</v>
      </c>
      <c r="I135" s="35" t="s">
        <v>1562</v>
      </c>
      <c r="J135" s="35">
        <v>0</v>
      </c>
      <c r="K135" s="37">
        <v>350</v>
      </c>
      <c r="L135" s="37">
        <v>74</v>
      </c>
      <c r="M135" s="37">
        <v>105</v>
      </c>
    </row>
    <row r="136" spans="2:13" x14ac:dyDescent="0.25">
      <c r="B136" s="48" t="s">
        <v>2889</v>
      </c>
      <c r="C136" s="32">
        <v>650</v>
      </c>
      <c r="D136" s="32">
        <v>1300</v>
      </c>
      <c r="E136" s="32">
        <v>8</v>
      </c>
      <c r="F136" s="32">
        <v>8</v>
      </c>
      <c r="G136" s="32">
        <v>95</v>
      </c>
      <c r="H136" s="32">
        <v>0</v>
      </c>
      <c r="I136" s="33" t="s">
        <v>1562</v>
      </c>
      <c r="J136" s="33">
        <v>0</v>
      </c>
      <c r="K136" s="36">
        <v>1850</v>
      </c>
      <c r="L136" s="36">
        <v>103</v>
      </c>
      <c r="M136" s="36">
        <v>453</v>
      </c>
    </row>
    <row r="137" spans="2:13" x14ac:dyDescent="0.25">
      <c r="B137" s="49" t="s">
        <v>2888</v>
      </c>
      <c r="C137" s="34">
        <v>900</v>
      </c>
      <c r="D137" s="34">
        <v>900</v>
      </c>
      <c r="E137" s="34">
        <v>8</v>
      </c>
      <c r="F137" s="34">
        <v>8</v>
      </c>
      <c r="G137" s="34">
        <v>105</v>
      </c>
      <c r="H137" s="34">
        <v>0</v>
      </c>
      <c r="I137" s="35" t="s">
        <v>1562</v>
      </c>
      <c r="J137" s="35">
        <v>0</v>
      </c>
      <c r="K137" s="37">
        <v>795</v>
      </c>
      <c r="L137" s="37">
        <v>110</v>
      </c>
      <c r="M137" s="37">
        <v>135</v>
      </c>
    </row>
    <row r="138" spans="2:13" x14ac:dyDescent="0.25">
      <c r="B138" s="48" t="s">
        <v>991</v>
      </c>
      <c r="C138" s="32">
        <v>50</v>
      </c>
      <c r="D138" s="32">
        <v>135</v>
      </c>
      <c r="E138" s="32">
        <v>2.9</v>
      </c>
      <c r="F138" s="32">
        <v>2.9</v>
      </c>
      <c r="G138" s="32">
        <v>82</v>
      </c>
      <c r="H138" s="32">
        <v>0</v>
      </c>
      <c r="I138" s="33" t="s">
        <v>1221</v>
      </c>
      <c r="J138" s="33" t="s">
        <v>910</v>
      </c>
      <c r="K138" s="36">
        <v>980</v>
      </c>
      <c r="L138" s="36">
        <v>85</v>
      </c>
      <c r="M138" s="36">
        <v>206.3</v>
      </c>
    </row>
    <row r="139" spans="2:13" x14ac:dyDescent="0.25">
      <c r="B139" s="49" t="s">
        <v>2669</v>
      </c>
      <c r="C139" s="34">
        <v>16</v>
      </c>
      <c r="D139" s="34">
        <v>50</v>
      </c>
      <c r="E139" s="34">
        <v>3.5</v>
      </c>
      <c r="F139" s="34">
        <v>3.5</v>
      </c>
      <c r="G139" s="34">
        <v>58</v>
      </c>
      <c r="H139" s="34">
        <v>6.67</v>
      </c>
      <c r="I139" s="35" t="s">
        <v>1286</v>
      </c>
      <c r="J139" s="35" t="s">
        <v>900</v>
      </c>
      <c r="K139" s="37">
        <v>195</v>
      </c>
      <c r="L139" s="37">
        <v>62.6</v>
      </c>
      <c r="M139" s="37">
        <v>65.2</v>
      </c>
    </row>
    <row r="140" spans="2:13" x14ac:dyDescent="0.25">
      <c r="B140" s="48" t="s">
        <v>2887</v>
      </c>
      <c r="C140" s="32">
        <v>16</v>
      </c>
      <c r="D140" s="32">
        <v>50</v>
      </c>
      <c r="E140" s="32">
        <v>3.5</v>
      </c>
      <c r="F140" s="32">
        <v>3.5</v>
      </c>
      <c r="G140" s="32">
        <v>58</v>
      </c>
      <c r="H140" s="32">
        <v>6.67</v>
      </c>
      <c r="I140" s="33" t="s">
        <v>1286</v>
      </c>
      <c r="J140" s="33" t="s">
        <v>900</v>
      </c>
      <c r="K140" s="36">
        <v>195</v>
      </c>
      <c r="L140" s="36">
        <v>62.6</v>
      </c>
      <c r="M140" s="36">
        <v>65.2</v>
      </c>
    </row>
    <row r="141" spans="2:13" x14ac:dyDescent="0.25">
      <c r="B141" s="49" t="s">
        <v>2886</v>
      </c>
      <c r="C141" s="34">
        <v>16</v>
      </c>
      <c r="D141" s="34">
        <v>50</v>
      </c>
      <c r="E141" s="34">
        <v>3.5</v>
      </c>
      <c r="F141" s="34">
        <v>3.5</v>
      </c>
      <c r="G141" s="34">
        <v>58</v>
      </c>
      <c r="H141" s="34">
        <v>6.67</v>
      </c>
      <c r="I141" s="35" t="s">
        <v>1286</v>
      </c>
      <c r="J141" s="35" t="s">
        <v>900</v>
      </c>
      <c r="K141" s="37">
        <v>195</v>
      </c>
      <c r="L141" s="37">
        <v>62.6</v>
      </c>
      <c r="M141" s="37">
        <v>65.2</v>
      </c>
    </row>
    <row r="142" spans="2:13" x14ac:dyDescent="0.25">
      <c r="B142" s="48" t="s">
        <v>4041</v>
      </c>
      <c r="C142" s="32">
        <v>16</v>
      </c>
      <c r="D142" s="32">
        <v>50</v>
      </c>
      <c r="E142" s="32">
        <v>3.5</v>
      </c>
      <c r="F142" s="32">
        <v>3.5</v>
      </c>
      <c r="G142" s="32">
        <v>58</v>
      </c>
      <c r="H142" s="32">
        <v>6.67</v>
      </c>
      <c r="I142" s="33" t="s">
        <v>1286</v>
      </c>
      <c r="J142" s="33" t="s">
        <v>900</v>
      </c>
      <c r="K142" s="36">
        <v>195</v>
      </c>
      <c r="L142" s="36">
        <v>62.6</v>
      </c>
      <c r="M142" s="36">
        <v>65.2</v>
      </c>
    </row>
    <row r="143" spans="2:13" x14ac:dyDescent="0.25">
      <c r="B143" s="49" t="s">
        <v>2885</v>
      </c>
      <c r="C143" s="34">
        <v>50</v>
      </c>
      <c r="D143" s="34">
        <v>230</v>
      </c>
      <c r="E143" s="34">
        <v>4.5</v>
      </c>
      <c r="F143" s="34">
        <v>4.5</v>
      </c>
      <c r="G143" s="34">
        <v>58</v>
      </c>
      <c r="H143" s="34">
        <v>5</v>
      </c>
      <c r="I143" s="35" t="s">
        <v>1286</v>
      </c>
      <c r="J143" s="35" t="s">
        <v>900</v>
      </c>
      <c r="K143" s="37">
        <v>375</v>
      </c>
      <c r="L143" s="37">
        <v>70</v>
      </c>
      <c r="M143" s="37">
        <v>111</v>
      </c>
    </row>
    <row r="144" spans="2:13" x14ac:dyDescent="0.25">
      <c r="B144" s="48" t="s">
        <v>951</v>
      </c>
      <c r="C144" s="32">
        <v>50</v>
      </c>
      <c r="D144" s="32">
        <v>230</v>
      </c>
      <c r="E144" s="32">
        <v>4.5</v>
      </c>
      <c r="F144" s="32">
        <v>4.5</v>
      </c>
      <c r="G144" s="32">
        <v>58</v>
      </c>
      <c r="H144" s="32">
        <v>5</v>
      </c>
      <c r="I144" s="33" t="s">
        <v>1286</v>
      </c>
      <c r="J144" s="33" t="s">
        <v>900</v>
      </c>
      <c r="K144" s="36">
        <v>375</v>
      </c>
      <c r="L144" s="36">
        <v>70</v>
      </c>
      <c r="M144" s="36">
        <v>111</v>
      </c>
    </row>
    <row r="145" spans="2:13" x14ac:dyDescent="0.25">
      <c r="B145" s="49" t="s">
        <v>952</v>
      </c>
      <c r="C145" s="34">
        <v>50</v>
      </c>
      <c r="D145" s="34">
        <v>230</v>
      </c>
      <c r="E145" s="34">
        <v>4.5</v>
      </c>
      <c r="F145" s="34">
        <v>4.5</v>
      </c>
      <c r="G145" s="34">
        <v>58</v>
      </c>
      <c r="H145" s="34">
        <v>5</v>
      </c>
      <c r="I145" s="35" t="s">
        <v>1286</v>
      </c>
      <c r="J145" s="35" t="s">
        <v>900</v>
      </c>
      <c r="K145" s="37">
        <v>375</v>
      </c>
      <c r="L145" s="37">
        <v>70</v>
      </c>
      <c r="M145" s="37">
        <v>111</v>
      </c>
    </row>
    <row r="146" spans="2:13" x14ac:dyDescent="0.25">
      <c r="B146" s="48" t="s">
        <v>4283</v>
      </c>
      <c r="C146" s="32">
        <v>100</v>
      </c>
      <c r="D146" s="32">
        <v>400</v>
      </c>
      <c r="E146" s="32">
        <v>4.5</v>
      </c>
      <c r="F146" s="32">
        <v>4.5</v>
      </c>
      <c r="G146" s="32">
        <v>77</v>
      </c>
      <c r="H146" s="32">
        <v>5.26</v>
      </c>
      <c r="I146" s="33" t="s">
        <v>1286</v>
      </c>
      <c r="J146" s="33" t="s">
        <v>900</v>
      </c>
      <c r="K146" s="36">
        <v>1380</v>
      </c>
      <c r="L146" s="36">
        <v>94.8</v>
      </c>
      <c r="M146" s="36">
        <v>210.5</v>
      </c>
    </row>
    <row r="147" spans="2:13" x14ac:dyDescent="0.25">
      <c r="B147" s="49" t="s">
        <v>2664</v>
      </c>
      <c r="C147" s="34">
        <v>100</v>
      </c>
      <c r="D147" s="34">
        <v>400</v>
      </c>
      <c r="E147" s="34">
        <v>4.5</v>
      </c>
      <c r="F147" s="34">
        <v>4.5</v>
      </c>
      <c r="G147" s="34">
        <v>77</v>
      </c>
      <c r="H147" s="34">
        <v>5.26</v>
      </c>
      <c r="I147" s="35" t="s">
        <v>1286</v>
      </c>
      <c r="J147" s="35" t="s">
        <v>900</v>
      </c>
      <c r="K147" s="37">
        <v>1380</v>
      </c>
      <c r="L147" s="37">
        <v>94.8</v>
      </c>
      <c r="M147" s="37">
        <v>210.5</v>
      </c>
    </row>
    <row r="148" spans="2:13" x14ac:dyDescent="0.25">
      <c r="B148" s="48" t="s">
        <v>2667</v>
      </c>
      <c r="C148" s="32">
        <v>10</v>
      </c>
      <c r="D148" s="32">
        <v>24</v>
      </c>
      <c r="E148" s="32">
        <v>4</v>
      </c>
      <c r="F148" s="32">
        <v>4</v>
      </c>
      <c r="G148" s="32">
        <v>72</v>
      </c>
      <c r="H148" s="32">
        <v>6.25</v>
      </c>
      <c r="I148" s="33" t="s">
        <v>1286</v>
      </c>
      <c r="J148" s="33" t="s">
        <v>900</v>
      </c>
      <c r="K148" s="36">
        <v>410</v>
      </c>
      <c r="L148" s="36">
        <v>78</v>
      </c>
      <c r="M148" s="36">
        <v>87</v>
      </c>
    </row>
    <row r="149" spans="2:13" x14ac:dyDescent="0.25">
      <c r="B149" s="49" t="s">
        <v>4420</v>
      </c>
      <c r="C149" s="34">
        <v>14</v>
      </c>
      <c r="D149" s="34">
        <v>14</v>
      </c>
      <c r="E149" s="34">
        <v>2.8</v>
      </c>
      <c r="F149" s="34">
        <v>2.8</v>
      </c>
      <c r="G149" s="34">
        <v>58</v>
      </c>
      <c r="H149" s="34">
        <v>8.33</v>
      </c>
      <c r="I149" s="35" t="s">
        <v>1286</v>
      </c>
      <c r="J149" s="35" t="s">
        <v>900</v>
      </c>
      <c r="K149" s="37">
        <v>0</v>
      </c>
      <c r="L149" s="37">
        <v>65</v>
      </c>
      <c r="M149" s="37">
        <v>58.4</v>
      </c>
    </row>
    <row r="150" spans="2:13" x14ac:dyDescent="0.25">
      <c r="B150" s="48" t="s">
        <v>1164</v>
      </c>
      <c r="C150" s="32">
        <v>16</v>
      </c>
      <c r="D150" s="32">
        <v>55</v>
      </c>
      <c r="E150" s="32">
        <v>2.8</v>
      </c>
      <c r="F150" s="32">
        <v>2.8</v>
      </c>
      <c r="G150" s="32">
        <v>77</v>
      </c>
      <c r="H150" s="32">
        <v>6.25</v>
      </c>
      <c r="I150" s="33" t="s">
        <v>1286</v>
      </c>
      <c r="J150" s="33" t="s">
        <v>900</v>
      </c>
      <c r="K150" s="36">
        <v>655</v>
      </c>
      <c r="L150" s="36">
        <v>83.3</v>
      </c>
      <c r="M150" s="36">
        <v>106</v>
      </c>
    </row>
    <row r="151" spans="2:13" x14ac:dyDescent="0.25">
      <c r="B151" s="49" t="s">
        <v>1170</v>
      </c>
      <c r="C151" s="34">
        <v>16</v>
      </c>
      <c r="D151" s="34">
        <v>16</v>
      </c>
      <c r="E151" s="34">
        <v>1.4</v>
      </c>
      <c r="F151" s="34">
        <v>1.4</v>
      </c>
      <c r="G151" s="34">
        <v>67</v>
      </c>
      <c r="H151" s="34">
        <v>4.76</v>
      </c>
      <c r="I151" s="35" t="s">
        <v>1286</v>
      </c>
      <c r="J151" s="35" t="s">
        <v>900</v>
      </c>
      <c r="K151" s="37">
        <v>375</v>
      </c>
      <c r="L151" s="37">
        <v>73.400000000000006</v>
      </c>
      <c r="M151" s="37">
        <v>73</v>
      </c>
    </row>
    <row r="152" spans="2:13" x14ac:dyDescent="0.25">
      <c r="B152" s="48" t="s">
        <v>1167</v>
      </c>
      <c r="C152" s="32">
        <v>18</v>
      </c>
      <c r="D152" s="32">
        <v>135</v>
      </c>
      <c r="E152" s="32">
        <v>3.5</v>
      </c>
      <c r="F152" s="32">
        <v>3.5</v>
      </c>
      <c r="G152" s="32">
        <v>67</v>
      </c>
      <c r="H152" s="32">
        <v>3.7</v>
      </c>
      <c r="I152" s="33" t="s">
        <v>1286</v>
      </c>
      <c r="J152" s="33" t="s">
        <v>900</v>
      </c>
      <c r="K152" s="36">
        <v>490</v>
      </c>
      <c r="L152" s="36">
        <v>75.7</v>
      </c>
      <c r="M152" s="36">
        <v>97.8</v>
      </c>
    </row>
    <row r="153" spans="2:13" x14ac:dyDescent="0.25">
      <c r="B153" s="49" t="s">
        <v>917</v>
      </c>
      <c r="C153" s="34">
        <v>18</v>
      </c>
      <c r="D153" s="34">
        <v>55</v>
      </c>
      <c r="E153" s="34">
        <v>2.8</v>
      </c>
      <c r="F153" s="34">
        <v>2.8</v>
      </c>
      <c r="G153" s="34">
        <v>58</v>
      </c>
      <c r="H153" s="34">
        <v>6.67</v>
      </c>
      <c r="I153" s="35" t="s">
        <v>1286</v>
      </c>
      <c r="J153" s="35" t="s">
        <v>900</v>
      </c>
      <c r="K153" s="37">
        <v>310</v>
      </c>
      <c r="L153" s="37">
        <v>65</v>
      </c>
      <c r="M153" s="37">
        <v>70.400000000000006</v>
      </c>
    </row>
    <row r="154" spans="2:13" x14ac:dyDescent="0.25">
      <c r="B154" s="48" t="s">
        <v>4452</v>
      </c>
      <c r="C154" s="32">
        <v>18</v>
      </c>
      <c r="D154" s="32">
        <v>18</v>
      </c>
      <c r="E154" s="32">
        <v>2</v>
      </c>
      <c r="F154" s="32">
        <v>2</v>
      </c>
      <c r="G154" s="32">
        <v>52</v>
      </c>
      <c r="H154" s="32">
        <v>7.14</v>
      </c>
      <c r="I154" s="33" t="s">
        <v>1286</v>
      </c>
      <c r="J154" s="33" t="s">
        <v>900</v>
      </c>
      <c r="K154" s="36">
        <v>116</v>
      </c>
      <c r="L154" s="36">
        <v>64.5</v>
      </c>
      <c r="M154" s="36">
        <v>40.6</v>
      </c>
    </row>
    <row r="155" spans="2:13" x14ac:dyDescent="0.25">
      <c r="B155" s="49" t="s">
        <v>2546</v>
      </c>
      <c r="C155" s="34">
        <v>23</v>
      </c>
      <c r="D155" s="34">
        <v>23</v>
      </c>
      <c r="E155" s="34">
        <v>1.4</v>
      </c>
      <c r="F155" s="34">
        <v>1.4</v>
      </c>
      <c r="G155" s="34">
        <v>62</v>
      </c>
      <c r="H155" s="34">
        <v>10</v>
      </c>
      <c r="I155" s="35" t="s">
        <v>1286</v>
      </c>
      <c r="J155" s="35" t="s">
        <v>900</v>
      </c>
      <c r="K155" s="37">
        <v>300</v>
      </c>
      <c r="L155" s="37">
        <v>72</v>
      </c>
      <c r="M155" s="37">
        <v>63</v>
      </c>
    </row>
    <row r="156" spans="2:13" x14ac:dyDescent="0.25">
      <c r="B156" s="48" t="s">
        <v>2548</v>
      </c>
      <c r="C156" s="32">
        <v>23</v>
      </c>
      <c r="D156" s="32">
        <v>23</v>
      </c>
      <c r="E156" s="32">
        <v>2</v>
      </c>
      <c r="F156" s="32">
        <v>2</v>
      </c>
      <c r="G156" s="32">
        <v>43</v>
      </c>
      <c r="H156" s="32">
        <v>7.69</v>
      </c>
      <c r="I156" s="33" t="s">
        <v>1286</v>
      </c>
      <c r="J156" s="33" t="s">
        <v>900</v>
      </c>
      <c r="K156" s="36">
        <v>180</v>
      </c>
      <c r="L156" s="36">
        <v>60</v>
      </c>
      <c r="M156" s="36">
        <v>51.9</v>
      </c>
    </row>
    <row r="157" spans="2:13" x14ac:dyDescent="0.25">
      <c r="B157" s="49" t="s">
        <v>4284</v>
      </c>
      <c r="C157" s="34">
        <v>23</v>
      </c>
      <c r="D157" s="34">
        <v>23</v>
      </c>
      <c r="E157" s="34">
        <v>2</v>
      </c>
      <c r="F157" s="34">
        <v>2</v>
      </c>
      <c r="G157" s="34">
        <v>43</v>
      </c>
      <c r="H157" s="34">
        <v>7.69</v>
      </c>
      <c r="I157" s="35" t="s">
        <v>1286</v>
      </c>
      <c r="J157" s="35" t="s">
        <v>900</v>
      </c>
      <c r="K157" s="37">
        <v>180</v>
      </c>
      <c r="L157" s="37">
        <v>60</v>
      </c>
      <c r="M157" s="37">
        <v>51.9</v>
      </c>
    </row>
    <row r="158" spans="2:13" x14ac:dyDescent="0.25">
      <c r="B158" s="48" t="s">
        <v>1171</v>
      </c>
      <c r="C158" s="32">
        <v>27</v>
      </c>
      <c r="D158" s="32">
        <v>27</v>
      </c>
      <c r="E158" s="32">
        <v>2.8</v>
      </c>
      <c r="F158" s="32">
        <v>2.8</v>
      </c>
      <c r="G158" s="32">
        <v>39</v>
      </c>
      <c r="H158" s="32">
        <v>10</v>
      </c>
      <c r="I158" s="33" t="s">
        <v>1286</v>
      </c>
      <c r="J158" s="33" t="s">
        <v>900</v>
      </c>
      <c r="K158" s="36">
        <v>78</v>
      </c>
      <c r="L158" s="36">
        <v>61.2</v>
      </c>
      <c r="M158" s="36">
        <v>23</v>
      </c>
    </row>
    <row r="159" spans="2:13" x14ac:dyDescent="0.25">
      <c r="B159" s="49" t="s">
        <v>941</v>
      </c>
      <c r="C159" s="34">
        <v>27</v>
      </c>
      <c r="D159" s="34">
        <v>27</v>
      </c>
      <c r="E159" s="34">
        <v>2.8</v>
      </c>
      <c r="F159" s="34">
        <v>2.8</v>
      </c>
      <c r="G159" s="34">
        <v>39</v>
      </c>
      <c r="H159" s="34">
        <v>10</v>
      </c>
      <c r="I159" s="35" t="s">
        <v>1286</v>
      </c>
      <c r="J159" s="35" t="s">
        <v>900</v>
      </c>
      <c r="K159" s="37">
        <v>78</v>
      </c>
      <c r="L159" s="37">
        <v>61.2</v>
      </c>
      <c r="M159" s="37">
        <v>23</v>
      </c>
    </row>
    <row r="160" spans="2:13" x14ac:dyDescent="0.25">
      <c r="B160" s="48" t="s">
        <v>4445</v>
      </c>
      <c r="C160" s="32">
        <v>35</v>
      </c>
      <c r="D160" s="32">
        <v>35</v>
      </c>
      <c r="E160" s="32">
        <v>1.4</v>
      </c>
      <c r="F160" s="32">
        <v>1.4</v>
      </c>
      <c r="G160" s="32">
        <v>52</v>
      </c>
      <c r="H160" s="32">
        <v>5.88</v>
      </c>
      <c r="I160" s="33" t="s">
        <v>1286</v>
      </c>
      <c r="J160" s="33" t="s">
        <v>900</v>
      </c>
      <c r="K160" s="36">
        <v>187</v>
      </c>
      <c r="L160" s="36">
        <v>65</v>
      </c>
      <c r="M160" s="36">
        <v>54.9</v>
      </c>
    </row>
    <row r="161" spans="2:13" x14ac:dyDescent="0.25">
      <c r="B161" s="49" t="s">
        <v>919</v>
      </c>
      <c r="C161" s="34">
        <v>35</v>
      </c>
      <c r="D161" s="34">
        <v>35</v>
      </c>
      <c r="E161" s="34">
        <v>2</v>
      </c>
      <c r="F161" s="34">
        <v>2</v>
      </c>
      <c r="G161" s="34">
        <v>43</v>
      </c>
      <c r="H161" s="34">
        <v>7.41</v>
      </c>
      <c r="I161" s="35" t="s">
        <v>1286</v>
      </c>
      <c r="J161" s="35" t="s">
        <v>900</v>
      </c>
      <c r="K161" s="37">
        <v>170</v>
      </c>
      <c r="L161" s="37">
        <v>60</v>
      </c>
      <c r="M161" s="37">
        <v>45.9</v>
      </c>
    </row>
    <row r="162" spans="2:13" x14ac:dyDescent="0.25">
      <c r="B162" s="48" t="s">
        <v>924</v>
      </c>
      <c r="C162" s="32">
        <v>35</v>
      </c>
      <c r="D162" s="32">
        <v>35</v>
      </c>
      <c r="E162" s="32">
        <v>2</v>
      </c>
      <c r="F162" s="32">
        <v>2</v>
      </c>
      <c r="G162" s="32">
        <v>43</v>
      </c>
      <c r="H162" s="32">
        <v>7.41</v>
      </c>
      <c r="I162" s="33" t="s">
        <v>1286</v>
      </c>
      <c r="J162" s="33" t="s">
        <v>900</v>
      </c>
      <c r="K162" s="36">
        <v>170</v>
      </c>
      <c r="L162" s="36">
        <v>60</v>
      </c>
      <c r="M162" s="36">
        <v>45.9</v>
      </c>
    </row>
    <row r="163" spans="2:13" x14ac:dyDescent="0.25">
      <c r="B163" s="49" t="s">
        <v>2703</v>
      </c>
      <c r="C163" s="34">
        <v>50</v>
      </c>
      <c r="D163" s="34">
        <v>140</v>
      </c>
      <c r="E163" s="34">
        <v>2.8</v>
      </c>
      <c r="F163" s="34">
        <v>2.8</v>
      </c>
      <c r="G163" s="34">
        <v>72</v>
      </c>
      <c r="H163" s="34">
        <v>8.33</v>
      </c>
      <c r="I163" s="35" t="s">
        <v>1286</v>
      </c>
      <c r="J163" s="35" t="s">
        <v>900</v>
      </c>
      <c r="K163" s="37">
        <v>995</v>
      </c>
      <c r="L163" s="37">
        <v>82.9</v>
      </c>
      <c r="M163" s="37">
        <v>175.9</v>
      </c>
    </row>
    <row r="164" spans="2:13" x14ac:dyDescent="0.25">
      <c r="B164" s="48" t="s">
        <v>4464</v>
      </c>
      <c r="C164" s="32">
        <v>50</v>
      </c>
      <c r="D164" s="32">
        <v>140</v>
      </c>
      <c r="E164" s="32">
        <v>2.8</v>
      </c>
      <c r="F164" s="32">
        <v>2.8</v>
      </c>
      <c r="G164" s="32">
        <v>72</v>
      </c>
      <c r="H164" s="32">
        <v>8.33</v>
      </c>
      <c r="I164" s="33" t="s">
        <v>1286</v>
      </c>
      <c r="J164" s="33" t="s">
        <v>900</v>
      </c>
      <c r="K164" s="36">
        <v>995</v>
      </c>
      <c r="L164" s="36">
        <v>82.9</v>
      </c>
      <c r="M164" s="36">
        <v>175.9</v>
      </c>
    </row>
    <row r="165" spans="2:13" x14ac:dyDescent="0.25">
      <c r="B165" s="49" t="s">
        <v>4405</v>
      </c>
      <c r="C165" s="34">
        <v>50</v>
      </c>
      <c r="D165" s="34">
        <v>50</v>
      </c>
      <c r="E165" s="34">
        <v>0</v>
      </c>
      <c r="F165" s="34">
        <v>0</v>
      </c>
      <c r="G165" s="34">
        <v>46</v>
      </c>
      <c r="H165" s="34">
        <v>6.67</v>
      </c>
      <c r="I165" s="35" t="s">
        <v>1286</v>
      </c>
      <c r="J165" s="35" t="s">
        <v>900</v>
      </c>
      <c r="K165" s="37">
        <v>200</v>
      </c>
      <c r="L165" s="37">
        <v>60</v>
      </c>
      <c r="M165" s="37">
        <v>59.4</v>
      </c>
    </row>
    <row r="166" spans="2:13" x14ac:dyDescent="0.25">
      <c r="B166" s="48" t="s">
        <v>4040</v>
      </c>
      <c r="C166" s="32">
        <v>50</v>
      </c>
      <c r="D166" s="32">
        <v>50</v>
      </c>
      <c r="E166" s="32">
        <v>0</v>
      </c>
      <c r="F166" s="32">
        <v>0</v>
      </c>
      <c r="G166" s="32">
        <v>46</v>
      </c>
      <c r="H166" s="32">
        <v>6.67</v>
      </c>
      <c r="I166" s="33" t="s">
        <v>1286</v>
      </c>
      <c r="J166" s="33" t="s">
        <v>900</v>
      </c>
      <c r="K166" s="36">
        <v>200</v>
      </c>
      <c r="L166" s="36">
        <v>60</v>
      </c>
      <c r="M166" s="36">
        <v>59.4</v>
      </c>
    </row>
    <row r="167" spans="2:13" x14ac:dyDescent="0.25">
      <c r="B167" s="49" t="s">
        <v>915</v>
      </c>
      <c r="C167" s="34">
        <v>55</v>
      </c>
      <c r="D167" s="34">
        <v>200</v>
      </c>
      <c r="E167" s="34">
        <v>3.5</v>
      </c>
      <c r="F167" s="34">
        <v>3.5</v>
      </c>
      <c r="G167" s="34">
        <v>62</v>
      </c>
      <c r="H167" s="34">
        <v>5.56</v>
      </c>
      <c r="I167" s="35" t="s">
        <v>1286</v>
      </c>
      <c r="J167" s="35" t="s">
        <v>900</v>
      </c>
      <c r="K167" s="37">
        <v>580</v>
      </c>
      <c r="L167" s="37">
        <v>75</v>
      </c>
      <c r="M167" s="37">
        <v>118</v>
      </c>
    </row>
    <row r="168" spans="2:13" x14ac:dyDescent="0.25">
      <c r="B168" s="48" t="s">
        <v>1046</v>
      </c>
      <c r="C168" s="32">
        <v>56</v>
      </c>
      <c r="D168" s="32">
        <v>56</v>
      </c>
      <c r="E168" s="32">
        <v>1.2</v>
      </c>
      <c r="F168" s="32">
        <v>1.2</v>
      </c>
      <c r="G168" s="32">
        <v>62</v>
      </c>
      <c r="H168" s="32">
        <v>11.11</v>
      </c>
      <c r="I168" s="33" t="s">
        <v>1286</v>
      </c>
      <c r="J168" s="33" t="s">
        <v>900</v>
      </c>
      <c r="K168" s="36">
        <v>405</v>
      </c>
      <c r="L168" s="36">
        <v>73</v>
      </c>
      <c r="M168" s="36">
        <v>70</v>
      </c>
    </row>
    <row r="169" spans="2:13" x14ac:dyDescent="0.25">
      <c r="B169" s="49" t="s">
        <v>4472</v>
      </c>
      <c r="C169" s="34">
        <v>56</v>
      </c>
      <c r="D169" s="34">
        <v>56</v>
      </c>
      <c r="E169" s="34">
        <v>1.2</v>
      </c>
      <c r="F169" s="34">
        <v>1.2</v>
      </c>
      <c r="G169" s="34">
        <v>62</v>
      </c>
      <c r="H169" s="34">
        <v>11.11</v>
      </c>
      <c r="I169" s="35" t="s">
        <v>1286</v>
      </c>
      <c r="J169" s="35" t="s">
        <v>900</v>
      </c>
      <c r="K169" s="37">
        <v>405</v>
      </c>
      <c r="L169" s="37">
        <v>73</v>
      </c>
      <c r="M169" s="37">
        <v>70</v>
      </c>
    </row>
    <row r="170" spans="2:13" x14ac:dyDescent="0.25">
      <c r="B170" s="48" t="s">
        <v>2666</v>
      </c>
      <c r="C170" s="32">
        <v>60</v>
      </c>
      <c r="D170" s="32">
        <v>60</v>
      </c>
      <c r="E170" s="32">
        <v>2.4</v>
      </c>
      <c r="F170" s="32">
        <v>2.4</v>
      </c>
      <c r="G170" s="32">
        <v>39</v>
      </c>
      <c r="H170" s="32">
        <v>2</v>
      </c>
      <c r="I170" s="33" t="s">
        <v>1286</v>
      </c>
      <c r="J170" s="33" t="s">
        <v>900</v>
      </c>
      <c r="K170" s="36">
        <v>215</v>
      </c>
      <c r="L170" s="36">
        <v>64.099999999999994</v>
      </c>
      <c r="M170" s="36">
        <v>70.900000000000006</v>
      </c>
    </row>
    <row r="171" spans="2:13" x14ac:dyDescent="0.25">
      <c r="B171" s="49" t="s">
        <v>4442</v>
      </c>
      <c r="C171" s="34">
        <v>80</v>
      </c>
      <c r="D171" s="34">
        <v>80</v>
      </c>
      <c r="E171" s="34">
        <v>2.8</v>
      </c>
      <c r="F171" s="34">
        <v>2.8</v>
      </c>
      <c r="G171" s="34">
        <v>62</v>
      </c>
      <c r="H171" s="34">
        <v>1</v>
      </c>
      <c r="I171" s="35" t="s">
        <v>1286</v>
      </c>
      <c r="J171" s="35" t="s">
        <v>900</v>
      </c>
      <c r="K171" s="37">
        <v>750</v>
      </c>
      <c r="L171" s="37">
        <v>80</v>
      </c>
      <c r="M171" s="37">
        <v>130</v>
      </c>
    </row>
    <row r="172" spans="2:13" x14ac:dyDescent="0.25">
      <c r="B172" s="48" t="s">
        <v>965</v>
      </c>
      <c r="C172" s="32">
        <v>90</v>
      </c>
      <c r="D172" s="32">
        <v>90</v>
      </c>
      <c r="E172" s="32">
        <v>2</v>
      </c>
      <c r="F172" s="32">
        <v>2</v>
      </c>
      <c r="G172" s="32">
        <v>62</v>
      </c>
      <c r="H172" s="32">
        <v>5</v>
      </c>
      <c r="I172" s="33" t="s">
        <v>1286</v>
      </c>
      <c r="J172" s="33" t="s">
        <v>900</v>
      </c>
      <c r="K172" s="36">
        <v>540</v>
      </c>
      <c r="L172" s="36">
        <v>75</v>
      </c>
      <c r="M172" s="36">
        <v>105</v>
      </c>
    </row>
    <row r="173" spans="2:13" x14ac:dyDescent="0.25">
      <c r="B173" s="49" t="s">
        <v>4208</v>
      </c>
      <c r="C173" s="34">
        <v>40</v>
      </c>
      <c r="D173" s="34">
        <v>40</v>
      </c>
      <c r="E173" s="34">
        <v>0.85</v>
      </c>
      <c r="F173" s="34">
        <v>0.85</v>
      </c>
      <c r="G173" s="34">
        <v>67</v>
      </c>
      <c r="H173" s="34">
        <v>20</v>
      </c>
      <c r="I173" s="35" t="s">
        <v>1298</v>
      </c>
      <c r="J173" s="35" t="s">
        <v>900</v>
      </c>
      <c r="K173" s="37">
        <v>1150</v>
      </c>
      <c r="L173" s="37">
        <v>74</v>
      </c>
      <c r="M173" s="37">
        <v>128</v>
      </c>
    </row>
    <row r="174" spans="2:13" x14ac:dyDescent="0.25">
      <c r="B174" s="48" t="s">
        <v>4039</v>
      </c>
      <c r="C174" s="32">
        <v>40</v>
      </c>
      <c r="D174" s="32">
        <v>40</v>
      </c>
      <c r="E174" s="32">
        <v>0.85</v>
      </c>
      <c r="F174" s="32">
        <v>0.85</v>
      </c>
      <c r="G174" s="32">
        <v>67</v>
      </c>
      <c r="H174" s="32">
        <v>20</v>
      </c>
      <c r="I174" s="33" t="s">
        <v>1286</v>
      </c>
      <c r="J174" s="33" t="s">
        <v>900</v>
      </c>
      <c r="K174" s="36">
        <v>1150</v>
      </c>
      <c r="L174" s="36">
        <v>74</v>
      </c>
      <c r="M174" s="36">
        <v>128</v>
      </c>
    </row>
    <row r="175" spans="2:13" x14ac:dyDescent="0.25">
      <c r="B175" s="49" t="s">
        <v>4038</v>
      </c>
      <c r="C175" s="34">
        <v>40</v>
      </c>
      <c r="D175" s="34">
        <v>40</v>
      </c>
      <c r="E175" s="34">
        <v>0.85</v>
      </c>
      <c r="F175" s="34">
        <v>0.85</v>
      </c>
      <c r="G175" s="34">
        <v>67</v>
      </c>
      <c r="H175" s="34">
        <v>20</v>
      </c>
      <c r="I175" s="35" t="s">
        <v>1227</v>
      </c>
      <c r="J175" s="35" t="s">
        <v>1228</v>
      </c>
      <c r="K175" s="37">
        <v>1150</v>
      </c>
      <c r="L175" s="37">
        <v>74</v>
      </c>
      <c r="M175" s="37">
        <v>128</v>
      </c>
    </row>
    <row r="176" spans="2:13" x14ac:dyDescent="0.25">
      <c r="B176" s="48" t="s">
        <v>4207</v>
      </c>
      <c r="C176" s="32">
        <v>40</v>
      </c>
      <c r="D176" s="32">
        <v>40</v>
      </c>
      <c r="E176" s="32">
        <v>0.85</v>
      </c>
      <c r="F176" s="32">
        <v>0.85</v>
      </c>
      <c r="G176" s="32">
        <v>67</v>
      </c>
      <c r="H176" s="32">
        <v>20</v>
      </c>
      <c r="I176" s="33" t="s">
        <v>1221</v>
      </c>
      <c r="J176" s="33" t="s">
        <v>900</v>
      </c>
      <c r="K176" s="36">
        <v>1150</v>
      </c>
      <c r="L176" s="36">
        <v>74</v>
      </c>
      <c r="M176" s="36">
        <v>128</v>
      </c>
    </row>
    <row r="177" spans="2:13" x14ac:dyDescent="0.25">
      <c r="B177" s="49" t="s">
        <v>4206</v>
      </c>
      <c r="C177" s="34">
        <v>24</v>
      </c>
      <c r="D177" s="34">
        <v>24</v>
      </c>
      <c r="E177" s="34">
        <v>2.4</v>
      </c>
      <c r="F177" s="34">
        <v>2.4</v>
      </c>
      <c r="G177" s="34">
        <v>49</v>
      </c>
      <c r="H177" s="34">
        <v>0</v>
      </c>
      <c r="I177" s="35" t="s">
        <v>1221</v>
      </c>
      <c r="J177" s="35" t="s">
        <v>910</v>
      </c>
      <c r="K177" s="37">
        <v>320</v>
      </c>
      <c r="L177" s="37">
        <v>58</v>
      </c>
      <c r="M177" s="37">
        <v>68</v>
      </c>
    </row>
    <row r="178" spans="2:13" x14ac:dyDescent="0.25">
      <c r="B178" s="48" t="s">
        <v>4037</v>
      </c>
      <c r="C178" s="32">
        <v>35</v>
      </c>
      <c r="D178" s="32">
        <v>35</v>
      </c>
      <c r="E178" s="32">
        <v>2.4</v>
      </c>
      <c r="F178" s="32">
        <v>2.4</v>
      </c>
      <c r="G178" s="32">
        <v>49</v>
      </c>
      <c r="H178" s="32">
        <v>0</v>
      </c>
      <c r="I178" s="33" t="s">
        <v>1286</v>
      </c>
      <c r="J178" s="33" t="s">
        <v>910</v>
      </c>
      <c r="K178" s="36">
        <v>280</v>
      </c>
      <c r="L178" s="36">
        <v>58</v>
      </c>
      <c r="M178" s="36">
        <v>45</v>
      </c>
    </row>
    <row r="179" spans="2:13" x14ac:dyDescent="0.25">
      <c r="B179" s="49" t="s">
        <v>4036</v>
      </c>
      <c r="C179" s="34">
        <v>35</v>
      </c>
      <c r="D179" s="34">
        <v>35</v>
      </c>
      <c r="E179" s="34">
        <v>2.4</v>
      </c>
      <c r="F179" s="34">
        <v>2.4</v>
      </c>
      <c r="G179" s="34">
        <v>49</v>
      </c>
      <c r="H179" s="34">
        <v>0</v>
      </c>
      <c r="I179" s="35" t="s">
        <v>1221</v>
      </c>
      <c r="J179" s="35" t="s">
        <v>910</v>
      </c>
      <c r="K179" s="37">
        <v>280</v>
      </c>
      <c r="L179" s="37">
        <v>58</v>
      </c>
      <c r="M179" s="37">
        <v>45</v>
      </c>
    </row>
    <row r="180" spans="2:13" x14ac:dyDescent="0.25">
      <c r="B180" s="48" t="s">
        <v>4035</v>
      </c>
      <c r="C180" s="32">
        <v>50</v>
      </c>
      <c r="D180" s="32">
        <v>50</v>
      </c>
      <c r="E180" s="32">
        <v>2.4</v>
      </c>
      <c r="F180" s="32">
        <v>2.4</v>
      </c>
      <c r="G180" s="32">
        <v>49</v>
      </c>
      <c r="H180" s="32">
        <v>0</v>
      </c>
      <c r="I180" s="33" t="s">
        <v>1286</v>
      </c>
      <c r="J180" s="33" t="s">
        <v>910</v>
      </c>
      <c r="K180" s="36">
        <v>310</v>
      </c>
      <c r="L180" s="36">
        <v>58</v>
      </c>
      <c r="M180" s="36">
        <v>65</v>
      </c>
    </row>
    <row r="181" spans="2:13" x14ac:dyDescent="0.25">
      <c r="B181" s="49" t="s">
        <v>4034</v>
      </c>
      <c r="C181" s="34">
        <v>50</v>
      </c>
      <c r="D181" s="34">
        <v>50</v>
      </c>
      <c r="E181" s="34">
        <v>2.4</v>
      </c>
      <c r="F181" s="34">
        <v>2.4</v>
      </c>
      <c r="G181" s="34">
        <v>49</v>
      </c>
      <c r="H181" s="34">
        <v>0</v>
      </c>
      <c r="I181" s="35" t="s">
        <v>1221</v>
      </c>
      <c r="J181" s="35" t="s">
        <v>910</v>
      </c>
      <c r="K181" s="37">
        <v>310</v>
      </c>
      <c r="L181" s="37">
        <v>58</v>
      </c>
      <c r="M181" s="37">
        <v>65</v>
      </c>
    </row>
    <row r="182" spans="2:13" x14ac:dyDescent="0.25">
      <c r="B182" s="48" t="s">
        <v>4203</v>
      </c>
      <c r="C182" s="32">
        <v>100</v>
      </c>
      <c r="D182" s="32">
        <v>100</v>
      </c>
      <c r="E182" s="32">
        <v>2.2000000000000002</v>
      </c>
      <c r="F182" s="32">
        <v>2.2000000000000002</v>
      </c>
      <c r="G182" s="32">
        <v>77</v>
      </c>
      <c r="H182" s="32">
        <v>7.2</v>
      </c>
      <c r="I182" s="33" t="s">
        <v>1585</v>
      </c>
      <c r="J182" s="33" t="s">
        <v>1448</v>
      </c>
      <c r="K182" s="36">
        <v>780</v>
      </c>
      <c r="L182" s="36">
        <v>87.5</v>
      </c>
      <c r="M182" s="36">
        <v>80.5</v>
      </c>
    </row>
    <row r="183" spans="2:13" x14ac:dyDescent="0.25">
      <c r="B183" s="49" t="s">
        <v>4204</v>
      </c>
      <c r="C183" s="34">
        <v>51.6</v>
      </c>
      <c r="D183" s="34">
        <v>108.3</v>
      </c>
      <c r="E183" s="34">
        <v>3.5</v>
      </c>
      <c r="F183" s="34">
        <v>3.5</v>
      </c>
      <c r="G183" s="34">
        <v>95</v>
      </c>
      <c r="H183" s="34">
        <v>10.8</v>
      </c>
      <c r="I183" s="35" t="s">
        <v>1585</v>
      </c>
      <c r="J183" s="35" t="s">
        <v>1448</v>
      </c>
      <c r="K183" s="37">
        <v>1650</v>
      </c>
      <c r="L183" s="37">
        <v>103</v>
      </c>
      <c r="M183" s="37">
        <v>152</v>
      </c>
    </row>
    <row r="184" spans="2:13" x14ac:dyDescent="0.25">
      <c r="B184" s="48" t="s">
        <v>4033</v>
      </c>
      <c r="C184" s="32">
        <v>82.3</v>
      </c>
      <c r="D184" s="32">
        <v>82.3</v>
      </c>
      <c r="E184" s="32">
        <v>2.8</v>
      </c>
      <c r="F184" s="32">
        <v>2.8</v>
      </c>
      <c r="G184" s="32">
        <v>67</v>
      </c>
      <c r="H184" s="32">
        <v>6.5</v>
      </c>
      <c r="I184" s="33" t="s">
        <v>1585</v>
      </c>
      <c r="J184" s="33" t="s">
        <v>1448</v>
      </c>
      <c r="K184" s="36">
        <v>475</v>
      </c>
      <c r="L184" s="36">
        <v>84</v>
      </c>
      <c r="M184" s="36">
        <v>70</v>
      </c>
    </row>
    <row r="185" spans="2:13" x14ac:dyDescent="0.25">
      <c r="B185" s="49" t="s">
        <v>4282</v>
      </c>
      <c r="C185" s="34">
        <v>120</v>
      </c>
      <c r="D185" s="34">
        <v>120</v>
      </c>
      <c r="E185" s="34">
        <v>3.5</v>
      </c>
      <c r="F185" s="34">
        <v>3.5</v>
      </c>
      <c r="G185" s="34">
        <v>77</v>
      </c>
      <c r="H185" s="34">
        <v>2</v>
      </c>
      <c r="I185" s="35" t="s">
        <v>1595</v>
      </c>
      <c r="J185" s="35" t="s">
        <v>1448</v>
      </c>
      <c r="K185" s="37">
        <v>970</v>
      </c>
      <c r="L185" s="37">
        <v>81</v>
      </c>
      <c r="M185" s="37">
        <v>150</v>
      </c>
    </row>
    <row r="186" spans="2:13" x14ac:dyDescent="0.25">
      <c r="B186" s="48" t="s">
        <v>4202</v>
      </c>
      <c r="C186" s="32">
        <v>30</v>
      </c>
      <c r="D186" s="32">
        <v>30</v>
      </c>
      <c r="E186" s="32">
        <v>3.5</v>
      </c>
      <c r="F186" s="32">
        <v>3.5</v>
      </c>
      <c r="G186" s="32">
        <v>77</v>
      </c>
      <c r="H186" s="32">
        <v>9.6</v>
      </c>
      <c r="I186" s="33" t="s">
        <v>1595</v>
      </c>
      <c r="J186" s="33" t="s">
        <v>1448</v>
      </c>
      <c r="K186" s="36">
        <v>550</v>
      </c>
      <c r="L186" s="36">
        <v>83</v>
      </c>
      <c r="M186" s="36">
        <v>88</v>
      </c>
    </row>
    <row r="187" spans="2:13" x14ac:dyDescent="0.25">
      <c r="B187" s="49" t="s">
        <v>4032</v>
      </c>
      <c r="C187" s="34">
        <v>45</v>
      </c>
      <c r="D187" s="34">
        <v>45</v>
      </c>
      <c r="E187" s="34">
        <v>3.5</v>
      </c>
      <c r="F187" s="34">
        <v>3.5</v>
      </c>
      <c r="G187" s="34">
        <v>67</v>
      </c>
      <c r="H187" s="34">
        <v>6.4</v>
      </c>
      <c r="I187" s="35" t="s">
        <v>1595</v>
      </c>
      <c r="J187" s="35" t="s">
        <v>1448</v>
      </c>
      <c r="K187" s="37">
        <v>417</v>
      </c>
      <c r="L187" s="37">
        <v>77</v>
      </c>
      <c r="M187" s="37">
        <v>75</v>
      </c>
    </row>
    <row r="188" spans="2:13" x14ac:dyDescent="0.25">
      <c r="B188" s="48" t="s">
        <v>4201</v>
      </c>
      <c r="C188" s="32">
        <v>90</v>
      </c>
      <c r="D188" s="32">
        <v>90</v>
      </c>
      <c r="E188" s="32">
        <v>3.2</v>
      </c>
      <c r="F188" s="32">
        <v>3.2</v>
      </c>
      <c r="G188" s="32">
        <v>67</v>
      </c>
      <c r="H188" s="32">
        <v>6</v>
      </c>
      <c r="I188" s="33" t="s">
        <v>1595</v>
      </c>
      <c r="J188" s="33" t="s">
        <v>1448</v>
      </c>
      <c r="K188" s="36">
        <v>619</v>
      </c>
      <c r="L188" s="36">
        <v>77</v>
      </c>
      <c r="M188" s="36">
        <v>100</v>
      </c>
    </row>
    <row r="189" spans="2:13" x14ac:dyDescent="0.25">
      <c r="B189" s="49" t="s">
        <v>4281</v>
      </c>
      <c r="C189" s="34">
        <v>11</v>
      </c>
      <c r="D189" s="34">
        <v>11</v>
      </c>
      <c r="E189" s="34">
        <v>4</v>
      </c>
      <c r="F189" s="34">
        <v>4</v>
      </c>
      <c r="G189" s="34">
        <v>0</v>
      </c>
      <c r="H189" s="34">
        <v>0</v>
      </c>
      <c r="I189" s="35" t="s">
        <v>1229</v>
      </c>
      <c r="J189" s="35" t="s">
        <v>910</v>
      </c>
      <c r="K189" s="37">
        <v>790</v>
      </c>
      <c r="L189" s="37">
        <v>118</v>
      </c>
      <c r="M189" s="37">
        <v>103</v>
      </c>
    </row>
    <row r="190" spans="2:13" x14ac:dyDescent="0.25">
      <c r="B190" s="48" t="s">
        <v>2739</v>
      </c>
      <c r="C190" s="32">
        <v>11</v>
      </c>
      <c r="D190" s="32">
        <v>11</v>
      </c>
      <c r="E190" s="32">
        <v>4</v>
      </c>
      <c r="F190" s="32">
        <v>4</v>
      </c>
      <c r="G190" s="32">
        <v>0</v>
      </c>
      <c r="H190" s="32">
        <v>0</v>
      </c>
      <c r="I190" s="33" t="s">
        <v>8</v>
      </c>
      <c r="J190" s="33" t="s">
        <v>910</v>
      </c>
      <c r="K190" s="36">
        <v>790</v>
      </c>
      <c r="L190" s="36">
        <v>118</v>
      </c>
      <c r="M190" s="36">
        <v>103</v>
      </c>
    </row>
    <row r="191" spans="2:13" x14ac:dyDescent="0.25">
      <c r="B191" s="49" t="s">
        <v>2814</v>
      </c>
      <c r="C191" s="34">
        <v>11</v>
      </c>
      <c r="D191" s="34">
        <v>11</v>
      </c>
      <c r="E191" s="34">
        <v>4</v>
      </c>
      <c r="F191" s="34">
        <v>4</v>
      </c>
      <c r="G191" s="34">
        <v>0</v>
      </c>
      <c r="H191" s="34">
        <v>0</v>
      </c>
      <c r="I191" s="35" t="s">
        <v>1331</v>
      </c>
      <c r="J191" s="35" t="s">
        <v>910</v>
      </c>
      <c r="K191" s="37">
        <v>790</v>
      </c>
      <c r="L191" s="37">
        <v>118</v>
      </c>
      <c r="M191" s="37">
        <v>103</v>
      </c>
    </row>
    <row r="192" spans="2:13" x14ac:dyDescent="0.25">
      <c r="B192" s="48" t="s">
        <v>4200</v>
      </c>
      <c r="C192" s="32">
        <v>11</v>
      </c>
      <c r="D192" s="32">
        <v>11</v>
      </c>
      <c r="E192" s="32">
        <v>4</v>
      </c>
      <c r="F192" s="32">
        <v>4</v>
      </c>
      <c r="G192" s="32">
        <v>0</v>
      </c>
      <c r="H192" s="32">
        <v>0</v>
      </c>
      <c r="I192" s="33" t="s">
        <v>1229</v>
      </c>
      <c r="J192" s="33" t="s">
        <v>910</v>
      </c>
      <c r="K192" s="36">
        <v>790</v>
      </c>
      <c r="L192" s="36">
        <v>118</v>
      </c>
      <c r="M192" s="36">
        <v>103</v>
      </c>
    </row>
    <row r="193" spans="2:13" x14ac:dyDescent="0.25">
      <c r="B193" s="49" t="s">
        <v>2702</v>
      </c>
      <c r="C193" s="34">
        <v>11</v>
      </c>
      <c r="D193" s="34">
        <v>11</v>
      </c>
      <c r="E193" s="34">
        <v>4</v>
      </c>
      <c r="F193" s="34">
        <v>4</v>
      </c>
      <c r="G193" s="34">
        <v>0</v>
      </c>
      <c r="H193" s="34">
        <v>0</v>
      </c>
      <c r="I193" s="35" t="s">
        <v>8</v>
      </c>
      <c r="J193" s="35" t="s">
        <v>910</v>
      </c>
      <c r="K193" s="37">
        <v>790</v>
      </c>
      <c r="L193" s="37">
        <v>118</v>
      </c>
      <c r="M193" s="37">
        <v>103</v>
      </c>
    </row>
    <row r="194" spans="2:13" x14ac:dyDescent="0.25">
      <c r="B194" s="48" t="s">
        <v>2813</v>
      </c>
      <c r="C194" s="32">
        <v>11</v>
      </c>
      <c r="D194" s="32">
        <v>11</v>
      </c>
      <c r="E194" s="32">
        <v>4</v>
      </c>
      <c r="F194" s="32">
        <v>4</v>
      </c>
      <c r="G194" s="32">
        <v>0</v>
      </c>
      <c r="H194" s="32">
        <v>0</v>
      </c>
      <c r="I194" s="33" t="s">
        <v>1331</v>
      </c>
      <c r="J194" s="33" t="s">
        <v>910</v>
      </c>
      <c r="K194" s="36">
        <v>790</v>
      </c>
      <c r="L194" s="36">
        <v>118</v>
      </c>
      <c r="M194" s="36">
        <v>103</v>
      </c>
    </row>
    <row r="195" spans="2:13" x14ac:dyDescent="0.25">
      <c r="B195" s="49" t="s">
        <v>4031</v>
      </c>
      <c r="C195" s="34">
        <v>15</v>
      </c>
      <c r="D195" s="34">
        <v>15</v>
      </c>
      <c r="E195" s="34">
        <v>2.4</v>
      </c>
      <c r="F195" s="34">
        <v>2.4</v>
      </c>
      <c r="G195" s="34">
        <v>95</v>
      </c>
      <c r="H195" s="34">
        <v>0</v>
      </c>
      <c r="I195" s="35" t="s">
        <v>1229</v>
      </c>
      <c r="J195" s="35" t="s">
        <v>910</v>
      </c>
      <c r="K195" s="37">
        <v>685</v>
      </c>
      <c r="L195" s="37">
        <v>114</v>
      </c>
      <c r="M195" s="37">
        <v>100</v>
      </c>
    </row>
    <row r="196" spans="2:13" x14ac:dyDescent="0.25">
      <c r="B196" s="48" t="s">
        <v>4199</v>
      </c>
      <c r="C196" s="32">
        <v>15</v>
      </c>
      <c r="D196" s="32">
        <v>15</v>
      </c>
      <c r="E196" s="32">
        <v>2.4</v>
      </c>
      <c r="F196" s="32">
        <v>2.4</v>
      </c>
      <c r="G196" s="32">
        <v>95</v>
      </c>
      <c r="H196" s="32">
        <v>0</v>
      </c>
      <c r="I196" s="33" t="s">
        <v>8</v>
      </c>
      <c r="J196" s="33" t="s">
        <v>910</v>
      </c>
      <c r="K196" s="36">
        <v>653</v>
      </c>
      <c r="L196" s="36">
        <v>114</v>
      </c>
      <c r="M196" s="36">
        <v>100</v>
      </c>
    </row>
    <row r="197" spans="2:13" x14ac:dyDescent="0.25">
      <c r="B197" s="49" t="s">
        <v>4198</v>
      </c>
      <c r="C197" s="34">
        <v>15</v>
      </c>
      <c r="D197" s="34">
        <v>15</v>
      </c>
      <c r="E197" s="34">
        <v>2.4</v>
      </c>
      <c r="F197" s="34">
        <v>2.4</v>
      </c>
      <c r="G197" s="34">
        <v>95</v>
      </c>
      <c r="H197" s="34">
        <v>0</v>
      </c>
      <c r="I197" s="35" t="s">
        <v>1331</v>
      </c>
      <c r="J197" s="35" t="s">
        <v>910</v>
      </c>
      <c r="K197" s="37">
        <v>0</v>
      </c>
      <c r="L197" s="37">
        <v>114</v>
      </c>
      <c r="M197" s="37">
        <v>100</v>
      </c>
    </row>
    <row r="198" spans="2:13" x14ac:dyDescent="0.25">
      <c r="B198" s="48" t="s">
        <v>2812</v>
      </c>
      <c r="C198" s="32">
        <v>15</v>
      </c>
      <c r="D198" s="32">
        <v>15</v>
      </c>
      <c r="E198" s="32">
        <v>2.4</v>
      </c>
      <c r="F198" s="32">
        <v>2.4</v>
      </c>
      <c r="G198" s="32">
        <v>95</v>
      </c>
      <c r="H198" s="32">
        <v>0</v>
      </c>
      <c r="I198" s="33" t="s">
        <v>1229</v>
      </c>
      <c r="J198" s="33" t="s">
        <v>910</v>
      </c>
      <c r="K198" s="36">
        <v>608</v>
      </c>
      <c r="L198" s="36">
        <v>114</v>
      </c>
      <c r="M198" s="36">
        <v>100</v>
      </c>
    </row>
    <row r="199" spans="2:13" x14ac:dyDescent="0.25">
      <c r="B199" s="49" t="s">
        <v>4197</v>
      </c>
      <c r="C199" s="34">
        <v>15</v>
      </c>
      <c r="D199" s="34">
        <v>15</v>
      </c>
      <c r="E199" s="34">
        <v>2.4</v>
      </c>
      <c r="F199" s="34">
        <v>2.4</v>
      </c>
      <c r="G199" s="34">
        <v>95</v>
      </c>
      <c r="H199" s="34">
        <v>0</v>
      </c>
      <c r="I199" s="35" t="s">
        <v>8</v>
      </c>
      <c r="J199" s="35" t="s">
        <v>910</v>
      </c>
      <c r="K199" s="37">
        <v>581</v>
      </c>
      <c r="L199" s="37">
        <v>114</v>
      </c>
      <c r="M199" s="37">
        <v>100</v>
      </c>
    </row>
    <row r="200" spans="2:13" x14ac:dyDescent="0.25">
      <c r="B200" s="48" t="s">
        <v>2811</v>
      </c>
      <c r="C200" s="32">
        <v>15</v>
      </c>
      <c r="D200" s="32">
        <v>15</v>
      </c>
      <c r="E200" s="32">
        <v>2.4</v>
      </c>
      <c r="F200" s="32">
        <v>2.4</v>
      </c>
      <c r="G200" s="32">
        <v>95</v>
      </c>
      <c r="H200" s="32">
        <v>0</v>
      </c>
      <c r="I200" s="33" t="s">
        <v>1331</v>
      </c>
      <c r="J200" s="33" t="s">
        <v>910</v>
      </c>
      <c r="K200" s="36">
        <v>0</v>
      </c>
      <c r="L200" s="36">
        <v>114</v>
      </c>
      <c r="M200" s="36">
        <v>100</v>
      </c>
    </row>
    <row r="201" spans="2:13" x14ac:dyDescent="0.25">
      <c r="B201" s="49" t="s">
        <v>4030</v>
      </c>
      <c r="C201" s="34">
        <v>12</v>
      </c>
      <c r="D201" s="34">
        <v>12</v>
      </c>
      <c r="E201" s="34">
        <v>1.8</v>
      </c>
      <c r="F201" s="34">
        <v>1.8</v>
      </c>
      <c r="G201" s="34">
        <v>72</v>
      </c>
      <c r="H201" s="34">
        <v>10</v>
      </c>
      <c r="I201" s="35" t="s">
        <v>1227</v>
      </c>
      <c r="J201" s="35" t="s">
        <v>1228</v>
      </c>
      <c r="K201" s="37">
        <v>475</v>
      </c>
      <c r="L201" s="37">
        <v>76.5</v>
      </c>
      <c r="M201" s="37">
        <v>90.5</v>
      </c>
    </row>
    <row r="202" spans="2:13" x14ac:dyDescent="0.25">
      <c r="B202" s="48" t="s">
        <v>4029</v>
      </c>
      <c r="C202" s="32">
        <v>25</v>
      </c>
      <c r="D202" s="32">
        <v>25</v>
      </c>
      <c r="E202" s="32">
        <v>1.8</v>
      </c>
      <c r="F202" s="32">
        <v>1.8</v>
      </c>
      <c r="G202" s="32">
        <v>55</v>
      </c>
      <c r="H202" s="32">
        <v>6.5</v>
      </c>
      <c r="I202" s="33" t="s">
        <v>1227</v>
      </c>
      <c r="J202" s="33" t="s">
        <v>1228</v>
      </c>
      <c r="K202" s="36">
        <v>400</v>
      </c>
      <c r="L202" s="36">
        <v>60</v>
      </c>
      <c r="M202" s="36">
        <v>94</v>
      </c>
    </row>
    <row r="203" spans="2:13" x14ac:dyDescent="0.25">
      <c r="B203" s="49" t="s">
        <v>2810</v>
      </c>
      <c r="C203" s="34">
        <v>8.5</v>
      </c>
      <c r="D203" s="34">
        <v>8.5</v>
      </c>
      <c r="E203" s="34">
        <v>2.8</v>
      </c>
      <c r="F203" s="34">
        <v>2.8</v>
      </c>
      <c r="G203" s="34">
        <v>86</v>
      </c>
      <c r="H203" s="34">
        <v>12.5</v>
      </c>
      <c r="I203" s="35" t="s">
        <v>1227</v>
      </c>
      <c r="J203" s="35" t="s">
        <v>1228</v>
      </c>
      <c r="K203" s="37">
        <v>440</v>
      </c>
      <c r="L203" s="37">
        <v>71.5</v>
      </c>
      <c r="M203" s="37">
        <v>86.8</v>
      </c>
    </row>
    <row r="204" spans="2:13" x14ac:dyDescent="0.25">
      <c r="B204" s="48" t="s">
        <v>1023</v>
      </c>
      <c r="C204" s="32">
        <v>105</v>
      </c>
      <c r="D204" s="32">
        <v>105</v>
      </c>
      <c r="E204" s="32">
        <v>2</v>
      </c>
      <c r="F204" s="32">
        <v>2</v>
      </c>
      <c r="G204" s="32">
        <v>67</v>
      </c>
      <c r="H204" s="32">
        <v>6.15</v>
      </c>
      <c r="I204" s="33" t="s">
        <v>1229</v>
      </c>
      <c r="J204" s="33" t="s">
        <v>910</v>
      </c>
      <c r="K204" s="36">
        <v>745</v>
      </c>
      <c r="L204" s="36">
        <v>76</v>
      </c>
      <c r="M204" s="36">
        <v>98.9</v>
      </c>
    </row>
    <row r="205" spans="2:13" x14ac:dyDescent="0.25">
      <c r="B205" s="49" t="s">
        <v>1024</v>
      </c>
      <c r="C205" s="34">
        <v>105</v>
      </c>
      <c r="D205" s="34">
        <v>105</v>
      </c>
      <c r="E205" s="34">
        <v>2</v>
      </c>
      <c r="F205" s="34">
        <v>2</v>
      </c>
      <c r="G205" s="34">
        <v>67</v>
      </c>
      <c r="H205" s="34">
        <v>6.15</v>
      </c>
      <c r="I205" s="35" t="s">
        <v>8</v>
      </c>
      <c r="J205" s="35" t="s">
        <v>910</v>
      </c>
      <c r="K205" s="37">
        <v>745</v>
      </c>
      <c r="L205" s="37">
        <v>76</v>
      </c>
      <c r="M205" s="37">
        <v>98.9</v>
      </c>
    </row>
    <row r="206" spans="2:13" x14ac:dyDescent="0.25">
      <c r="B206" s="48" t="s">
        <v>1025</v>
      </c>
      <c r="C206" s="32">
        <v>105</v>
      </c>
      <c r="D206" s="32">
        <v>105</v>
      </c>
      <c r="E206" s="32">
        <v>2</v>
      </c>
      <c r="F206" s="32">
        <v>2</v>
      </c>
      <c r="G206" s="32">
        <v>67</v>
      </c>
      <c r="H206" s="32">
        <v>6.15</v>
      </c>
      <c r="I206" s="33" t="s">
        <v>1331</v>
      </c>
      <c r="J206" s="33" t="s">
        <v>910</v>
      </c>
      <c r="K206" s="36">
        <v>745</v>
      </c>
      <c r="L206" s="36">
        <v>76</v>
      </c>
      <c r="M206" s="36">
        <v>98.9</v>
      </c>
    </row>
    <row r="207" spans="2:13" x14ac:dyDescent="0.25">
      <c r="B207" s="49" t="s">
        <v>1026</v>
      </c>
      <c r="C207" s="34">
        <v>105</v>
      </c>
      <c r="D207" s="34">
        <v>105</v>
      </c>
      <c r="E207" s="34">
        <v>2</v>
      </c>
      <c r="F207" s="34">
        <v>2</v>
      </c>
      <c r="G207" s="34">
        <v>67</v>
      </c>
      <c r="H207" s="34">
        <v>6.15</v>
      </c>
      <c r="I207" s="35" t="s">
        <v>1293</v>
      </c>
      <c r="J207" s="35" t="s">
        <v>910</v>
      </c>
      <c r="K207" s="37">
        <v>745</v>
      </c>
      <c r="L207" s="37">
        <v>76</v>
      </c>
      <c r="M207" s="37">
        <v>98.9</v>
      </c>
    </row>
    <row r="208" spans="2:13" x14ac:dyDescent="0.25">
      <c r="B208" s="48" t="s">
        <v>1027</v>
      </c>
      <c r="C208" s="32">
        <v>105</v>
      </c>
      <c r="D208" s="32">
        <v>105</v>
      </c>
      <c r="E208" s="32">
        <v>2</v>
      </c>
      <c r="F208" s="32">
        <v>2</v>
      </c>
      <c r="G208" s="32">
        <v>67</v>
      </c>
      <c r="H208" s="32">
        <v>6.15</v>
      </c>
      <c r="I208" s="33" t="s">
        <v>1221</v>
      </c>
      <c r="J208" s="33" t="s">
        <v>910</v>
      </c>
      <c r="K208" s="36">
        <v>745</v>
      </c>
      <c r="L208" s="36">
        <v>76</v>
      </c>
      <c r="M208" s="36">
        <v>98.9</v>
      </c>
    </row>
    <row r="209" spans="2:13" x14ac:dyDescent="0.25">
      <c r="B209" s="49" t="s">
        <v>1154</v>
      </c>
      <c r="C209" s="34">
        <v>12</v>
      </c>
      <c r="D209" s="34">
        <v>12</v>
      </c>
      <c r="E209" s="34">
        <v>2.8</v>
      </c>
      <c r="F209" s="34">
        <v>2.8</v>
      </c>
      <c r="G209" s="34">
        <v>0</v>
      </c>
      <c r="H209" s="34">
        <v>5</v>
      </c>
      <c r="I209" s="35" t="s">
        <v>1229</v>
      </c>
      <c r="J209" s="35" t="s">
        <v>910</v>
      </c>
      <c r="K209" s="37">
        <v>609</v>
      </c>
      <c r="L209" s="37">
        <v>78.8</v>
      </c>
      <c r="M209" s="37">
        <v>82.8</v>
      </c>
    </row>
    <row r="210" spans="2:13" x14ac:dyDescent="0.25">
      <c r="B210" s="48" t="s">
        <v>1157</v>
      </c>
      <c r="C210" s="32">
        <v>12</v>
      </c>
      <c r="D210" s="32">
        <v>12</v>
      </c>
      <c r="E210" s="32">
        <v>2.8</v>
      </c>
      <c r="F210" s="32">
        <v>2.8</v>
      </c>
      <c r="G210" s="32">
        <v>0</v>
      </c>
      <c r="H210" s="32">
        <v>5</v>
      </c>
      <c r="I210" s="33" t="s">
        <v>8</v>
      </c>
      <c r="J210" s="33" t="s">
        <v>910</v>
      </c>
      <c r="K210" s="36">
        <v>609</v>
      </c>
      <c r="L210" s="36">
        <v>78.8</v>
      </c>
      <c r="M210" s="36">
        <v>82.8</v>
      </c>
    </row>
    <row r="211" spans="2:13" x14ac:dyDescent="0.25">
      <c r="B211" s="49" t="s">
        <v>966</v>
      </c>
      <c r="C211" s="34">
        <v>12</v>
      </c>
      <c r="D211" s="34">
        <v>12</v>
      </c>
      <c r="E211" s="34">
        <v>2.8</v>
      </c>
      <c r="F211" s="34">
        <v>2.8</v>
      </c>
      <c r="G211" s="34">
        <v>0</v>
      </c>
      <c r="H211" s="34">
        <v>5</v>
      </c>
      <c r="I211" s="35" t="s">
        <v>1331</v>
      </c>
      <c r="J211" s="35" t="s">
        <v>910</v>
      </c>
      <c r="K211" s="37">
        <v>609</v>
      </c>
      <c r="L211" s="37">
        <v>78.8</v>
      </c>
      <c r="M211" s="37">
        <v>82.8</v>
      </c>
    </row>
    <row r="212" spans="2:13" x14ac:dyDescent="0.25">
      <c r="B212" s="48" t="s">
        <v>1159</v>
      </c>
      <c r="C212" s="32">
        <v>12</v>
      </c>
      <c r="D212" s="32">
        <v>12</v>
      </c>
      <c r="E212" s="32">
        <v>2.8</v>
      </c>
      <c r="F212" s="32">
        <v>2.8</v>
      </c>
      <c r="G212" s="32">
        <v>0</v>
      </c>
      <c r="H212" s="32">
        <v>5</v>
      </c>
      <c r="I212" s="33" t="s">
        <v>1293</v>
      </c>
      <c r="J212" s="33" t="s">
        <v>910</v>
      </c>
      <c r="K212" s="36">
        <v>609</v>
      </c>
      <c r="L212" s="36">
        <v>78.8</v>
      </c>
      <c r="M212" s="36">
        <v>82.8</v>
      </c>
    </row>
    <row r="213" spans="2:13" x14ac:dyDescent="0.25">
      <c r="B213" s="49" t="s">
        <v>1158</v>
      </c>
      <c r="C213" s="34">
        <v>12</v>
      </c>
      <c r="D213" s="34">
        <v>12</v>
      </c>
      <c r="E213" s="34">
        <v>2.8</v>
      </c>
      <c r="F213" s="34">
        <v>2.8</v>
      </c>
      <c r="G213" s="34">
        <v>0</v>
      </c>
      <c r="H213" s="34">
        <v>5</v>
      </c>
      <c r="I213" s="35" t="s">
        <v>1221</v>
      </c>
      <c r="J213" s="35" t="s">
        <v>910</v>
      </c>
      <c r="K213" s="37">
        <v>609</v>
      </c>
      <c r="L213" s="37">
        <v>78.8</v>
      </c>
      <c r="M213" s="37">
        <v>82.8</v>
      </c>
    </row>
    <row r="214" spans="2:13" x14ac:dyDescent="0.25">
      <c r="B214" s="48" t="s">
        <v>2662</v>
      </c>
      <c r="C214" s="32">
        <v>15</v>
      </c>
      <c r="D214" s="32">
        <v>15</v>
      </c>
      <c r="E214" s="32">
        <v>2</v>
      </c>
      <c r="F214" s="32">
        <v>2</v>
      </c>
      <c r="G214" s="32">
        <v>72</v>
      </c>
      <c r="H214" s="32">
        <v>4</v>
      </c>
      <c r="I214" s="33" t="s">
        <v>1221</v>
      </c>
      <c r="J214" s="33" t="s">
        <v>910</v>
      </c>
      <c r="K214" s="36">
        <v>500</v>
      </c>
      <c r="L214" s="36">
        <v>82</v>
      </c>
      <c r="M214" s="36">
        <v>66</v>
      </c>
    </row>
    <row r="215" spans="2:13" x14ac:dyDescent="0.25">
      <c r="B215" s="49" t="s">
        <v>1018</v>
      </c>
      <c r="C215" s="34">
        <v>15</v>
      </c>
      <c r="D215" s="34">
        <v>15</v>
      </c>
      <c r="E215" s="34">
        <v>4</v>
      </c>
      <c r="F215" s="34">
        <v>4</v>
      </c>
      <c r="G215" s="34">
        <v>77</v>
      </c>
      <c r="H215" s="34">
        <v>1</v>
      </c>
      <c r="I215" s="35" t="s">
        <v>1229</v>
      </c>
      <c r="J215" s="35" t="s">
        <v>910</v>
      </c>
      <c r="K215" s="37">
        <v>410</v>
      </c>
      <c r="L215" s="37">
        <v>83.8</v>
      </c>
      <c r="M215" s="37">
        <v>64.7</v>
      </c>
    </row>
    <row r="216" spans="2:13" x14ac:dyDescent="0.25">
      <c r="B216" s="48" t="s">
        <v>1020</v>
      </c>
      <c r="C216" s="32">
        <v>15</v>
      </c>
      <c r="D216" s="32">
        <v>15</v>
      </c>
      <c r="E216" s="32">
        <v>4</v>
      </c>
      <c r="F216" s="32">
        <v>4</v>
      </c>
      <c r="G216" s="32">
        <v>77</v>
      </c>
      <c r="H216" s="32">
        <v>1</v>
      </c>
      <c r="I216" s="33" t="s">
        <v>8</v>
      </c>
      <c r="J216" s="33" t="s">
        <v>910</v>
      </c>
      <c r="K216" s="36">
        <v>410</v>
      </c>
      <c r="L216" s="36">
        <v>83.8</v>
      </c>
      <c r="M216" s="36">
        <v>64.7</v>
      </c>
    </row>
    <row r="217" spans="2:13" x14ac:dyDescent="0.25">
      <c r="B217" s="49" t="s">
        <v>3123</v>
      </c>
      <c r="C217" s="34">
        <v>15</v>
      </c>
      <c r="D217" s="34">
        <v>15</v>
      </c>
      <c r="E217" s="34">
        <v>4</v>
      </c>
      <c r="F217" s="34">
        <v>4</v>
      </c>
      <c r="G217" s="34">
        <v>77</v>
      </c>
      <c r="H217" s="34">
        <v>1</v>
      </c>
      <c r="I217" s="35" t="s">
        <v>1331</v>
      </c>
      <c r="J217" s="35" t="s">
        <v>910</v>
      </c>
      <c r="K217" s="37">
        <v>410</v>
      </c>
      <c r="L217" s="37">
        <v>83.8</v>
      </c>
      <c r="M217" s="37">
        <v>64.7</v>
      </c>
    </row>
    <row r="218" spans="2:13" x14ac:dyDescent="0.25">
      <c r="B218" s="48" t="s">
        <v>1022</v>
      </c>
      <c r="C218" s="32">
        <v>15</v>
      </c>
      <c r="D218" s="32">
        <v>15</v>
      </c>
      <c r="E218" s="32">
        <v>4</v>
      </c>
      <c r="F218" s="32">
        <v>4</v>
      </c>
      <c r="G218" s="32">
        <v>77</v>
      </c>
      <c r="H218" s="32">
        <v>1</v>
      </c>
      <c r="I218" s="33" t="s">
        <v>1293</v>
      </c>
      <c r="J218" s="33" t="s">
        <v>910</v>
      </c>
      <c r="K218" s="36">
        <v>410</v>
      </c>
      <c r="L218" s="36">
        <v>83.8</v>
      </c>
      <c r="M218" s="36">
        <v>64.7</v>
      </c>
    </row>
    <row r="219" spans="2:13" x14ac:dyDescent="0.25">
      <c r="B219" s="49" t="s">
        <v>1021</v>
      </c>
      <c r="C219" s="34">
        <v>15</v>
      </c>
      <c r="D219" s="34">
        <v>15</v>
      </c>
      <c r="E219" s="34">
        <v>4</v>
      </c>
      <c r="F219" s="34">
        <v>4</v>
      </c>
      <c r="G219" s="34">
        <v>77</v>
      </c>
      <c r="H219" s="34">
        <v>1</v>
      </c>
      <c r="I219" s="35" t="s">
        <v>1221</v>
      </c>
      <c r="J219" s="35" t="s">
        <v>910</v>
      </c>
      <c r="K219" s="37">
        <v>410</v>
      </c>
      <c r="L219" s="37">
        <v>83.8</v>
      </c>
      <c r="M219" s="37">
        <v>64.7</v>
      </c>
    </row>
    <row r="220" spans="2:13" x14ac:dyDescent="0.25">
      <c r="B220" s="48" t="s">
        <v>1177</v>
      </c>
      <c r="C220" s="32">
        <v>60</v>
      </c>
      <c r="D220" s="32">
        <v>60</v>
      </c>
      <c r="E220" s="32">
        <v>2.8</v>
      </c>
      <c r="F220" s="32">
        <v>2.8</v>
      </c>
      <c r="G220" s="32">
        <v>62</v>
      </c>
      <c r="H220" s="32">
        <v>0.5</v>
      </c>
      <c r="I220" s="33" t="s">
        <v>1229</v>
      </c>
      <c r="J220" s="33" t="s">
        <v>910</v>
      </c>
      <c r="K220" s="36">
        <v>503</v>
      </c>
      <c r="L220" s="36">
        <v>70</v>
      </c>
      <c r="M220" s="36">
        <v>95</v>
      </c>
    </row>
    <row r="221" spans="2:13" x14ac:dyDescent="0.25">
      <c r="B221" s="49" t="s">
        <v>1015</v>
      </c>
      <c r="C221" s="34">
        <v>60</v>
      </c>
      <c r="D221" s="34">
        <v>60</v>
      </c>
      <c r="E221" s="34">
        <v>2.8</v>
      </c>
      <c r="F221" s="34">
        <v>2.8</v>
      </c>
      <c r="G221" s="34">
        <v>62</v>
      </c>
      <c r="H221" s="34">
        <v>0.5</v>
      </c>
      <c r="I221" s="35" t="s">
        <v>8</v>
      </c>
      <c r="J221" s="35" t="s">
        <v>910</v>
      </c>
      <c r="K221" s="37">
        <v>503</v>
      </c>
      <c r="L221" s="37">
        <v>70</v>
      </c>
      <c r="M221" s="37">
        <v>95</v>
      </c>
    </row>
    <row r="222" spans="2:13" x14ac:dyDescent="0.25">
      <c r="B222" s="48" t="s">
        <v>1016</v>
      </c>
      <c r="C222" s="32">
        <v>60</v>
      </c>
      <c r="D222" s="32">
        <v>60</v>
      </c>
      <c r="E222" s="32">
        <v>2.8</v>
      </c>
      <c r="F222" s="32">
        <v>2.8</v>
      </c>
      <c r="G222" s="32">
        <v>62</v>
      </c>
      <c r="H222" s="32">
        <v>0.5</v>
      </c>
      <c r="I222" s="33" t="s">
        <v>1331</v>
      </c>
      <c r="J222" s="33" t="s">
        <v>910</v>
      </c>
      <c r="K222" s="36">
        <v>503</v>
      </c>
      <c r="L222" s="36">
        <v>70</v>
      </c>
      <c r="M222" s="36">
        <v>95</v>
      </c>
    </row>
    <row r="223" spans="2:13" x14ac:dyDescent="0.25">
      <c r="B223" s="49" t="s">
        <v>1017</v>
      </c>
      <c r="C223" s="34">
        <v>60</v>
      </c>
      <c r="D223" s="34">
        <v>60</v>
      </c>
      <c r="E223" s="34">
        <v>2.8</v>
      </c>
      <c r="F223" s="34">
        <v>2.8</v>
      </c>
      <c r="G223" s="34">
        <v>62</v>
      </c>
      <c r="H223" s="34">
        <v>0.5</v>
      </c>
      <c r="I223" s="35" t="s">
        <v>1293</v>
      </c>
      <c r="J223" s="35" t="s">
        <v>910</v>
      </c>
      <c r="K223" s="37">
        <v>503</v>
      </c>
      <c r="L223" s="37">
        <v>70</v>
      </c>
      <c r="M223" s="37">
        <v>95</v>
      </c>
    </row>
    <row r="224" spans="2:13" x14ac:dyDescent="0.25">
      <c r="B224" s="48" t="s">
        <v>1019</v>
      </c>
      <c r="C224" s="32">
        <v>60</v>
      </c>
      <c r="D224" s="32">
        <v>60</v>
      </c>
      <c r="E224" s="32">
        <v>2.8</v>
      </c>
      <c r="F224" s="32">
        <v>2.8</v>
      </c>
      <c r="G224" s="32">
        <v>62</v>
      </c>
      <c r="H224" s="32">
        <v>0.5</v>
      </c>
      <c r="I224" s="33" t="s">
        <v>1221</v>
      </c>
      <c r="J224" s="33" t="s">
        <v>910</v>
      </c>
      <c r="K224" s="36">
        <v>503</v>
      </c>
      <c r="L224" s="36">
        <v>70</v>
      </c>
      <c r="M224" s="36">
        <v>95</v>
      </c>
    </row>
    <row r="225" spans="2:13" x14ac:dyDescent="0.25">
      <c r="B225" s="49" t="s">
        <v>912</v>
      </c>
      <c r="C225" s="34">
        <v>7.5</v>
      </c>
      <c r="D225" s="34">
        <v>7.5</v>
      </c>
      <c r="E225" s="34">
        <v>2</v>
      </c>
      <c r="F225" s="34">
        <v>2</v>
      </c>
      <c r="G225" s="34">
        <v>46</v>
      </c>
      <c r="H225" s="34">
        <v>9.09</v>
      </c>
      <c r="I225" s="35" t="s">
        <v>1227</v>
      </c>
      <c r="J225" s="35" t="s">
        <v>1227</v>
      </c>
      <c r="K225" s="37">
        <v>170</v>
      </c>
      <c r="L225" s="37">
        <v>55</v>
      </c>
      <c r="M225" s="37">
        <v>50</v>
      </c>
    </row>
    <row r="226" spans="2:13" x14ac:dyDescent="0.25">
      <c r="B226" s="48" t="s">
        <v>959</v>
      </c>
      <c r="C226" s="32">
        <v>7.5</v>
      </c>
      <c r="D226" s="32">
        <v>7.5</v>
      </c>
      <c r="E226" s="32">
        <v>2</v>
      </c>
      <c r="F226" s="32">
        <v>2</v>
      </c>
      <c r="G226" s="32">
        <v>46</v>
      </c>
      <c r="H226" s="32">
        <v>9.09</v>
      </c>
      <c r="I226" s="33" t="s">
        <v>1227</v>
      </c>
      <c r="J226" s="33" t="s">
        <v>1227</v>
      </c>
      <c r="K226" s="36">
        <v>170</v>
      </c>
      <c r="L226" s="36">
        <v>55</v>
      </c>
      <c r="M226" s="36">
        <v>50</v>
      </c>
    </row>
    <row r="227" spans="2:13" x14ac:dyDescent="0.25">
      <c r="B227" s="49" t="s">
        <v>961</v>
      </c>
      <c r="C227" s="34">
        <v>7.5</v>
      </c>
      <c r="D227" s="34">
        <v>7.5</v>
      </c>
      <c r="E227" s="34">
        <v>2</v>
      </c>
      <c r="F227" s="34">
        <v>2</v>
      </c>
      <c r="G227" s="34">
        <v>46</v>
      </c>
      <c r="H227" s="34">
        <v>9.09</v>
      </c>
      <c r="I227" s="35" t="s">
        <v>1227</v>
      </c>
      <c r="J227" s="35" t="s">
        <v>1227</v>
      </c>
      <c r="K227" s="37">
        <v>150</v>
      </c>
      <c r="L227" s="37">
        <v>55</v>
      </c>
      <c r="M227" s="37">
        <v>50</v>
      </c>
    </row>
    <row r="228" spans="2:13" x14ac:dyDescent="0.25">
      <c r="B228" s="48" t="s">
        <v>960</v>
      </c>
      <c r="C228" s="32">
        <v>7.5</v>
      </c>
      <c r="D228" s="32">
        <v>7.5</v>
      </c>
      <c r="E228" s="32">
        <v>2</v>
      </c>
      <c r="F228" s="32">
        <v>2</v>
      </c>
      <c r="G228" s="32">
        <v>46</v>
      </c>
      <c r="H228" s="32">
        <v>9.09</v>
      </c>
      <c r="I228" s="33" t="s">
        <v>1227</v>
      </c>
      <c r="J228" s="33" t="s">
        <v>1227</v>
      </c>
      <c r="K228" s="36">
        <v>150</v>
      </c>
      <c r="L228" s="36">
        <v>55</v>
      </c>
      <c r="M228" s="36">
        <v>50</v>
      </c>
    </row>
    <row r="229" spans="2:13" x14ac:dyDescent="0.25">
      <c r="B229" s="49" t="s">
        <v>3118</v>
      </c>
      <c r="C229" s="34">
        <v>90</v>
      </c>
      <c r="D229" s="34">
        <v>280</v>
      </c>
      <c r="E229" s="34">
        <v>2.8</v>
      </c>
      <c r="F229" s="34">
        <v>2.8</v>
      </c>
      <c r="G229" s="34">
        <v>82</v>
      </c>
      <c r="H229" s="34">
        <v>4.8</v>
      </c>
      <c r="I229" s="35" t="s">
        <v>1417</v>
      </c>
      <c r="J229" s="35" t="s">
        <v>910</v>
      </c>
      <c r="K229" s="37">
        <v>1710</v>
      </c>
      <c r="L229" s="37">
        <v>88</v>
      </c>
      <c r="M229" s="37">
        <v>238</v>
      </c>
    </row>
    <row r="230" spans="2:13" x14ac:dyDescent="0.25">
      <c r="B230" s="48" t="s">
        <v>3122</v>
      </c>
      <c r="C230" s="32">
        <v>180</v>
      </c>
      <c r="D230" s="32">
        <v>180</v>
      </c>
      <c r="E230" s="32">
        <v>3.5</v>
      </c>
      <c r="F230" s="32">
        <v>3.5</v>
      </c>
      <c r="G230" s="32">
        <v>72</v>
      </c>
      <c r="H230" s="32">
        <v>6.8</v>
      </c>
      <c r="I230" s="33" t="s">
        <v>1513</v>
      </c>
      <c r="J230" s="33" t="s">
        <v>910</v>
      </c>
      <c r="K230" s="36">
        <v>1150</v>
      </c>
      <c r="L230" s="36">
        <v>88</v>
      </c>
      <c r="M230" s="36">
        <v>151</v>
      </c>
    </row>
    <row r="231" spans="2:13" x14ac:dyDescent="0.25">
      <c r="B231" s="49" t="s">
        <v>3121</v>
      </c>
      <c r="C231" s="34">
        <v>180</v>
      </c>
      <c r="D231" s="34">
        <v>180</v>
      </c>
      <c r="E231" s="34">
        <v>3.5</v>
      </c>
      <c r="F231" s="34">
        <v>3.5</v>
      </c>
      <c r="G231" s="34">
        <v>72</v>
      </c>
      <c r="H231" s="34">
        <v>6.8</v>
      </c>
      <c r="I231" s="35" t="s">
        <v>1513</v>
      </c>
      <c r="J231" s="35" t="s">
        <v>910</v>
      </c>
      <c r="K231" s="37">
        <v>1150</v>
      </c>
      <c r="L231" s="37">
        <v>88</v>
      </c>
      <c r="M231" s="37">
        <v>151</v>
      </c>
    </row>
    <row r="232" spans="2:13" x14ac:dyDescent="0.25">
      <c r="B232" s="48" t="s">
        <v>3117</v>
      </c>
      <c r="C232" s="32">
        <v>60</v>
      </c>
      <c r="D232" s="32">
        <v>60</v>
      </c>
      <c r="E232" s="32">
        <v>2.8</v>
      </c>
      <c r="F232" s="32">
        <v>2.8</v>
      </c>
      <c r="G232" s="32">
        <v>60</v>
      </c>
      <c r="H232" s="32">
        <v>1</v>
      </c>
      <c r="I232" s="33" t="s">
        <v>1417</v>
      </c>
      <c r="J232" s="33" t="s">
        <v>910</v>
      </c>
      <c r="K232" s="36">
        <v>320</v>
      </c>
      <c r="L232" s="36">
        <v>68</v>
      </c>
      <c r="M232" s="36">
        <v>89</v>
      </c>
    </row>
    <row r="233" spans="2:13" x14ac:dyDescent="0.25">
      <c r="B233" s="49" t="s">
        <v>3116</v>
      </c>
      <c r="C233" s="34">
        <v>60</v>
      </c>
      <c r="D233" s="34">
        <v>60</v>
      </c>
      <c r="E233" s="34">
        <v>2.8</v>
      </c>
      <c r="F233" s="34">
        <v>2.8</v>
      </c>
      <c r="G233" s="34">
        <v>60</v>
      </c>
      <c r="H233" s="34">
        <v>1</v>
      </c>
      <c r="I233" s="35" t="s">
        <v>1417</v>
      </c>
      <c r="J233" s="35" t="s">
        <v>910</v>
      </c>
      <c r="K233" s="37">
        <v>320</v>
      </c>
      <c r="L233" s="37">
        <v>68</v>
      </c>
      <c r="M233" s="37">
        <v>89</v>
      </c>
    </row>
    <row r="234" spans="2:13" x14ac:dyDescent="0.25">
      <c r="B234" s="48" t="s">
        <v>3115</v>
      </c>
      <c r="C234" s="32">
        <v>120</v>
      </c>
      <c r="D234" s="32">
        <v>120</v>
      </c>
      <c r="E234" s="32">
        <v>2.5</v>
      </c>
      <c r="F234" s="32">
        <v>2.5</v>
      </c>
      <c r="G234" s="32">
        <v>72</v>
      </c>
      <c r="H234" s="32">
        <v>2.1</v>
      </c>
      <c r="I234" s="33" t="s">
        <v>1513</v>
      </c>
      <c r="J234" s="33" t="s">
        <v>910</v>
      </c>
      <c r="K234" s="36">
        <v>1135</v>
      </c>
      <c r="L234" s="36">
        <v>91</v>
      </c>
      <c r="M234" s="36">
        <v>128</v>
      </c>
    </row>
    <row r="235" spans="2:13" x14ac:dyDescent="0.25">
      <c r="B235" s="49" t="s">
        <v>3113</v>
      </c>
      <c r="C235" s="34">
        <v>120</v>
      </c>
      <c r="D235" s="34">
        <v>120</v>
      </c>
      <c r="E235" s="34">
        <v>2.5</v>
      </c>
      <c r="F235" s="34">
        <v>2.5</v>
      </c>
      <c r="G235" s="34">
        <v>72</v>
      </c>
      <c r="H235" s="34">
        <v>2.1</v>
      </c>
      <c r="I235" s="35" t="s">
        <v>1513</v>
      </c>
      <c r="J235" s="35" t="s">
        <v>910</v>
      </c>
      <c r="K235" s="37">
        <v>1135</v>
      </c>
      <c r="L235" s="37">
        <v>91</v>
      </c>
      <c r="M235" s="37">
        <v>128</v>
      </c>
    </row>
    <row r="236" spans="2:13" x14ac:dyDescent="0.25">
      <c r="B236" s="48" t="s">
        <v>945</v>
      </c>
      <c r="C236" s="32">
        <v>50</v>
      </c>
      <c r="D236" s="32">
        <v>50</v>
      </c>
      <c r="E236" s="32">
        <v>2</v>
      </c>
      <c r="F236" s="32">
        <v>2</v>
      </c>
      <c r="G236" s="32">
        <v>39</v>
      </c>
      <c r="H236" s="32">
        <v>11.5</v>
      </c>
      <c r="I236" s="33" t="s">
        <v>1343</v>
      </c>
      <c r="J236" s="33" t="s">
        <v>910</v>
      </c>
      <c r="K236" s="36">
        <v>300</v>
      </c>
      <c r="L236" s="36">
        <v>53</v>
      </c>
      <c r="M236" s="36">
        <v>47</v>
      </c>
    </row>
    <row r="237" spans="2:13" x14ac:dyDescent="0.25">
      <c r="B237" s="49" t="s">
        <v>932</v>
      </c>
      <c r="C237" s="34">
        <v>50</v>
      </c>
      <c r="D237" s="34">
        <v>50</v>
      </c>
      <c r="E237" s="34">
        <v>2</v>
      </c>
      <c r="F237" s="34">
        <v>2</v>
      </c>
      <c r="G237" s="34">
        <v>39</v>
      </c>
      <c r="H237" s="34">
        <v>11.5</v>
      </c>
      <c r="I237" s="35" t="s">
        <v>1343</v>
      </c>
      <c r="J237" s="35" t="s">
        <v>910</v>
      </c>
      <c r="K237" s="37">
        <v>300</v>
      </c>
      <c r="L237" s="37">
        <v>53</v>
      </c>
      <c r="M237" s="37">
        <v>47</v>
      </c>
    </row>
    <row r="238" spans="2:13" x14ac:dyDescent="0.25">
      <c r="B238" s="48" t="s">
        <v>4028</v>
      </c>
      <c r="C238" s="32">
        <v>75</v>
      </c>
      <c r="D238" s="32">
        <v>75</v>
      </c>
      <c r="E238" s="32">
        <v>2</v>
      </c>
      <c r="F238" s="32">
        <v>2</v>
      </c>
      <c r="G238" s="32">
        <v>49</v>
      </c>
      <c r="H238" s="32">
        <v>7</v>
      </c>
      <c r="I238" s="33" t="s">
        <v>1343</v>
      </c>
      <c r="J238" s="33" t="s">
        <v>910</v>
      </c>
      <c r="K238" s="36">
        <v>430</v>
      </c>
      <c r="L238" s="36">
        <v>58</v>
      </c>
      <c r="M238" s="36">
        <v>66.8</v>
      </c>
    </row>
    <row r="239" spans="2:13" x14ac:dyDescent="0.25">
      <c r="B239" s="49" t="s">
        <v>4027</v>
      </c>
      <c r="C239" s="34">
        <v>90</v>
      </c>
      <c r="D239" s="34">
        <v>90</v>
      </c>
      <c r="E239" s="34">
        <v>2</v>
      </c>
      <c r="F239" s="34">
        <v>2</v>
      </c>
      <c r="G239" s="34">
        <v>55</v>
      </c>
      <c r="H239" s="34">
        <v>9</v>
      </c>
      <c r="I239" s="35" t="s">
        <v>1343</v>
      </c>
      <c r="J239" s="35" t="s">
        <v>910</v>
      </c>
      <c r="K239" s="37">
        <v>500</v>
      </c>
      <c r="L239" s="37">
        <v>64</v>
      </c>
      <c r="M239" s="37">
        <v>78</v>
      </c>
    </row>
    <row r="240" spans="2:13" x14ac:dyDescent="0.25">
      <c r="B240" s="48" t="s">
        <v>4026</v>
      </c>
      <c r="C240" s="32">
        <v>135</v>
      </c>
      <c r="D240" s="32">
        <v>135</v>
      </c>
      <c r="E240" s="32">
        <v>3.4</v>
      </c>
      <c r="F240" s="32">
        <v>3.4</v>
      </c>
      <c r="G240" s="32">
        <v>49</v>
      </c>
      <c r="H240" s="32">
        <v>9</v>
      </c>
      <c r="I240" s="33" t="s">
        <v>1343</v>
      </c>
      <c r="J240" s="33" t="s">
        <v>910</v>
      </c>
      <c r="K240" s="36">
        <v>450</v>
      </c>
      <c r="L240" s="36">
        <v>58.5</v>
      </c>
      <c r="M240" s="36">
        <v>104.7</v>
      </c>
    </row>
    <row r="241" spans="2:13" x14ac:dyDescent="0.25">
      <c r="B241" s="49" t="s">
        <v>4024</v>
      </c>
      <c r="C241" s="34">
        <v>55</v>
      </c>
      <c r="D241" s="34">
        <v>135</v>
      </c>
      <c r="E241" s="34">
        <v>3.5</v>
      </c>
      <c r="F241" s="34">
        <v>3.5</v>
      </c>
      <c r="G241" s="34">
        <v>60</v>
      </c>
      <c r="H241" s="34">
        <v>17.100000000000001</v>
      </c>
      <c r="I241" s="35" t="s">
        <v>1526</v>
      </c>
      <c r="J241" s="35" t="s">
        <v>900</v>
      </c>
      <c r="K241" s="37">
        <v>500</v>
      </c>
      <c r="L241" s="37">
        <v>68</v>
      </c>
      <c r="M241" s="37">
        <v>110</v>
      </c>
    </row>
    <row r="242" spans="2:13" x14ac:dyDescent="0.25">
      <c r="B242" s="48" t="s">
        <v>4022</v>
      </c>
      <c r="C242" s="32">
        <v>28</v>
      </c>
      <c r="D242" s="32">
        <v>28</v>
      </c>
      <c r="E242" s="32">
        <v>2.8</v>
      </c>
      <c r="F242" s="32">
        <v>2.8</v>
      </c>
      <c r="G242" s="32">
        <v>39</v>
      </c>
      <c r="H242" s="32">
        <v>22</v>
      </c>
      <c r="I242" s="33" t="s">
        <v>1343</v>
      </c>
      <c r="J242" s="33" t="s">
        <v>910</v>
      </c>
      <c r="K242" s="36">
        <v>180</v>
      </c>
      <c r="L242" s="36">
        <v>52</v>
      </c>
      <c r="M242" s="36">
        <v>46</v>
      </c>
    </row>
    <row r="243" spans="2:13" x14ac:dyDescent="0.25">
      <c r="B243" s="49" t="s">
        <v>4019</v>
      </c>
      <c r="C243" s="34">
        <v>28</v>
      </c>
      <c r="D243" s="34">
        <v>28</v>
      </c>
      <c r="E243" s="34">
        <v>2.8</v>
      </c>
      <c r="F243" s="34">
        <v>2.8</v>
      </c>
      <c r="G243" s="34">
        <v>39</v>
      </c>
      <c r="H243" s="34">
        <v>22.2</v>
      </c>
      <c r="I243" s="35" t="s">
        <v>1343</v>
      </c>
      <c r="J243" s="35" t="s">
        <v>910</v>
      </c>
      <c r="K243" s="37">
        <v>175</v>
      </c>
      <c r="L243" s="37">
        <v>52</v>
      </c>
      <c r="M243" s="37">
        <v>30.7</v>
      </c>
    </row>
    <row r="244" spans="2:13" x14ac:dyDescent="0.25">
      <c r="B244" s="48" t="s">
        <v>4018</v>
      </c>
      <c r="C244" s="32">
        <v>30</v>
      </c>
      <c r="D244" s="32">
        <v>30</v>
      </c>
      <c r="E244" s="32">
        <v>2.8</v>
      </c>
      <c r="F244" s="32">
        <v>2.8</v>
      </c>
      <c r="G244" s="32">
        <v>82</v>
      </c>
      <c r="H244" s="32">
        <v>11.3</v>
      </c>
      <c r="I244" s="33" t="s">
        <v>1513</v>
      </c>
      <c r="J244" s="33" t="s">
        <v>910</v>
      </c>
      <c r="K244" s="36">
        <v>1060</v>
      </c>
      <c r="L244" s="36">
        <v>88</v>
      </c>
      <c r="M244" s="36">
        <v>128</v>
      </c>
    </row>
    <row r="245" spans="2:13" x14ac:dyDescent="0.25">
      <c r="B245" s="49" t="s">
        <v>4016</v>
      </c>
      <c r="C245" s="34">
        <v>30</v>
      </c>
      <c r="D245" s="34">
        <v>30</v>
      </c>
      <c r="E245" s="34">
        <v>2.8</v>
      </c>
      <c r="F245" s="34">
        <v>2.8</v>
      </c>
      <c r="G245" s="34">
        <v>82</v>
      </c>
      <c r="H245" s="34">
        <v>11.3</v>
      </c>
      <c r="I245" s="35" t="s">
        <v>1513</v>
      </c>
      <c r="J245" s="35" t="s">
        <v>910</v>
      </c>
      <c r="K245" s="37">
        <v>1060</v>
      </c>
      <c r="L245" s="37">
        <v>88</v>
      </c>
      <c r="M245" s="37">
        <v>128</v>
      </c>
    </row>
    <row r="246" spans="2:13" x14ac:dyDescent="0.25">
      <c r="B246" s="48" t="s">
        <v>4015</v>
      </c>
      <c r="C246" s="32">
        <v>45</v>
      </c>
      <c r="D246" s="32">
        <v>45</v>
      </c>
      <c r="E246" s="32">
        <v>2.8</v>
      </c>
      <c r="F246" s="32">
        <v>2.8</v>
      </c>
      <c r="G246" s="32">
        <v>82</v>
      </c>
      <c r="H246" s="32">
        <v>10.1</v>
      </c>
      <c r="I246" s="33" t="s">
        <v>1513</v>
      </c>
      <c r="J246" s="33" t="s">
        <v>910</v>
      </c>
      <c r="K246" s="36">
        <v>1300</v>
      </c>
      <c r="L246" s="36">
        <v>88</v>
      </c>
      <c r="M246" s="36">
        <v>136</v>
      </c>
    </row>
    <row r="247" spans="2:13" x14ac:dyDescent="0.25">
      <c r="B247" s="49" t="s">
        <v>4014</v>
      </c>
      <c r="C247" s="34">
        <v>45</v>
      </c>
      <c r="D247" s="34">
        <v>45</v>
      </c>
      <c r="E247" s="34">
        <v>2.8</v>
      </c>
      <c r="F247" s="34">
        <v>2.8</v>
      </c>
      <c r="G247" s="34">
        <v>82</v>
      </c>
      <c r="H247" s="34">
        <v>10.1</v>
      </c>
      <c r="I247" s="35" t="s">
        <v>1513</v>
      </c>
      <c r="J247" s="35" t="s">
        <v>910</v>
      </c>
      <c r="K247" s="37">
        <v>1300</v>
      </c>
      <c r="L247" s="37">
        <v>88</v>
      </c>
      <c r="M247" s="37">
        <v>136</v>
      </c>
    </row>
    <row r="248" spans="2:13" x14ac:dyDescent="0.25">
      <c r="B248" s="48" t="s">
        <v>4023</v>
      </c>
      <c r="C248" s="32">
        <v>24</v>
      </c>
      <c r="D248" s="32">
        <v>24</v>
      </c>
      <c r="E248" s="32">
        <v>3.8</v>
      </c>
      <c r="F248" s="32">
        <v>3.8</v>
      </c>
      <c r="G248" s="32">
        <v>39</v>
      </c>
      <c r="H248" s="32">
        <v>26</v>
      </c>
      <c r="I248" s="33" t="s">
        <v>1343</v>
      </c>
      <c r="J248" s="33" t="s">
        <v>910</v>
      </c>
      <c r="K248" s="36">
        <v>260</v>
      </c>
      <c r="L248" s="36">
        <v>53</v>
      </c>
      <c r="M248" s="36">
        <v>40.6</v>
      </c>
    </row>
    <row r="249" spans="2:13" x14ac:dyDescent="0.25">
      <c r="B249" s="49" t="s">
        <v>4013</v>
      </c>
      <c r="C249" s="34">
        <v>90</v>
      </c>
      <c r="D249" s="34">
        <v>90</v>
      </c>
      <c r="E249" s="34">
        <v>4</v>
      </c>
      <c r="F249" s="34">
        <v>4</v>
      </c>
      <c r="G249" s="34">
        <v>39</v>
      </c>
      <c r="H249" s="34">
        <v>6.7</v>
      </c>
      <c r="I249" s="35" t="s">
        <v>1343</v>
      </c>
      <c r="J249" s="35" t="s">
        <v>910</v>
      </c>
      <c r="K249" s="37">
        <v>240</v>
      </c>
      <c r="L249" s="37">
        <v>52</v>
      </c>
      <c r="M249" s="37">
        <v>59</v>
      </c>
    </row>
    <row r="250" spans="2:13" x14ac:dyDescent="0.25">
      <c r="B250" s="48" t="s">
        <v>4012</v>
      </c>
      <c r="C250" s="32">
        <v>90</v>
      </c>
      <c r="D250" s="32">
        <v>90</v>
      </c>
      <c r="E250" s="32">
        <v>4</v>
      </c>
      <c r="F250" s="32">
        <v>4</v>
      </c>
      <c r="G250" s="32">
        <v>39</v>
      </c>
      <c r="H250" s="32">
        <v>6.7</v>
      </c>
      <c r="I250" s="33" t="s">
        <v>1343</v>
      </c>
      <c r="J250" s="33" t="s">
        <v>910</v>
      </c>
      <c r="K250" s="36">
        <v>240</v>
      </c>
      <c r="L250" s="36">
        <v>52</v>
      </c>
      <c r="M250" s="36">
        <v>59</v>
      </c>
    </row>
    <row r="251" spans="2:13" x14ac:dyDescent="0.25">
      <c r="B251" s="49" t="s">
        <v>4011</v>
      </c>
      <c r="C251" s="34">
        <v>50</v>
      </c>
      <c r="D251" s="34">
        <v>50</v>
      </c>
      <c r="E251" s="34">
        <v>0.95</v>
      </c>
      <c r="F251" s="34">
        <v>0.95</v>
      </c>
      <c r="G251" s="34">
        <v>60</v>
      </c>
      <c r="H251" s="34">
        <v>17</v>
      </c>
      <c r="I251" s="35" t="s">
        <v>1343</v>
      </c>
      <c r="J251" s="35" t="s">
        <v>910</v>
      </c>
      <c r="K251" s="37">
        <v>700</v>
      </c>
      <c r="L251" s="37">
        <v>73</v>
      </c>
      <c r="M251" s="37">
        <v>75.099999999999994</v>
      </c>
    </row>
    <row r="252" spans="2:13" x14ac:dyDescent="0.25">
      <c r="B252" s="48" t="s">
        <v>2809</v>
      </c>
      <c r="C252" s="32">
        <v>50</v>
      </c>
      <c r="D252" s="32">
        <v>50</v>
      </c>
      <c r="E252" s="32">
        <v>0.95</v>
      </c>
      <c r="F252" s="32">
        <v>0.95</v>
      </c>
      <c r="G252" s="32">
        <v>60</v>
      </c>
      <c r="H252" s="32">
        <v>17</v>
      </c>
      <c r="I252" s="33" t="s">
        <v>1343</v>
      </c>
      <c r="J252" s="33" t="s">
        <v>910</v>
      </c>
      <c r="K252" s="36">
        <v>700</v>
      </c>
      <c r="L252" s="36">
        <v>73</v>
      </c>
      <c r="M252" s="36">
        <v>75.099999999999994</v>
      </c>
    </row>
    <row r="253" spans="2:13" x14ac:dyDescent="0.25">
      <c r="B253" s="49" t="s">
        <v>3139</v>
      </c>
      <c r="C253" s="34">
        <v>35</v>
      </c>
      <c r="D253" s="34">
        <v>35</v>
      </c>
      <c r="E253" s="34">
        <v>2.4</v>
      </c>
      <c r="F253" s="34">
        <v>2.4</v>
      </c>
      <c r="G253" s="34">
        <v>0</v>
      </c>
      <c r="H253" s="34">
        <v>0</v>
      </c>
      <c r="I253" s="35" t="s">
        <v>1343</v>
      </c>
      <c r="J253" s="35" t="s">
        <v>910</v>
      </c>
      <c r="K253" s="37">
        <v>197</v>
      </c>
      <c r="L253" s="37">
        <v>52</v>
      </c>
      <c r="M253" s="37">
        <v>34</v>
      </c>
    </row>
    <row r="254" spans="2:13" x14ac:dyDescent="0.25">
      <c r="B254" s="48" t="s">
        <v>3138</v>
      </c>
      <c r="C254" s="32">
        <v>35</v>
      </c>
      <c r="D254" s="32">
        <v>35</v>
      </c>
      <c r="E254" s="32">
        <v>2.4</v>
      </c>
      <c r="F254" s="32">
        <v>2.4</v>
      </c>
      <c r="G254" s="32">
        <v>0</v>
      </c>
      <c r="H254" s="32">
        <v>0</v>
      </c>
      <c r="I254" s="33" t="s">
        <v>1343</v>
      </c>
      <c r="J254" s="33" t="s">
        <v>910</v>
      </c>
      <c r="K254" s="36">
        <v>197</v>
      </c>
      <c r="L254" s="36">
        <v>52</v>
      </c>
      <c r="M254" s="36">
        <v>34</v>
      </c>
    </row>
    <row r="255" spans="2:13" x14ac:dyDescent="0.25">
      <c r="B255" s="49" t="s">
        <v>3137</v>
      </c>
      <c r="C255" s="34">
        <v>35</v>
      </c>
      <c r="D255" s="34">
        <v>35</v>
      </c>
      <c r="E255" s="34">
        <v>2.5</v>
      </c>
      <c r="F255" s="34">
        <v>2.5</v>
      </c>
      <c r="G255" s="34">
        <v>0</v>
      </c>
      <c r="H255" s="34">
        <v>20.399999999999999</v>
      </c>
      <c r="I255" s="35" t="s">
        <v>1343</v>
      </c>
      <c r="J255" s="35" t="s">
        <v>910</v>
      </c>
      <c r="K255" s="37">
        <v>220</v>
      </c>
      <c r="L255" s="37">
        <v>51.4</v>
      </c>
      <c r="M255" s="37">
        <v>34</v>
      </c>
    </row>
    <row r="256" spans="2:13" x14ac:dyDescent="0.25">
      <c r="B256" s="48" t="s">
        <v>3136</v>
      </c>
      <c r="C256" s="32">
        <v>50</v>
      </c>
      <c r="D256" s="32">
        <v>50</v>
      </c>
      <c r="E256" s="32">
        <v>2.4</v>
      </c>
      <c r="F256" s="32">
        <v>2.4</v>
      </c>
      <c r="G256" s="32">
        <v>0</v>
      </c>
      <c r="H256" s="32">
        <v>0</v>
      </c>
      <c r="I256" s="33" t="s">
        <v>1343</v>
      </c>
      <c r="J256" s="33" t="s">
        <v>910</v>
      </c>
      <c r="K256" s="36">
        <v>190</v>
      </c>
      <c r="L256" s="36">
        <v>52</v>
      </c>
      <c r="M256" s="36">
        <v>33</v>
      </c>
    </row>
    <row r="257" spans="2:13" x14ac:dyDescent="0.25">
      <c r="B257" s="49" t="s">
        <v>3135</v>
      </c>
      <c r="C257" s="34">
        <v>50</v>
      </c>
      <c r="D257" s="34">
        <v>50</v>
      </c>
      <c r="E257" s="34">
        <v>2.4</v>
      </c>
      <c r="F257" s="34">
        <v>2.4</v>
      </c>
      <c r="G257" s="34">
        <v>0</v>
      </c>
      <c r="H257" s="34">
        <v>0</v>
      </c>
      <c r="I257" s="35" t="s">
        <v>1343</v>
      </c>
      <c r="J257" s="35" t="s">
        <v>910</v>
      </c>
      <c r="K257" s="37">
        <v>190</v>
      </c>
      <c r="L257" s="37">
        <v>52</v>
      </c>
      <c r="M257" s="37">
        <v>33</v>
      </c>
    </row>
    <row r="258" spans="2:13" x14ac:dyDescent="0.25">
      <c r="B258" s="48" t="s">
        <v>3134</v>
      </c>
      <c r="C258" s="32">
        <v>50</v>
      </c>
      <c r="D258" s="32">
        <v>50</v>
      </c>
      <c r="E258" s="32">
        <v>2.5</v>
      </c>
      <c r="F258" s="32">
        <v>2.5</v>
      </c>
      <c r="G258" s="32">
        <v>0</v>
      </c>
      <c r="H258" s="32">
        <v>14.1</v>
      </c>
      <c r="I258" s="33" t="s">
        <v>1343</v>
      </c>
      <c r="J258" s="33" t="s">
        <v>910</v>
      </c>
      <c r="K258" s="36">
        <v>230</v>
      </c>
      <c r="L258" s="36">
        <v>51.5</v>
      </c>
      <c r="M258" s="36">
        <v>33</v>
      </c>
    </row>
    <row r="259" spans="2:13" x14ac:dyDescent="0.25">
      <c r="B259" s="49" t="s">
        <v>3133</v>
      </c>
      <c r="C259" s="34">
        <v>75</v>
      </c>
      <c r="D259" s="34">
        <v>75</v>
      </c>
      <c r="E259" s="34">
        <v>2.4</v>
      </c>
      <c r="F259" s="34">
        <v>2.4</v>
      </c>
      <c r="G259" s="34">
        <v>0</v>
      </c>
      <c r="H259" s="34">
        <v>0</v>
      </c>
      <c r="I259" s="35" t="s">
        <v>1343</v>
      </c>
      <c r="J259" s="35" t="s">
        <v>910</v>
      </c>
      <c r="K259" s="37">
        <v>325</v>
      </c>
      <c r="L259" s="37">
        <v>55</v>
      </c>
      <c r="M259" s="37">
        <v>60.5</v>
      </c>
    </row>
    <row r="260" spans="2:13" x14ac:dyDescent="0.25">
      <c r="B260" s="48" t="s">
        <v>3132</v>
      </c>
      <c r="C260" s="32">
        <v>75</v>
      </c>
      <c r="D260" s="32">
        <v>75</v>
      </c>
      <c r="E260" s="32">
        <v>2.4</v>
      </c>
      <c r="F260" s="32">
        <v>2.4</v>
      </c>
      <c r="G260" s="32">
        <v>0</v>
      </c>
      <c r="H260" s="32">
        <v>0</v>
      </c>
      <c r="I260" s="33" t="s">
        <v>1343</v>
      </c>
      <c r="J260" s="33" t="s">
        <v>910</v>
      </c>
      <c r="K260" s="36">
        <v>325</v>
      </c>
      <c r="L260" s="36">
        <v>55</v>
      </c>
      <c r="M260" s="36">
        <v>60.5</v>
      </c>
    </row>
    <row r="261" spans="2:13" x14ac:dyDescent="0.25">
      <c r="B261" s="49" t="s">
        <v>3131</v>
      </c>
      <c r="C261" s="34">
        <v>75</v>
      </c>
      <c r="D261" s="34">
        <v>75</v>
      </c>
      <c r="E261" s="34">
        <v>2.5</v>
      </c>
      <c r="F261" s="34">
        <v>2.5</v>
      </c>
      <c r="G261" s="34">
        <v>0</v>
      </c>
      <c r="H261" s="34">
        <v>9.9</v>
      </c>
      <c r="I261" s="35" t="s">
        <v>1343</v>
      </c>
      <c r="J261" s="35" t="s">
        <v>910</v>
      </c>
      <c r="K261" s="37">
        <v>345</v>
      </c>
      <c r="L261" s="37">
        <v>55</v>
      </c>
      <c r="M261" s="37">
        <v>60.5</v>
      </c>
    </row>
    <row r="262" spans="2:13" x14ac:dyDescent="0.25">
      <c r="B262" s="48" t="s">
        <v>3130</v>
      </c>
      <c r="C262" s="32">
        <v>90</v>
      </c>
      <c r="D262" s="32">
        <v>90</v>
      </c>
      <c r="E262" s="32">
        <v>2.4</v>
      </c>
      <c r="F262" s="32">
        <v>2.4</v>
      </c>
      <c r="G262" s="32">
        <v>0</v>
      </c>
      <c r="H262" s="32">
        <v>0</v>
      </c>
      <c r="I262" s="33" t="s">
        <v>1343</v>
      </c>
      <c r="J262" s="33" t="s">
        <v>910</v>
      </c>
      <c r="K262" s="36">
        <v>346</v>
      </c>
      <c r="L262" s="36">
        <v>55</v>
      </c>
      <c r="M262" s="36">
        <v>67</v>
      </c>
    </row>
    <row r="263" spans="2:13" x14ac:dyDescent="0.25">
      <c r="B263" s="49" t="s">
        <v>3129</v>
      </c>
      <c r="C263" s="34">
        <v>90</v>
      </c>
      <c r="D263" s="34">
        <v>90</v>
      </c>
      <c r="E263" s="34">
        <v>2.4</v>
      </c>
      <c r="F263" s="34">
        <v>2.4</v>
      </c>
      <c r="G263" s="34">
        <v>0</v>
      </c>
      <c r="H263" s="34">
        <v>0</v>
      </c>
      <c r="I263" s="35" t="s">
        <v>1343</v>
      </c>
      <c r="J263" s="35" t="s">
        <v>910</v>
      </c>
      <c r="K263" s="37">
        <v>346</v>
      </c>
      <c r="L263" s="37">
        <v>55</v>
      </c>
      <c r="M263" s="37">
        <v>67</v>
      </c>
    </row>
    <row r="264" spans="2:13" x14ac:dyDescent="0.25">
      <c r="B264" s="48" t="s">
        <v>3128</v>
      </c>
      <c r="C264" s="32">
        <v>35</v>
      </c>
      <c r="D264" s="32">
        <v>35</v>
      </c>
      <c r="E264" s="32">
        <v>2.5</v>
      </c>
      <c r="F264" s="32">
        <v>2.5</v>
      </c>
      <c r="G264" s="32">
        <v>82</v>
      </c>
      <c r="H264" s="32">
        <v>11.1</v>
      </c>
      <c r="I264" s="33" t="s">
        <v>1513</v>
      </c>
      <c r="J264" s="33" t="s">
        <v>910</v>
      </c>
      <c r="K264" s="36">
        <v>930</v>
      </c>
      <c r="L264" s="36">
        <v>88</v>
      </c>
      <c r="M264" s="36">
        <v>122</v>
      </c>
    </row>
    <row r="265" spans="2:13" x14ac:dyDescent="0.25">
      <c r="B265" s="49" t="s">
        <v>3127</v>
      </c>
      <c r="C265" s="34">
        <v>70</v>
      </c>
      <c r="D265" s="34">
        <v>70</v>
      </c>
      <c r="E265" s="34">
        <v>2.5</v>
      </c>
      <c r="F265" s="34">
        <v>2.5</v>
      </c>
      <c r="G265" s="34">
        <v>82</v>
      </c>
      <c r="H265" s="34">
        <v>4.7</v>
      </c>
      <c r="I265" s="35" t="s">
        <v>1513</v>
      </c>
      <c r="J265" s="35" t="s">
        <v>910</v>
      </c>
      <c r="K265" s="37">
        <v>740</v>
      </c>
      <c r="L265" s="37">
        <v>90</v>
      </c>
      <c r="M265" s="37">
        <v>93</v>
      </c>
    </row>
    <row r="266" spans="2:13" x14ac:dyDescent="0.25">
      <c r="B266" s="48" t="s">
        <v>3126</v>
      </c>
      <c r="C266" s="32">
        <v>70</v>
      </c>
      <c r="D266" s="32">
        <v>70</v>
      </c>
      <c r="E266" s="32">
        <v>2.5</v>
      </c>
      <c r="F266" s="32">
        <v>2.5</v>
      </c>
      <c r="G266" s="32">
        <v>82</v>
      </c>
      <c r="H266" s="32">
        <v>4.7</v>
      </c>
      <c r="I266" s="33" t="s">
        <v>1513</v>
      </c>
      <c r="J266" s="33" t="s">
        <v>910</v>
      </c>
      <c r="K266" s="36">
        <v>740</v>
      </c>
      <c r="L266" s="36">
        <v>90</v>
      </c>
      <c r="M266" s="36">
        <v>93</v>
      </c>
    </row>
    <row r="267" spans="2:13" x14ac:dyDescent="0.25">
      <c r="B267" s="49" t="s">
        <v>3125</v>
      </c>
      <c r="C267" s="34">
        <v>28</v>
      </c>
      <c r="D267" s="34">
        <v>28</v>
      </c>
      <c r="E267" s="34">
        <v>5.6</v>
      </c>
      <c r="F267" s="34">
        <v>5.6</v>
      </c>
      <c r="G267" s="34">
        <v>34</v>
      </c>
      <c r="H267" s="34">
        <v>33.4</v>
      </c>
      <c r="I267" s="35" t="s">
        <v>1343</v>
      </c>
      <c r="J267" s="35" t="s">
        <v>910</v>
      </c>
      <c r="K267" s="37">
        <v>165</v>
      </c>
      <c r="L267" s="37">
        <v>51</v>
      </c>
      <c r="M267" s="37">
        <v>18</v>
      </c>
    </row>
    <row r="268" spans="2:13" x14ac:dyDescent="0.25">
      <c r="B268" s="48" t="s">
        <v>3124</v>
      </c>
      <c r="C268" s="32">
        <v>28</v>
      </c>
      <c r="D268" s="32">
        <v>28</v>
      </c>
      <c r="E268" s="32">
        <v>2</v>
      </c>
      <c r="F268" s="32">
        <v>2</v>
      </c>
      <c r="G268" s="32">
        <v>46</v>
      </c>
      <c r="H268" s="32">
        <v>22</v>
      </c>
      <c r="I268" s="33" t="s">
        <v>1343</v>
      </c>
      <c r="J268" s="33" t="s">
        <v>910</v>
      </c>
      <c r="K268" s="36">
        <v>270</v>
      </c>
      <c r="L268" s="36">
        <v>53</v>
      </c>
      <c r="M268" s="36">
        <v>40.799999999999997</v>
      </c>
    </row>
    <row r="269" spans="2:13" x14ac:dyDescent="0.25">
      <c r="B269" s="49" t="s">
        <v>4010</v>
      </c>
      <c r="C269" s="34">
        <v>35</v>
      </c>
      <c r="D269" s="34">
        <v>35</v>
      </c>
      <c r="E269" s="34">
        <v>2</v>
      </c>
      <c r="F269" s="34">
        <v>2</v>
      </c>
      <c r="G269" s="34">
        <v>39</v>
      </c>
      <c r="H269" s="34">
        <v>17.5</v>
      </c>
      <c r="I269" s="35" t="s">
        <v>1343</v>
      </c>
      <c r="J269" s="35" t="s">
        <v>910</v>
      </c>
      <c r="K269" s="37">
        <v>255</v>
      </c>
      <c r="L269" s="37">
        <v>53</v>
      </c>
      <c r="M269" s="37">
        <v>34.5</v>
      </c>
    </row>
    <row r="270" spans="2:13" x14ac:dyDescent="0.25">
      <c r="B270" s="48" t="s">
        <v>4009</v>
      </c>
      <c r="C270" s="32">
        <v>35</v>
      </c>
      <c r="D270" s="32">
        <v>35</v>
      </c>
      <c r="E270" s="32">
        <v>2</v>
      </c>
      <c r="F270" s="32">
        <v>2</v>
      </c>
      <c r="G270" s="32">
        <v>39</v>
      </c>
      <c r="H270" s="32">
        <v>17.399999999999999</v>
      </c>
      <c r="I270" s="33" t="s">
        <v>1343</v>
      </c>
      <c r="J270" s="33" t="s">
        <v>910</v>
      </c>
      <c r="K270" s="36">
        <v>252</v>
      </c>
      <c r="L270" s="36">
        <v>53</v>
      </c>
      <c r="M270" s="36">
        <v>35.700000000000003</v>
      </c>
    </row>
    <row r="271" spans="2:13" x14ac:dyDescent="0.25">
      <c r="B271" s="49" t="s">
        <v>4006</v>
      </c>
      <c r="C271" s="34">
        <v>35</v>
      </c>
      <c r="D271" s="34">
        <v>35</v>
      </c>
      <c r="E271" s="34">
        <v>2</v>
      </c>
      <c r="F271" s="34">
        <v>2</v>
      </c>
      <c r="G271" s="34">
        <v>39</v>
      </c>
      <c r="H271" s="34">
        <v>17.399999999999999</v>
      </c>
      <c r="I271" s="35" t="s">
        <v>1343</v>
      </c>
      <c r="J271" s="35" t="s">
        <v>910</v>
      </c>
      <c r="K271" s="37">
        <v>252</v>
      </c>
      <c r="L271" s="37">
        <v>53</v>
      </c>
      <c r="M271" s="37">
        <v>35.700000000000003</v>
      </c>
    </row>
    <row r="272" spans="2:13" x14ac:dyDescent="0.25">
      <c r="B272" s="48" t="s">
        <v>4005</v>
      </c>
      <c r="C272" s="32">
        <v>50</v>
      </c>
      <c r="D272" s="32">
        <v>50</v>
      </c>
      <c r="E272" s="32">
        <v>2</v>
      </c>
      <c r="F272" s="32">
        <v>2</v>
      </c>
      <c r="G272" s="32">
        <v>39</v>
      </c>
      <c r="H272" s="32">
        <v>11.5</v>
      </c>
      <c r="I272" s="33" t="s">
        <v>1343</v>
      </c>
      <c r="J272" s="33" t="s">
        <v>910</v>
      </c>
      <c r="K272" s="36">
        <v>335</v>
      </c>
      <c r="L272" s="36">
        <v>53</v>
      </c>
      <c r="M272" s="36">
        <v>43.5</v>
      </c>
    </row>
    <row r="273" spans="2:13" x14ac:dyDescent="0.25">
      <c r="B273" s="49" t="s">
        <v>4004</v>
      </c>
      <c r="C273" s="34">
        <v>100</v>
      </c>
      <c r="D273" s="34">
        <v>100</v>
      </c>
      <c r="E273" s="34">
        <v>2</v>
      </c>
      <c r="F273" s="34">
        <v>2</v>
      </c>
      <c r="G273" s="34">
        <v>0</v>
      </c>
      <c r="H273" s="34">
        <v>0</v>
      </c>
      <c r="I273" s="35" t="s">
        <v>1513</v>
      </c>
      <c r="J273" s="35" t="s">
        <v>910</v>
      </c>
      <c r="K273" s="37">
        <v>910</v>
      </c>
      <c r="L273" s="37">
        <v>91</v>
      </c>
      <c r="M273" s="37">
        <v>102</v>
      </c>
    </row>
    <row r="274" spans="2:13" x14ac:dyDescent="0.25">
      <c r="B274" s="48" t="s">
        <v>2908</v>
      </c>
      <c r="C274" s="32">
        <v>23</v>
      </c>
      <c r="D274" s="32">
        <v>23</v>
      </c>
      <c r="E274" s="32">
        <v>2</v>
      </c>
      <c r="F274" s="32">
        <v>2</v>
      </c>
      <c r="G274" s="32">
        <v>52</v>
      </c>
      <c r="H274" s="32">
        <v>12.6</v>
      </c>
      <c r="I274" s="33" t="s">
        <v>1526</v>
      </c>
      <c r="J274" s="33" t="s">
        <v>900</v>
      </c>
      <c r="K274" s="36">
        <v>154</v>
      </c>
      <c r="L274" s="36">
        <v>63</v>
      </c>
      <c r="M274" s="36">
        <v>37</v>
      </c>
    </row>
    <row r="275" spans="2:13" x14ac:dyDescent="0.25">
      <c r="B275" s="49" t="s">
        <v>4003</v>
      </c>
      <c r="C275" s="34">
        <v>21</v>
      </c>
      <c r="D275" s="34">
        <v>21</v>
      </c>
      <c r="E275" s="34">
        <v>1.4</v>
      </c>
      <c r="F275" s="34">
        <v>1.4</v>
      </c>
      <c r="G275" s="34">
        <v>0</v>
      </c>
      <c r="H275" s="34">
        <v>29.41</v>
      </c>
      <c r="I275" s="35" t="s">
        <v>1343</v>
      </c>
      <c r="J275" s="35" t="s">
        <v>910</v>
      </c>
      <c r="K275" s="37">
        <v>580</v>
      </c>
      <c r="L275" s="37">
        <v>69.5</v>
      </c>
      <c r="M275" s="37">
        <v>66</v>
      </c>
    </row>
    <row r="276" spans="2:13" x14ac:dyDescent="0.25">
      <c r="B276" s="48" t="s">
        <v>4002</v>
      </c>
      <c r="C276" s="32">
        <v>24</v>
      </c>
      <c r="D276" s="32">
        <v>24</v>
      </c>
      <c r="E276" s="32">
        <v>1.4</v>
      </c>
      <c r="F276" s="32">
        <v>1.4</v>
      </c>
      <c r="G276" s="32">
        <v>0</v>
      </c>
      <c r="H276" s="32">
        <v>25</v>
      </c>
      <c r="I276" s="33" t="s">
        <v>1343</v>
      </c>
      <c r="J276" s="33" t="s">
        <v>910</v>
      </c>
      <c r="K276" s="36">
        <v>500</v>
      </c>
      <c r="L276" s="36">
        <v>61</v>
      </c>
      <c r="M276" s="36">
        <v>58.5</v>
      </c>
    </row>
    <row r="277" spans="2:13" x14ac:dyDescent="0.25">
      <c r="B277" s="49" t="s">
        <v>1003</v>
      </c>
      <c r="C277" s="34">
        <v>28</v>
      </c>
      <c r="D277" s="34">
        <v>28</v>
      </c>
      <c r="E277" s="34">
        <v>1.4</v>
      </c>
      <c r="F277" s="34">
        <v>1.4</v>
      </c>
      <c r="G277" s="34">
        <v>49</v>
      </c>
      <c r="H277" s="34">
        <v>21.9</v>
      </c>
      <c r="I277" s="35" t="s">
        <v>1343</v>
      </c>
      <c r="J277" s="35" t="s">
        <v>910</v>
      </c>
      <c r="K277" s="37">
        <v>440</v>
      </c>
      <c r="L277" s="37">
        <v>61</v>
      </c>
      <c r="M277" s="37">
        <v>67</v>
      </c>
    </row>
    <row r="278" spans="2:13" x14ac:dyDescent="0.25">
      <c r="B278" s="48" t="s">
        <v>4001</v>
      </c>
      <c r="C278" s="32">
        <v>35</v>
      </c>
      <c r="D278" s="32">
        <v>35</v>
      </c>
      <c r="E278" s="32">
        <v>1.4</v>
      </c>
      <c r="F278" s="32">
        <v>1.4</v>
      </c>
      <c r="G278" s="32">
        <v>46</v>
      </c>
      <c r="H278" s="32">
        <v>17.399999999999999</v>
      </c>
      <c r="I278" s="33" t="s">
        <v>1343</v>
      </c>
      <c r="J278" s="33" t="s">
        <v>910</v>
      </c>
      <c r="K278" s="36">
        <v>250</v>
      </c>
      <c r="L278" s="36">
        <v>53</v>
      </c>
      <c r="M278" s="36">
        <v>46.2</v>
      </c>
    </row>
    <row r="279" spans="2:13" x14ac:dyDescent="0.25">
      <c r="B279" s="49" t="s">
        <v>4000</v>
      </c>
      <c r="C279" s="34">
        <v>35</v>
      </c>
      <c r="D279" s="34">
        <v>35</v>
      </c>
      <c r="E279" s="34">
        <v>1.4</v>
      </c>
      <c r="F279" s="34">
        <v>1.4</v>
      </c>
      <c r="G279" s="34">
        <v>46</v>
      </c>
      <c r="H279" s="34">
        <v>17.399999999999999</v>
      </c>
      <c r="I279" s="35" t="s">
        <v>1343</v>
      </c>
      <c r="J279" s="35" t="s">
        <v>910</v>
      </c>
      <c r="K279" s="37">
        <v>320</v>
      </c>
      <c r="L279" s="37">
        <v>56</v>
      </c>
      <c r="M279" s="37">
        <v>46</v>
      </c>
    </row>
    <row r="280" spans="2:13" x14ac:dyDescent="0.25">
      <c r="B280" s="48" t="s">
        <v>3999</v>
      </c>
      <c r="C280" s="32">
        <v>50</v>
      </c>
      <c r="D280" s="32">
        <v>50</v>
      </c>
      <c r="E280" s="32">
        <v>1.4</v>
      </c>
      <c r="F280" s="32">
        <v>1.4</v>
      </c>
      <c r="G280" s="32">
        <v>46</v>
      </c>
      <c r="H280" s="32">
        <v>11.3</v>
      </c>
      <c r="I280" s="33" t="s">
        <v>1343</v>
      </c>
      <c r="J280" s="33" t="s">
        <v>910</v>
      </c>
      <c r="K280" s="36">
        <v>335</v>
      </c>
      <c r="L280" s="36">
        <v>53.5</v>
      </c>
      <c r="M280" s="36">
        <v>52.5</v>
      </c>
    </row>
    <row r="281" spans="2:13" x14ac:dyDescent="0.25">
      <c r="B281" s="49" t="s">
        <v>3998</v>
      </c>
      <c r="C281" s="34">
        <v>50</v>
      </c>
      <c r="D281" s="34">
        <v>50</v>
      </c>
      <c r="E281" s="34">
        <v>1.4</v>
      </c>
      <c r="F281" s="34">
        <v>1.4</v>
      </c>
      <c r="G281" s="34">
        <v>46</v>
      </c>
      <c r="H281" s="34">
        <v>11.3</v>
      </c>
      <c r="I281" s="35" t="s">
        <v>1343</v>
      </c>
      <c r="J281" s="35" t="s">
        <v>910</v>
      </c>
      <c r="K281" s="37">
        <v>335</v>
      </c>
      <c r="L281" s="37">
        <v>53.5</v>
      </c>
      <c r="M281" s="37">
        <v>52.5</v>
      </c>
    </row>
    <row r="282" spans="2:13" x14ac:dyDescent="0.25">
      <c r="B282" s="48" t="s">
        <v>2907</v>
      </c>
      <c r="C282" s="32">
        <v>50</v>
      </c>
      <c r="D282" s="32">
        <v>50</v>
      </c>
      <c r="E282" s="32">
        <v>1.4</v>
      </c>
      <c r="F282" s="32">
        <v>1.4</v>
      </c>
      <c r="G282" s="32">
        <v>82</v>
      </c>
      <c r="H282" s="32">
        <v>10</v>
      </c>
      <c r="I282" s="33" t="s">
        <v>1417</v>
      </c>
      <c r="J282" s="33" t="s">
        <v>910</v>
      </c>
      <c r="K282" s="36">
        <v>1070</v>
      </c>
      <c r="L282" s="36">
        <v>88</v>
      </c>
      <c r="M282" s="36">
        <v>124</v>
      </c>
    </row>
    <row r="283" spans="2:13" x14ac:dyDescent="0.25">
      <c r="B283" s="49" t="s">
        <v>3997</v>
      </c>
      <c r="C283" s="34">
        <v>35</v>
      </c>
      <c r="D283" s="34">
        <v>35</v>
      </c>
      <c r="E283" s="34">
        <v>1.4</v>
      </c>
      <c r="F283" s="34">
        <v>1.4</v>
      </c>
      <c r="G283" s="34">
        <v>60</v>
      </c>
      <c r="H283" s="34">
        <v>9.4</v>
      </c>
      <c r="I283" s="35" t="s">
        <v>1417</v>
      </c>
      <c r="J283" s="35" t="s">
        <v>910</v>
      </c>
      <c r="K283" s="37">
        <v>428</v>
      </c>
      <c r="L283" s="37">
        <v>70</v>
      </c>
      <c r="M283" s="37">
        <v>77</v>
      </c>
    </row>
    <row r="284" spans="2:13" x14ac:dyDescent="0.25">
      <c r="B284" s="48" t="s">
        <v>3996</v>
      </c>
      <c r="C284" s="32">
        <v>35</v>
      </c>
      <c r="D284" s="32">
        <v>35</v>
      </c>
      <c r="E284" s="32">
        <v>1.4</v>
      </c>
      <c r="F284" s="32">
        <v>1.4</v>
      </c>
      <c r="G284" s="32">
        <v>60</v>
      </c>
      <c r="H284" s="32">
        <v>9.4</v>
      </c>
      <c r="I284" s="33" t="s">
        <v>1417</v>
      </c>
      <c r="J284" s="33" t="s">
        <v>910</v>
      </c>
      <c r="K284" s="36">
        <v>428</v>
      </c>
      <c r="L284" s="36">
        <v>70</v>
      </c>
      <c r="M284" s="36">
        <v>77</v>
      </c>
    </row>
    <row r="285" spans="2:13" x14ac:dyDescent="0.25">
      <c r="B285" s="49" t="s">
        <v>3160</v>
      </c>
      <c r="C285" s="34">
        <v>18</v>
      </c>
      <c r="D285" s="34">
        <v>18</v>
      </c>
      <c r="E285" s="34">
        <v>3.8</v>
      </c>
      <c r="F285" s="34">
        <v>3.8</v>
      </c>
      <c r="G285" s="34">
        <v>77</v>
      </c>
      <c r="H285" s="34">
        <v>34.6</v>
      </c>
      <c r="I285" s="35" t="s">
        <v>1343</v>
      </c>
      <c r="J285" s="35" t="s">
        <v>910</v>
      </c>
      <c r="K285" s="37">
        <v>310</v>
      </c>
      <c r="L285" s="37">
        <v>61</v>
      </c>
      <c r="M285" s="37">
        <v>58</v>
      </c>
    </row>
    <row r="286" spans="2:13" x14ac:dyDescent="0.25">
      <c r="B286" s="48" t="s">
        <v>3159</v>
      </c>
      <c r="C286" s="32">
        <v>21</v>
      </c>
      <c r="D286" s="32">
        <v>21</v>
      </c>
      <c r="E286" s="32">
        <v>3.4</v>
      </c>
      <c r="F286" s="32">
        <v>3.4</v>
      </c>
      <c r="G286" s="32">
        <v>46</v>
      </c>
      <c r="H286" s="32">
        <v>29.8</v>
      </c>
      <c r="I286" s="33" t="s">
        <v>1343</v>
      </c>
      <c r="J286" s="33" t="s">
        <v>910</v>
      </c>
      <c r="K286" s="36">
        <v>279</v>
      </c>
      <c r="L286" s="36">
        <v>53</v>
      </c>
      <c r="M286" s="36">
        <v>43</v>
      </c>
    </row>
    <row r="287" spans="2:13" x14ac:dyDescent="0.25">
      <c r="B287" s="49" t="s">
        <v>3158</v>
      </c>
      <c r="C287" s="34">
        <v>24</v>
      </c>
      <c r="D287" s="34">
        <v>24</v>
      </c>
      <c r="E287" s="34">
        <v>3.5</v>
      </c>
      <c r="F287" s="34">
        <v>3.5</v>
      </c>
      <c r="G287" s="34">
        <v>95</v>
      </c>
      <c r="H287" s="34">
        <v>11.3</v>
      </c>
      <c r="I287" s="35" t="s">
        <v>1513</v>
      </c>
      <c r="J287" s="35" t="s">
        <v>910</v>
      </c>
      <c r="K287" s="37">
        <v>1110</v>
      </c>
      <c r="L287" s="37">
        <v>101</v>
      </c>
      <c r="M287" s="37">
        <v>112</v>
      </c>
    </row>
    <row r="288" spans="2:13" x14ac:dyDescent="0.25">
      <c r="B288" s="48" t="s">
        <v>3156</v>
      </c>
      <c r="C288" s="32">
        <v>11</v>
      </c>
      <c r="D288" s="32">
        <v>23</v>
      </c>
      <c r="E288" s="32">
        <v>3.5</v>
      </c>
      <c r="F288" s="32">
        <v>3.5</v>
      </c>
      <c r="G288" s="32">
        <v>67</v>
      </c>
      <c r="H288" s="32">
        <v>9.6999999999999993</v>
      </c>
      <c r="I288" s="33" t="s">
        <v>1526</v>
      </c>
      <c r="J288" s="33" t="s">
        <v>900</v>
      </c>
      <c r="K288" s="36">
        <v>386</v>
      </c>
      <c r="L288" s="36">
        <v>73</v>
      </c>
      <c r="M288" s="36">
        <v>77</v>
      </c>
    </row>
    <row r="289" spans="2:13" x14ac:dyDescent="0.25">
      <c r="B289" s="49" t="s">
        <v>2905</v>
      </c>
      <c r="C289" s="34">
        <v>90</v>
      </c>
      <c r="D289" s="34">
        <v>90</v>
      </c>
      <c r="E289" s="34">
        <v>2.2000000000000002</v>
      </c>
      <c r="F289" s="34">
        <v>2.2000000000000002</v>
      </c>
      <c r="G289" s="34">
        <v>49</v>
      </c>
      <c r="H289" s="34">
        <v>9</v>
      </c>
      <c r="I289" s="35" t="s">
        <v>1343</v>
      </c>
      <c r="J289" s="35" t="s">
        <v>910</v>
      </c>
      <c r="K289" s="37">
        <v>500</v>
      </c>
      <c r="L289" s="37">
        <v>57</v>
      </c>
      <c r="M289" s="37">
        <v>90</v>
      </c>
    </row>
    <row r="290" spans="2:13" x14ac:dyDescent="0.25">
      <c r="B290" s="48" t="s">
        <v>3155</v>
      </c>
      <c r="C290" s="32">
        <v>16</v>
      </c>
      <c r="D290" s="32">
        <v>21</v>
      </c>
      <c r="E290" s="32">
        <v>4</v>
      </c>
      <c r="F290" s="32">
        <v>4</v>
      </c>
      <c r="G290" s="32">
        <v>67</v>
      </c>
      <c r="H290" s="32">
        <v>30</v>
      </c>
      <c r="I290" s="33" t="s">
        <v>1343</v>
      </c>
      <c r="J290" s="33" t="s">
        <v>910</v>
      </c>
      <c r="K290" s="36">
        <v>335</v>
      </c>
      <c r="L290" s="36">
        <v>54</v>
      </c>
      <c r="M290" s="36">
        <v>66</v>
      </c>
    </row>
    <row r="291" spans="2:13" x14ac:dyDescent="0.25">
      <c r="B291" s="49" t="s">
        <v>3154</v>
      </c>
      <c r="C291" s="34">
        <v>120</v>
      </c>
      <c r="D291" s="34">
        <v>120</v>
      </c>
      <c r="E291" s="34">
        <v>5.6</v>
      </c>
      <c r="F291" s="34">
        <v>5.6</v>
      </c>
      <c r="G291" s="34">
        <v>95</v>
      </c>
      <c r="H291" s="34">
        <v>5.3</v>
      </c>
      <c r="I291" s="35" t="s">
        <v>1513</v>
      </c>
      <c r="J291" s="35" t="s">
        <v>910</v>
      </c>
      <c r="K291" s="37">
        <v>1110</v>
      </c>
      <c r="L291" s="37">
        <v>108</v>
      </c>
      <c r="M291" s="37">
        <v>144</v>
      </c>
    </row>
    <row r="292" spans="2:13" x14ac:dyDescent="0.25">
      <c r="B292" s="48" t="s">
        <v>3148</v>
      </c>
      <c r="C292" s="32">
        <v>24</v>
      </c>
      <c r="D292" s="32">
        <v>90</v>
      </c>
      <c r="E292" s="32">
        <v>2.8</v>
      </c>
      <c r="F292" s="32">
        <v>2.8</v>
      </c>
      <c r="G292" s="32">
        <v>82</v>
      </c>
      <c r="H292" s="32">
        <v>0</v>
      </c>
      <c r="I292" s="33" t="s">
        <v>1417</v>
      </c>
      <c r="J292" s="33" t="s">
        <v>910</v>
      </c>
      <c r="K292" s="36">
        <v>1140</v>
      </c>
      <c r="L292" s="36">
        <v>88</v>
      </c>
      <c r="M292" s="36">
        <v>138</v>
      </c>
    </row>
    <row r="293" spans="2:13" x14ac:dyDescent="0.25">
      <c r="B293" s="49" t="s">
        <v>3151</v>
      </c>
      <c r="C293" s="34">
        <v>30</v>
      </c>
      <c r="D293" s="34">
        <v>90</v>
      </c>
      <c r="E293" s="34">
        <v>3.5</v>
      </c>
      <c r="F293" s="34">
        <v>3.5</v>
      </c>
      <c r="G293" s="34">
        <v>95</v>
      </c>
      <c r="H293" s="34">
        <v>6.5</v>
      </c>
      <c r="I293" s="35" t="s">
        <v>1513</v>
      </c>
      <c r="J293" s="35" t="s">
        <v>910</v>
      </c>
      <c r="K293" s="37">
        <v>1270</v>
      </c>
      <c r="L293" s="37">
        <v>101</v>
      </c>
      <c r="M293" s="37">
        <v>114</v>
      </c>
    </row>
    <row r="294" spans="2:13" x14ac:dyDescent="0.25">
      <c r="B294" s="48" t="s">
        <v>2903</v>
      </c>
      <c r="C294" s="32">
        <v>18</v>
      </c>
      <c r="D294" s="32">
        <v>56</v>
      </c>
      <c r="E294" s="32">
        <v>3.5</v>
      </c>
      <c r="F294" s="32">
        <v>3.5</v>
      </c>
      <c r="G294" s="32">
        <v>52</v>
      </c>
      <c r="H294" s="32">
        <v>7.5</v>
      </c>
      <c r="I294" s="33" t="s">
        <v>1526</v>
      </c>
      <c r="J294" s="33" t="s">
        <v>900</v>
      </c>
      <c r="K294" s="36">
        <v>256</v>
      </c>
      <c r="L294" s="36">
        <v>63</v>
      </c>
      <c r="M294" s="36">
        <v>60</v>
      </c>
    </row>
    <row r="295" spans="2:13" x14ac:dyDescent="0.25">
      <c r="B295" s="49" t="s">
        <v>3147</v>
      </c>
      <c r="C295" s="34">
        <v>28</v>
      </c>
      <c r="D295" s="34">
        <v>28</v>
      </c>
      <c r="E295" s="34">
        <v>3.5</v>
      </c>
      <c r="F295" s="34">
        <v>3.5</v>
      </c>
      <c r="G295" s="34">
        <v>46</v>
      </c>
      <c r="H295" s="34">
        <v>0</v>
      </c>
      <c r="I295" s="35" t="s">
        <v>1286</v>
      </c>
      <c r="J295" s="35" t="s">
        <v>910</v>
      </c>
      <c r="K295" s="37">
        <v>139</v>
      </c>
      <c r="L295" s="37">
        <v>69.900000000000006</v>
      </c>
      <c r="M295" s="37">
        <v>50.8</v>
      </c>
    </row>
    <row r="296" spans="2:13" x14ac:dyDescent="0.25">
      <c r="B296" s="48" t="s">
        <v>3146</v>
      </c>
      <c r="C296" s="32">
        <v>28</v>
      </c>
      <c r="D296" s="32">
        <v>28</v>
      </c>
      <c r="E296" s="32">
        <v>3.5</v>
      </c>
      <c r="F296" s="32">
        <v>3.5</v>
      </c>
      <c r="G296" s="32">
        <v>46</v>
      </c>
      <c r="H296" s="32">
        <v>0</v>
      </c>
      <c r="I296" s="33" t="s">
        <v>1227</v>
      </c>
      <c r="J296" s="33" t="s">
        <v>910</v>
      </c>
      <c r="K296" s="36">
        <v>139</v>
      </c>
      <c r="L296" s="36">
        <v>69.900000000000006</v>
      </c>
      <c r="M296" s="36">
        <v>50.8</v>
      </c>
    </row>
    <row r="297" spans="2:13" x14ac:dyDescent="0.25">
      <c r="B297" s="49" t="s">
        <v>3145</v>
      </c>
      <c r="C297" s="34">
        <v>28</v>
      </c>
      <c r="D297" s="34">
        <v>28</v>
      </c>
      <c r="E297" s="34">
        <v>3.5</v>
      </c>
      <c r="F297" s="34">
        <v>3.5</v>
      </c>
      <c r="G297" s="34">
        <v>46</v>
      </c>
      <c r="H297" s="34">
        <v>0</v>
      </c>
      <c r="I297" s="35" t="s">
        <v>1221</v>
      </c>
      <c r="J297" s="35" t="s">
        <v>910</v>
      </c>
      <c r="K297" s="37">
        <v>139</v>
      </c>
      <c r="L297" s="37">
        <v>69.900000000000006</v>
      </c>
      <c r="M297" s="37">
        <v>50.8</v>
      </c>
    </row>
    <row r="298" spans="2:13" x14ac:dyDescent="0.25">
      <c r="B298" s="48" t="s">
        <v>3144</v>
      </c>
      <c r="C298" s="32">
        <v>60</v>
      </c>
      <c r="D298" s="32">
        <v>60</v>
      </c>
      <c r="E298" s="32">
        <v>2.5</v>
      </c>
      <c r="F298" s="32">
        <v>2.5</v>
      </c>
      <c r="G298" s="32">
        <v>46</v>
      </c>
      <c r="H298" s="32">
        <v>0</v>
      </c>
      <c r="I298" s="33" t="s">
        <v>1229</v>
      </c>
      <c r="J298" s="33" t="s">
        <v>910</v>
      </c>
      <c r="K298" s="36">
        <v>200</v>
      </c>
      <c r="L298" s="36">
        <v>0</v>
      </c>
      <c r="M298" s="36">
        <v>0</v>
      </c>
    </row>
    <row r="299" spans="2:13" x14ac:dyDescent="0.25">
      <c r="B299" s="49" t="s">
        <v>3143</v>
      </c>
      <c r="C299" s="34">
        <v>60</v>
      </c>
      <c r="D299" s="34">
        <v>60</v>
      </c>
      <c r="E299" s="34">
        <v>2.5</v>
      </c>
      <c r="F299" s="34">
        <v>2.5</v>
      </c>
      <c r="G299" s="34">
        <v>46</v>
      </c>
      <c r="H299" s="34">
        <v>0</v>
      </c>
      <c r="I299" s="35" t="s">
        <v>8</v>
      </c>
      <c r="J299" s="35" t="s">
        <v>910</v>
      </c>
      <c r="K299" s="37">
        <v>200</v>
      </c>
      <c r="L299" s="37">
        <v>0</v>
      </c>
      <c r="M299" s="37">
        <v>0</v>
      </c>
    </row>
    <row r="300" spans="2:13" x14ac:dyDescent="0.25">
      <c r="B300" s="48" t="s">
        <v>3142</v>
      </c>
      <c r="C300" s="32">
        <v>60</v>
      </c>
      <c r="D300" s="32">
        <v>60</v>
      </c>
      <c r="E300" s="32">
        <v>2.5</v>
      </c>
      <c r="F300" s="32">
        <v>2.5</v>
      </c>
      <c r="G300" s="32">
        <v>46</v>
      </c>
      <c r="H300" s="32">
        <v>0</v>
      </c>
      <c r="I300" s="33" t="s">
        <v>1221</v>
      </c>
      <c r="J300" s="33" t="s">
        <v>910</v>
      </c>
      <c r="K300" s="36">
        <v>200</v>
      </c>
      <c r="L300" s="36">
        <v>0</v>
      </c>
      <c r="M300" s="36">
        <v>0</v>
      </c>
    </row>
    <row r="301" spans="2:13" x14ac:dyDescent="0.25">
      <c r="B301" s="49" t="s">
        <v>2808</v>
      </c>
      <c r="C301" s="34">
        <v>56</v>
      </c>
      <c r="D301" s="34">
        <v>56</v>
      </c>
      <c r="E301" s="34">
        <v>1.6</v>
      </c>
      <c r="F301" s="34">
        <v>1.6</v>
      </c>
      <c r="G301" s="34">
        <v>62</v>
      </c>
      <c r="H301" s="34">
        <v>2</v>
      </c>
      <c r="I301" s="35" t="s">
        <v>1229</v>
      </c>
      <c r="J301" s="35" t="s">
        <v>910</v>
      </c>
      <c r="K301" s="37">
        <v>400</v>
      </c>
      <c r="L301" s="37">
        <v>72</v>
      </c>
      <c r="M301" s="37">
        <v>85</v>
      </c>
    </row>
    <row r="302" spans="2:13" x14ac:dyDescent="0.25">
      <c r="B302" s="48" t="s">
        <v>3141</v>
      </c>
      <c r="C302" s="32">
        <v>56</v>
      </c>
      <c r="D302" s="32">
        <v>56</v>
      </c>
      <c r="E302" s="32">
        <v>1.6</v>
      </c>
      <c r="F302" s="32">
        <v>1.6</v>
      </c>
      <c r="G302" s="32">
        <v>62</v>
      </c>
      <c r="H302" s="32">
        <v>2</v>
      </c>
      <c r="I302" s="33" t="s">
        <v>1229</v>
      </c>
      <c r="J302" s="33" t="s">
        <v>910</v>
      </c>
      <c r="K302" s="36">
        <v>400</v>
      </c>
      <c r="L302" s="36">
        <v>72</v>
      </c>
      <c r="M302" s="36">
        <v>85</v>
      </c>
    </row>
    <row r="303" spans="2:13" x14ac:dyDescent="0.25">
      <c r="B303" s="49" t="s">
        <v>3140</v>
      </c>
      <c r="C303" s="34">
        <v>56</v>
      </c>
      <c r="D303" s="34">
        <v>56</v>
      </c>
      <c r="E303" s="34">
        <v>1.6</v>
      </c>
      <c r="F303" s="34">
        <v>1.6</v>
      </c>
      <c r="G303" s="34">
        <v>62</v>
      </c>
      <c r="H303" s="34">
        <v>2</v>
      </c>
      <c r="I303" s="35" t="s">
        <v>1286</v>
      </c>
      <c r="J303" s="35" t="s">
        <v>910</v>
      </c>
      <c r="K303" s="37">
        <v>400</v>
      </c>
      <c r="L303" s="37">
        <v>72</v>
      </c>
      <c r="M303" s="37">
        <v>85</v>
      </c>
    </row>
    <row r="304" spans="2:13" x14ac:dyDescent="0.25">
      <c r="B304" s="48" t="s">
        <v>3995</v>
      </c>
      <c r="C304" s="32">
        <v>56</v>
      </c>
      <c r="D304" s="32">
        <v>56</v>
      </c>
      <c r="E304" s="32">
        <v>1.6</v>
      </c>
      <c r="F304" s="32">
        <v>1.6</v>
      </c>
      <c r="G304" s="32">
        <v>62</v>
      </c>
      <c r="H304" s="32">
        <v>2</v>
      </c>
      <c r="I304" s="33" t="s">
        <v>8</v>
      </c>
      <c r="J304" s="33" t="s">
        <v>910</v>
      </c>
      <c r="K304" s="36">
        <v>400</v>
      </c>
      <c r="L304" s="36">
        <v>72</v>
      </c>
      <c r="M304" s="36">
        <v>85</v>
      </c>
    </row>
    <row r="305" spans="2:13" x14ac:dyDescent="0.25">
      <c r="B305" s="49" t="s">
        <v>3994</v>
      </c>
      <c r="C305" s="34">
        <v>56</v>
      </c>
      <c r="D305" s="34">
        <v>56</v>
      </c>
      <c r="E305" s="34">
        <v>1.6</v>
      </c>
      <c r="F305" s="34">
        <v>1.6</v>
      </c>
      <c r="G305" s="34">
        <v>62</v>
      </c>
      <c r="H305" s="34">
        <v>2</v>
      </c>
      <c r="I305" s="35" t="s">
        <v>8</v>
      </c>
      <c r="J305" s="35" t="s">
        <v>910</v>
      </c>
      <c r="K305" s="37">
        <v>400</v>
      </c>
      <c r="L305" s="37">
        <v>72</v>
      </c>
      <c r="M305" s="37">
        <v>85</v>
      </c>
    </row>
    <row r="306" spans="2:13" x14ac:dyDescent="0.25">
      <c r="B306" s="48" t="s">
        <v>3993</v>
      </c>
      <c r="C306" s="32">
        <v>56</v>
      </c>
      <c r="D306" s="32">
        <v>56</v>
      </c>
      <c r="E306" s="32">
        <v>1.6</v>
      </c>
      <c r="F306" s="32">
        <v>1.6</v>
      </c>
      <c r="G306" s="32">
        <v>62</v>
      </c>
      <c r="H306" s="32">
        <v>2</v>
      </c>
      <c r="I306" s="33" t="s">
        <v>1331</v>
      </c>
      <c r="J306" s="33" t="s">
        <v>910</v>
      </c>
      <c r="K306" s="36">
        <v>400</v>
      </c>
      <c r="L306" s="36">
        <v>72</v>
      </c>
      <c r="M306" s="36">
        <v>85</v>
      </c>
    </row>
    <row r="307" spans="2:13" x14ac:dyDescent="0.25">
      <c r="B307" s="49" t="s">
        <v>3992</v>
      </c>
      <c r="C307" s="34">
        <v>56</v>
      </c>
      <c r="D307" s="34">
        <v>56</v>
      </c>
      <c r="E307" s="34">
        <v>1.6</v>
      </c>
      <c r="F307" s="34">
        <v>1.6</v>
      </c>
      <c r="G307" s="34">
        <v>62</v>
      </c>
      <c r="H307" s="34">
        <v>2</v>
      </c>
      <c r="I307" s="35" t="s">
        <v>1333</v>
      </c>
      <c r="J307" s="35" t="s">
        <v>910</v>
      </c>
      <c r="K307" s="37">
        <v>400</v>
      </c>
      <c r="L307" s="37">
        <v>72</v>
      </c>
      <c r="M307" s="37">
        <v>85</v>
      </c>
    </row>
    <row r="308" spans="2:13" x14ac:dyDescent="0.25">
      <c r="B308" s="48" t="s">
        <v>3991</v>
      </c>
      <c r="C308" s="32">
        <v>56</v>
      </c>
      <c r="D308" s="32">
        <v>56</v>
      </c>
      <c r="E308" s="32">
        <v>1.6</v>
      </c>
      <c r="F308" s="32">
        <v>1.6</v>
      </c>
      <c r="G308" s="32">
        <v>62</v>
      </c>
      <c r="H308" s="32">
        <v>2</v>
      </c>
      <c r="I308" s="33" t="s">
        <v>1293</v>
      </c>
      <c r="J308" s="33" t="s">
        <v>910</v>
      </c>
      <c r="K308" s="36">
        <v>400</v>
      </c>
      <c r="L308" s="36">
        <v>72</v>
      </c>
      <c r="M308" s="36">
        <v>85</v>
      </c>
    </row>
    <row r="309" spans="2:13" x14ac:dyDescent="0.25">
      <c r="B309" s="49" t="s">
        <v>3990</v>
      </c>
      <c r="C309" s="34">
        <v>85</v>
      </c>
      <c r="D309" s="34">
        <v>85</v>
      </c>
      <c r="E309" s="34">
        <v>1.8</v>
      </c>
      <c r="F309" s="34">
        <v>1.8</v>
      </c>
      <c r="G309" s="34">
        <v>68</v>
      </c>
      <c r="H309" s="34">
        <v>2</v>
      </c>
      <c r="I309" s="35" t="s">
        <v>1229</v>
      </c>
      <c r="J309" s="35" t="s">
        <v>910</v>
      </c>
      <c r="K309" s="37">
        <v>530</v>
      </c>
      <c r="L309" s="37">
        <v>76</v>
      </c>
      <c r="M309" s="37">
        <v>89</v>
      </c>
    </row>
    <row r="310" spans="2:13" x14ac:dyDescent="0.25">
      <c r="B310" s="48" t="s">
        <v>3989</v>
      </c>
      <c r="C310" s="32">
        <v>85</v>
      </c>
      <c r="D310" s="32">
        <v>85</v>
      </c>
      <c r="E310" s="32">
        <v>1.8</v>
      </c>
      <c r="F310" s="32">
        <v>1.8</v>
      </c>
      <c r="G310" s="32">
        <v>68</v>
      </c>
      <c r="H310" s="32">
        <v>2</v>
      </c>
      <c r="I310" s="33" t="s">
        <v>1286</v>
      </c>
      <c r="J310" s="33" t="s">
        <v>910</v>
      </c>
      <c r="K310" s="36">
        <v>530</v>
      </c>
      <c r="L310" s="36">
        <v>76</v>
      </c>
      <c r="M310" s="36">
        <v>89</v>
      </c>
    </row>
    <row r="311" spans="2:13" x14ac:dyDescent="0.25">
      <c r="B311" s="49" t="s">
        <v>3988</v>
      </c>
      <c r="C311" s="34">
        <v>85</v>
      </c>
      <c r="D311" s="34">
        <v>85</v>
      </c>
      <c r="E311" s="34">
        <v>1.8</v>
      </c>
      <c r="F311" s="34">
        <v>1.8</v>
      </c>
      <c r="G311" s="34">
        <v>68</v>
      </c>
      <c r="H311" s="34">
        <v>2</v>
      </c>
      <c r="I311" s="35" t="s">
        <v>1227</v>
      </c>
      <c r="J311" s="35" t="s">
        <v>910</v>
      </c>
      <c r="K311" s="37">
        <v>530</v>
      </c>
      <c r="L311" s="37">
        <v>76</v>
      </c>
      <c r="M311" s="37">
        <v>89</v>
      </c>
    </row>
    <row r="312" spans="2:13" x14ac:dyDescent="0.25">
      <c r="B312" s="48" t="s">
        <v>3987</v>
      </c>
      <c r="C312" s="32">
        <v>85</v>
      </c>
      <c r="D312" s="32">
        <v>85</v>
      </c>
      <c r="E312" s="32">
        <v>1.8</v>
      </c>
      <c r="F312" s="32">
        <v>1.8</v>
      </c>
      <c r="G312" s="32">
        <v>68</v>
      </c>
      <c r="H312" s="32">
        <v>2</v>
      </c>
      <c r="I312" s="33" t="s">
        <v>8</v>
      </c>
      <c r="J312" s="33" t="s">
        <v>910</v>
      </c>
      <c r="K312" s="36">
        <v>530</v>
      </c>
      <c r="L312" s="36">
        <v>76</v>
      </c>
      <c r="M312" s="36">
        <v>89</v>
      </c>
    </row>
    <row r="313" spans="2:13" x14ac:dyDescent="0.25">
      <c r="B313" s="49" t="s">
        <v>3986</v>
      </c>
      <c r="C313" s="34">
        <v>85</v>
      </c>
      <c r="D313" s="34">
        <v>85</v>
      </c>
      <c r="E313" s="34">
        <v>1.8</v>
      </c>
      <c r="F313" s="34">
        <v>1.8</v>
      </c>
      <c r="G313" s="34">
        <v>68</v>
      </c>
      <c r="H313" s="34">
        <v>2</v>
      </c>
      <c r="I313" s="35" t="s">
        <v>1331</v>
      </c>
      <c r="J313" s="35" t="s">
        <v>910</v>
      </c>
      <c r="K313" s="37">
        <v>530</v>
      </c>
      <c r="L313" s="37">
        <v>76</v>
      </c>
      <c r="M313" s="37">
        <v>89</v>
      </c>
    </row>
    <row r="314" spans="2:13" x14ac:dyDescent="0.25">
      <c r="B314" s="48" t="s">
        <v>3985</v>
      </c>
      <c r="C314" s="32">
        <v>85</v>
      </c>
      <c r="D314" s="32">
        <v>85</v>
      </c>
      <c r="E314" s="32">
        <v>1.8</v>
      </c>
      <c r="F314" s="32">
        <v>1.8</v>
      </c>
      <c r="G314" s="32">
        <v>68</v>
      </c>
      <c r="H314" s="32">
        <v>2</v>
      </c>
      <c r="I314" s="33" t="s">
        <v>1333</v>
      </c>
      <c r="J314" s="33" t="s">
        <v>910</v>
      </c>
      <c r="K314" s="36">
        <v>530</v>
      </c>
      <c r="L314" s="36">
        <v>76</v>
      </c>
      <c r="M314" s="36">
        <v>89</v>
      </c>
    </row>
    <row r="315" spans="2:13" x14ac:dyDescent="0.25">
      <c r="B315" s="49" t="s">
        <v>3984</v>
      </c>
      <c r="C315" s="34">
        <v>85</v>
      </c>
      <c r="D315" s="34">
        <v>85</v>
      </c>
      <c r="E315" s="34">
        <v>1.8</v>
      </c>
      <c r="F315" s="34">
        <v>1.8</v>
      </c>
      <c r="G315" s="34">
        <v>68</v>
      </c>
      <c r="H315" s="34">
        <v>2</v>
      </c>
      <c r="I315" s="35" t="s">
        <v>1293</v>
      </c>
      <c r="J315" s="35" t="s">
        <v>910</v>
      </c>
      <c r="K315" s="37">
        <v>530</v>
      </c>
      <c r="L315" s="37">
        <v>76</v>
      </c>
      <c r="M315" s="37">
        <v>89</v>
      </c>
    </row>
    <row r="316" spans="2:13" x14ac:dyDescent="0.25">
      <c r="B316" s="48" t="s">
        <v>3983</v>
      </c>
      <c r="C316" s="32">
        <v>85</v>
      </c>
      <c r="D316" s="32">
        <v>85</v>
      </c>
      <c r="E316" s="32">
        <v>1.8</v>
      </c>
      <c r="F316" s="32">
        <v>1.8</v>
      </c>
      <c r="G316" s="32">
        <v>68</v>
      </c>
      <c r="H316" s="32">
        <v>2</v>
      </c>
      <c r="I316" s="33" t="s">
        <v>1221</v>
      </c>
      <c r="J316" s="33" t="s">
        <v>910</v>
      </c>
      <c r="K316" s="36">
        <v>530</v>
      </c>
      <c r="L316" s="36">
        <v>76</v>
      </c>
      <c r="M316" s="36">
        <v>89</v>
      </c>
    </row>
    <row r="317" spans="2:13" x14ac:dyDescent="0.25">
      <c r="B317" s="49" t="s">
        <v>3982</v>
      </c>
      <c r="C317" s="34">
        <v>58</v>
      </c>
      <c r="D317" s="34">
        <v>58</v>
      </c>
      <c r="E317" s="34">
        <v>1.9</v>
      </c>
      <c r="F317" s="34">
        <v>1.9</v>
      </c>
      <c r="G317" s="34">
        <v>0</v>
      </c>
      <c r="H317" s="34">
        <v>0</v>
      </c>
      <c r="I317" s="35" t="s">
        <v>1229</v>
      </c>
      <c r="J317" s="35" t="s">
        <v>910</v>
      </c>
      <c r="K317" s="37">
        <v>0</v>
      </c>
      <c r="L317" s="37">
        <v>0</v>
      </c>
      <c r="M317" s="37">
        <v>0</v>
      </c>
    </row>
    <row r="318" spans="2:13" x14ac:dyDescent="0.25">
      <c r="B318" s="48" t="s">
        <v>3176</v>
      </c>
      <c r="C318" s="32">
        <v>58</v>
      </c>
      <c r="D318" s="32">
        <v>58</v>
      </c>
      <c r="E318" s="32">
        <v>1.9</v>
      </c>
      <c r="F318" s="32">
        <v>1.9</v>
      </c>
      <c r="G318" s="32">
        <v>0</v>
      </c>
      <c r="H318" s="32">
        <v>0</v>
      </c>
      <c r="I318" s="33" t="s">
        <v>8</v>
      </c>
      <c r="J318" s="33" t="s">
        <v>910</v>
      </c>
      <c r="K318" s="36">
        <v>0</v>
      </c>
      <c r="L318" s="36">
        <v>0</v>
      </c>
      <c r="M318" s="36">
        <v>0</v>
      </c>
    </row>
    <row r="319" spans="2:13" x14ac:dyDescent="0.25">
      <c r="B319" s="49" t="s">
        <v>3173</v>
      </c>
      <c r="C319" s="34">
        <v>12</v>
      </c>
      <c r="D319" s="34">
        <v>12</v>
      </c>
      <c r="E319" s="34">
        <v>2.8</v>
      </c>
      <c r="F319" s="34">
        <v>2.8</v>
      </c>
      <c r="G319" s="34">
        <v>72</v>
      </c>
      <c r="H319" s="34">
        <v>8.1300000000000008</v>
      </c>
      <c r="I319" s="35" t="s">
        <v>1286</v>
      </c>
      <c r="J319" s="35" t="s">
        <v>900</v>
      </c>
      <c r="K319" s="37">
        <v>360</v>
      </c>
      <c r="L319" s="37">
        <v>78</v>
      </c>
      <c r="M319" s="37">
        <v>65.8</v>
      </c>
    </row>
    <row r="320" spans="2:13" x14ac:dyDescent="0.25">
      <c r="B320" s="48" t="s">
        <v>3172</v>
      </c>
      <c r="C320" s="32">
        <v>25</v>
      </c>
      <c r="D320" s="32">
        <v>25</v>
      </c>
      <c r="E320" s="32">
        <v>0.95</v>
      </c>
      <c r="F320" s="32">
        <v>0.95</v>
      </c>
      <c r="G320" s="32">
        <v>55</v>
      </c>
      <c r="H320" s="32">
        <v>7.41</v>
      </c>
      <c r="I320" s="33" t="s">
        <v>1314</v>
      </c>
      <c r="J320" s="33" t="s">
        <v>900</v>
      </c>
      <c r="K320" s="36">
        <v>540</v>
      </c>
      <c r="L320" s="36">
        <v>64</v>
      </c>
      <c r="M320" s="36">
        <v>101</v>
      </c>
    </row>
    <row r="321" spans="2:13" x14ac:dyDescent="0.25">
      <c r="B321" s="49" t="s">
        <v>2901</v>
      </c>
      <c r="C321" s="34">
        <v>25</v>
      </c>
      <c r="D321" s="34">
        <v>25</v>
      </c>
      <c r="E321" s="34">
        <v>0.95</v>
      </c>
      <c r="F321" s="34">
        <v>0.95</v>
      </c>
      <c r="G321" s="34">
        <v>55</v>
      </c>
      <c r="H321" s="34">
        <v>7.41</v>
      </c>
      <c r="I321" s="35" t="s">
        <v>1221</v>
      </c>
      <c r="J321" s="35" t="s">
        <v>900</v>
      </c>
      <c r="K321" s="37">
        <v>540</v>
      </c>
      <c r="L321" s="37">
        <v>64</v>
      </c>
      <c r="M321" s="37">
        <v>101</v>
      </c>
    </row>
    <row r="322" spans="2:13" x14ac:dyDescent="0.25">
      <c r="B322" s="48" t="s">
        <v>2900</v>
      </c>
      <c r="C322" s="32">
        <v>28</v>
      </c>
      <c r="D322" s="32">
        <v>28</v>
      </c>
      <c r="E322" s="32">
        <v>2.8</v>
      </c>
      <c r="F322" s="32">
        <v>2.8</v>
      </c>
      <c r="G322" s="32">
        <v>49</v>
      </c>
      <c r="H322" s="32">
        <v>9.09</v>
      </c>
      <c r="I322" s="33" t="s">
        <v>1298</v>
      </c>
      <c r="J322" s="33" t="s">
        <v>900</v>
      </c>
      <c r="K322" s="36">
        <v>102</v>
      </c>
      <c r="L322" s="36">
        <v>60.4</v>
      </c>
      <c r="M322" s="36">
        <v>29</v>
      </c>
    </row>
    <row r="323" spans="2:13" x14ac:dyDescent="0.25">
      <c r="B323" s="49" t="s">
        <v>3171</v>
      </c>
      <c r="C323" s="34">
        <v>28</v>
      </c>
      <c r="D323" s="34">
        <v>28</v>
      </c>
      <c r="E323" s="34">
        <v>2.8</v>
      </c>
      <c r="F323" s="34">
        <v>2.8</v>
      </c>
      <c r="G323" s="34">
        <v>49</v>
      </c>
      <c r="H323" s="34">
        <v>9.09</v>
      </c>
      <c r="I323" s="35" t="s">
        <v>1286</v>
      </c>
      <c r="J323" s="35" t="s">
        <v>900</v>
      </c>
      <c r="K323" s="37">
        <v>102</v>
      </c>
      <c r="L323" s="37">
        <v>60.4</v>
      </c>
      <c r="M323" s="37">
        <v>29</v>
      </c>
    </row>
    <row r="324" spans="2:13" x14ac:dyDescent="0.25">
      <c r="B324" s="48" t="s">
        <v>2899</v>
      </c>
      <c r="C324" s="32">
        <v>28</v>
      </c>
      <c r="D324" s="32">
        <v>28</v>
      </c>
      <c r="E324" s="32">
        <v>2.8</v>
      </c>
      <c r="F324" s="32">
        <v>2.8</v>
      </c>
      <c r="G324" s="32">
        <v>49</v>
      </c>
      <c r="H324" s="32">
        <v>9.09</v>
      </c>
      <c r="I324" s="33" t="s">
        <v>1227</v>
      </c>
      <c r="J324" s="33" t="s">
        <v>900</v>
      </c>
      <c r="K324" s="36">
        <v>102</v>
      </c>
      <c r="L324" s="36">
        <v>60.4</v>
      </c>
      <c r="M324" s="36">
        <v>29</v>
      </c>
    </row>
    <row r="325" spans="2:13" x14ac:dyDescent="0.25">
      <c r="B325" s="49" t="s">
        <v>2736</v>
      </c>
      <c r="C325" s="34">
        <v>28</v>
      </c>
      <c r="D325" s="34">
        <v>28</v>
      </c>
      <c r="E325" s="34">
        <v>2.8</v>
      </c>
      <c r="F325" s="34">
        <v>2.8</v>
      </c>
      <c r="G325" s="34">
        <v>49</v>
      </c>
      <c r="H325" s="34">
        <v>9.09</v>
      </c>
      <c r="I325" s="35" t="s">
        <v>1221</v>
      </c>
      <c r="J325" s="35" t="s">
        <v>900</v>
      </c>
      <c r="K325" s="37">
        <v>102</v>
      </c>
      <c r="L325" s="37">
        <v>60.4</v>
      </c>
      <c r="M325" s="37">
        <v>29</v>
      </c>
    </row>
    <row r="326" spans="2:13" x14ac:dyDescent="0.25">
      <c r="B326" s="48" t="s">
        <v>2735</v>
      </c>
      <c r="C326" s="32">
        <v>35</v>
      </c>
      <c r="D326" s="32">
        <v>35</v>
      </c>
      <c r="E326" s="32">
        <v>1.7</v>
      </c>
      <c r="F326" s="32">
        <v>1.7</v>
      </c>
      <c r="G326" s="32">
        <v>49</v>
      </c>
      <c r="H326" s="32">
        <v>8.85</v>
      </c>
      <c r="I326" s="33" t="s">
        <v>1298</v>
      </c>
      <c r="J326" s="33" t="s">
        <v>900</v>
      </c>
      <c r="K326" s="36">
        <v>176</v>
      </c>
      <c r="L326" s="36">
        <v>60.5</v>
      </c>
      <c r="M326" s="36">
        <v>41</v>
      </c>
    </row>
    <row r="327" spans="2:13" x14ac:dyDescent="0.25">
      <c r="B327" s="49" t="s">
        <v>4196</v>
      </c>
      <c r="C327" s="34">
        <v>35</v>
      </c>
      <c r="D327" s="34">
        <v>35</v>
      </c>
      <c r="E327" s="34">
        <v>1.7</v>
      </c>
      <c r="F327" s="34">
        <v>1.7</v>
      </c>
      <c r="G327" s="34">
        <v>49</v>
      </c>
      <c r="H327" s="34">
        <v>8.85</v>
      </c>
      <c r="I327" s="35" t="s">
        <v>1286</v>
      </c>
      <c r="J327" s="35" t="s">
        <v>900</v>
      </c>
      <c r="K327" s="37">
        <v>176</v>
      </c>
      <c r="L327" s="37">
        <v>60.5</v>
      </c>
      <c r="M327" s="37">
        <v>41</v>
      </c>
    </row>
    <row r="328" spans="2:13" x14ac:dyDescent="0.25">
      <c r="B328" s="48" t="s">
        <v>4195</v>
      </c>
      <c r="C328" s="32">
        <v>35</v>
      </c>
      <c r="D328" s="32">
        <v>35</v>
      </c>
      <c r="E328" s="32">
        <v>1.7</v>
      </c>
      <c r="F328" s="32">
        <v>1.7</v>
      </c>
      <c r="G328" s="32">
        <v>49</v>
      </c>
      <c r="H328" s="32">
        <v>8.85</v>
      </c>
      <c r="I328" s="33" t="s">
        <v>1227</v>
      </c>
      <c r="J328" s="33" t="s">
        <v>900</v>
      </c>
      <c r="K328" s="36">
        <v>176</v>
      </c>
      <c r="L328" s="36">
        <v>60.5</v>
      </c>
      <c r="M328" s="36">
        <v>41</v>
      </c>
    </row>
    <row r="329" spans="2:13" x14ac:dyDescent="0.25">
      <c r="B329" s="49" t="s">
        <v>2734</v>
      </c>
      <c r="C329" s="34">
        <v>35</v>
      </c>
      <c r="D329" s="34">
        <v>35</v>
      </c>
      <c r="E329" s="34">
        <v>1.7</v>
      </c>
      <c r="F329" s="34">
        <v>1.7</v>
      </c>
      <c r="G329" s="34">
        <v>49</v>
      </c>
      <c r="H329" s="34">
        <v>8.85</v>
      </c>
      <c r="I329" s="35" t="s">
        <v>1314</v>
      </c>
      <c r="J329" s="35" t="s">
        <v>900</v>
      </c>
      <c r="K329" s="37">
        <v>176</v>
      </c>
      <c r="L329" s="37">
        <v>60.5</v>
      </c>
      <c r="M329" s="37">
        <v>41</v>
      </c>
    </row>
    <row r="330" spans="2:13" x14ac:dyDescent="0.25">
      <c r="B330" s="48" t="s">
        <v>2806</v>
      </c>
      <c r="C330" s="32">
        <v>35</v>
      </c>
      <c r="D330" s="32">
        <v>35</v>
      </c>
      <c r="E330" s="32">
        <v>1.7</v>
      </c>
      <c r="F330" s="32">
        <v>1.7</v>
      </c>
      <c r="G330" s="32">
        <v>49</v>
      </c>
      <c r="H330" s="32">
        <v>8.85</v>
      </c>
      <c r="I330" s="33" t="s">
        <v>1221</v>
      </c>
      <c r="J330" s="33" t="s">
        <v>900</v>
      </c>
      <c r="K330" s="36">
        <v>176</v>
      </c>
      <c r="L330" s="36">
        <v>60.5</v>
      </c>
      <c r="M330" s="36">
        <v>41</v>
      </c>
    </row>
    <row r="331" spans="2:13" x14ac:dyDescent="0.25">
      <c r="B331" s="49" t="s">
        <v>4194</v>
      </c>
      <c r="C331" s="34">
        <v>50</v>
      </c>
      <c r="D331" s="34">
        <v>50</v>
      </c>
      <c r="E331" s="34">
        <v>2</v>
      </c>
      <c r="F331" s="34">
        <v>2</v>
      </c>
      <c r="G331" s="34">
        <v>49</v>
      </c>
      <c r="H331" s="34">
        <v>12.5</v>
      </c>
      <c r="I331" s="35" t="s">
        <v>1298</v>
      </c>
      <c r="J331" s="35" t="s">
        <v>900</v>
      </c>
      <c r="K331" s="37">
        <v>188</v>
      </c>
      <c r="L331" s="37">
        <v>60.5</v>
      </c>
      <c r="M331" s="37">
        <v>41</v>
      </c>
    </row>
    <row r="332" spans="2:13" x14ac:dyDescent="0.25">
      <c r="B332" s="48" t="s">
        <v>3170</v>
      </c>
      <c r="C332" s="32">
        <v>50</v>
      </c>
      <c r="D332" s="32">
        <v>50</v>
      </c>
      <c r="E332" s="32">
        <v>2</v>
      </c>
      <c r="F332" s="32">
        <v>2</v>
      </c>
      <c r="G332" s="32">
        <v>49</v>
      </c>
      <c r="H332" s="32">
        <v>12.5</v>
      </c>
      <c r="I332" s="33" t="s">
        <v>1286</v>
      </c>
      <c r="J332" s="33" t="s">
        <v>900</v>
      </c>
      <c r="K332" s="36">
        <v>188</v>
      </c>
      <c r="L332" s="36">
        <v>60.5</v>
      </c>
      <c r="M332" s="36">
        <v>41</v>
      </c>
    </row>
    <row r="333" spans="2:13" x14ac:dyDescent="0.25">
      <c r="B333" s="49" t="s">
        <v>4193</v>
      </c>
      <c r="C333" s="34">
        <v>50</v>
      </c>
      <c r="D333" s="34">
        <v>50</v>
      </c>
      <c r="E333" s="34">
        <v>2</v>
      </c>
      <c r="F333" s="34">
        <v>2</v>
      </c>
      <c r="G333" s="34">
        <v>49</v>
      </c>
      <c r="H333" s="34">
        <v>12.5</v>
      </c>
      <c r="I333" s="35" t="s">
        <v>1227</v>
      </c>
      <c r="J333" s="35" t="s">
        <v>900</v>
      </c>
      <c r="K333" s="37">
        <v>188</v>
      </c>
      <c r="L333" s="37">
        <v>60.5</v>
      </c>
      <c r="M333" s="37">
        <v>41</v>
      </c>
    </row>
    <row r="334" spans="2:13" x14ac:dyDescent="0.25">
      <c r="B334" s="48" t="s">
        <v>3169</v>
      </c>
      <c r="C334" s="32">
        <v>50</v>
      </c>
      <c r="D334" s="32">
        <v>50</v>
      </c>
      <c r="E334" s="32">
        <v>2</v>
      </c>
      <c r="F334" s="32">
        <v>2</v>
      </c>
      <c r="G334" s="32">
        <v>49</v>
      </c>
      <c r="H334" s="32">
        <v>12.5</v>
      </c>
      <c r="I334" s="33" t="s">
        <v>1221</v>
      </c>
      <c r="J334" s="33" t="s">
        <v>900</v>
      </c>
      <c r="K334" s="36">
        <v>188</v>
      </c>
      <c r="L334" s="36">
        <v>60.5</v>
      </c>
      <c r="M334" s="36">
        <v>41</v>
      </c>
    </row>
    <row r="335" spans="2:13" x14ac:dyDescent="0.25">
      <c r="B335" s="49" t="s">
        <v>3175</v>
      </c>
      <c r="C335" s="34">
        <v>6.5</v>
      </c>
      <c r="D335" s="34">
        <v>6.5</v>
      </c>
      <c r="E335" s="34">
        <v>2</v>
      </c>
      <c r="F335" s="34">
        <v>2</v>
      </c>
      <c r="G335" s="34">
        <v>0</v>
      </c>
      <c r="H335" s="34">
        <v>0</v>
      </c>
      <c r="I335" s="35" t="s">
        <v>1286</v>
      </c>
      <c r="J335" s="35" t="s">
        <v>900</v>
      </c>
      <c r="K335" s="37">
        <v>300</v>
      </c>
      <c r="L335" s="37">
        <v>61</v>
      </c>
      <c r="M335" s="37">
        <v>51.5</v>
      </c>
    </row>
    <row r="336" spans="2:13" x14ac:dyDescent="0.25">
      <c r="B336" s="48" t="s">
        <v>2738</v>
      </c>
      <c r="C336" s="32">
        <v>6.5</v>
      </c>
      <c r="D336" s="32">
        <v>6.5</v>
      </c>
      <c r="E336" s="32">
        <v>2</v>
      </c>
      <c r="F336" s="32">
        <v>2</v>
      </c>
      <c r="G336" s="32">
        <v>0</v>
      </c>
      <c r="H336" s="32">
        <v>0</v>
      </c>
      <c r="I336" s="33" t="s">
        <v>1227</v>
      </c>
      <c r="J336" s="33" t="s">
        <v>900</v>
      </c>
      <c r="K336" s="36">
        <v>300</v>
      </c>
      <c r="L336" s="36">
        <v>61</v>
      </c>
      <c r="M336" s="36">
        <v>51.5</v>
      </c>
    </row>
    <row r="337" spans="2:13" x14ac:dyDescent="0.25">
      <c r="B337" s="49" t="s">
        <v>2902</v>
      </c>
      <c r="C337" s="34">
        <v>6.5</v>
      </c>
      <c r="D337" s="34">
        <v>6.5</v>
      </c>
      <c r="E337" s="34">
        <v>2</v>
      </c>
      <c r="F337" s="34">
        <v>2</v>
      </c>
      <c r="G337" s="34">
        <v>0</v>
      </c>
      <c r="H337" s="34">
        <v>0</v>
      </c>
      <c r="I337" s="35" t="s">
        <v>1221</v>
      </c>
      <c r="J337" s="35" t="s">
        <v>900</v>
      </c>
      <c r="K337" s="37">
        <v>300</v>
      </c>
      <c r="L337" s="37">
        <v>61</v>
      </c>
      <c r="M337" s="37">
        <v>51.5</v>
      </c>
    </row>
    <row r="338" spans="2:13" x14ac:dyDescent="0.25">
      <c r="B338" s="48" t="s">
        <v>2807</v>
      </c>
      <c r="C338" s="32">
        <v>8</v>
      </c>
      <c r="D338" s="32">
        <v>8</v>
      </c>
      <c r="E338" s="32">
        <v>3.5</v>
      </c>
      <c r="F338" s="32">
        <v>3.5</v>
      </c>
      <c r="G338" s="32">
        <v>0</v>
      </c>
      <c r="H338" s="32">
        <v>0</v>
      </c>
      <c r="I338" s="33" t="s">
        <v>1229</v>
      </c>
      <c r="J338" s="33" t="s">
        <v>910</v>
      </c>
      <c r="K338" s="36">
        <v>519</v>
      </c>
      <c r="L338" s="36">
        <v>77</v>
      </c>
      <c r="M338" s="36">
        <v>84</v>
      </c>
    </row>
    <row r="339" spans="2:13" x14ac:dyDescent="0.25">
      <c r="B339" s="49" t="s">
        <v>2737</v>
      </c>
      <c r="C339" s="34">
        <v>8</v>
      </c>
      <c r="D339" s="34">
        <v>8</v>
      </c>
      <c r="E339" s="34">
        <v>3.5</v>
      </c>
      <c r="F339" s="34">
        <v>3.5</v>
      </c>
      <c r="G339" s="34">
        <v>0</v>
      </c>
      <c r="H339" s="34">
        <v>0</v>
      </c>
      <c r="I339" s="35" t="s">
        <v>1227</v>
      </c>
      <c r="J339" s="35" t="s">
        <v>900</v>
      </c>
      <c r="K339" s="37">
        <v>569</v>
      </c>
      <c r="L339" s="37">
        <v>77</v>
      </c>
      <c r="M339" s="37">
        <v>109</v>
      </c>
    </row>
    <row r="340" spans="2:13" x14ac:dyDescent="0.25">
      <c r="B340" s="48" t="s">
        <v>3174</v>
      </c>
      <c r="C340" s="32">
        <v>8</v>
      </c>
      <c r="D340" s="32">
        <v>8</v>
      </c>
      <c r="E340" s="32">
        <v>3.5</v>
      </c>
      <c r="F340" s="32">
        <v>3.5</v>
      </c>
      <c r="G340" s="32">
        <v>0</v>
      </c>
      <c r="H340" s="32">
        <v>0</v>
      </c>
      <c r="I340" s="33" t="s">
        <v>8</v>
      </c>
      <c r="J340" s="33" t="s">
        <v>910</v>
      </c>
      <c r="K340" s="36">
        <v>519</v>
      </c>
      <c r="L340" s="36">
        <v>77</v>
      </c>
      <c r="M340" s="36">
        <v>84</v>
      </c>
    </row>
    <row r="341" spans="2:13" x14ac:dyDescent="0.25">
      <c r="B341" s="49" t="s">
        <v>3168</v>
      </c>
      <c r="C341" s="34">
        <v>35</v>
      </c>
      <c r="D341" s="34">
        <v>35</v>
      </c>
      <c r="E341" s="34">
        <v>2</v>
      </c>
      <c r="F341" s="34">
        <v>2</v>
      </c>
      <c r="G341" s="34">
        <v>55</v>
      </c>
      <c r="H341" s="34">
        <v>0</v>
      </c>
      <c r="I341" s="35" t="s">
        <v>1229</v>
      </c>
      <c r="J341" s="35" t="s">
        <v>910</v>
      </c>
      <c r="K341" s="37">
        <v>370</v>
      </c>
      <c r="L341" s="37">
        <v>0</v>
      </c>
      <c r="M341" s="37">
        <v>0</v>
      </c>
    </row>
    <row r="342" spans="2:13" x14ac:dyDescent="0.25">
      <c r="B342" s="48" t="s">
        <v>3167</v>
      </c>
      <c r="C342" s="32">
        <v>35</v>
      </c>
      <c r="D342" s="32">
        <v>35</v>
      </c>
      <c r="E342" s="32">
        <v>2</v>
      </c>
      <c r="F342" s="32">
        <v>2</v>
      </c>
      <c r="G342" s="32">
        <v>55</v>
      </c>
      <c r="H342" s="32">
        <v>0</v>
      </c>
      <c r="I342" s="33" t="s">
        <v>8</v>
      </c>
      <c r="J342" s="33" t="s">
        <v>910</v>
      </c>
      <c r="K342" s="36">
        <v>370</v>
      </c>
      <c r="L342" s="36">
        <v>0</v>
      </c>
      <c r="M342" s="36">
        <v>0</v>
      </c>
    </row>
    <row r="343" spans="2:13" x14ac:dyDescent="0.25">
      <c r="B343" s="49" t="s">
        <v>3166</v>
      </c>
      <c r="C343" s="34">
        <v>85</v>
      </c>
      <c r="D343" s="34">
        <v>85</v>
      </c>
      <c r="E343" s="34">
        <v>2</v>
      </c>
      <c r="F343" s="34">
        <v>2</v>
      </c>
      <c r="G343" s="34">
        <v>55</v>
      </c>
      <c r="H343" s="34">
        <v>0</v>
      </c>
      <c r="I343" s="35" t="s">
        <v>1229</v>
      </c>
      <c r="J343" s="35" t="s">
        <v>910</v>
      </c>
      <c r="K343" s="37">
        <v>425</v>
      </c>
      <c r="L343" s="37">
        <v>0</v>
      </c>
      <c r="M343" s="37">
        <v>0</v>
      </c>
    </row>
    <row r="344" spans="2:13" x14ac:dyDescent="0.25">
      <c r="B344" s="48" t="s">
        <v>3165</v>
      </c>
      <c r="C344" s="32">
        <v>85</v>
      </c>
      <c r="D344" s="32">
        <v>85</v>
      </c>
      <c r="E344" s="32">
        <v>2</v>
      </c>
      <c r="F344" s="32">
        <v>2</v>
      </c>
      <c r="G344" s="32">
        <v>55</v>
      </c>
      <c r="H344" s="32">
        <v>0</v>
      </c>
      <c r="I344" s="33" t="s">
        <v>8</v>
      </c>
      <c r="J344" s="33" t="s">
        <v>910</v>
      </c>
      <c r="K344" s="36">
        <v>425</v>
      </c>
      <c r="L344" s="36">
        <v>0</v>
      </c>
      <c r="M344" s="36">
        <v>0</v>
      </c>
    </row>
    <row r="345" spans="2:13" x14ac:dyDescent="0.25">
      <c r="B345" s="49" t="s">
        <v>3164</v>
      </c>
      <c r="C345" s="34">
        <v>35</v>
      </c>
      <c r="D345" s="34">
        <v>35</v>
      </c>
      <c r="E345" s="34">
        <v>0.95</v>
      </c>
      <c r="F345" s="34">
        <v>0.95</v>
      </c>
      <c r="G345" s="34">
        <v>0</v>
      </c>
      <c r="H345" s="34">
        <v>0</v>
      </c>
      <c r="I345" s="35" t="s">
        <v>1286</v>
      </c>
      <c r="J345" s="35" t="s">
        <v>900</v>
      </c>
      <c r="K345" s="37">
        <v>680</v>
      </c>
      <c r="L345" s="37">
        <v>0</v>
      </c>
      <c r="M345" s="37">
        <v>0</v>
      </c>
    </row>
    <row r="346" spans="2:13" x14ac:dyDescent="0.25">
      <c r="B346" s="48" t="s">
        <v>4192</v>
      </c>
      <c r="C346" s="32">
        <v>35</v>
      </c>
      <c r="D346" s="32">
        <v>35</v>
      </c>
      <c r="E346" s="32">
        <v>0.95</v>
      </c>
      <c r="F346" s="32">
        <v>0.95</v>
      </c>
      <c r="G346" s="32">
        <v>0</v>
      </c>
      <c r="H346" s="32">
        <v>0</v>
      </c>
      <c r="I346" s="33" t="s">
        <v>1227</v>
      </c>
      <c r="J346" s="33" t="s">
        <v>900</v>
      </c>
      <c r="K346" s="36">
        <v>680</v>
      </c>
      <c r="L346" s="36">
        <v>0</v>
      </c>
      <c r="M346" s="36">
        <v>0</v>
      </c>
    </row>
    <row r="347" spans="2:13" x14ac:dyDescent="0.25">
      <c r="B347" s="49" t="s">
        <v>4191</v>
      </c>
      <c r="C347" s="34">
        <v>35</v>
      </c>
      <c r="D347" s="34">
        <v>35</v>
      </c>
      <c r="E347" s="34">
        <v>0.95</v>
      </c>
      <c r="F347" s="34">
        <v>0.95</v>
      </c>
      <c r="G347" s="34">
        <v>0</v>
      </c>
      <c r="H347" s="34">
        <v>0</v>
      </c>
      <c r="I347" s="35" t="s">
        <v>1221</v>
      </c>
      <c r="J347" s="35" t="s">
        <v>900</v>
      </c>
      <c r="K347" s="37">
        <v>680</v>
      </c>
      <c r="L347" s="37">
        <v>0</v>
      </c>
      <c r="M347" s="37">
        <v>0</v>
      </c>
    </row>
    <row r="348" spans="2:13" x14ac:dyDescent="0.25">
      <c r="B348" s="48" t="s">
        <v>3163</v>
      </c>
      <c r="C348" s="32">
        <v>50</v>
      </c>
      <c r="D348" s="32">
        <v>50</v>
      </c>
      <c r="E348" s="32">
        <v>0.95</v>
      </c>
      <c r="F348" s="32">
        <v>0.95</v>
      </c>
      <c r="G348" s="32">
        <v>0</v>
      </c>
      <c r="H348" s="32">
        <v>0</v>
      </c>
      <c r="I348" s="33" t="s">
        <v>1221</v>
      </c>
      <c r="J348" s="33" t="s">
        <v>910</v>
      </c>
      <c r="K348" s="36">
        <v>720</v>
      </c>
      <c r="L348" s="36">
        <v>0</v>
      </c>
      <c r="M348" s="36">
        <v>0</v>
      </c>
    </row>
    <row r="349" spans="2:13" x14ac:dyDescent="0.25">
      <c r="B349" s="49" t="s">
        <v>2805</v>
      </c>
      <c r="C349" s="34">
        <v>50</v>
      </c>
      <c r="D349" s="34">
        <v>50</v>
      </c>
      <c r="E349" s="34">
        <v>0.95</v>
      </c>
      <c r="F349" s="34">
        <v>0.95</v>
      </c>
      <c r="G349" s="34">
        <v>67</v>
      </c>
      <c r="H349" s="34">
        <v>0</v>
      </c>
      <c r="I349" s="35" t="s">
        <v>1221</v>
      </c>
      <c r="J349" s="35" t="s">
        <v>910</v>
      </c>
      <c r="K349" s="37">
        <v>680</v>
      </c>
      <c r="L349" s="37">
        <v>0</v>
      </c>
      <c r="M349" s="37">
        <v>0</v>
      </c>
    </row>
    <row r="350" spans="2:13" x14ac:dyDescent="0.25">
      <c r="B350" s="48" t="s">
        <v>3162</v>
      </c>
      <c r="C350" s="32">
        <v>58</v>
      </c>
      <c r="D350" s="32">
        <v>58</v>
      </c>
      <c r="E350" s="32">
        <v>1.9</v>
      </c>
      <c r="F350" s="32">
        <v>1.9</v>
      </c>
      <c r="G350" s="32">
        <v>37</v>
      </c>
      <c r="H350" s="32">
        <v>0</v>
      </c>
      <c r="I350" s="33" t="s">
        <v>1229</v>
      </c>
      <c r="J350" s="33" t="s">
        <v>910</v>
      </c>
      <c r="K350" s="36">
        <v>200</v>
      </c>
      <c r="L350" s="36">
        <v>0</v>
      </c>
      <c r="M350" s="36">
        <v>0</v>
      </c>
    </row>
    <row r="351" spans="2:13" x14ac:dyDescent="0.25">
      <c r="B351" s="49" t="s">
        <v>3161</v>
      </c>
      <c r="C351" s="34">
        <v>58</v>
      </c>
      <c r="D351" s="34">
        <v>58</v>
      </c>
      <c r="E351" s="34">
        <v>1.9</v>
      </c>
      <c r="F351" s="34">
        <v>1.9</v>
      </c>
      <c r="G351" s="34">
        <v>37</v>
      </c>
      <c r="H351" s="34">
        <v>0</v>
      </c>
      <c r="I351" s="35" t="s">
        <v>1286</v>
      </c>
      <c r="J351" s="35" t="s">
        <v>910</v>
      </c>
      <c r="K351" s="37">
        <v>200</v>
      </c>
      <c r="L351" s="37">
        <v>0</v>
      </c>
      <c r="M351" s="37">
        <v>0</v>
      </c>
    </row>
    <row r="352" spans="2:13" x14ac:dyDescent="0.25">
      <c r="B352" s="48" t="s">
        <v>3981</v>
      </c>
      <c r="C352" s="32">
        <v>58</v>
      </c>
      <c r="D352" s="32">
        <v>58</v>
      </c>
      <c r="E352" s="32">
        <v>1.9</v>
      </c>
      <c r="F352" s="32">
        <v>1.9</v>
      </c>
      <c r="G352" s="32">
        <v>37</v>
      </c>
      <c r="H352" s="32">
        <v>0</v>
      </c>
      <c r="I352" s="33" t="s">
        <v>1417</v>
      </c>
      <c r="J352" s="33" t="s">
        <v>910</v>
      </c>
      <c r="K352" s="36">
        <v>200</v>
      </c>
      <c r="L352" s="36">
        <v>0</v>
      </c>
      <c r="M352" s="36">
        <v>0</v>
      </c>
    </row>
    <row r="353" spans="2:13" x14ac:dyDescent="0.25">
      <c r="B353" s="49" t="s">
        <v>3980</v>
      </c>
      <c r="C353" s="34">
        <v>58</v>
      </c>
      <c r="D353" s="34">
        <v>58</v>
      </c>
      <c r="E353" s="34">
        <v>1.9</v>
      </c>
      <c r="F353" s="34">
        <v>1.9</v>
      </c>
      <c r="G353" s="34">
        <v>37</v>
      </c>
      <c r="H353" s="34">
        <v>0</v>
      </c>
      <c r="I353" s="35" t="s">
        <v>1343</v>
      </c>
      <c r="J353" s="35" t="s">
        <v>910</v>
      </c>
      <c r="K353" s="37">
        <v>200</v>
      </c>
      <c r="L353" s="37">
        <v>0</v>
      </c>
      <c r="M353" s="37">
        <v>0</v>
      </c>
    </row>
    <row r="354" spans="2:13" x14ac:dyDescent="0.25">
      <c r="B354" s="48" t="s">
        <v>3979</v>
      </c>
      <c r="C354" s="32">
        <v>58</v>
      </c>
      <c r="D354" s="32">
        <v>58</v>
      </c>
      <c r="E354" s="32">
        <v>1.9</v>
      </c>
      <c r="F354" s="32">
        <v>1.9</v>
      </c>
      <c r="G354" s="32">
        <v>37</v>
      </c>
      <c r="H354" s="32">
        <v>0</v>
      </c>
      <c r="I354" s="33" t="s">
        <v>1611</v>
      </c>
      <c r="J354" s="33" t="s">
        <v>910</v>
      </c>
      <c r="K354" s="36">
        <v>200</v>
      </c>
      <c r="L354" s="36">
        <v>0</v>
      </c>
      <c r="M354" s="36">
        <v>0</v>
      </c>
    </row>
    <row r="355" spans="2:13" x14ac:dyDescent="0.25">
      <c r="B355" s="49" t="s">
        <v>4190</v>
      </c>
      <c r="C355" s="34">
        <v>58</v>
      </c>
      <c r="D355" s="34">
        <v>58</v>
      </c>
      <c r="E355" s="34">
        <v>1.9</v>
      </c>
      <c r="F355" s="34">
        <v>1.9</v>
      </c>
      <c r="G355" s="34">
        <v>37</v>
      </c>
      <c r="H355" s="34">
        <v>0</v>
      </c>
      <c r="I355" s="35" t="s">
        <v>1227</v>
      </c>
      <c r="J355" s="35" t="s">
        <v>910</v>
      </c>
      <c r="K355" s="37">
        <v>200</v>
      </c>
      <c r="L355" s="37">
        <v>0</v>
      </c>
      <c r="M355" s="37">
        <v>0</v>
      </c>
    </row>
    <row r="356" spans="2:13" x14ac:dyDescent="0.25">
      <c r="B356" s="48" t="s">
        <v>3978</v>
      </c>
      <c r="C356" s="32">
        <v>58</v>
      </c>
      <c r="D356" s="32">
        <v>58</v>
      </c>
      <c r="E356" s="32">
        <v>1.9</v>
      </c>
      <c r="F356" s="32">
        <v>1.9</v>
      </c>
      <c r="G356" s="32">
        <v>37</v>
      </c>
      <c r="H356" s="32">
        <v>0</v>
      </c>
      <c r="I356" s="33" t="s">
        <v>8</v>
      </c>
      <c r="J356" s="33" t="s">
        <v>910</v>
      </c>
      <c r="K356" s="36">
        <v>200</v>
      </c>
      <c r="L356" s="36">
        <v>0</v>
      </c>
      <c r="M356" s="36">
        <v>0</v>
      </c>
    </row>
    <row r="357" spans="2:13" x14ac:dyDescent="0.25">
      <c r="B357" s="49" t="s">
        <v>3977</v>
      </c>
      <c r="C357" s="34">
        <v>58</v>
      </c>
      <c r="D357" s="34">
        <v>58</v>
      </c>
      <c r="E357" s="34">
        <v>1.9</v>
      </c>
      <c r="F357" s="34">
        <v>1.9</v>
      </c>
      <c r="G357" s="34">
        <v>37</v>
      </c>
      <c r="H357" s="34">
        <v>0</v>
      </c>
      <c r="I357" s="35" t="s">
        <v>1331</v>
      </c>
      <c r="J357" s="35" t="s">
        <v>910</v>
      </c>
      <c r="K357" s="37">
        <v>200</v>
      </c>
      <c r="L357" s="37">
        <v>0</v>
      </c>
      <c r="M357" s="37">
        <v>0</v>
      </c>
    </row>
    <row r="358" spans="2:13" x14ac:dyDescent="0.25">
      <c r="B358" s="48" t="s">
        <v>3976</v>
      </c>
      <c r="C358" s="32">
        <v>58</v>
      </c>
      <c r="D358" s="32">
        <v>58</v>
      </c>
      <c r="E358" s="32">
        <v>1.9</v>
      </c>
      <c r="F358" s="32">
        <v>1.9</v>
      </c>
      <c r="G358" s="32">
        <v>37</v>
      </c>
      <c r="H358" s="32">
        <v>0</v>
      </c>
      <c r="I358" s="33" t="s">
        <v>1221</v>
      </c>
      <c r="J358" s="33" t="s">
        <v>910</v>
      </c>
      <c r="K358" s="36">
        <v>200</v>
      </c>
      <c r="L358" s="36">
        <v>0</v>
      </c>
      <c r="M358" s="36">
        <v>0</v>
      </c>
    </row>
    <row r="359" spans="2:13" x14ac:dyDescent="0.25">
      <c r="B359" s="49" t="s">
        <v>3975</v>
      </c>
      <c r="C359" s="34">
        <v>75</v>
      </c>
      <c r="D359" s="34">
        <v>75</v>
      </c>
      <c r="E359" s="34">
        <v>1.9</v>
      </c>
      <c r="F359" s="34">
        <v>1.9</v>
      </c>
      <c r="G359" s="34">
        <v>52</v>
      </c>
      <c r="H359" s="34">
        <v>0</v>
      </c>
      <c r="I359" s="35" t="s">
        <v>1229</v>
      </c>
      <c r="J359" s="35" t="s">
        <v>910</v>
      </c>
      <c r="K359" s="37">
        <v>300</v>
      </c>
      <c r="L359" s="37">
        <v>58</v>
      </c>
      <c r="M359" s="37">
        <v>55</v>
      </c>
    </row>
    <row r="360" spans="2:13" x14ac:dyDescent="0.25">
      <c r="B360" s="48" t="s">
        <v>3974</v>
      </c>
      <c r="C360" s="32">
        <v>75</v>
      </c>
      <c r="D360" s="32">
        <v>75</v>
      </c>
      <c r="E360" s="32">
        <v>1.9</v>
      </c>
      <c r="F360" s="32">
        <v>1.9</v>
      </c>
      <c r="G360" s="32">
        <v>52</v>
      </c>
      <c r="H360" s="32">
        <v>0</v>
      </c>
      <c r="I360" s="33" t="s">
        <v>1286</v>
      </c>
      <c r="J360" s="33" t="s">
        <v>910</v>
      </c>
      <c r="K360" s="36">
        <v>300</v>
      </c>
      <c r="L360" s="36">
        <v>58</v>
      </c>
      <c r="M360" s="36">
        <v>55</v>
      </c>
    </row>
    <row r="361" spans="2:13" x14ac:dyDescent="0.25">
      <c r="B361" s="49" t="s">
        <v>3973</v>
      </c>
      <c r="C361" s="34">
        <v>75</v>
      </c>
      <c r="D361" s="34">
        <v>75</v>
      </c>
      <c r="E361" s="34">
        <v>1.9</v>
      </c>
      <c r="F361" s="34">
        <v>1.9</v>
      </c>
      <c r="G361" s="34">
        <v>52</v>
      </c>
      <c r="H361" s="34">
        <v>0</v>
      </c>
      <c r="I361" s="35" t="s">
        <v>1417</v>
      </c>
      <c r="J361" s="35" t="s">
        <v>910</v>
      </c>
      <c r="K361" s="37">
        <v>300</v>
      </c>
      <c r="L361" s="37">
        <v>58</v>
      </c>
      <c r="M361" s="37">
        <v>55</v>
      </c>
    </row>
    <row r="362" spans="2:13" x14ac:dyDescent="0.25">
      <c r="B362" s="48" t="s">
        <v>3972</v>
      </c>
      <c r="C362" s="32">
        <v>75</v>
      </c>
      <c r="D362" s="32">
        <v>75</v>
      </c>
      <c r="E362" s="32">
        <v>1.9</v>
      </c>
      <c r="F362" s="32">
        <v>1.9</v>
      </c>
      <c r="G362" s="32">
        <v>52</v>
      </c>
      <c r="H362" s="32">
        <v>0</v>
      </c>
      <c r="I362" s="33" t="s">
        <v>1343</v>
      </c>
      <c r="J362" s="33" t="s">
        <v>910</v>
      </c>
      <c r="K362" s="36">
        <v>300</v>
      </c>
      <c r="L362" s="36">
        <v>58</v>
      </c>
      <c r="M362" s="36">
        <v>55</v>
      </c>
    </row>
    <row r="363" spans="2:13" x14ac:dyDescent="0.25">
      <c r="B363" s="49" t="s">
        <v>3971</v>
      </c>
      <c r="C363" s="34">
        <v>75</v>
      </c>
      <c r="D363" s="34">
        <v>75</v>
      </c>
      <c r="E363" s="34">
        <v>1.9</v>
      </c>
      <c r="F363" s="34">
        <v>1.9</v>
      </c>
      <c r="G363" s="34">
        <v>52</v>
      </c>
      <c r="H363" s="34">
        <v>0</v>
      </c>
      <c r="I363" s="35" t="s">
        <v>1611</v>
      </c>
      <c r="J363" s="35" t="s">
        <v>910</v>
      </c>
      <c r="K363" s="37">
        <v>300</v>
      </c>
      <c r="L363" s="37">
        <v>58</v>
      </c>
      <c r="M363" s="37">
        <v>55</v>
      </c>
    </row>
    <row r="364" spans="2:13" x14ac:dyDescent="0.25">
      <c r="B364" s="48" t="s">
        <v>3970</v>
      </c>
      <c r="C364" s="32">
        <v>75</v>
      </c>
      <c r="D364" s="32">
        <v>75</v>
      </c>
      <c r="E364" s="32">
        <v>1.9</v>
      </c>
      <c r="F364" s="32">
        <v>1.9</v>
      </c>
      <c r="G364" s="32">
        <v>52</v>
      </c>
      <c r="H364" s="32">
        <v>0</v>
      </c>
      <c r="I364" s="33" t="s">
        <v>1227</v>
      </c>
      <c r="J364" s="33" t="s">
        <v>910</v>
      </c>
      <c r="K364" s="36">
        <v>300</v>
      </c>
      <c r="L364" s="36">
        <v>58</v>
      </c>
      <c r="M364" s="36">
        <v>55</v>
      </c>
    </row>
    <row r="365" spans="2:13" x14ac:dyDescent="0.25">
      <c r="B365" s="49" t="s">
        <v>3969</v>
      </c>
      <c r="C365" s="34">
        <v>75</v>
      </c>
      <c r="D365" s="34">
        <v>75</v>
      </c>
      <c r="E365" s="34">
        <v>1.9</v>
      </c>
      <c r="F365" s="34">
        <v>1.9</v>
      </c>
      <c r="G365" s="34">
        <v>52</v>
      </c>
      <c r="H365" s="34">
        <v>0</v>
      </c>
      <c r="I365" s="35" t="s">
        <v>8</v>
      </c>
      <c r="J365" s="35" t="s">
        <v>910</v>
      </c>
      <c r="K365" s="37">
        <v>300</v>
      </c>
      <c r="L365" s="37">
        <v>58</v>
      </c>
      <c r="M365" s="37">
        <v>55</v>
      </c>
    </row>
    <row r="366" spans="2:13" x14ac:dyDescent="0.25">
      <c r="B366" s="48" t="s">
        <v>3968</v>
      </c>
      <c r="C366" s="32">
        <v>75</v>
      </c>
      <c r="D366" s="32">
        <v>75</v>
      </c>
      <c r="E366" s="32">
        <v>1.9</v>
      </c>
      <c r="F366" s="32">
        <v>1.9</v>
      </c>
      <c r="G366" s="32">
        <v>52</v>
      </c>
      <c r="H366" s="32">
        <v>0</v>
      </c>
      <c r="I366" s="33" t="s">
        <v>1331</v>
      </c>
      <c r="J366" s="33" t="s">
        <v>910</v>
      </c>
      <c r="K366" s="36">
        <v>300</v>
      </c>
      <c r="L366" s="36">
        <v>58</v>
      </c>
      <c r="M366" s="36">
        <v>55</v>
      </c>
    </row>
    <row r="367" spans="2:13" x14ac:dyDescent="0.25">
      <c r="B367" s="49" t="s">
        <v>3192</v>
      </c>
      <c r="C367" s="34">
        <v>75</v>
      </c>
      <c r="D367" s="34">
        <v>75</v>
      </c>
      <c r="E367" s="34">
        <v>1.9</v>
      </c>
      <c r="F367" s="34">
        <v>1.9</v>
      </c>
      <c r="G367" s="34">
        <v>52</v>
      </c>
      <c r="H367" s="34">
        <v>0</v>
      </c>
      <c r="I367" s="35" t="s">
        <v>1221</v>
      </c>
      <c r="J367" s="35" t="s">
        <v>910</v>
      </c>
      <c r="K367" s="37">
        <v>300</v>
      </c>
      <c r="L367" s="37">
        <v>58</v>
      </c>
      <c r="M367" s="37">
        <v>55</v>
      </c>
    </row>
    <row r="368" spans="2:13" x14ac:dyDescent="0.25">
      <c r="B368" s="48" t="s">
        <v>3191</v>
      </c>
      <c r="C368" s="32">
        <v>85</v>
      </c>
      <c r="D368" s="32">
        <v>85</v>
      </c>
      <c r="E368" s="32">
        <v>1.5</v>
      </c>
      <c r="F368" s="32">
        <v>1.5</v>
      </c>
      <c r="G368" s="32">
        <v>67</v>
      </c>
      <c r="H368" s="32">
        <v>0</v>
      </c>
      <c r="I368" s="33" t="s">
        <v>1229</v>
      </c>
      <c r="J368" s="33" t="s">
        <v>910</v>
      </c>
      <c r="K368" s="36">
        <v>885</v>
      </c>
      <c r="L368" s="36">
        <v>0</v>
      </c>
      <c r="M368" s="36">
        <v>0</v>
      </c>
    </row>
    <row r="369" spans="2:13" x14ac:dyDescent="0.25">
      <c r="B369" s="49" t="s">
        <v>3190</v>
      </c>
      <c r="C369" s="34">
        <v>85</v>
      </c>
      <c r="D369" s="34">
        <v>85</v>
      </c>
      <c r="E369" s="34">
        <v>1.5</v>
      </c>
      <c r="F369" s="34">
        <v>1.5</v>
      </c>
      <c r="G369" s="34">
        <v>67</v>
      </c>
      <c r="H369" s="34">
        <v>0</v>
      </c>
      <c r="I369" s="35" t="s">
        <v>1611</v>
      </c>
      <c r="J369" s="35" t="s">
        <v>910</v>
      </c>
      <c r="K369" s="37">
        <v>885</v>
      </c>
      <c r="L369" s="37">
        <v>0</v>
      </c>
      <c r="M369" s="37">
        <v>0</v>
      </c>
    </row>
    <row r="370" spans="2:13" x14ac:dyDescent="0.25">
      <c r="B370" s="48" t="s">
        <v>3189</v>
      </c>
      <c r="C370" s="32">
        <v>85</v>
      </c>
      <c r="D370" s="32">
        <v>85</v>
      </c>
      <c r="E370" s="32">
        <v>1.5</v>
      </c>
      <c r="F370" s="32">
        <v>1.5</v>
      </c>
      <c r="G370" s="32">
        <v>67</v>
      </c>
      <c r="H370" s="32">
        <v>0</v>
      </c>
      <c r="I370" s="33" t="s">
        <v>8</v>
      </c>
      <c r="J370" s="33" t="s">
        <v>910</v>
      </c>
      <c r="K370" s="36">
        <v>885</v>
      </c>
      <c r="L370" s="36">
        <v>0</v>
      </c>
      <c r="M370" s="36">
        <v>0</v>
      </c>
    </row>
    <row r="371" spans="2:13" x14ac:dyDescent="0.25">
      <c r="B371" s="49" t="s">
        <v>3188</v>
      </c>
      <c r="C371" s="34">
        <v>95</v>
      </c>
      <c r="D371" s="34">
        <v>95</v>
      </c>
      <c r="E371" s="34">
        <v>2.6</v>
      </c>
      <c r="F371" s="34">
        <v>2.6</v>
      </c>
      <c r="G371" s="34">
        <v>52</v>
      </c>
      <c r="H371" s="34">
        <v>0</v>
      </c>
      <c r="I371" s="35" t="s">
        <v>1229</v>
      </c>
      <c r="J371" s="35" t="s">
        <v>910</v>
      </c>
      <c r="K371" s="37">
        <v>380</v>
      </c>
      <c r="L371" s="37">
        <v>55</v>
      </c>
      <c r="M371" s="37">
        <v>122</v>
      </c>
    </row>
    <row r="372" spans="2:13" x14ac:dyDescent="0.25">
      <c r="B372" s="48" t="s">
        <v>3187</v>
      </c>
      <c r="C372" s="32">
        <v>95</v>
      </c>
      <c r="D372" s="32">
        <v>95</v>
      </c>
      <c r="E372" s="32">
        <v>2.6</v>
      </c>
      <c r="F372" s="32">
        <v>2.6</v>
      </c>
      <c r="G372" s="32">
        <v>52</v>
      </c>
      <c r="H372" s="32">
        <v>0</v>
      </c>
      <c r="I372" s="33" t="s">
        <v>1286</v>
      </c>
      <c r="J372" s="33" t="s">
        <v>910</v>
      </c>
      <c r="K372" s="36">
        <v>380</v>
      </c>
      <c r="L372" s="36">
        <v>55</v>
      </c>
      <c r="M372" s="36">
        <v>122</v>
      </c>
    </row>
    <row r="373" spans="2:13" x14ac:dyDescent="0.25">
      <c r="B373" s="49" t="s">
        <v>3186</v>
      </c>
      <c r="C373" s="34">
        <v>95</v>
      </c>
      <c r="D373" s="34">
        <v>95</v>
      </c>
      <c r="E373" s="34">
        <v>2.6</v>
      </c>
      <c r="F373" s="34">
        <v>2.6</v>
      </c>
      <c r="G373" s="34">
        <v>52</v>
      </c>
      <c r="H373" s="34">
        <v>0</v>
      </c>
      <c r="I373" s="35" t="s">
        <v>1417</v>
      </c>
      <c r="J373" s="35" t="s">
        <v>910</v>
      </c>
      <c r="K373" s="37">
        <v>380</v>
      </c>
      <c r="L373" s="37">
        <v>55</v>
      </c>
      <c r="M373" s="37">
        <v>122</v>
      </c>
    </row>
    <row r="374" spans="2:13" x14ac:dyDescent="0.25">
      <c r="B374" s="48" t="s">
        <v>3185</v>
      </c>
      <c r="C374" s="32">
        <v>95</v>
      </c>
      <c r="D374" s="32">
        <v>95</v>
      </c>
      <c r="E374" s="32">
        <v>2.6</v>
      </c>
      <c r="F374" s="32">
        <v>2.6</v>
      </c>
      <c r="G374" s="32">
        <v>52</v>
      </c>
      <c r="H374" s="32">
        <v>0</v>
      </c>
      <c r="I374" s="33" t="s">
        <v>1343</v>
      </c>
      <c r="J374" s="33" t="s">
        <v>910</v>
      </c>
      <c r="K374" s="36">
        <v>380</v>
      </c>
      <c r="L374" s="36">
        <v>55</v>
      </c>
      <c r="M374" s="36">
        <v>122</v>
      </c>
    </row>
    <row r="375" spans="2:13" x14ac:dyDescent="0.25">
      <c r="B375" s="49" t="s">
        <v>4189</v>
      </c>
      <c r="C375" s="34">
        <v>95</v>
      </c>
      <c r="D375" s="34">
        <v>95</v>
      </c>
      <c r="E375" s="34">
        <v>2.6</v>
      </c>
      <c r="F375" s="34">
        <v>2.6</v>
      </c>
      <c r="G375" s="34">
        <v>52</v>
      </c>
      <c r="H375" s="34">
        <v>0</v>
      </c>
      <c r="I375" s="35" t="s">
        <v>1227</v>
      </c>
      <c r="J375" s="35" t="s">
        <v>910</v>
      </c>
      <c r="K375" s="37">
        <v>380</v>
      </c>
      <c r="L375" s="37">
        <v>55</v>
      </c>
      <c r="M375" s="37">
        <v>122</v>
      </c>
    </row>
    <row r="376" spans="2:13" x14ac:dyDescent="0.25">
      <c r="B376" s="48" t="s">
        <v>3184</v>
      </c>
      <c r="C376" s="32">
        <v>95</v>
      </c>
      <c r="D376" s="32">
        <v>95</v>
      </c>
      <c r="E376" s="32">
        <v>2.6</v>
      </c>
      <c r="F376" s="32">
        <v>2.6</v>
      </c>
      <c r="G376" s="32">
        <v>52</v>
      </c>
      <c r="H376" s="32">
        <v>0</v>
      </c>
      <c r="I376" s="33" t="s">
        <v>8</v>
      </c>
      <c r="J376" s="33" t="s">
        <v>910</v>
      </c>
      <c r="K376" s="36">
        <v>380</v>
      </c>
      <c r="L376" s="36">
        <v>55</v>
      </c>
      <c r="M376" s="36">
        <v>122</v>
      </c>
    </row>
    <row r="377" spans="2:13" x14ac:dyDescent="0.25">
      <c r="B377" s="49" t="s">
        <v>3183</v>
      </c>
      <c r="C377" s="34">
        <v>95</v>
      </c>
      <c r="D377" s="34">
        <v>95</v>
      </c>
      <c r="E377" s="34">
        <v>2.6</v>
      </c>
      <c r="F377" s="34">
        <v>2.6</v>
      </c>
      <c r="G377" s="34">
        <v>52</v>
      </c>
      <c r="H377" s="34">
        <v>0</v>
      </c>
      <c r="I377" s="35" t="s">
        <v>1221</v>
      </c>
      <c r="J377" s="35" t="s">
        <v>910</v>
      </c>
      <c r="K377" s="37">
        <v>380</v>
      </c>
      <c r="L377" s="37">
        <v>55</v>
      </c>
      <c r="M377" s="37">
        <v>122</v>
      </c>
    </row>
    <row r="378" spans="2:13" x14ac:dyDescent="0.25">
      <c r="B378" s="48" t="s">
        <v>4188</v>
      </c>
      <c r="C378" s="32">
        <v>100</v>
      </c>
      <c r="D378" s="32">
        <v>100</v>
      </c>
      <c r="E378" s="32">
        <v>2.8</v>
      </c>
      <c r="F378" s="32">
        <v>2.8</v>
      </c>
      <c r="G378" s="32">
        <v>52</v>
      </c>
      <c r="H378" s="32">
        <v>0</v>
      </c>
      <c r="I378" s="33" t="s">
        <v>1229</v>
      </c>
      <c r="J378" s="33" t="s">
        <v>910</v>
      </c>
      <c r="K378" s="36">
        <v>800</v>
      </c>
      <c r="L378" s="36">
        <v>0</v>
      </c>
      <c r="M378" s="36">
        <v>0</v>
      </c>
    </row>
    <row r="379" spans="2:13" x14ac:dyDescent="0.25">
      <c r="B379" s="49" t="s">
        <v>3967</v>
      </c>
      <c r="C379" s="34">
        <v>100</v>
      </c>
      <c r="D379" s="34">
        <v>100</v>
      </c>
      <c r="E379" s="34">
        <v>2.8</v>
      </c>
      <c r="F379" s="34">
        <v>2.8</v>
      </c>
      <c r="G379" s="34">
        <v>52</v>
      </c>
      <c r="H379" s="34">
        <v>0</v>
      </c>
      <c r="I379" s="35" t="s">
        <v>1286</v>
      </c>
      <c r="J379" s="35" t="s">
        <v>910</v>
      </c>
      <c r="K379" s="37">
        <v>800</v>
      </c>
      <c r="L379" s="37">
        <v>0</v>
      </c>
      <c r="M379" s="37">
        <v>0</v>
      </c>
    </row>
    <row r="380" spans="2:13" x14ac:dyDescent="0.25">
      <c r="B380" s="48" t="s">
        <v>3966</v>
      </c>
      <c r="C380" s="32">
        <v>100</v>
      </c>
      <c r="D380" s="32">
        <v>100</v>
      </c>
      <c r="E380" s="32">
        <v>2.8</v>
      </c>
      <c r="F380" s="32">
        <v>2.8</v>
      </c>
      <c r="G380" s="32">
        <v>52</v>
      </c>
      <c r="H380" s="32">
        <v>0</v>
      </c>
      <c r="I380" s="33" t="s">
        <v>1343</v>
      </c>
      <c r="J380" s="33" t="s">
        <v>910</v>
      </c>
      <c r="K380" s="36">
        <v>800</v>
      </c>
      <c r="L380" s="36">
        <v>0</v>
      </c>
      <c r="M380" s="36">
        <v>0</v>
      </c>
    </row>
    <row r="381" spans="2:13" x14ac:dyDescent="0.25">
      <c r="B381" s="49" t="s">
        <v>3965</v>
      </c>
      <c r="C381" s="34">
        <v>100</v>
      </c>
      <c r="D381" s="34">
        <v>100</v>
      </c>
      <c r="E381" s="34">
        <v>2.8</v>
      </c>
      <c r="F381" s="34">
        <v>2.8</v>
      </c>
      <c r="G381" s="34">
        <v>52</v>
      </c>
      <c r="H381" s="34">
        <v>0</v>
      </c>
      <c r="I381" s="35" t="s">
        <v>1611</v>
      </c>
      <c r="J381" s="35" t="s">
        <v>910</v>
      </c>
      <c r="K381" s="37">
        <v>800</v>
      </c>
      <c r="L381" s="37">
        <v>0</v>
      </c>
      <c r="M381" s="37">
        <v>0</v>
      </c>
    </row>
    <row r="382" spans="2:13" x14ac:dyDescent="0.25">
      <c r="B382" s="48" t="s">
        <v>3964</v>
      </c>
      <c r="C382" s="32">
        <v>100</v>
      </c>
      <c r="D382" s="32">
        <v>100</v>
      </c>
      <c r="E382" s="32">
        <v>2.8</v>
      </c>
      <c r="F382" s="32">
        <v>2.8</v>
      </c>
      <c r="G382" s="32">
        <v>52</v>
      </c>
      <c r="H382" s="32">
        <v>0</v>
      </c>
      <c r="I382" s="33" t="s">
        <v>1227</v>
      </c>
      <c r="J382" s="33" t="s">
        <v>910</v>
      </c>
      <c r="K382" s="36">
        <v>800</v>
      </c>
      <c r="L382" s="36">
        <v>0</v>
      </c>
      <c r="M382" s="36">
        <v>0</v>
      </c>
    </row>
    <row r="383" spans="2:13" x14ac:dyDescent="0.25">
      <c r="B383" s="49" t="s">
        <v>3963</v>
      </c>
      <c r="C383" s="34">
        <v>100</v>
      </c>
      <c r="D383" s="34">
        <v>100</v>
      </c>
      <c r="E383" s="34">
        <v>2.8</v>
      </c>
      <c r="F383" s="34">
        <v>2.8</v>
      </c>
      <c r="G383" s="34">
        <v>52</v>
      </c>
      <c r="H383" s="34">
        <v>0</v>
      </c>
      <c r="I383" s="35" t="s">
        <v>8</v>
      </c>
      <c r="J383" s="35" t="s">
        <v>910</v>
      </c>
      <c r="K383" s="37">
        <v>800</v>
      </c>
      <c r="L383" s="37">
        <v>0</v>
      </c>
      <c r="M383" s="37">
        <v>0</v>
      </c>
    </row>
    <row r="384" spans="2:13" x14ac:dyDescent="0.25">
      <c r="B384" s="48" t="s">
        <v>3962</v>
      </c>
      <c r="C384" s="32">
        <v>100</v>
      </c>
      <c r="D384" s="32">
        <v>100</v>
      </c>
      <c r="E384" s="32">
        <v>2.8</v>
      </c>
      <c r="F384" s="32">
        <v>2.8</v>
      </c>
      <c r="G384" s="32">
        <v>52</v>
      </c>
      <c r="H384" s="32">
        <v>0</v>
      </c>
      <c r="I384" s="33" t="s">
        <v>1331</v>
      </c>
      <c r="J384" s="33" t="s">
        <v>910</v>
      </c>
      <c r="K384" s="36">
        <v>800</v>
      </c>
      <c r="L384" s="36">
        <v>0</v>
      </c>
      <c r="M384" s="36">
        <v>0</v>
      </c>
    </row>
    <row r="385" spans="2:13" x14ac:dyDescent="0.25">
      <c r="B385" s="49" t="s">
        <v>4187</v>
      </c>
      <c r="C385" s="34">
        <v>100</v>
      </c>
      <c r="D385" s="34">
        <v>100</v>
      </c>
      <c r="E385" s="34">
        <v>2.8</v>
      </c>
      <c r="F385" s="34">
        <v>2.8</v>
      </c>
      <c r="G385" s="34">
        <v>52</v>
      </c>
      <c r="H385" s="34">
        <v>0</v>
      </c>
      <c r="I385" s="35" t="s">
        <v>1221</v>
      </c>
      <c r="J385" s="35" t="s">
        <v>910</v>
      </c>
      <c r="K385" s="37">
        <v>800</v>
      </c>
      <c r="L385" s="37">
        <v>0</v>
      </c>
      <c r="M385" s="37">
        <v>0</v>
      </c>
    </row>
    <row r="386" spans="2:13" x14ac:dyDescent="0.25">
      <c r="B386" s="48" t="s">
        <v>3182</v>
      </c>
      <c r="C386" s="32">
        <v>50</v>
      </c>
      <c r="D386" s="32">
        <v>50</v>
      </c>
      <c r="E386" s="32">
        <v>2.9</v>
      </c>
      <c r="F386" s="32">
        <v>2.9</v>
      </c>
      <c r="G386" s="32">
        <v>35.5</v>
      </c>
      <c r="H386" s="32">
        <v>0</v>
      </c>
      <c r="I386" s="33" t="s">
        <v>1229</v>
      </c>
      <c r="J386" s="33" t="s">
        <v>910</v>
      </c>
      <c r="K386" s="36">
        <v>200</v>
      </c>
      <c r="L386" s="36">
        <v>0</v>
      </c>
      <c r="M386" s="36">
        <v>0</v>
      </c>
    </row>
    <row r="387" spans="2:13" x14ac:dyDescent="0.25">
      <c r="B387" s="49" t="s">
        <v>3181</v>
      </c>
      <c r="C387" s="34">
        <v>50</v>
      </c>
      <c r="D387" s="34">
        <v>50</v>
      </c>
      <c r="E387" s="34">
        <v>2.9</v>
      </c>
      <c r="F387" s="34">
        <v>2.9</v>
      </c>
      <c r="G387" s="34">
        <v>35.5</v>
      </c>
      <c r="H387" s="34">
        <v>0</v>
      </c>
      <c r="I387" s="35" t="s">
        <v>1286</v>
      </c>
      <c r="J387" s="35" t="s">
        <v>910</v>
      </c>
      <c r="K387" s="37">
        <v>200</v>
      </c>
      <c r="L387" s="37">
        <v>0</v>
      </c>
      <c r="M387" s="37">
        <v>0</v>
      </c>
    </row>
    <row r="388" spans="2:13" x14ac:dyDescent="0.25">
      <c r="B388" s="48" t="s">
        <v>3180</v>
      </c>
      <c r="C388" s="32">
        <v>50</v>
      </c>
      <c r="D388" s="32">
        <v>50</v>
      </c>
      <c r="E388" s="32">
        <v>2.9</v>
      </c>
      <c r="F388" s="32">
        <v>2.9</v>
      </c>
      <c r="G388" s="32">
        <v>35.5</v>
      </c>
      <c r="H388" s="32">
        <v>0</v>
      </c>
      <c r="I388" s="33" t="s">
        <v>1343</v>
      </c>
      <c r="J388" s="33" t="s">
        <v>910</v>
      </c>
      <c r="K388" s="36">
        <v>200</v>
      </c>
      <c r="L388" s="36">
        <v>0</v>
      </c>
      <c r="M388" s="36">
        <v>0</v>
      </c>
    </row>
    <row r="389" spans="2:13" x14ac:dyDescent="0.25">
      <c r="B389" s="49" t="s">
        <v>3179</v>
      </c>
      <c r="C389" s="34">
        <v>50</v>
      </c>
      <c r="D389" s="34">
        <v>50</v>
      </c>
      <c r="E389" s="34">
        <v>2.9</v>
      </c>
      <c r="F389" s="34">
        <v>2.9</v>
      </c>
      <c r="G389" s="34">
        <v>35.5</v>
      </c>
      <c r="H389" s="34">
        <v>0</v>
      </c>
      <c r="I389" s="35" t="s">
        <v>1611</v>
      </c>
      <c r="J389" s="35" t="s">
        <v>910</v>
      </c>
      <c r="K389" s="37">
        <v>200</v>
      </c>
      <c r="L389" s="37">
        <v>0</v>
      </c>
      <c r="M389" s="37">
        <v>0</v>
      </c>
    </row>
    <row r="390" spans="2:13" x14ac:dyDescent="0.25">
      <c r="B390" s="48" t="s">
        <v>3178</v>
      </c>
      <c r="C390" s="32">
        <v>50</v>
      </c>
      <c r="D390" s="32">
        <v>50</v>
      </c>
      <c r="E390" s="32">
        <v>2.9</v>
      </c>
      <c r="F390" s="32">
        <v>2.9</v>
      </c>
      <c r="G390" s="32">
        <v>35.5</v>
      </c>
      <c r="H390" s="32">
        <v>0</v>
      </c>
      <c r="I390" s="33" t="s">
        <v>8</v>
      </c>
      <c r="J390" s="33" t="s">
        <v>910</v>
      </c>
      <c r="K390" s="36">
        <v>200</v>
      </c>
      <c r="L390" s="36">
        <v>0</v>
      </c>
      <c r="M390" s="36">
        <v>0</v>
      </c>
    </row>
    <row r="391" spans="2:13" x14ac:dyDescent="0.25">
      <c r="B391" s="49" t="s">
        <v>3177</v>
      </c>
      <c r="C391" s="34">
        <v>50</v>
      </c>
      <c r="D391" s="34">
        <v>50</v>
      </c>
      <c r="E391" s="34">
        <v>2.9</v>
      </c>
      <c r="F391" s="34">
        <v>2.9</v>
      </c>
      <c r="G391" s="34">
        <v>35.5</v>
      </c>
      <c r="H391" s="34">
        <v>0</v>
      </c>
      <c r="I391" s="35" t="s">
        <v>1221</v>
      </c>
      <c r="J391" s="35" t="s">
        <v>910</v>
      </c>
      <c r="K391" s="37">
        <v>200</v>
      </c>
      <c r="L391" s="37">
        <v>0</v>
      </c>
      <c r="M391" s="37">
        <v>0</v>
      </c>
    </row>
    <row r="392" spans="2:13" x14ac:dyDescent="0.25">
      <c r="B392" s="48" t="s">
        <v>3960</v>
      </c>
      <c r="C392" s="32">
        <v>135</v>
      </c>
      <c r="D392" s="32">
        <v>135</v>
      </c>
      <c r="E392" s="32">
        <v>2.8</v>
      </c>
      <c r="F392" s="32">
        <v>2.8</v>
      </c>
      <c r="G392" s="32">
        <v>0</v>
      </c>
      <c r="H392" s="32">
        <v>0</v>
      </c>
      <c r="I392" s="33" t="s">
        <v>1229</v>
      </c>
      <c r="J392" s="33" t="s">
        <v>910</v>
      </c>
      <c r="K392" s="36">
        <v>700</v>
      </c>
      <c r="L392" s="36">
        <v>0</v>
      </c>
      <c r="M392" s="36">
        <v>0</v>
      </c>
    </row>
    <row r="393" spans="2:13" x14ac:dyDescent="0.25">
      <c r="B393" s="49" t="s">
        <v>2804</v>
      </c>
      <c r="C393" s="34">
        <v>85</v>
      </c>
      <c r="D393" s="34">
        <v>85</v>
      </c>
      <c r="E393" s="34">
        <v>2</v>
      </c>
      <c r="F393" s="34">
        <v>2</v>
      </c>
      <c r="G393" s="34">
        <v>0</v>
      </c>
      <c r="H393" s="34">
        <v>0</v>
      </c>
      <c r="I393" s="35" t="s">
        <v>1229</v>
      </c>
      <c r="J393" s="35" t="s">
        <v>910</v>
      </c>
      <c r="K393" s="37">
        <v>370</v>
      </c>
      <c r="L393" s="37">
        <v>0</v>
      </c>
      <c r="M393" s="37">
        <v>0</v>
      </c>
    </row>
    <row r="394" spans="2:13" x14ac:dyDescent="0.25">
      <c r="B394" s="48" t="s">
        <v>4186</v>
      </c>
      <c r="C394" s="32">
        <v>85</v>
      </c>
      <c r="D394" s="32">
        <v>85</v>
      </c>
      <c r="E394" s="32">
        <v>2</v>
      </c>
      <c r="F394" s="32">
        <v>2</v>
      </c>
      <c r="G394" s="32">
        <v>0</v>
      </c>
      <c r="H394" s="32">
        <v>0</v>
      </c>
      <c r="I394" s="33" t="s">
        <v>8</v>
      </c>
      <c r="J394" s="33" t="s">
        <v>910</v>
      </c>
      <c r="K394" s="36">
        <v>370</v>
      </c>
      <c r="L394" s="36">
        <v>0</v>
      </c>
      <c r="M394" s="36">
        <v>0</v>
      </c>
    </row>
    <row r="395" spans="2:13" x14ac:dyDescent="0.25">
      <c r="B395" s="49" t="s">
        <v>3961</v>
      </c>
      <c r="C395" s="34">
        <v>85</v>
      </c>
      <c r="D395" s="34">
        <v>85</v>
      </c>
      <c r="E395" s="34">
        <v>2</v>
      </c>
      <c r="F395" s="34">
        <v>2</v>
      </c>
      <c r="G395" s="34">
        <v>0</v>
      </c>
      <c r="H395" s="34">
        <v>0</v>
      </c>
      <c r="I395" s="35" t="s">
        <v>1331</v>
      </c>
      <c r="J395" s="35" t="s">
        <v>910</v>
      </c>
      <c r="K395" s="37">
        <v>370</v>
      </c>
      <c r="L395" s="37">
        <v>0</v>
      </c>
      <c r="M395" s="37">
        <v>0</v>
      </c>
    </row>
    <row r="396" spans="2:13" x14ac:dyDescent="0.25">
      <c r="B396" s="48" t="s">
        <v>4330</v>
      </c>
      <c r="C396" s="32">
        <v>25</v>
      </c>
      <c r="D396" s="32">
        <v>25</v>
      </c>
      <c r="E396" s="32">
        <v>0.95</v>
      </c>
      <c r="F396" s="32">
        <v>0.95</v>
      </c>
      <c r="G396" s="32">
        <v>43</v>
      </c>
      <c r="H396" s="32">
        <v>0</v>
      </c>
      <c r="I396" s="33" t="s">
        <v>1227</v>
      </c>
      <c r="J396" s="33" t="s">
        <v>1227</v>
      </c>
      <c r="K396" s="36">
        <v>230</v>
      </c>
      <c r="L396" s="36">
        <v>60</v>
      </c>
      <c r="M396" s="36">
        <v>45</v>
      </c>
    </row>
    <row r="397" spans="2:13" x14ac:dyDescent="0.25">
      <c r="B397" s="49" t="s">
        <v>4185</v>
      </c>
      <c r="C397" s="34">
        <v>35</v>
      </c>
      <c r="D397" s="34">
        <v>35</v>
      </c>
      <c r="E397" s="34">
        <v>0.95</v>
      </c>
      <c r="F397" s="34">
        <v>0.95</v>
      </c>
      <c r="G397" s="34">
        <v>55</v>
      </c>
      <c r="H397" s="34">
        <v>0</v>
      </c>
      <c r="I397" s="35" t="s">
        <v>1286</v>
      </c>
      <c r="J397" s="35" t="s">
        <v>900</v>
      </c>
      <c r="K397" s="37">
        <v>460</v>
      </c>
      <c r="L397" s="37">
        <v>63</v>
      </c>
      <c r="M397" s="37">
        <v>60</v>
      </c>
    </row>
    <row r="398" spans="2:13" x14ac:dyDescent="0.25">
      <c r="B398" s="48" t="s">
        <v>3959</v>
      </c>
      <c r="C398" s="32">
        <v>35</v>
      </c>
      <c r="D398" s="32">
        <v>35</v>
      </c>
      <c r="E398" s="32">
        <v>0.95</v>
      </c>
      <c r="F398" s="32">
        <v>0.95</v>
      </c>
      <c r="G398" s="32">
        <v>55</v>
      </c>
      <c r="H398" s="32">
        <v>0</v>
      </c>
      <c r="I398" s="33" t="s">
        <v>1221</v>
      </c>
      <c r="J398" s="33" t="s">
        <v>900</v>
      </c>
      <c r="K398" s="36">
        <v>460</v>
      </c>
      <c r="L398" s="36">
        <v>63</v>
      </c>
      <c r="M398" s="36">
        <v>60</v>
      </c>
    </row>
    <row r="399" spans="2:13" x14ac:dyDescent="0.25">
      <c r="B399" s="49" t="s">
        <v>4390</v>
      </c>
      <c r="C399" s="34">
        <v>50</v>
      </c>
      <c r="D399" s="34">
        <v>50</v>
      </c>
      <c r="E399" s="34">
        <v>0.95</v>
      </c>
      <c r="F399" s="34">
        <v>0.95</v>
      </c>
      <c r="G399" s="34">
        <v>0</v>
      </c>
      <c r="H399" s="34">
        <v>0</v>
      </c>
      <c r="I399" s="35" t="s">
        <v>1221</v>
      </c>
      <c r="J399" s="35" t="s">
        <v>910</v>
      </c>
      <c r="K399" s="37">
        <v>0</v>
      </c>
      <c r="L399" s="37">
        <v>0</v>
      </c>
      <c r="M399" s="37">
        <v>0</v>
      </c>
    </row>
    <row r="400" spans="2:13" x14ac:dyDescent="0.25">
      <c r="B400" s="48" t="s">
        <v>3958</v>
      </c>
      <c r="C400" s="32">
        <v>85</v>
      </c>
      <c r="D400" s="32">
        <v>85</v>
      </c>
      <c r="E400" s="32">
        <v>1.2</v>
      </c>
      <c r="F400" s="32">
        <v>1.2</v>
      </c>
      <c r="G400" s="32">
        <v>77</v>
      </c>
      <c r="H400" s="32">
        <v>0</v>
      </c>
      <c r="I400" s="33" t="s">
        <v>1229</v>
      </c>
      <c r="J400" s="33" t="s">
        <v>910</v>
      </c>
      <c r="K400" s="36">
        <v>921</v>
      </c>
      <c r="L400" s="36">
        <v>0</v>
      </c>
      <c r="M400" s="36">
        <v>0</v>
      </c>
    </row>
    <row r="401" spans="2:13" x14ac:dyDescent="0.25">
      <c r="B401" s="49" t="s">
        <v>3957</v>
      </c>
      <c r="C401" s="34">
        <v>85</v>
      </c>
      <c r="D401" s="34">
        <v>85</v>
      </c>
      <c r="E401" s="34">
        <v>1.2</v>
      </c>
      <c r="F401" s="34">
        <v>1.2</v>
      </c>
      <c r="G401" s="34">
        <v>77</v>
      </c>
      <c r="H401" s="34">
        <v>0</v>
      </c>
      <c r="I401" s="35" t="s">
        <v>8</v>
      </c>
      <c r="J401" s="35" t="s">
        <v>910</v>
      </c>
      <c r="K401" s="37">
        <v>921</v>
      </c>
      <c r="L401" s="37">
        <v>0</v>
      </c>
      <c r="M401" s="37">
        <v>0</v>
      </c>
    </row>
    <row r="402" spans="2:13" x14ac:dyDescent="0.25">
      <c r="B402" s="48" t="s">
        <v>4441</v>
      </c>
      <c r="C402" s="32">
        <v>85</v>
      </c>
      <c r="D402" s="32">
        <v>85</v>
      </c>
      <c r="E402" s="32">
        <v>1.2</v>
      </c>
      <c r="F402" s="32">
        <v>1.2</v>
      </c>
      <c r="G402" s="32">
        <v>77</v>
      </c>
      <c r="H402" s="32">
        <v>0</v>
      </c>
      <c r="I402" s="33" t="s">
        <v>1221</v>
      </c>
      <c r="J402" s="33" t="s">
        <v>910</v>
      </c>
      <c r="K402" s="36">
        <v>921</v>
      </c>
      <c r="L402" s="36">
        <v>0</v>
      </c>
      <c r="M402" s="36">
        <v>0</v>
      </c>
    </row>
    <row r="403" spans="2:13" x14ac:dyDescent="0.25">
      <c r="B403" s="49" t="s">
        <v>4184</v>
      </c>
      <c r="C403" s="34">
        <v>10</v>
      </c>
      <c r="D403" s="34">
        <v>10</v>
      </c>
      <c r="E403" s="34">
        <v>2.8</v>
      </c>
      <c r="F403" s="34">
        <v>2.8</v>
      </c>
      <c r="G403" s="34">
        <v>40.5</v>
      </c>
      <c r="H403" s="34">
        <v>16.670000000000002</v>
      </c>
      <c r="I403" s="35" t="s">
        <v>1314</v>
      </c>
      <c r="J403" s="35" t="s">
        <v>1315</v>
      </c>
      <c r="K403" s="37">
        <v>77</v>
      </c>
      <c r="L403" s="37">
        <v>55.5</v>
      </c>
      <c r="M403" s="37">
        <v>22</v>
      </c>
    </row>
    <row r="404" spans="2:13" x14ac:dyDescent="0.25">
      <c r="B404" s="48" t="s">
        <v>4183</v>
      </c>
      <c r="C404" s="32">
        <v>10</v>
      </c>
      <c r="D404" s="32">
        <v>10</v>
      </c>
      <c r="E404" s="32">
        <v>2.8</v>
      </c>
      <c r="F404" s="32">
        <v>2.8</v>
      </c>
      <c r="G404" s="32">
        <v>40.5</v>
      </c>
      <c r="H404" s="32">
        <v>16.670000000000002</v>
      </c>
      <c r="I404" s="33" t="s">
        <v>1314</v>
      </c>
      <c r="J404" s="33" t="s">
        <v>1315</v>
      </c>
      <c r="K404" s="36">
        <v>77</v>
      </c>
      <c r="L404" s="36">
        <v>55.5</v>
      </c>
      <c r="M404" s="36">
        <v>22</v>
      </c>
    </row>
    <row r="405" spans="2:13" x14ac:dyDescent="0.25">
      <c r="B405" s="49" t="s">
        <v>3210</v>
      </c>
      <c r="C405" s="34">
        <v>11</v>
      </c>
      <c r="D405" s="34">
        <v>27.5</v>
      </c>
      <c r="E405" s="34">
        <v>3.5</v>
      </c>
      <c r="F405" s="34">
        <v>3.5</v>
      </c>
      <c r="G405" s="34">
        <v>40.5</v>
      </c>
      <c r="H405" s="34">
        <v>10</v>
      </c>
      <c r="I405" s="35" t="s">
        <v>1314</v>
      </c>
      <c r="J405" s="35" t="s">
        <v>1315</v>
      </c>
      <c r="K405" s="37">
        <v>83</v>
      </c>
      <c r="L405" s="37">
        <v>57.5</v>
      </c>
      <c r="M405" s="37">
        <v>31</v>
      </c>
    </row>
    <row r="406" spans="2:13" x14ac:dyDescent="0.25">
      <c r="B406" s="48" t="s">
        <v>2929</v>
      </c>
      <c r="C406" s="32">
        <v>18.5</v>
      </c>
      <c r="D406" s="32">
        <v>18.5</v>
      </c>
      <c r="E406" s="32">
        <v>1.8</v>
      </c>
      <c r="F406" s="32">
        <v>1.8</v>
      </c>
      <c r="G406" s="32">
        <v>40.5</v>
      </c>
      <c r="H406" s="32">
        <v>8.3000000000000007</v>
      </c>
      <c r="I406" s="33" t="s">
        <v>1314</v>
      </c>
      <c r="J406" s="33" t="s">
        <v>1315</v>
      </c>
      <c r="K406" s="36">
        <v>70</v>
      </c>
      <c r="L406" s="36">
        <v>56</v>
      </c>
      <c r="M406" s="36">
        <v>36</v>
      </c>
    </row>
    <row r="407" spans="2:13" x14ac:dyDescent="0.25">
      <c r="B407" s="49" t="s">
        <v>3209</v>
      </c>
      <c r="C407" s="34">
        <v>18.5</v>
      </c>
      <c r="D407" s="34">
        <v>18.5</v>
      </c>
      <c r="E407" s="34">
        <v>1.8</v>
      </c>
      <c r="F407" s="34">
        <v>1.8</v>
      </c>
      <c r="G407" s="34">
        <v>40.5</v>
      </c>
      <c r="H407" s="34">
        <v>8.3000000000000007</v>
      </c>
      <c r="I407" s="35" t="s">
        <v>1314</v>
      </c>
      <c r="J407" s="35" t="s">
        <v>1315</v>
      </c>
      <c r="K407" s="37">
        <v>70</v>
      </c>
      <c r="L407" s="37">
        <v>56</v>
      </c>
      <c r="M407" s="37">
        <v>36</v>
      </c>
    </row>
    <row r="408" spans="2:13" x14ac:dyDescent="0.25">
      <c r="B408" s="48" t="s">
        <v>2928</v>
      </c>
      <c r="C408" s="32">
        <v>18.5</v>
      </c>
      <c r="D408" s="32">
        <v>18.5</v>
      </c>
      <c r="E408" s="32">
        <v>1.8</v>
      </c>
      <c r="F408" s="32">
        <v>1.8</v>
      </c>
      <c r="G408" s="32">
        <v>40.5</v>
      </c>
      <c r="H408" s="32">
        <v>8.3000000000000007</v>
      </c>
      <c r="I408" s="33" t="s">
        <v>1314</v>
      </c>
      <c r="J408" s="33" t="s">
        <v>1315</v>
      </c>
      <c r="K408" s="36">
        <v>70</v>
      </c>
      <c r="L408" s="36">
        <v>56</v>
      </c>
      <c r="M408" s="36">
        <v>36</v>
      </c>
    </row>
    <row r="409" spans="2:13" x14ac:dyDescent="0.25">
      <c r="B409" s="49" t="s">
        <v>2701</v>
      </c>
      <c r="C409" s="34">
        <v>32</v>
      </c>
      <c r="D409" s="34">
        <v>32</v>
      </c>
      <c r="E409" s="34">
        <v>1.2</v>
      </c>
      <c r="F409" s="34">
        <v>1.2</v>
      </c>
      <c r="G409" s="34">
        <v>52</v>
      </c>
      <c r="H409" s="34">
        <v>13</v>
      </c>
      <c r="I409" s="35" t="s">
        <v>1314</v>
      </c>
      <c r="J409" s="35" t="s">
        <v>1315</v>
      </c>
      <c r="K409" s="37">
        <v>235</v>
      </c>
      <c r="L409" s="37">
        <v>65.5</v>
      </c>
      <c r="M409" s="37">
        <v>47</v>
      </c>
    </row>
    <row r="410" spans="2:13" x14ac:dyDescent="0.25">
      <c r="B410" s="48" t="s">
        <v>2927</v>
      </c>
      <c r="C410" s="32">
        <v>32</v>
      </c>
      <c r="D410" s="32">
        <v>32</v>
      </c>
      <c r="E410" s="32">
        <v>1.2</v>
      </c>
      <c r="F410" s="32">
        <v>1.2</v>
      </c>
      <c r="G410" s="32">
        <v>52</v>
      </c>
      <c r="H410" s="32">
        <v>13</v>
      </c>
      <c r="I410" s="33" t="s">
        <v>1314</v>
      </c>
      <c r="J410" s="33" t="s">
        <v>1315</v>
      </c>
      <c r="K410" s="36">
        <v>235</v>
      </c>
      <c r="L410" s="36">
        <v>65.5</v>
      </c>
      <c r="M410" s="36">
        <v>47</v>
      </c>
    </row>
    <row r="411" spans="2:13" x14ac:dyDescent="0.25">
      <c r="B411" s="49" t="s">
        <v>2802</v>
      </c>
      <c r="C411" s="34">
        <v>10</v>
      </c>
      <c r="D411" s="34">
        <v>10</v>
      </c>
      <c r="E411" s="34">
        <v>2.8</v>
      </c>
      <c r="F411" s="34">
        <v>2.8</v>
      </c>
      <c r="G411" s="34">
        <v>40.5</v>
      </c>
      <c r="H411" s="34">
        <v>16.7</v>
      </c>
      <c r="I411" s="35" t="s">
        <v>1314</v>
      </c>
      <c r="J411" s="35" t="s">
        <v>1315</v>
      </c>
      <c r="K411" s="37">
        <v>118</v>
      </c>
      <c r="L411" s="37">
        <v>61</v>
      </c>
      <c r="M411" s="37">
        <v>30</v>
      </c>
    </row>
    <row r="412" spans="2:13" x14ac:dyDescent="0.25">
      <c r="B412" s="48" t="s">
        <v>3207</v>
      </c>
      <c r="C412" s="32">
        <v>10</v>
      </c>
      <c r="D412" s="32">
        <v>100</v>
      </c>
      <c r="E412" s="32">
        <v>4</v>
      </c>
      <c r="F412" s="32">
        <v>4</v>
      </c>
      <c r="G412" s="32">
        <v>55</v>
      </c>
      <c r="H412" s="32">
        <v>8.33</v>
      </c>
      <c r="I412" s="33" t="s">
        <v>1314</v>
      </c>
      <c r="J412" s="33" t="s">
        <v>1315</v>
      </c>
      <c r="K412" s="36">
        <v>298</v>
      </c>
      <c r="L412" s="36">
        <v>60.5</v>
      </c>
      <c r="M412" s="36">
        <v>70.5</v>
      </c>
    </row>
    <row r="413" spans="2:13" x14ac:dyDescent="0.25">
      <c r="B413" s="49" t="s">
        <v>3206</v>
      </c>
      <c r="C413" s="34">
        <v>10</v>
      </c>
      <c r="D413" s="34">
        <v>100</v>
      </c>
      <c r="E413" s="34">
        <v>4</v>
      </c>
      <c r="F413" s="34">
        <v>4</v>
      </c>
      <c r="G413" s="34">
        <v>55</v>
      </c>
      <c r="H413" s="34">
        <v>8.33</v>
      </c>
      <c r="I413" s="35" t="s">
        <v>1314</v>
      </c>
      <c r="J413" s="35" t="s">
        <v>1315</v>
      </c>
      <c r="K413" s="37">
        <v>298</v>
      </c>
      <c r="L413" s="37">
        <v>60.5</v>
      </c>
      <c r="M413" s="37">
        <v>70.5</v>
      </c>
    </row>
    <row r="414" spans="2:13" x14ac:dyDescent="0.25">
      <c r="B414" s="48" t="s">
        <v>3205</v>
      </c>
      <c r="C414" s="32">
        <v>10</v>
      </c>
      <c r="D414" s="32">
        <v>100</v>
      </c>
      <c r="E414" s="32">
        <v>4</v>
      </c>
      <c r="F414" s="32">
        <v>4</v>
      </c>
      <c r="G414" s="32">
        <v>55</v>
      </c>
      <c r="H414" s="32">
        <v>8.33</v>
      </c>
      <c r="I414" s="33" t="s">
        <v>1314</v>
      </c>
      <c r="J414" s="33" t="s">
        <v>1315</v>
      </c>
      <c r="K414" s="36">
        <v>298</v>
      </c>
      <c r="L414" s="36">
        <v>60.5</v>
      </c>
      <c r="M414" s="36">
        <v>70.5</v>
      </c>
    </row>
    <row r="415" spans="2:13" x14ac:dyDescent="0.25">
      <c r="B415" s="49" t="s">
        <v>2923</v>
      </c>
      <c r="C415" s="34">
        <v>10</v>
      </c>
      <c r="D415" s="34">
        <v>100</v>
      </c>
      <c r="E415" s="34">
        <v>4.5</v>
      </c>
      <c r="F415" s="34">
        <v>4.5</v>
      </c>
      <c r="G415" s="34">
        <v>72</v>
      </c>
      <c r="H415" s="34">
        <v>4.8</v>
      </c>
      <c r="I415" s="35" t="s">
        <v>1314</v>
      </c>
      <c r="J415" s="35" t="s">
        <v>1315</v>
      </c>
      <c r="K415" s="37">
        <v>530</v>
      </c>
      <c r="L415" s="37">
        <v>77</v>
      </c>
      <c r="M415" s="37">
        <v>95</v>
      </c>
    </row>
    <row r="416" spans="2:13" x14ac:dyDescent="0.25">
      <c r="B416" s="48" t="s">
        <v>3204</v>
      </c>
      <c r="C416" s="32">
        <v>10</v>
      </c>
      <c r="D416" s="32">
        <v>30</v>
      </c>
      <c r="E416" s="32">
        <v>3.5</v>
      </c>
      <c r="F416" s="32">
        <v>3.5</v>
      </c>
      <c r="G416" s="32">
        <v>0</v>
      </c>
      <c r="H416" s="32">
        <v>0</v>
      </c>
      <c r="I416" s="33" t="s">
        <v>1314</v>
      </c>
      <c r="J416" s="33" t="s">
        <v>1315</v>
      </c>
      <c r="K416" s="36">
        <v>85</v>
      </c>
      <c r="L416" s="36">
        <v>58</v>
      </c>
      <c r="M416" s="36">
        <v>28</v>
      </c>
    </row>
    <row r="417" spans="2:13" x14ac:dyDescent="0.25">
      <c r="B417" s="49" t="s">
        <v>2921</v>
      </c>
      <c r="C417" s="34">
        <v>10</v>
      </c>
      <c r="D417" s="34">
        <v>30</v>
      </c>
      <c r="E417" s="34">
        <v>3.5</v>
      </c>
      <c r="F417" s="34">
        <v>3.5</v>
      </c>
      <c r="G417" s="34">
        <v>40.5</v>
      </c>
      <c r="H417" s="34">
        <v>4.8</v>
      </c>
      <c r="I417" s="35" t="s">
        <v>1314</v>
      </c>
      <c r="J417" s="35" t="s">
        <v>1315</v>
      </c>
      <c r="K417" s="37">
        <v>115</v>
      </c>
      <c r="L417" s="37">
        <v>57.5</v>
      </c>
      <c r="M417" s="37">
        <v>42</v>
      </c>
    </row>
    <row r="418" spans="2:13" x14ac:dyDescent="0.25">
      <c r="B418" s="48" t="s">
        <v>3203</v>
      </c>
      <c r="C418" s="32">
        <v>30</v>
      </c>
      <c r="D418" s="32">
        <v>110</v>
      </c>
      <c r="E418" s="32">
        <v>3.8</v>
      </c>
      <c r="F418" s="32">
        <v>3.8</v>
      </c>
      <c r="G418" s="32">
        <v>40.5</v>
      </c>
      <c r="H418" s="32">
        <v>10</v>
      </c>
      <c r="I418" s="33" t="s">
        <v>1314</v>
      </c>
      <c r="J418" s="33" t="s">
        <v>1315</v>
      </c>
      <c r="K418" s="36">
        <v>180</v>
      </c>
      <c r="L418" s="36">
        <v>60</v>
      </c>
      <c r="M418" s="36">
        <v>61</v>
      </c>
    </row>
    <row r="419" spans="2:13" x14ac:dyDescent="0.25">
      <c r="B419" s="49" t="s">
        <v>3201</v>
      </c>
      <c r="C419" s="34">
        <v>30</v>
      </c>
      <c r="D419" s="34">
        <v>110</v>
      </c>
      <c r="E419" s="34">
        <v>3.8</v>
      </c>
      <c r="F419" s="34">
        <v>3.8</v>
      </c>
      <c r="G419" s="34">
        <v>40.5</v>
      </c>
      <c r="H419" s="34">
        <v>10</v>
      </c>
      <c r="I419" s="35" t="s">
        <v>1314</v>
      </c>
      <c r="J419" s="35" t="s">
        <v>1315</v>
      </c>
      <c r="K419" s="37">
        <v>180</v>
      </c>
      <c r="L419" s="37">
        <v>60</v>
      </c>
      <c r="M419" s="37">
        <v>61</v>
      </c>
    </row>
    <row r="420" spans="2:13" x14ac:dyDescent="0.25">
      <c r="B420" s="48" t="s">
        <v>2925</v>
      </c>
      <c r="C420" s="32">
        <v>6.7</v>
      </c>
      <c r="D420" s="32">
        <v>13</v>
      </c>
      <c r="E420" s="32">
        <v>3.5</v>
      </c>
      <c r="F420" s="32">
        <v>3.5</v>
      </c>
      <c r="G420" s="32">
        <v>52</v>
      </c>
      <c r="H420" s="32">
        <v>16.66</v>
      </c>
      <c r="I420" s="33" t="s">
        <v>1314</v>
      </c>
      <c r="J420" s="33" t="s">
        <v>1315</v>
      </c>
      <c r="K420" s="36">
        <v>125</v>
      </c>
      <c r="L420" s="36">
        <v>56.5</v>
      </c>
      <c r="M420" s="36">
        <v>46</v>
      </c>
    </row>
    <row r="421" spans="2:13" x14ac:dyDescent="0.25">
      <c r="B421" s="49" t="s">
        <v>3208</v>
      </c>
      <c r="C421" s="34">
        <v>6.7</v>
      </c>
      <c r="D421" s="34">
        <v>13</v>
      </c>
      <c r="E421" s="34">
        <v>3.5</v>
      </c>
      <c r="F421" s="34">
        <v>3.5</v>
      </c>
      <c r="G421" s="34">
        <v>52</v>
      </c>
      <c r="H421" s="34">
        <v>16.66</v>
      </c>
      <c r="I421" s="35" t="s">
        <v>1314</v>
      </c>
      <c r="J421" s="35" t="s">
        <v>1315</v>
      </c>
      <c r="K421" s="37">
        <v>125</v>
      </c>
      <c r="L421" s="37">
        <v>56.5</v>
      </c>
      <c r="M421" s="37">
        <v>46</v>
      </c>
    </row>
    <row r="422" spans="2:13" x14ac:dyDescent="0.25">
      <c r="B422" s="48" t="s">
        <v>2920</v>
      </c>
      <c r="C422" s="32">
        <v>70</v>
      </c>
      <c r="D422" s="32">
        <v>300</v>
      </c>
      <c r="E422" s="32">
        <v>4.5</v>
      </c>
      <c r="F422" s="32">
        <v>4.5</v>
      </c>
      <c r="G422" s="32">
        <v>62</v>
      </c>
      <c r="H422" s="32">
        <v>6.7</v>
      </c>
      <c r="I422" s="33" t="s">
        <v>1314</v>
      </c>
      <c r="J422" s="33" t="s">
        <v>1315</v>
      </c>
      <c r="K422" s="36">
        <v>550</v>
      </c>
      <c r="L422" s="36">
        <v>72</v>
      </c>
      <c r="M422" s="36">
        <v>108</v>
      </c>
    </row>
    <row r="423" spans="2:13" x14ac:dyDescent="0.25">
      <c r="B423" s="49" t="s">
        <v>3956</v>
      </c>
      <c r="C423" s="34">
        <v>20</v>
      </c>
      <c r="D423" s="34">
        <v>20</v>
      </c>
      <c r="E423" s="34">
        <v>2.8</v>
      </c>
      <c r="F423" s="34">
        <v>2.8</v>
      </c>
      <c r="G423" s="34">
        <v>62</v>
      </c>
      <c r="H423" s="34">
        <v>0</v>
      </c>
      <c r="I423" s="35" t="s">
        <v>8</v>
      </c>
      <c r="J423" s="35" t="s">
        <v>910</v>
      </c>
      <c r="K423" s="37">
        <v>260</v>
      </c>
      <c r="L423" s="37">
        <v>65</v>
      </c>
      <c r="M423" s="37">
        <v>42.5</v>
      </c>
    </row>
    <row r="424" spans="2:13" x14ac:dyDescent="0.25">
      <c r="B424" s="48" t="s">
        <v>3955</v>
      </c>
      <c r="C424" s="32">
        <v>24</v>
      </c>
      <c r="D424" s="32">
        <v>24</v>
      </c>
      <c r="E424" s="32">
        <v>2.8</v>
      </c>
      <c r="F424" s="32">
        <v>2.8</v>
      </c>
      <c r="G424" s="32">
        <v>52</v>
      </c>
      <c r="H424" s="32">
        <v>0</v>
      </c>
      <c r="I424" s="33" t="s">
        <v>8</v>
      </c>
      <c r="J424" s="33" t="s">
        <v>910</v>
      </c>
      <c r="K424" s="36">
        <v>250</v>
      </c>
      <c r="L424" s="36">
        <v>46</v>
      </c>
      <c r="M424" s="36">
        <v>63</v>
      </c>
    </row>
    <row r="425" spans="2:13" x14ac:dyDescent="0.25">
      <c r="B425" s="49" t="s">
        <v>2803</v>
      </c>
      <c r="C425" s="34">
        <v>35</v>
      </c>
      <c r="D425" s="34">
        <v>35</v>
      </c>
      <c r="E425" s="34">
        <v>1.4</v>
      </c>
      <c r="F425" s="34">
        <v>1.4</v>
      </c>
      <c r="G425" s="34">
        <v>52</v>
      </c>
      <c r="H425" s="34">
        <v>0</v>
      </c>
      <c r="I425" s="35" t="s">
        <v>8</v>
      </c>
      <c r="J425" s="35" t="s">
        <v>910</v>
      </c>
      <c r="K425" s="37">
        <v>400</v>
      </c>
      <c r="L425" s="37">
        <v>62</v>
      </c>
      <c r="M425" s="37">
        <v>67.5</v>
      </c>
    </row>
    <row r="426" spans="2:13" x14ac:dyDescent="0.25">
      <c r="B426" s="48" t="s">
        <v>4329</v>
      </c>
      <c r="C426" s="32">
        <v>50</v>
      </c>
      <c r="D426" s="32">
        <v>50</v>
      </c>
      <c r="E426" s="32">
        <v>1.2</v>
      </c>
      <c r="F426" s="32">
        <v>1.2</v>
      </c>
      <c r="G426" s="32">
        <v>52</v>
      </c>
      <c r="H426" s="32">
        <v>0</v>
      </c>
      <c r="I426" s="33" t="s">
        <v>8</v>
      </c>
      <c r="J426" s="33" t="s">
        <v>910</v>
      </c>
      <c r="K426" s="36">
        <v>360</v>
      </c>
      <c r="L426" s="36">
        <v>68.5</v>
      </c>
      <c r="M426" s="36">
        <v>47.5</v>
      </c>
    </row>
    <row r="427" spans="2:13" x14ac:dyDescent="0.25">
      <c r="B427" s="49" t="s">
        <v>3212</v>
      </c>
      <c r="C427" s="34">
        <v>50</v>
      </c>
      <c r="D427" s="34">
        <v>50</v>
      </c>
      <c r="E427" s="34">
        <v>1.4</v>
      </c>
      <c r="F427" s="34">
        <v>1.4</v>
      </c>
      <c r="G427" s="34">
        <v>52</v>
      </c>
      <c r="H427" s="34">
        <v>0</v>
      </c>
      <c r="I427" s="35" t="s">
        <v>8</v>
      </c>
      <c r="J427" s="35" t="s">
        <v>910</v>
      </c>
      <c r="K427" s="37">
        <v>250</v>
      </c>
      <c r="L427" s="37">
        <v>63</v>
      </c>
      <c r="M427" s="37">
        <v>40</v>
      </c>
    </row>
    <row r="428" spans="2:13" x14ac:dyDescent="0.25">
      <c r="B428" s="48" t="s">
        <v>3200</v>
      </c>
      <c r="C428" s="32">
        <v>14</v>
      </c>
      <c r="D428" s="32">
        <v>14</v>
      </c>
      <c r="E428" s="32">
        <v>2.8</v>
      </c>
      <c r="F428" s="32">
        <v>2.8</v>
      </c>
      <c r="G428" s="32">
        <v>0</v>
      </c>
      <c r="H428" s="32">
        <v>6.71</v>
      </c>
      <c r="I428" s="33" t="s">
        <v>8</v>
      </c>
      <c r="J428" s="33" t="s">
        <v>910</v>
      </c>
      <c r="K428" s="36">
        <v>670</v>
      </c>
      <c r="L428" s="36">
        <v>86.5</v>
      </c>
      <c r="M428" s="36">
        <v>87</v>
      </c>
    </row>
    <row r="429" spans="2:13" x14ac:dyDescent="0.25">
      <c r="B429" s="49" t="s">
        <v>2919</v>
      </c>
      <c r="C429" s="34">
        <v>16</v>
      </c>
      <c r="D429" s="34">
        <v>16</v>
      </c>
      <c r="E429" s="34">
        <v>2.8</v>
      </c>
      <c r="F429" s="34">
        <v>2.8</v>
      </c>
      <c r="G429" s="34">
        <v>0</v>
      </c>
      <c r="H429" s="34">
        <v>10</v>
      </c>
      <c r="I429" s="35" t="s">
        <v>8</v>
      </c>
      <c r="J429" s="35" t="s">
        <v>910</v>
      </c>
      <c r="K429" s="37">
        <v>290</v>
      </c>
      <c r="L429" s="37">
        <v>57</v>
      </c>
      <c r="M429" s="37">
        <v>63</v>
      </c>
    </row>
    <row r="430" spans="2:13" x14ac:dyDescent="0.25">
      <c r="B430" s="48" t="s">
        <v>3193</v>
      </c>
      <c r="C430" s="32">
        <v>180</v>
      </c>
      <c r="D430" s="32">
        <v>180</v>
      </c>
      <c r="E430" s="32">
        <v>2.8</v>
      </c>
      <c r="F430" s="32">
        <v>2.8</v>
      </c>
      <c r="G430" s="32">
        <v>72</v>
      </c>
      <c r="H430" s="32">
        <v>6.67</v>
      </c>
      <c r="I430" s="33" t="s">
        <v>8</v>
      </c>
      <c r="J430" s="33" t="s">
        <v>910</v>
      </c>
      <c r="K430" s="36">
        <v>760</v>
      </c>
      <c r="L430" s="36">
        <v>78.5</v>
      </c>
      <c r="M430" s="36">
        <v>144</v>
      </c>
    </row>
    <row r="431" spans="2:13" x14ac:dyDescent="0.25">
      <c r="B431" s="49" t="s">
        <v>2917</v>
      </c>
      <c r="C431" s="34">
        <v>18</v>
      </c>
      <c r="D431" s="34">
        <v>35</v>
      </c>
      <c r="E431" s="34">
        <v>3.5</v>
      </c>
      <c r="F431" s="34">
        <v>3.5</v>
      </c>
      <c r="G431" s="34">
        <v>77</v>
      </c>
      <c r="H431" s="34">
        <v>6.67</v>
      </c>
      <c r="I431" s="35" t="s">
        <v>8</v>
      </c>
      <c r="J431" s="35" t="s">
        <v>910</v>
      </c>
      <c r="K431" s="37">
        <v>370</v>
      </c>
      <c r="L431" s="37">
        <v>82.5</v>
      </c>
      <c r="M431" s="37">
        <v>82.7</v>
      </c>
    </row>
    <row r="432" spans="2:13" x14ac:dyDescent="0.25">
      <c r="B432" s="48" t="s">
        <v>3199</v>
      </c>
      <c r="C432" s="32">
        <v>20</v>
      </c>
      <c r="D432" s="32">
        <v>20</v>
      </c>
      <c r="E432" s="32">
        <v>2.8</v>
      </c>
      <c r="F432" s="32">
        <v>2.8</v>
      </c>
      <c r="G432" s="32">
        <v>62</v>
      </c>
      <c r="H432" s="32">
        <v>8.33</v>
      </c>
      <c r="I432" s="33" t="s">
        <v>8</v>
      </c>
      <c r="J432" s="33" t="s">
        <v>910</v>
      </c>
      <c r="K432" s="36">
        <v>270</v>
      </c>
      <c r="L432" s="36">
        <v>42.5</v>
      </c>
      <c r="M432" s="36">
        <v>69</v>
      </c>
    </row>
    <row r="433" spans="2:13" x14ac:dyDescent="0.25">
      <c r="B433" s="49" t="s">
        <v>2801</v>
      </c>
      <c r="C433" s="34">
        <v>24</v>
      </c>
      <c r="D433" s="34">
        <v>85</v>
      </c>
      <c r="E433" s="34">
        <v>2.8</v>
      </c>
      <c r="F433" s="34">
        <v>2.8</v>
      </c>
      <c r="G433" s="34">
        <v>72</v>
      </c>
      <c r="H433" s="34">
        <v>2</v>
      </c>
      <c r="I433" s="35" t="s">
        <v>8</v>
      </c>
      <c r="J433" s="35" t="s">
        <v>910</v>
      </c>
      <c r="K433" s="37">
        <v>545</v>
      </c>
      <c r="L433" s="37">
        <v>78.5</v>
      </c>
      <c r="M433" s="37">
        <v>82.5</v>
      </c>
    </row>
    <row r="434" spans="2:13" x14ac:dyDescent="0.25">
      <c r="B434" s="48" t="s">
        <v>3198</v>
      </c>
      <c r="C434" s="32">
        <v>24</v>
      </c>
      <c r="D434" s="32">
        <v>24</v>
      </c>
      <c r="E434" s="32">
        <v>2.8</v>
      </c>
      <c r="F434" s="32">
        <v>2.8</v>
      </c>
      <c r="G434" s="32">
        <v>52</v>
      </c>
      <c r="H434" s="32">
        <v>9.09</v>
      </c>
      <c r="I434" s="33" t="s">
        <v>8</v>
      </c>
      <c r="J434" s="33" t="s">
        <v>910</v>
      </c>
      <c r="K434" s="36">
        <v>270</v>
      </c>
      <c r="L434" s="36">
        <v>64.5</v>
      </c>
      <c r="M434" s="36">
        <v>46</v>
      </c>
    </row>
    <row r="435" spans="2:13" x14ac:dyDescent="0.25">
      <c r="B435" s="49" t="s">
        <v>3196</v>
      </c>
      <c r="C435" s="34">
        <v>28</v>
      </c>
      <c r="D435" s="34">
        <v>100</v>
      </c>
      <c r="E435" s="34">
        <v>3.5</v>
      </c>
      <c r="F435" s="34">
        <v>3.5</v>
      </c>
      <c r="G435" s="34">
        <v>62</v>
      </c>
      <c r="H435" s="34">
        <v>5</v>
      </c>
      <c r="I435" s="35">
        <v>0</v>
      </c>
      <c r="J435" s="35" t="s">
        <v>910</v>
      </c>
      <c r="K435" s="37">
        <v>245</v>
      </c>
      <c r="L435" s="37">
        <v>68</v>
      </c>
      <c r="M435" s="37">
        <v>80</v>
      </c>
    </row>
    <row r="436" spans="2:13" x14ac:dyDescent="0.25">
      <c r="B436" s="48" t="s">
        <v>3194</v>
      </c>
      <c r="C436" s="32">
        <v>28</v>
      </c>
      <c r="D436" s="32">
        <v>80</v>
      </c>
      <c r="E436" s="32">
        <v>3.3</v>
      </c>
      <c r="F436" s="32">
        <v>3.3</v>
      </c>
      <c r="G436" s="32">
        <v>58</v>
      </c>
      <c r="H436" s="32">
        <v>0</v>
      </c>
      <c r="I436" s="33">
        <v>0</v>
      </c>
      <c r="J436" s="33" t="s">
        <v>910</v>
      </c>
      <c r="K436" s="36">
        <v>195</v>
      </c>
      <c r="L436" s="36">
        <v>64</v>
      </c>
      <c r="M436" s="36">
        <v>66.5</v>
      </c>
    </row>
    <row r="437" spans="2:13" x14ac:dyDescent="0.25">
      <c r="B437" s="49" t="s">
        <v>2916</v>
      </c>
      <c r="C437" s="34">
        <v>28</v>
      </c>
      <c r="D437" s="34">
        <v>28</v>
      </c>
      <c r="E437" s="34">
        <v>2.8</v>
      </c>
      <c r="F437" s="34">
        <v>2.8</v>
      </c>
      <c r="G437" s="34">
        <v>52</v>
      </c>
      <c r="H437" s="34">
        <v>4.76</v>
      </c>
      <c r="I437" s="35" t="s">
        <v>8</v>
      </c>
      <c r="J437" s="35" t="s">
        <v>910</v>
      </c>
      <c r="K437" s="37">
        <v>205</v>
      </c>
      <c r="L437" s="37">
        <v>65</v>
      </c>
      <c r="M437" s="37">
        <v>44.5</v>
      </c>
    </row>
    <row r="438" spans="2:13" x14ac:dyDescent="0.25">
      <c r="B438" s="48" t="s">
        <v>2915</v>
      </c>
      <c r="C438" s="32">
        <v>35</v>
      </c>
      <c r="D438" s="32">
        <v>35</v>
      </c>
      <c r="E438" s="32">
        <v>2</v>
      </c>
      <c r="F438" s="32">
        <v>2</v>
      </c>
      <c r="G438" s="32">
        <v>52</v>
      </c>
      <c r="H438" s="32">
        <v>4.3499999999999996</v>
      </c>
      <c r="I438" s="33" t="s">
        <v>8</v>
      </c>
      <c r="J438" s="33" t="s">
        <v>910</v>
      </c>
      <c r="K438" s="36">
        <v>205</v>
      </c>
      <c r="L438" s="36">
        <v>64.5</v>
      </c>
      <c r="M438" s="36">
        <v>43.5</v>
      </c>
    </row>
    <row r="439" spans="2:13" x14ac:dyDescent="0.25">
      <c r="B439" s="49" t="s">
        <v>4279</v>
      </c>
      <c r="C439" s="34">
        <v>50</v>
      </c>
      <c r="D439" s="34">
        <v>50</v>
      </c>
      <c r="E439" s="34">
        <v>1.4</v>
      </c>
      <c r="F439" s="34">
        <v>1.4</v>
      </c>
      <c r="G439" s="34">
        <v>52</v>
      </c>
      <c r="H439" s="34">
        <v>7.14</v>
      </c>
      <c r="I439" s="35" t="s">
        <v>8</v>
      </c>
      <c r="J439" s="35" t="s">
        <v>910</v>
      </c>
      <c r="K439" s="37">
        <v>230</v>
      </c>
      <c r="L439" s="37">
        <v>64.5</v>
      </c>
      <c r="M439" s="37">
        <v>42.5</v>
      </c>
    </row>
    <row r="440" spans="2:13" x14ac:dyDescent="0.25">
      <c r="B440" s="48" t="s">
        <v>2661</v>
      </c>
      <c r="C440" s="32">
        <v>50</v>
      </c>
      <c r="D440" s="32">
        <v>50</v>
      </c>
      <c r="E440" s="32">
        <v>1.8</v>
      </c>
      <c r="F440" s="32">
        <v>1.8</v>
      </c>
      <c r="G440" s="32">
        <v>52</v>
      </c>
      <c r="H440" s="32">
        <v>7.14</v>
      </c>
      <c r="I440" s="33" t="s">
        <v>8</v>
      </c>
      <c r="J440" s="33" t="s">
        <v>910</v>
      </c>
      <c r="K440" s="36">
        <v>160</v>
      </c>
      <c r="L440" s="36">
        <v>63</v>
      </c>
      <c r="M440" s="36">
        <v>39</v>
      </c>
    </row>
    <row r="441" spans="2:13" x14ac:dyDescent="0.25">
      <c r="B441" s="49" t="s">
        <v>2914</v>
      </c>
      <c r="C441" s="34">
        <v>70</v>
      </c>
      <c r="D441" s="34">
        <v>300</v>
      </c>
      <c r="E441" s="34">
        <v>4</v>
      </c>
      <c r="F441" s="34">
        <v>4</v>
      </c>
      <c r="G441" s="34">
        <v>62</v>
      </c>
      <c r="H441" s="34">
        <v>4</v>
      </c>
      <c r="I441" s="35" t="s">
        <v>8</v>
      </c>
      <c r="J441" s="35" t="s">
        <v>910</v>
      </c>
      <c r="K441" s="37">
        <v>470</v>
      </c>
      <c r="L441" s="37">
        <v>74</v>
      </c>
      <c r="M441" s="37">
        <v>116.5</v>
      </c>
    </row>
    <row r="442" spans="2:13" x14ac:dyDescent="0.25">
      <c r="B442" s="48" t="s">
        <v>4278</v>
      </c>
      <c r="C442" s="32">
        <v>85</v>
      </c>
      <c r="D442" s="32">
        <v>85</v>
      </c>
      <c r="E442" s="32">
        <v>1.8</v>
      </c>
      <c r="F442" s="32">
        <v>1.8</v>
      </c>
      <c r="G442" s="32">
        <v>62</v>
      </c>
      <c r="H442" s="32">
        <v>10</v>
      </c>
      <c r="I442" s="33" t="s">
        <v>8</v>
      </c>
      <c r="J442" s="33" t="s">
        <v>910</v>
      </c>
      <c r="K442" s="36">
        <v>380</v>
      </c>
      <c r="L442" s="36">
        <v>71.5</v>
      </c>
      <c r="M442" s="36">
        <v>58.5</v>
      </c>
    </row>
    <row r="443" spans="2:13" x14ac:dyDescent="0.25">
      <c r="B443" s="49" t="s">
        <v>2913</v>
      </c>
      <c r="C443" s="34">
        <v>105</v>
      </c>
      <c r="D443" s="34">
        <v>105</v>
      </c>
      <c r="E443" s="34">
        <v>2</v>
      </c>
      <c r="F443" s="34">
        <v>2</v>
      </c>
      <c r="G443" s="34">
        <v>72</v>
      </c>
      <c r="H443" s="34">
        <v>0</v>
      </c>
      <c r="I443" s="35" t="s">
        <v>8</v>
      </c>
      <c r="J443" s="35" t="s">
        <v>910</v>
      </c>
      <c r="K443" s="37">
        <v>640</v>
      </c>
      <c r="L443" s="37">
        <v>79</v>
      </c>
      <c r="M443" s="37">
        <v>111</v>
      </c>
    </row>
    <row r="444" spans="2:13" x14ac:dyDescent="0.25">
      <c r="B444" s="48" t="s">
        <v>4328</v>
      </c>
      <c r="C444" s="32">
        <v>135</v>
      </c>
      <c r="D444" s="32">
        <v>135</v>
      </c>
      <c r="E444" s="32">
        <v>2</v>
      </c>
      <c r="F444" s="32">
        <v>2</v>
      </c>
      <c r="G444" s="32">
        <v>72</v>
      </c>
      <c r="H444" s="32">
        <v>0</v>
      </c>
      <c r="I444" s="33" t="s">
        <v>8</v>
      </c>
      <c r="J444" s="33" t="s">
        <v>910</v>
      </c>
      <c r="K444" s="36">
        <v>815</v>
      </c>
      <c r="L444" s="36">
        <v>79</v>
      </c>
      <c r="M444" s="36">
        <v>120</v>
      </c>
    </row>
    <row r="445" spans="2:13" x14ac:dyDescent="0.25">
      <c r="B445" s="49" t="s">
        <v>2912</v>
      </c>
      <c r="C445" s="34">
        <v>10.5</v>
      </c>
      <c r="D445" s="34">
        <v>10.5</v>
      </c>
      <c r="E445" s="34">
        <v>2.8</v>
      </c>
      <c r="F445" s="34">
        <v>2.8</v>
      </c>
      <c r="G445" s="34">
        <v>52</v>
      </c>
      <c r="H445" s="34">
        <v>5</v>
      </c>
      <c r="I445" s="35" t="s">
        <v>8</v>
      </c>
      <c r="J445" s="35" t="s">
        <v>900</v>
      </c>
      <c r="K445" s="37">
        <v>300</v>
      </c>
      <c r="L445" s="37">
        <v>63</v>
      </c>
      <c r="M445" s="37">
        <v>62.5</v>
      </c>
    </row>
    <row r="446" spans="2:13" x14ac:dyDescent="0.25">
      <c r="B446" s="48" t="s">
        <v>2910</v>
      </c>
      <c r="C446" s="32">
        <v>200</v>
      </c>
      <c r="D446" s="32">
        <v>200</v>
      </c>
      <c r="E446" s="32">
        <v>4</v>
      </c>
      <c r="F446" s="32">
        <v>4</v>
      </c>
      <c r="G446" s="32">
        <v>62</v>
      </c>
      <c r="H446" s="32">
        <v>1</v>
      </c>
      <c r="I446" s="33" t="s">
        <v>8</v>
      </c>
      <c r="J446" s="33" t="s">
        <v>910</v>
      </c>
      <c r="K446" s="36">
        <v>1190</v>
      </c>
      <c r="L446" s="36">
        <v>76</v>
      </c>
      <c r="M446" s="36">
        <v>193</v>
      </c>
    </row>
    <row r="447" spans="2:13" x14ac:dyDescent="0.25">
      <c r="B447" s="49" t="s">
        <v>4277</v>
      </c>
      <c r="C447" s="34">
        <v>60</v>
      </c>
      <c r="D447" s="34">
        <v>60</v>
      </c>
      <c r="E447" s="34">
        <v>2.8</v>
      </c>
      <c r="F447" s="34">
        <v>2.8</v>
      </c>
      <c r="G447" s="34">
        <v>62</v>
      </c>
      <c r="H447" s="34">
        <v>1</v>
      </c>
      <c r="I447" s="35" t="s">
        <v>8</v>
      </c>
      <c r="J447" s="35" t="s">
        <v>910</v>
      </c>
      <c r="K447" s="37">
        <v>440</v>
      </c>
      <c r="L447" s="37">
        <v>70</v>
      </c>
      <c r="M447" s="37">
        <v>74.5</v>
      </c>
    </row>
    <row r="448" spans="2:13" x14ac:dyDescent="0.25">
      <c r="B448" s="48" t="s">
        <v>2909</v>
      </c>
      <c r="C448" s="32">
        <v>18</v>
      </c>
      <c r="D448" s="32">
        <v>55</v>
      </c>
      <c r="E448" s="32">
        <v>3.5</v>
      </c>
      <c r="F448" s="32">
        <v>3.5</v>
      </c>
      <c r="G448" s="32">
        <v>55</v>
      </c>
      <c r="H448" s="32">
        <v>2.6</v>
      </c>
      <c r="I448" s="33" t="s">
        <v>8</v>
      </c>
      <c r="J448" s="33" t="s">
        <v>900</v>
      </c>
      <c r="K448" s="36">
        <v>195</v>
      </c>
      <c r="L448" s="36">
        <v>64.5</v>
      </c>
      <c r="M448" s="36">
        <v>62.5</v>
      </c>
    </row>
    <row r="449" spans="2:13" x14ac:dyDescent="0.25">
      <c r="B449" s="49" t="s">
        <v>4182</v>
      </c>
      <c r="C449" s="34">
        <v>70</v>
      </c>
      <c r="D449" s="34">
        <v>300</v>
      </c>
      <c r="E449" s="34">
        <v>4.5</v>
      </c>
      <c r="F449" s="34">
        <v>4.5</v>
      </c>
      <c r="G449" s="34">
        <v>58</v>
      </c>
      <c r="H449" s="34">
        <v>4.5</v>
      </c>
      <c r="I449" s="35" t="s">
        <v>8</v>
      </c>
      <c r="J449" s="35" t="s">
        <v>900</v>
      </c>
      <c r="K449" s="37">
        <v>400</v>
      </c>
      <c r="L449" s="37">
        <v>72</v>
      </c>
      <c r="M449" s="37">
        <v>125</v>
      </c>
    </row>
    <row r="450" spans="2:13" x14ac:dyDescent="0.25">
      <c r="B450" s="48" t="s">
        <v>2660</v>
      </c>
      <c r="C450" s="32">
        <v>70</v>
      </c>
      <c r="D450" s="32">
        <v>300</v>
      </c>
      <c r="E450" s="32">
        <v>4.5</v>
      </c>
      <c r="F450" s="32">
        <v>4.5</v>
      </c>
      <c r="G450" s="32">
        <v>67</v>
      </c>
      <c r="H450" s="32">
        <v>4</v>
      </c>
      <c r="I450" s="33" t="s">
        <v>8</v>
      </c>
      <c r="J450" s="33" t="s">
        <v>910</v>
      </c>
      <c r="K450" s="36">
        <v>680</v>
      </c>
      <c r="L450" s="36">
        <v>80.5</v>
      </c>
      <c r="M450" s="36">
        <v>145</v>
      </c>
    </row>
    <row r="451" spans="2:13" x14ac:dyDescent="0.25">
      <c r="B451" s="49" t="s">
        <v>2545</v>
      </c>
      <c r="C451" s="34">
        <v>10</v>
      </c>
      <c r="D451" s="34">
        <v>20</v>
      </c>
      <c r="E451" s="34">
        <v>4.5</v>
      </c>
      <c r="F451" s="34">
        <v>4.5</v>
      </c>
      <c r="G451" s="34">
        <v>72</v>
      </c>
      <c r="H451" s="34">
        <v>5.88</v>
      </c>
      <c r="I451" s="35" t="s">
        <v>8</v>
      </c>
      <c r="J451" s="35" t="s">
        <v>900</v>
      </c>
      <c r="K451" s="37">
        <v>230</v>
      </c>
      <c r="L451" s="37">
        <v>77</v>
      </c>
      <c r="M451" s="37">
        <v>73</v>
      </c>
    </row>
    <row r="452" spans="2:13" x14ac:dyDescent="0.25">
      <c r="B452" s="48" t="s">
        <v>4327</v>
      </c>
      <c r="C452" s="32">
        <v>18</v>
      </c>
      <c r="D452" s="32">
        <v>55</v>
      </c>
      <c r="E452" s="32">
        <v>3.5</v>
      </c>
      <c r="F452" s="32">
        <v>3.5</v>
      </c>
      <c r="G452" s="32">
        <v>55</v>
      </c>
      <c r="H452" s="32">
        <v>2.6</v>
      </c>
      <c r="I452" s="33" t="s">
        <v>8</v>
      </c>
      <c r="J452" s="33" t="s">
        <v>900</v>
      </c>
      <c r="K452" s="36">
        <v>205</v>
      </c>
      <c r="L452" s="36">
        <v>64.5</v>
      </c>
      <c r="M452" s="36">
        <v>62.5</v>
      </c>
    </row>
    <row r="453" spans="2:13" x14ac:dyDescent="0.25">
      <c r="B453" s="49" t="s">
        <v>2659</v>
      </c>
      <c r="C453" s="34">
        <v>70</v>
      </c>
      <c r="D453" s="34">
        <v>300</v>
      </c>
      <c r="E453" s="34">
        <v>4.5</v>
      </c>
      <c r="F453" s="34">
        <v>4.5</v>
      </c>
      <c r="G453" s="34">
        <v>58</v>
      </c>
      <c r="H453" s="34">
        <v>4.5</v>
      </c>
      <c r="I453" s="35" t="s">
        <v>8</v>
      </c>
      <c r="J453" s="35" t="s">
        <v>900</v>
      </c>
      <c r="K453" s="37">
        <v>415</v>
      </c>
      <c r="L453" s="37">
        <v>72</v>
      </c>
      <c r="M453" s="37">
        <v>125</v>
      </c>
    </row>
    <row r="454" spans="2:13" x14ac:dyDescent="0.25">
      <c r="B454" s="48" t="s">
        <v>2573</v>
      </c>
      <c r="C454" s="32">
        <v>105</v>
      </c>
      <c r="D454" s="32">
        <v>105</v>
      </c>
      <c r="E454" s="32">
        <v>1.4</v>
      </c>
      <c r="F454" s="32">
        <v>1.4</v>
      </c>
      <c r="G454" s="32">
        <v>82</v>
      </c>
      <c r="H454" s="32">
        <v>7.7</v>
      </c>
      <c r="I454" s="33" t="s">
        <v>8</v>
      </c>
      <c r="J454" s="33" t="s">
        <v>910</v>
      </c>
      <c r="K454" s="36">
        <v>985</v>
      </c>
      <c r="L454" s="36">
        <v>94.5</v>
      </c>
      <c r="M454" s="36">
        <v>106</v>
      </c>
    </row>
    <row r="455" spans="2:13" x14ac:dyDescent="0.25">
      <c r="B455" s="49" t="s">
        <v>4418</v>
      </c>
      <c r="C455" s="34">
        <v>14</v>
      </c>
      <c r="D455" s="34">
        <v>24</v>
      </c>
      <c r="E455" s="34">
        <v>2.8</v>
      </c>
      <c r="F455" s="34">
        <v>2.8</v>
      </c>
      <c r="G455" s="34">
        <v>0</v>
      </c>
      <c r="H455" s="34">
        <v>6.7</v>
      </c>
      <c r="I455" s="35" t="s">
        <v>8</v>
      </c>
      <c r="J455" s="35" t="s">
        <v>910</v>
      </c>
      <c r="K455" s="37">
        <v>1000</v>
      </c>
      <c r="L455" s="37">
        <v>98</v>
      </c>
      <c r="M455" s="37">
        <v>131.5</v>
      </c>
    </row>
    <row r="456" spans="2:13" x14ac:dyDescent="0.25">
      <c r="B456" s="48" t="s">
        <v>4326</v>
      </c>
      <c r="C456" s="32">
        <v>17</v>
      </c>
      <c r="D456" s="32">
        <v>35</v>
      </c>
      <c r="E456" s="32">
        <v>2.8</v>
      </c>
      <c r="F456" s="32">
        <v>2.8</v>
      </c>
      <c r="G456" s="32">
        <v>77</v>
      </c>
      <c r="H456" s="32">
        <v>4.76</v>
      </c>
      <c r="I456" s="33" t="s">
        <v>8</v>
      </c>
      <c r="J456" s="33" t="s">
        <v>910</v>
      </c>
      <c r="K456" s="36">
        <v>750</v>
      </c>
      <c r="L456" s="36">
        <v>83</v>
      </c>
      <c r="M456" s="36">
        <v>106</v>
      </c>
    </row>
    <row r="457" spans="2:13" x14ac:dyDescent="0.25">
      <c r="B457" s="49" t="s">
        <v>2657</v>
      </c>
      <c r="C457" s="34">
        <v>18</v>
      </c>
      <c r="D457" s="34">
        <v>35</v>
      </c>
      <c r="E457" s="34">
        <v>3.5</v>
      </c>
      <c r="F457" s="34">
        <v>3.5</v>
      </c>
      <c r="G457" s="34">
        <v>77</v>
      </c>
      <c r="H457" s="34">
        <v>5</v>
      </c>
      <c r="I457" s="35" t="s">
        <v>8</v>
      </c>
      <c r="J457" s="35" t="s">
        <v>910</v>
      </c>
      <c r="K457" s="37">
        <v>385</v>
      </c>
      <c r="L457" s="37">
        <v>83</v>
      </c>
      <c r="M457" s="37">
        <v>95</v>
      </c>
    </row>
    <row r="458" spans="2:13" x14ac:dyDescent="0.25">
      <c r="B458" s="48" t="s">
        <v>2574</v>
      </c>
      <c r="C458" s="32">
        <v>20</v>
      </c>
      <c r="D458" s="32">
        <v>20</v>
      </c>
      <c r="E458" s="32">
        <v>1.8</v>
      </c>
      <c r="F458" s="32">
        <v>1.8</v>
      </c>
      <c r="G458" s="32">
        <v>77</v>
      </c>
      <c r="H458" s="32">
        <v>0</v>
      </c>
      <c r="I458" s="33" t="s">
        <v>8</v>
      </c>
      <c r="J458" s="33" t="s">
        <v>910</v>
      </c>
      <c r="K458" s="36">
        <v>355</v>
      </c>
      <c r="L458" s="36">
        <v>0</v>
      </c>
      <c r="M458" s="36">
        <v>0</v>
      </c>
    </row>
    <row r="459" spans="2:13" x14ac:dyDescent="0.25">
      <c r="B459" s="49" t="s">
        <v>4389</v>
      </c>
      <c r="C459" s="34">
        <v>24</v>
      </c>
      <c r="D459" s="34">
        <v>70</v>
      </c>
      <c r="E459" s="34">
        <v>2.8</v>
      </c>
      <c r="F459" s="34">
        <v>2.8</v>
      </c>
      <c r="G459" s="34">
        <v>77</v>
      </c>
      <c r="H459" s="34">
        <v>3.7</v>
      </c>
      <c r="I459" s="35" t="s">
        <v>8</v>
      </c>
      <c r="J459" s="35" t="s">
        <v>910</v>
      </c>
      <c r="K459" s="37">
        <v>900</v>
      </c>
      <c r="L459" s="37">
        <v>83</v>
      </c>
      <c r="M459" s="37">
        <v>133</v>
      </c>
    </row>
    <row r="460" spans="2:13" x14ac:dyDescent="0.25">
      <c r="B460" s="48" t="s">
        <v>4276</v>
      </c>
      <c r="C460" s="32">
        <v>24</v>
      </c>
      <c r="D460" s="32">
        <v>24</v>
      </c>
      <c r="E460" s="32">
        <v>1.4</v>
      </c>
      <c r="F460" s="32">
        <v>1.4</v>
      </c>
      <c r="G460" s="32">
        <v>77</v>
      </c>
      <c r="H460" s="32">
        <v>5.59</v>
      </c>
      <c r="I460" s="33" t="s">
        <v>8</v>
      </c>
      <c r="J460" s="33" t="s">
        <v>910</v>
      </c>
      <c r="K460" s="36">
        <v>620</v>
      </c>
      <c r="L460" s="36">
        <v>83</v>
      </c>
      <c r="M460" s="36">
        <v>88.5</v>
      </c>
    </row>
    <row r="461" spans="2:13" x14ac:dyDescent="0.25">
      <c r="B461" s="49" t="s">
        <v>4388</v>
      </c>
      <c r="C461" s="34">
        <v>24</v>
      </c>
      <c r="D461" s="34">
        <v>24</v>
      </c>
      <c r="E461" s="34">
        <v>1.8</v>
      </c>
      <c r="F461" s="34">
        <v>1.8</v>
      </c>
      <c r="G461" s="34">
        <v>72</v>
      </c>
      <c r="H461" s="34">
        <v>5</v>
      </c>
      <c r="I461" s="35" t="s">
        <v>8</v>
      </c>
      <c r="J461" s="35" t="s">
        <v>910</v>
      </c>
      <c r="K461" s="37">
        <v>355</v>
      </c>
      <c r="L461" s="37">
        <v>77.5</v>
      </c>
      <c r="M461" s="37">
        <v>83</v>
      </c>
    </row>
    <row r="462" spans="2:13" x14ac:dyDescent="0.25">
      <c r="B462" s="48" t="s">
        <v>4325</v>
      </c>
      <c r="C462" s="32">
        <v>28</v>
      </c>
      <c r="D462" s="32">
        <v>28</v>
      </c>
      <c r="E462" s="32">
        <v>1.4</v>
      </c>
      <c r="F462" s="32">
        <v>1.4</v>
      </c>
      <c r="G462" s="32">
        <v>77</v>
      </c>
      <c r="H462" s="32">
        <v>5.88</v>
      </c>
      <c r="I462" s="33" t="s">
        <v>8</v>
      </c>
      <c r="J462" s="33" t="s">
        <v>910</v>
      </c>
      <c r="K462" s="36">
        <v>645</v>
      </c>
      <c r="L462" s="36">
        <v>83</v>
      </c>
      <c r="M462" s="36">
        <v>100.5</v>
      </c>
    </row>
    <row r="463" spans="2:13" x14ac:dyDescent="0.25">
      <c r="B463" s="49" t="s">
        <v>2700</v>
      </c>
      <c r="C463" s="34">
        <v>28</v>
      </c>
      <c r="D463" s="34">
        <v>28</v>
      </c>
      <c r="E463" s="34">
        <v>1.8</v>
      </c>
      <c r="F463" s="34">
        <v>1.8</v>
      </c>
      <c r="G463" s="34">
        <v>67</v>
      </c>
      <c r="H463" s="34">
        <v>4.55</v>
      </c>
      <c r="I463" s="35" t="s">
        <v>8</v>
      </c>
      <c r="J463" s="35" t="s">
        <v>910</v>
      </c>
      <c r="K463" s="37">
        <v>330</v>
      </c>
      <c r="L463" s="37">
        <v>73</v>
      </c>
      <c r="M463" s="37">
        <v>80.5</v>
      </c>
    </row>
    <row r="464" spans="2:13" x14ac:dyDescent="0.25">
      <c r="B464" s="48" t="s">
        <v>3954</v>
      </c>
      <c r="C464" s="32">
        <v>300</v>
      </c>
      <c r="D464" s="32">
        <v>300</v>
      </c>
      <c r="E464" s="32">
        <v>4</v>
      </c>
      <c r="F464" s="32">
        <v>4</v>
      </c>
      <c r="G464" s="32">
        <v>77</v>
      </c>
      <c r="H464" s="32">
        <v>3.7</v>
      </c>
      <c r="I464" s="33" t="s">
        <v>8</v>
      </c>
      <c r="J464" s="33" t="s">
        <v>910</v>
      </c>
      <c r="K464" s="36">
        <v>1440</v>
      </c>
      <c r="L464" s="36">
        <v>90</v>
      </c>
      <c r="M464" s="36">
        <v>222.5</v>
      </c>
    </row>
    <row r="465" spans="2:13" x14ac:dyDescent="0.25">
      <c r="B465" s="49" t="s">
        <v>4387</v>
      </c>
      <c r="C465" s="34">
        <v>35</v>
      </c>
      <c r="D465" s="34">
        <v>35</v>
      </c>
      <c r="E465" s="34">
        <v>1.4</v>
      </c>
      <c r="F465" s="34">
        <v>1.4</v>
      </c>
      <c r="G465" s="34">
        <v>67</v>
      </c>
      <c r="H465" s="34">
        <v>5</v>
      </c>
      <c r="I465" s="35" t="s">
        <v>8</v>
      </c>
      <c r="J465" s="35" t="s">
        <v>910</v>
      </c>
      <c r="K465" s="37">
        <v>600</v>
      </c>
      <c r="L465" s="37">
        <v>83</v>
      </c>
      <c r="M465" s="37">
        <v>89.5</v>
      </c>
    </row>
    <row r="466" spans="2:13" x14ac:dyDescent="0.25">
      <c r="B466" s="48" t="s">
        <v>4417</v>
      </c>
      <c r="C466" s="32">
        <v>35</v>
      </c>
      <c r="D466" s="32">
        <v>35</v>
      </c>
      <c r="E466" s="32">
        <v>1.8</v>
      </c>
      <c r="F466" s="32">
        <v>1.8</v>
      </c>
      <c r="G466" s="32">
        <v>58</v>
      </c>
      <c r="H466" s="32">
        <v>4.2</v>
      </c>
      <c r="I466" s="33" t="s">
        <v>8</v>
      </c>
      <c r="J466" s="33" t="s">
        <v>910</v>
      </c>
      <c r="K466" s="36">
        <v>305</v>
      </c>
      <c r="L466" s="36">
        <v>72</v>
      </c>
      <c r="M466" s="36">
        <v>71.5</v>
      </c>
    </row>
    <row r="467" spans="2:13" x14ac:dyDescent="0.25">
      <c r="B467" s="49" t="s">
        <v>4471</v>
      </c>
      <c r="C467" s="34">
        <v>50</v>
      </c>
      <c r="D467" s="34">
        <v>50</v>
      </c>
      <c r="E467" s="34">
        <v>1.4</v>
      </c>
      <c r="F467" s="34">
        <v>1.4</v>
      </c>
      <c r="G467" s="34">
        <v>58</v>
      </c>
      <c r="H467" s="34">
        <v>6.7</v>
      </c>
      <c r="I467" s="35" t="s">
        <v>8</v>
      </c>
      <c r="J467" s="35" t="s">
        <v>910</v>
      </c>
      <c r="K467" s="37">
        <v>280</v>
      </c>
      <c r="L467" s="37">
        <v>73.5</v>
      </c>
      <c r="M467" s="37">
        <v>54</v>
      </c>
    </row>
    <row r="468" spans="2:13" x14ac:dyDescent="0.25">
      <c r="B468" s="48" t="s">
        <v>4490</v>
      </c>
      <c r="C468" s="32">
        <v>50</v>
      </c>
      <c r="D468" s="32">
        <v>50</v>
      </c>
      <c r="E468" s="32">
        <v>1.8</v>
      </c>
      <c r="F468" s="32">
        <v>1.8</v>
      </c>
      <c r="G468" s="32">
        <v>58</v>
      </c>
      <c r="H468" s="32">
        <v>6.7</v>
      </c>
      <c r="I468" s="33" t="s">
        <v>8</v>
      </c>
      <c r="J468" s="33" t="s">
        <v>910</v>
      </c>
      <c r="K468" s="36">
        <v>185</v>
      </c>
      <c r="L468" s="36">
        <v>72</v>
      </c>
      <c r="M468" s="36">
        <v>52.5</v>
      </c>
    </row>
    <row r="469" spans="2:13" x14ac:dyDescent="0.25">
      <c r="B469" s="49" t="s">
        <v>4324</v>
      </c>
      <c r="C469" s="34">
        <v>50</v>
      </c>
      <c r="D469" s="34">
        <v>50</v>
      </c>
      <c r="E469" s="34">
        <v>1.8</v>
      </c>
      <c r="F469" s="34">
        <v>1.8</v>
      </c>
      <c r="G469" s="34">
        <v>58</v>
      </c>
      <c r="H469" s="34">
        <v>6.7</v>
      </c>
      <c r="I469" s="35" t="s">
        <v>8</v>
      </c>
      <c r="J469" s="35" t="s">
        <v>910</v>
      </c>
      <c r="K469" s="37">
        <v>190</v>
      </c>
      <c r="L469" s="37">
        <v>73</v>
      </c>
      <c r="M469" s="37">
        <v>52.5</v>
      </c>
    </row>
    <row r="470" spans="2:13" x14ac:dyDescent="0.25">
      <c r="B470" s="48" t="s">
        <v>2699</v>
      </c>
      <c r="C470" s="32">
        <v>58</v>
      </c>
      <c r="D470" s="32">
        <v>58</v>
      </c>
      <c r="E470" s="32">
        <v>1.4</v>
      </c>
      <c r="F470" s="32">
        <v>1.4</v>
      </c>
      <c r="G470" s="32">
        <v>72</v>
      </c>
      <c r="H470" s="32">
        <v>7.7</v>
      </c>
      <c r="I470" s="33" t="s">
        <v>8</v>
      </c>
      <c r="J470" s="33" t="s">
        <v>910</v>
      </c>
      <c r="K470" s="36">
        <v>385</v>
      </c>
      <c r="L470" s="36">
        <v>85</v>
      </c>
      <c r="M470" s="36">
        <v>70</v>
      </c>
    </row>
    <row r="471" spans="2:13" x14ac:dyDescent="0.25">
      <c r="B471" s="49" t="s">
        <v>4419</v>
      </c>
      <c r="C471" s="34">
        <v>8</v>
      </c>
      <c r="D471" s="34">
        <v>15</v>
      </c>
      <c r="E471" s="34">
        <v>3.5</v>
      </c>
      <c r="F471" s="34">
        <v>3.5</v>
      </c>
      <c r="G471" s="34">
        <v>0</v>
      </c>
      <c r="H471" s="34">
        <v>2.94</v>
      </c>
      <c r="I471" s="35" t="s">
        <v>8</v>
      </c>
      <c r="J471" s="35" t="s">
        <v>910</v>
      </c>
      <c r="K471" s="37">
        <v>485</v>
      </c>
      <c r="L471" s="37">
        <v>77.5</v>
      </c>
      <c r="M471" s="37">
        <v>83</v>
      </c>
    </row>
    <row r="472" spans="2:13" x14ac:dyDescent="0.25">
      <c r="B472" s="48" t="s">
        <v>2644</v>
      </c>
      <c r="C472" s="32">
        <v>85</v>
      </c>
      <c r="D472" s="32">
        <v>85</v>
      </c>
      <c r="E472" s="32">
        <v>1.4</v>
      </c>
      <c r="F472" s="32">
        <v>1.4</v>
      </c>
      <c r="G472" s="32">
        <v>77</v>
      </c>
      <c r="H472" s="32">
        <v>8.33</v>
      </c>
      <c r="I472" s="33" t="s">
        <v>8</v>
      </c>
      <c r="J472" s="33" t="s">
        <v>910</v>
      </c>
      <c r="K472" s="36">
        <v>595</v>
      </c>
      <c r="L472" s="36">
        <v>86.5</v>
      </c>
      <c r="M472" s="36">
        <v>84</v>
      </c>
    </row>
    <row r="473" spans="2:13" x14ac:dyDescent="0.25">
      <c r="B473" s="49" t="s">
        <v>4463</v>
      </c>
      <c r="C473" s="34">
        <v>85</v>
      </c>
      <c r="D473" s="34">
        <v>85</v>
      </c>
      <c r="E473" s="34">
        <v>1.8</v>
      </c>
      <c r="F473" s="34">
        <v>1.8</v>
      </c>
      <c r="G473" s="34">
        <v>67</v>
      </c>
      <c r="H473" s="34">
        <v>8</v>
      </c>
      <c r="I473" s="35" t="s">
        <v>8</v>
      </c>
      <c r="J473" s="35" t="s">
        <v>910</v>
      </c>
      <c r="K473" s="37">
        <v>350</v>
      </c>
      <c r="L473" s="37">
        <v>80</v>
      </c>
      <c r="M473" s="37">
        <v>73</v>
      </c>
    </row>
    <row r="474" spans="2:13" x14ac:dyDescent="0.25">
      <c r="B474" s="48" t="s">
        <v>2643</v>
      </c>
      <c r="C474" s="32">
        <v>10</v>
      </c>
      <c r="D474" s="32">
        <v>24</v>
      </c>
      <c r="E474" s="32">
        <v>3.5</v>
      </c>
      <c r="F474" s="32">
        <v>3.5</v>
      </c>
      <c r="G474" s="32">
        <v>77</v>
      </c>
      <c r="H474" s="32">
        <v>5</v>
      </c>
      <c r="I474" s="33" t="s">
        <v>8</v>
      </c>
      <c r="J474" s="33" t="s">
        <v>900</v>
      </c>
      <c r="K474" s="36">
        <v>460</v>
      </c>
      <c r="L474" s="36">
        <v>82.5</v>
      </c>
      <c r="M474" s="36">
        <v>87</v>
      </c>
    </row>
    <row r="475" spans="2:13" x14ac:dyDescent="0.25">
      <c r="B475" s="49" t="s">
        <v>4275</v>
      </c>
      <c r="C475" s="34">
        <v>12</v>
      </c>
      <c r="D475" s="34">
        <v>24</v>
      </c>
      <c r="E475" s="34">
        <v>4</v>
      </c>
      <c r="F475" s="34">
        <v>4</v>
      </c>
      <c r="G475" s="34">
        <v>77</v>
      </c>
      <c r="H475" s="34">
        <v>8.33</v>
      </c>
      <c r="I475" s="35" t="s">
        <v>8</v>
      </c>
      <c r="J475" s="35" t="s">
        <v>900</v>
      </c>
      <c r="K475" s="37">
        <v>485</v>
      </c>
      <c r="L475" s="37">
        <v>82.5</v>
      </c>
      <c r="M475" s="37">
        <v>90</v>
      </c>
    </row>
    <row r="476" spans="2:13" x14ac:dyDescent="0.25">
      <c r="B476" s="48" t="s">
        <v>2698</v>
      </c>
      <c r="C476" s="32">
        <v>17</v>
      </c>
      <c r="D476" s="32">
        <v>55</v>
      </c>
      <c r="E476" s="32">
        <v>2.8</v>
      </c>
      <c r="F476" s="32">
        <v>2.8</v>
      </c>
      <c r="G476" s="32">
        <v>77</v>
      </c>
      <c r="H476" s="32">
        <v>4.76</v>
      </c>
      <c r="I476" s="33" t="s">
        <v>8</v>
      </c>
      <c r="J476" s="33" t="s">
        <v>900</v>
      </c>
      <c r="K476" s="36">
        <v>755</v>
      </c>
      <c r="L476" s="36">
        <v>85.5</v>
      </c>
      <c r="M476" s="36">
        <v>110.5</v>
      </c>
    </row>
    <row r="477" spans="2:13" x14ac:dyDescent="0.25">
      <c r="B477" s="49" t="s">
        <v>3953</v>
      </c>
      <c r="C477" s="34">
        <v>18</v>
      </c>
      <c r="D477" s="34">
        <v>135</v>
      </c>
      <c r="E477" s="34">
        <v>3.5</v>
      </c>
      <c r="F477" s="34">
        <v>3.5</v>
      </c>
      <c r="G477" s="34">
        <v>67</v>
      </c>
      <c r="H477" s="34">
        <v>4.17</v>
      </c>
      <c r="I477" s="35" t="s">
        <v>8</v>
      </c>
      <c r="J477" s="35" t="s">
        <v>900</v>
      </c>
      <c r="K477" s="37">
        <v>385</v>
      </c>
      <c r="L477" s="37">
        <v>73.5</v>
      </c>
      <c r="M477" s="37">
        <v>86.5</v>
      </c>
    </row>
    <row r="478" spans="2:13" x14ac:dyDescent="0.25">
      <c r="B478" s="48" t="s">
        <v>3952</v>
      </c>
      <c r="C478" s="32">
        <v>18</v>
      </c>
      <c r="D478" s="32">
        <v>55</v>
      </c>
      <c r="E478" s="32">
        <v>3.5</v>
      </c>
      <c r="F478" s="32">
        <v>3.5</v>
      </c>
      <c r="G478" s="32">
        <v>52</v>
      </c>
      <c r="H478" s="32">
        <v>3.23</v>
      </c>
      <c r="I478" s="33" t="s">
        <v>8</v>
      </c>
      <c r="J478" s="33" t="s">
        <v>900</v>
      </c>
      <c r="K478" s="36">
        <v>205</v>
      </c>
      <c r="L478" s="36">
        <v>70.5</v>
      </c>
      <c r="M478" s="36">
        <v>74</v>
      </c>
    </row>
    <row r="479" spans="2:13" x14ac:dyDescent="0.25">
      <c r="B479" s="49" t="s">
        <v>2553</v>
      </c>
      <c r="C479" s="34">
        <v>35</v>
      </c>
      <c r="D479" s="34">
        <v>35</v>
      </c>
      <c r="E479" s="34">
        <v>1.8</v>
      </c>
      <c r="F479" s="34">
        <v>1.8</v>
      </c>
      <c r="G479" s="34">
        <v>52</v>
      </c>
      <c r="H479" s="34">
        <v>0</v>
      </c>
      <c r="I479" s="35" t="s">
        <v>8</v>
      </c>
      <c r="J479" s="35" t="s">
        <v>900</v>
      </c>
      <c r="K479" s="37">
        <v>210</v>
      </c>
      <c r="L479" s="37">
        <v>70</v>
      </c>
      <c r="M479" s="37">
        <v>52.5</v>
      </c>
    </row>
    <row r="480" spans="2:13" x14ac:dyDescent="0.25">
      <c r="B480" s="48" t="s">
        <v>3951</v>
      </c>
      <c r="C480" s="32">
        <v>55</v>
      </c>
      <c r="D480" s="32">
        <v>200</v>
      </c>
      <c r="E480" s="32">
        <v>4</v>
      </c>
      <c r="F480" s="32">
        <v>4</v>
      </c>
      <c r="G480" s="32">
        <v>52</v>
      </c>
      <c r="H480" s="32">
        <v>0</v>
      </c>
      <c r="I480" s="33" t="s">
        <v>8</v>
      </c>
      <c r="J480" s="33" t="s">
        <v>900</v>
      </c>
      <c r="K480" s="36">
        <v>255</v>
      </c>
      <c r="L480" s="36">
        <v>68</v>
      </c>
      <c r="M480" s="36">
        <v>79</v>
      </c>
    </row>
    <row r="481" spans="2:13" x14ac:dyDescent="0.25">
      <c r="B481" s="49" t="s">
        <v>2656</v>
      </c>
      <c r="C481" s="34">
        <v>40</v>
      </c>
      <c r="D481" s="34">
        <v>40</v>
      </c>
      <c r="E481" s="34">
        <v>2.8</v>
      </c>
      <c r="F481" s="34">
        <v>2.8</v>
      </c>
      <c r="G481" s="34">
        <v>52</v>
      </c>
      <c r="H481" s="34">
        <v>1</v>
      </c>
      <c r="I481" s="35" t="s">
        <v>8</v>
      </c>
      <c r="J481" s="35" t="s">
        <v>900</v>
      </c>
      <c r="K481" s="37">
        <v>235</v>
      </c>
      <c r="L481" s="37">
        <v>68.5</v>
      </c>
      <c r="M481" s="37">
        <v>64.5</v>
      </c>
    </row>
    <row r="482" spans="2:13" x14ac:dyDescent="0.25">
      <c r="B482" s="48" t="s">
        <v>4323</v>
      </c>
      <c r="C482" s="32">
        <v>60</v>
      </c>
      <c r="D482" s="32">
        <v>60</v>
      </c>
      <c r="E482" s="32">
        <v>2.8</v>
      </c>
      <c r="F482" s="32">
        <v>2.8</v>
      </c>
      <c r="G482" s="32">
        <v>62</v>
      </c>
      <c r="H482" s="32">
        <v>1</v>
      </c>
      <c r="I482" s="33" t="s">
        <v>8</v>
      </c>
      <c r="J482" s="33" t="s">
        <v>910</v>
      </c>
      <c r="K482" s="36">
        <v>425</v>
      </c>
      <c r="L482" s="36">
        <v>73</v>
      </c>
      <c r="M482" s="36">
        <v>89</v>
      </c>
    </row>
    <row r="483" spans="2:13" x14ac:dyDescent="0.25">
      <c r="B483" s="49" t="s">
        <v>4386</v>
      </c>
      <c r="C483" s="34">
        <v>16</v>
      </c>
      <c r="D483" s="34">
        <v>35</v>
      </c>
      <c r="E483" s="34">
        <v>4</v>
      </c>
      <c r="F483" s="34">
        <v>4</v>
      </c>
      <c r="G483" s="34">
        <v>77</v>
      </c>
      <c r="H483" s="34">
        <v>4</v>
      </c>
      <c r="I483" s="35" t="s">
        <v>8</v>
      </c>
      <c r="J483" s="35" t="s">
        <v>910</v>
      </c>
      <c r="K483" s="37">
        <v>685</v>
      </c>
      <c r="L483" s="37">
        <v>82.5</v>
      </c>
      <c r="M483" s="37">
        <v>125</v>
      </c>
    </row>
    <row r="484" spans="2:13" x14ac:dyDescent="0.25">
      <c r="B484" s="48" t="s">
        <v>4180</v>
      </c>
      <c r="C484" s="32">
        <v>200</v>
      </c>
      <c r="D484" s="32">
        <v>400</v>
      </c>
      <c r="E484" s="32">
        <v>4</v>
      </c>
      <c r="F484" s="32">
        <v>4</v>
      </c>
      <c r="G484" s="32">
        <v>52</v>
      </c>
      <c r="H484" s="32">
        <v>3.7</v>
      </c>
      <c r="I484" s="33" t="s">
        <v>8</v>
      </c>
      <c r="J484" s="33" t="s">
        <v>910</v>
      </c>
      <c r="K484" s="36">
        <v>3360</v>
      </c>
      <c r="L484" s="36">
        <v>124</v>
      </c>
      <c r="M484" s="36">
        <v>365.5</v>
      </c>
    </row>
    <row r="485" spans="2:13" x14ac:dyDescent="0.25">
      <c r="B485" s="49" t="s">
        <v>2520</v>
      </c>
      <c r="C485" s="34">
        <v>200</v>
      </c>
      <c r="D485" s="34">
        <v>500</v>
      </c>
      <c r="E485" s="34">
        <v>5.6</v>
      </c>
      <c r="F485" s="34">
        <v>5.6</v>
      </c>
      <c r="G485" s="34">
        <v>95</v>
      </c>
      <c r="H485" s="34">
        <v>4.5</v>
      </c>
      <c r="I485" s="35" t="s">
        <v>8</v>
      </c>
      <c r="J485" s="35" t="s">
        <v>910</v>
      </c>
      <c r="K485" s="37">
        <v>2300</v>
      </c>
      <c r="L485" s="37">
        <v>108</v>
      </c>
      <c r="M485" s="37">
        <v>267.5</v>
      </c>
    </row>
    <row r="486" spans="2:13" x14ac:dyDescent="0.25">
      <c r="B486" s="48" t="s">
        <v>4179</v>
      </c>
      <c r="C486" s="32">
        <v>200</v>
      </c>
      <c r="D486" s="32">
        <v>200</v>
      </c>
      <c r="E486" s="32">
        <v>2</v>
      </c>
      <c r="F486" s="32">
        <v>2</v>
      </c>
      <c r="G486" s="32">
        <v>52</v>
      </c>
      <c r="H486" s="32">
        <v>8.33</v>
      </c>
      <c r="I486" s="33" t="s">
        <v>8</v>
      </c>
      <c r="J486" s="33" t="s">
        <v>910</v>
      </c>
      <c r="K486" s="36">
        <v>2930</v>
      </c>
      <c r="L486" s="36">
        <v>124</v>
      </c>
      <c r="M486" s="36">
        <v>203.5</v>
      </c>
    </row>
    <row r="487" spans="2:13" x14ac:dyDescent="0.25">
      <c r="B487" s="49" t="s">
        <v>4462</v>
      </c>
      <c r="C487" s="34">
        <v>24</v>
      </c>
      <c r="D487" s="34">
        <v>120</v>
      </c>
      <c r="E487" s="34">
        <v>4</v>
      </c>
      <c r="F487" s="34">
        <v>4</v>
      </c>
      <c r="G487" s="34">
        <v>77</v>
      </c>
      <c r="H487" s="34">
        <v>4.17</v>
      </c>
      <c r="I487" s="35" t="s">
        <v>8</v>
      </c>
      <c r="J487" s="35" t="s">
        <v>910</v>
      </c>
      <c r="K487" s="37">
        <v>710</v>
      </c>
      <c r="L487" s="37">
        <v>84</v>
      </c>
      <c r="M487" s="37">
        <v>103.5</v>
      </c>
    </row>
    <row r="488" spans="2:13" x14ac:dyDescent="0.25">
      <c r="B488" s="48" t="s">
        <v>4473</v>
      </c>
      <c r="C488" s="32">
        <v>24</v>
      </c>
      <c r="D488" s="32">
        <v>70</v>
      </c>
      <c r="E488" s="32">
        <v>2.8</v>
      </c>
      <c r="F488" s="32">
        <v>2.8</v>
      </c>
      <c r="G488" s="32">
        <v>82</v>
      </c>
      <c r="H488" s="32">
        <v>3.6</v>
      </c>
      <c r="I488" s="33" t="s">
        <v>8</v>
      </c>
      <c r="J488" s="33" t="s">
        <v>910</v>
      </c>
      <c r="K488" s="36">
        <v>1070</v>
      </c>
      <c r="L488" s="36">
        <v>88</v>
      </c>
      <c r="M488" s="36">
        <v>154.5</v>
      </c>
    </row>
    <row r="489" spans="2:13" x14ac:dyDescent="0.25">
      <c r="B489" s="49" t="s">
        <v>4385</v>
      </c>
      <c r="C489" s="34">
        <v>24</v>
      </c>
      <c r="D489" s="34">
        <v>85</v>
      </c>
      <c r="E489" s="34">
        <v>3.5</v>
      </c>
      <c r="F489" s="34">
        <v>3.5</v>
      </c>
      <c r="G489" s="34">
        <v>72</v>
      </c>
      <c r="H489" s="34">
        <v>4.5</v>
      </c>
      <c r="I489" s="35" t="s">
        <v>8</v>
      </c>
      <c r="J489" s="35" t="s">
        <v>910</v>
      </c>
      <c r="K489" s="37">
        <v>465</v>
      </c>
      <c r="L489" s="37">
        <v>78</v>
      </c>
      <c r="M489" s="37">
        <v>82</v>
      </c>
    </row>
    <row r="490" spans="2:13" x14ac:dyDescent="0.25">
      <c r="B490" s="48" t="s">
        <v>2697</v>
      </c>
      <c r="C490" s="32">
        <v>28</v>
      </c>
      <c r="D490" s="32">
        <v>300</v>
      </c>
      <c r="E490" s="32">
        <v>3.5</v>
      </c>
      <c r="F490" s="32">
        <v>3.5</v>
      </c>
      <c r="G490" s="32">
        <v>77</v>
      </c>
      <c r="H490" s="32">
        <v>3.13</v>
      </c>
      <c r="I490" s="33" t="s">
        <v>8</v>
      </c>
      <c r="J490" s="33" t="s">
        <v>910</v>
      </c>
      <c r="K490" s="36">
        <v>800</v>
      </c>
      <c r="L490" s="36">
        <v>83</v>
      </c>
      <c r="M490" s="36">
        <v>114.5</v>
      </c>
    </row>
    <row r="491" spans="2:13" x14ac:dyDescent="0.25">
      <c r="B491" s="49" t="s">
        <v>3950</v>
      </c>
      <c r="C491" s="34">
        <v>300</v>
      </c>
      <c r="D491" s="34">
        <v>300</v>
      </c>
      <c r="E491" s="34">
        <v>2.8</v>
      </c>
      <c r="F491" s="34">
        <v>2.8</v>
      </c>
      <c r="G491" s="34">
        <v>52</v>
      </c>
      <c r="H491" s="34">
        <v>6.25</v>
      </c>
      <c r="I491" s="35" t="s">
        <v>8</v>
      </c>
      <c r="J491" s="35" t="s">
        <v>910</v>
      </c>
      <c r="K491" s="37">
        <v>2900</v>
      </c>
      <c r="L491" s="37">
        <v>124</v>
      </c>
      <c r="M491" s="37">
        <v>267.5</v>
      </c>
    </row>
    <row r="492" spans="2:13" x14ac:dyDescent="0.25">
      <c r="B492" s="48" t="s">
        <v>4451</v>
      </c>
      <c r="C492" s="32">
        <v>300</v>
      </c>
      <c r="D492" s="32">
        <v>300</v>
      </c>
      <c r="E492" s="32">
        <v>4</v>
      </c>
      <c r="F492" s="32">
        <v>4</v>
      </c>
      <c r="G492" s="32">
        <v>77</v>
      </c>
      <c r="H492" s="32">
        <v>4.2</v>
      </c>
      <c r="I492" s="33" t="s">
        <v>8</v>
      </c>
      <c r="J492" s="33" t="s">
        <v>910</v>
      </c>
      <c r="K492" s="36">
        <v>755</v>
      </c>
      <c r="L492" s="36">
        <v>89</v>
      </c>
      <c r="M492" s="36">
        <v>147.5</v>
      </c>
    </row>
    <row r="493" spans="2:13" x14ac:dyDescent="0.25">
      <c r="B493" s="49" t="s">
        <v>4321</v>
      </c>
      <c r="C493" s="34">
        <v>400</v>
      </c>
      <c r="D493" s="34">
        <v>400</v>
      </c>
      <c r="E493" s="34">
        <v>2.8</v>
      </c>
      <c r="F493" s="34">
        <v>2.8</v>
      </c>
      <c r="G493" s="34">
        <v>40.5</v>
      </c>
      <c r="H493" s="34">
        <v>6.3</v>
      </c>
      <c r="I493" s="35" t="s">
        <v>8</v>
      </c>
      <c r="J493" s="35" t="s">
        <v>910</v>
      </c>
      <c r="K493" s="37">
        <v>3800</v>
      </c>
      <c r="L493" s="37">
        <v>159.5</v>
      </c>
      <c r="M493" s="37">
        <v>358</v>
      </c>
    </row>
    <row r="494" spans="2:13" x14ac:dyDescent="0.25">
      <c r="B494" s="48" t="s">
        <v>3949</v>
      </c>
      <c r="C494" s="32">
        <v>400</v>
      </c>
      <c r="D494" s="32">
        <v>400</v>
      </c>
      <c r="E494" s="32">
        <v>2.8</v>
      </c>
      <c r="F494" s="32">
        <v>2.8</v>
      </c>
      <c r="G494" s="32">
        <v>52</v>
      </c>
      <c r="H494" s="32">
        <v>6.3</v>
      </c>
      <c r="I494" s="33" t="s">
        <v>8</v>
      </c>
      <c r="J494" s="33" t="s">
        <v>910</v>
      </c>
      <c r="K494" s="36">
        <v>4620</v>
      </c>
      <c r="L494" s="36">
        <v>159.5</v>
      </c>
      <c r="M494" s="36">
        <v>368</v>
      </c>
    </row>
    <row r="495" spans="2:13" x14ac:dyDescent="0.25">
      <c r="B495" s="49" t="s">
        <v>4320</v>
      </c>
      <c r="C495" s="34">
        <v>500</v>
      </c>
      <c r="D495" s="34">
        <v>500</v>
      </c>
      <c r="E495" s="34">
        <v>4</v>
      </c>
      <c r="F495" s="34">
        <v>4</v>
      </c>
      <c r="G495" s="34">
        <v>40.5</v>
      </c>
      <c r="H495" s="34">
        <v>6.7</v>
      </c>
      <c r="I495" s="35" t="s">
        <v>8</v>
      </c>
      <c r="J495" s="35" t="s">
        <v>910</v>
      </c>
      <c r="K495" s="37">
        <v>3090</v>
      </c>
      <c r="L495" s="37">
        <v>140</v>
      </c>
      <c r="M495" s="37">
        <v>387</v>
      </c>
    </row>
    <row r="496" spans="2:13" x14ac:dyDescent="0.25">
      <c r="B496" s="48" t="s">
        <v>4178</v>
      </c>
      <c r="C496" s="32">
        <v>500</v>
      </c>
      <c r="D496" s="32">
        <v>500</v>
      </c>
      <c r="E496" s="32">
        <v>4</v>
      </c>
      <c r="F496" s="32">
        <v>4</v>
      </c>
      <c r="G496" s="32">
        <v>52</v>
      </c>
      <c r="H496" s="32">
        <v>6.9</v>
      </c>
      <c r="I496" s="33" t="s">
        <v>8</v>
      </c>
      <c r="J496" s="33" t="s">
        <v>910</v>
      </c>
      <c r="K496" s="36">
        <v>3880</v>
      </c>
      <c r="L496" s="36">
        <v>139.5</v>
      </c>
      <c r="M496" s="36">
        <v>391</v>
      </c>
    </row>
    <row r="497" spans="2:13" x14ac:dyDescent="0.25">
      <c r="B497" s="49" t="s">
        <v>4177</v>
      </c>
      <c r="C497" s="34">
        <v>600</v>
      </c>
      <c r="D497" s="34">
        <v>600</v>
      </c>
      <c r="E497" s="34">
        <v>4</v>
      </c>
      <c r="F497" s="34">
        <v>4</v>
      </c>
      <c r="G497" s="34">
        <v>40.5</v>
      </c>
      <c r="H497" s="34">
        <v>7.1</v>
      </c>
      <c r="I497" s="35" t="s">
        <v>8</v>
      </c>
      <c r="J497" s="35" t="s">
        <v>910</v>
      </c>
      <c r="K497" s="37">
        <v>3810</v>
      </c>
      <c r="L497" s="37">
        <v>166</v>
      </c>
      <c r="M497" s="37">
        <v>432</v>
      </c>
    </row>
    <row r="498" spans="2:13" x14ac:dyDescent="0.25">
      <c r="B498" s="48" t="s">
        <v>4274</v>
      </c>
      <c r="C498" s="32">
        <v>600</v>
      </c>
      <c r="D498" s="32">
        <v>600</v>
      </c>
      <c r="E498" s="32">
        <v>4</v>
      </c>
      <c r="F498" s="32">
        <v>4</v>
      </c>
      <c r="G498" s="32">
        <v>52</v>
      </c>
      <c r="H498" s="32">
        <v>7.4</v>
      </c>
      <c r="I498" s="33" t="s">
        <v>8</v>
      </c>
      <c r="J498" s="33" t="s">
        <v>910</v>
      </c>
      <c r="K498" s="36">
        <v>5060</v>
      </c>
      <c r="L498" s="36">
        <v>166</v>
      </c>
      <c r="M498" s="36">
        <v>445</v>
      </c>
    </row>
    <row r="499" spans="2:13" x14ac:dyDescent="0.25">
      <c r="B499" s="49" t="s">
        <v>4181</v>
      </c>
      <c r="C499" s="34">
        <v>70</v>
      </c>
      <c r="D499" s="34">
        <v>200</v>
      </c>
      <c r="E499" s="34">
        <v>2.8</v>
      </c>
      <c r="F499" s="34">
        <v>2.8</v>
      </c>
      <c r="G499" s="34">
        <v>77</v>
      </c>
      <c r="H499" s="34">
        <v>4.8</v>
      </c>
      <c r="I499" s="35" t="s">
        <v>8</v>
      </c>
      <c r="J499" s="35" t="s">
        <v>910</v>
      </c>
      <c r="K499" s="37">
        <v>1430</v>
      </c>
      <c r="L499" s="37">
        <v>88.5</v>
      </c>
      <c r="M499" s="37">
        <v>202.5</v>
      </c>
    </row>
    <row r="500" spans="2:13" x14ac:dyDescent="0.25">
      <c r="B500" s="48" t="s">
        <v>4470</v>
      </c>
      <c r="C500" s="32">
        <v>70</v>
      </c>
      <c r="D500" s="32">
        <v>200</v>
      </c>
      <c r="E500" s="32">
        <v>2.8</v>
      </c>
      <c r="F500" s="32">
        <v>2.8</v>
      </c>
      <c r="G500" s="32">
        <v>77</v>
      </c>
      <c r="H500" s="32">
        <v>4.8</v>
      </c>
      <c r="I500" s="33" t="s">
        <v>8</v>
      </c>
      <c r="J500" s="33" t="s">
        <v>910</v>
      </c>
      <c r="K500" s="36">
        <v>1430</v>
      </c>
      <c r="L500" s="36">
        <v>88.5</v>
      </c>
      <c r="M500" s="36">
        <v>202.5</v>
      </c>
    </row>
    <row r="501" spans="2:13" x14ac:dyDescent="0.25">
      <c r="B501" s="49" t="s">
        <v>4364</v>
      </c>
      <c r="C501" s="34">
        <v>70</v>
      </c>
      <c r="D501" s="34">
        <v>200</v>
      </c>
      <c r="E501" s="34">
        <v>2.8</v>
      </c>
      <c r="F501" s="34">
        <v>2.8</v>
      </c>
      <c r="G501" s="34">
        <v>77</v>
      </c>
      <c r="H501" s="34">
        <v>0</v>
      </c>
      <c r="I501" s="35" t="s">
        <v>8</v>
      </c>
      <c r="J501" s="35" t="s">
        <v>910</v>
      </c>
      <c r="K501" s="37">
        <v>1540</v>
      </c>
      <c r="L501" s="37">
        <v>87</v>
      </c>
      <c r="M501" s="37">
        <v>209</v>
      </c>
    </row>
    <row r="502" spans="2:13" x14ac:dyDescent="0.25">
      <c r="B502" s="48" t="s">
        <v>2642</v>
      </c>
      <c r="C502" s="32">
        <v>70</v>
      </c>
      <c r="D502" s="32">
        <v>200</v>
      </c>
      <c r="E502" s="32">
        <v>4</v>
      </c>
      <c r="F502" s="32">
        <v>4</v>
      </c>
      <c r="G502" s="32">
        <v>67</v>
      </c>
      <c r="H502" s="32">
        <v>3.65</v>
      </c>
      <c r="I502" s="33" t="s">
        <v>8</v>
      </c>
      <c r="J502" s="33" t="s">
        <v>910</v>
      </c>
      <c r="K502" s="36">
        <v>850</v>
      </c>
      <c r="L502" s="36">
        <v>78</v>
      </c>
      <c r="M502" s="36">
        <v>179</v>
      </c>
    </row>
    <row r="503" spans="2:13" x14ac:dyDescent="0.25">
      <c r="B503" s="49" t="s">
        <v>4322</v>
      </c>
      <c r="C503" s="34">
        <v>70</v>
      </c>
      <c r="D503" s="34">
        <v>300</v>
      </c>
      <c r="E503" s="34">
        <v>4.5</v>
      </c>
      <c r="F503" s="34">
        <v>4.5</v>
      </c>
      <c r="G503" s="34">
        <v>67</v>
      </c>
      <c r="H503" s="34">
        <v>4</v>
      </c>
      <c r="I503" s="35" t="s">
        <v>8</v>
      </c>
      <c r="J503" s="35" t="s">
        <v>910</v>
      </c>
      <c r="K503" s="37">
        <v>745</v>
      </c>
      <c r="L503" s="37">
        <v>80</v>
      </c>
      <c r="M503" s="37">
        <v>143.5</v>
      </c>
    </row>
    <row r="504" spans="2:13" x14ac:dyDescent="0.25">
      <c r="B504" s="48" t="s">
        <v>4273</v>
      </c>
      <c r="C504" s="32">
        <v>800</v>
      </c>
      <c r="D504" s="32">
        <v>800</v>
      </c>
      <c r="E504" s="32">
        <v>5.6</v>
      </c>
      <c r="F504" s="32">
        <v>5.6</v>
      </c>
      <c r="G504" s="32">
        <v>52</v>
      </c>
      <c r="H504" s="32">
        <v>6.7</v>
      </c>
      <c r="I504" s="33" t="s">
        <v>8</v>
      </c>
      <c r="J504" s="33" t="s">
        <v>910</v>
      </c>
      <c r="K504" s="36">
        <v>4590</v>
      </c>
      <c r="L504" s="36">
        <v>160</v>
      </c>
      <c r="M504" s="36">
        <v>461</v>
      </c>
    </row>
    <row r="505" spans="2:13" x14ac:dyDescent="0.25">
      <c r="B505" s="49" t="s">
        <v>4362</v>
      </c>
      <c r="C505" s="34">
        <v>80</v>
      </c>
      <c r="D505" s="34">
        <v>400</v>
      </c>
      <c r="E505" s="34">
        <v>4.5</v>
      </c>
      <c r="F505" s="34">
        <v>4.5</v>
      </c>
      <c r="G505" s="34">
        <v>77</v>
      </c>
      <c r="H505" s="34">
        <v>5</v>
      </c>
      <c r="I505" s="35" t="s">
        <v>8</v>
      </c>
      <c r="J505" s="35" t="s">
        <v>910</v>
      </c>
      <c r="K505" s="37">
        <v>1570</v>
      </c>
      <c r="L505" s="37">
        <v>95.5</v>
      </c>
      <c r="M505" s="37">
        <v>203</v>
      </c>
    </row>
    <row r="506" spans="2:13" x14ac:dyDescent="0.25">
      <c r="B506" s="48" t="s">
        <v>2565</v>
      </c>
      <c r="C506" s="32">
        <v>16</v>
      </c>
      <c r="D506" s="32">
        <v>80</v>
      </c>
      <c r="E506" s="32">
        <v>2.8</v>
      </c>
      <c r="F506" s="32">
        <v>2.8</v>
      </c>
      <c r="G506" s="32">
        <v>72</v>
      </c>
      <c r="H506" s="32">
        <v>4.5</v>
      </c>
      <c r="I506" s="33" t="s">
        <v>8</v>
      </c>
      <c r="J506" s="33" t="s">
        <v>900</v>
      </c>
      <c r="K506" s="36">
        <v>480</v>
      </c>
      <c r="L506" s="36">
        <v>80</v>
      </c>
      <c r="M506" s="36">
        <v>85.5</v>
      </c>
    </row>
    <row r="507" spans="2:13" x14ac:dyDescent="0.25">
      <c r="B507" s="49" t="s">
        <v>2641</v>
      </c>
      <c r="C507" s="34">
        <v>16</v>
      </c>
      <c r="D507" s="34">
        <v>85</v>
      </c>
      <c r="E507" s="34">
        <v>3.5</v>
      </c>
      <c r="F507" s="34">
        <v>3.5</v>
      </c>
      <c r="G507" s="34">
        <v>67</v>
      </c>
      <c r="H507" s="34">
        <v>4.5999999999999996</v>
      </c>
      <c r="I507" s="35" t="s">
        <v>8</v>
      </c>
      <c r="J507" s="35" t="s">
        <v>900</v>
      </c>
      <c r="K507" s="37">
        <v>485</v>
      </c>
      <c r="L507" s="37">
        <v>72</v>
      </c>
      <c r="M507" s="37">
        <v>85</v>
      </c>
    </row>
    <row r="508" spans="2:13" x14ac:dyDescent="0.25">
      <c r="B508" s="48" t="s">
        <v>2572</v>
      </c>
      <c r="C508" s="32">
        <v>18</v>
      </c>
      <c r="D508" s="32">
        <v>105</v>
      </c>
      <c r="E508" s="32">
        <v>3.5</v>
      </c>
      <c r="F508" s="32">
        <v>3.5</v>
      </c>
      <c r="G508" s="32">
        <v>67</v>
      </c>
      <c r="H508" s="32">
        <v>5</v>
      </c>
      <c r="I508" s="33" t="s">
        <v>8</v>
      </c>
      <c r="J508" s="33" t="s">
        <v>900</v>
      </c>
      <c r="K508" s="36">
        <v>420</v>
      </c>
      <c r="L508" s="36">
        <v>76</v>
      </c>
      <c r="M508" s="36">
        <v>89</v>
      </c>
    </row>
    <row r="509" spans="2:13" x14ac:dyDescent="0.25">
      <c r="B509" s="49" t="s">
        <v>2655</v>
      </c>
      <c r="C509" s="34">
        <v>18</v>
      </c>
      <c r="D509" s="34">
        <v>140</v>
      </c>
      <c r="E509" s="34">
        <v>3.5</v>
      </c>
      <c r="F509" s="34">
        <v>3.5</v>
      </c>
      <c r="G509" s="34">
        <v>67</v>
      </c>
      <c r="H509" s="34">
        <v>4.3</v>
      </c>
      <c r="I509" s="35" t="s">
        <v>8</v>
      </c>
      <c r="J509" s="35" t="s">
        <v>900</v>
      </c>
      <c r="K509" s="37">
        <v>490</v>
      </c>
      <c r="L509" s="37">
        <v>78</v>
      </c>
      <c r="M509" s="37">
        <v>97</v>
      </c>
    </row>
    <row r="510" spans="2:13" x14ac:dyDescent="0.25">
      <c r="B510" s="48" t="s">
        <v>4319</v>
      </c>
      <c r="C510" s="32">
        <v>18</v>
      </c>
      <c r="D510" s="32">
        <v>200</v>
      </c>
      <c r="E510" s="32">
        <v>3.5</v>
      </c>
      <c r="F510" s="32">
        <v>3.5</v>
      </c>
      <c r="G510" s="32">
        <v>72</v>
      </c>
      <c r="H510" s="32">
        <v>4.55</v>
      </c>
      <c r="I510" s="33" t="s">
        <v>8</v>
      </c>
      <c r="J510" s="33" t="s">
        <v>900</v>
      </c>
      <c r="K510" s="36">
        <v>565</v>
      </c>
      <c r="L510" s="36">
        <v>77</v>
      </c>
      <c r="M510" s="36">
        <v>96.5</v>
      </c>
    </row>
    <row r="511" spans="2:13" x14ac:dyDescent="0.25">
      <c r="B511" s="49" t="s">
        <v>4318</v>
      </c>
      <c r="C511" s="34">
        <v>18</v>
      </c>
      <c r="D511" s="34">
        <v>200</v>
      </c>
      <c r="E511" s="34">
        <v>3.5</v>
      </c>
      <c r="F511" s="34">
        <v>3.5</v>
      </c>
      <c r="G511" s="34">
        <v>72</v>
      </c>
      <c r="H511" s="34">
        <v>4.55</v>
      </c>
      <c r="I511" s="35" t="s">
        <v>8</v>
      </c>
      <c r="J511" s="35" t="s">
        <v>900</v>
      </c>
      <c r="K511" s="37">
        <v>560</v>
      </c>
      <c r="L511" s="37">
        <v>77</v>
      </c>
      <c r="M511" s="37">
        <v>96.5</v>
      </c>
    </row>
    <row r="512" spans="2:13" x14ac:dyDescent="0.25">
      <c r="B512" s="48" t="s">
        <v>4384</v>
      </c>
      <c r="C512" s="32">
        <v>18</v>
      </c>
      <c r="D512" s="32">
        <v>300</v>
      </c>
      <c r="E512" s="32">
        <v>3.5</v>
      </c>
      <c r="F512" s="32">
        <v>3.5</v>
      </c>
      <c r="G512" s="32">
        <v>77</v>
      </c>
      <c r="H512" s="32">
        <v>3.2</v>
      </c>
      <c r="I512" s="33" t="s">
        <v>8</v>
      </c>
      <c r="J512" s="33" t="s">
        <v>900</v>
      </c>
      <c r="K512" s="36">
        <v>830</v>
      </c>
      <c r="L512" s="36">
        <v>83</v>
      </c>
      <c r="M512" s="36">
        <v>120</v>
      </c>
    </row>
    <row r="513" spans="2:13" x14ac:dyDescent="0.25">
      <c r="B513" s="49" t="s">
        <v>4450</v>
      </c>
      <c r="C513" s="34">
        <v>18</v>
      </c>
      <c r="D513" s="34">
        <v>300</v>
      </c>
      <c r="E513" s="34">
        <v>3.5</v>
      </c>
      <c r="F513" s="34">
        <v>3.5</v>
      </c>
      <c r="G513" s="34">
        <v>67</v>
      </c>
      <c r="H513" s="34">
        <v>0</v>
      </c>
      <c r="I513" s="35" t="s">
        <v>8</v>
      </c>
      <c r="J513" s="35" t="s">
        <v>900</v>
      </c>
      <c r="K513" s="37">
        <v>550</v>
      </c>
      <c r="L513" s="37">
        <v>79</v>
      </c>
      <c r="M513" s="37">
        <v>99</v>
      </c>
    </row>
    <row r="514" spans="2:13" x14ac:dyDescent="0.25">
      <c r="B514" s="48" t="s">
        <v>4176</v>
      </c>
      <c r="C514" s="32">
        <v>18</v>
      </c>
      <c r="D514" s="32">
        <v>55</v>
      </c>
      <c r="E514" s="32">
        <v>3.5</v>
      </c>
      <c r="F514" s="32">
        <v>3.5</v>
      </c>
      <c r="G514" s="32">
        <v>52</v>
      </c>
      <c r="H514" s="32">
        <v>3.2</v>
      </c>
      <c r="I514" s="33" t="s">
        <v>8</v>
      </c>
      <c r="J514" s="33" t="s">
        <v>900</v>
      </c>
      <c r="K514" s="36">
        <v>195</v>
      </c>
      <c r="L514" s="36">
        <v>66</v>
      </c>
      <c r="M514" s="36">
        <v>59.5</v>
      </c>
    </row>
    <row r="515" spans="2:13" x14ac:dyDescent="0.25">
      <c r="B515" s="49" t="s">
        <v>3948</v>
      </c>
      <c r="C515" s="34">
        <v>18</v>
      </c>
      <c r="D515" s="34">
        <v>55</v>
      </c>
      <c r="E515" s="34">
        <v>3.5</v>
      </c>
      <c r="F515" s="34">
        <v>3.5</v>
      </c>
      <c r="G515" s="34">
        <v>52</v>
      </c>
      <c r="H515" s="34">
        <v>0</v>
      </c>
      <c r="I515" s="35" t="s">
        <v>8</v>
      </c>
      <c r="J515" s="35" t="s">
        <v>900</v>
      </c>
      <c r="K515" s="37">
        <v>265</v>
      </c>
      <c r="L515" s="37">
        <v>73</v>
      </c>
      <c r="M515" s="37">
        <v>79.5</v>
      </c>
    </row>
    <row r="516" spans="2:13" x14ac:dyDescent="0.25">
      <c r="B516" s="48" t="s">
        <v>4272</v>
      </c>
      <c r="C516" s="32">
        <v>55</v>
      </c>
      <c r="D516" s="32">
        <v>200</v>
      </c>
      <c r="E516" s="32">
        <v>4</v>
      </c>
      <c r="F516" s="32">
        <v>4</v>
      </c>
      <c r="G516" s="32">
        <v>52</v>
      </c>
      <c r="H516" s="32">
        <v>0</v>
      </c>
      <c r="I516" s="33" t="s">
        <v>8</v>
      </c>
      <c r="J516" s="33" t="s">
        <v>900</v>
      </c>
      <c r="K516" s="36">
        <v>300</v>
      </c>
      <c r="L516" s="36">
        <v>70.5</v>
      </c>
      <c r="M516" s="36">
        <v>83</v>
      </c>
    </row>
    <row r="517" spans="2:13" x14ac:dyDescent="0.25">
      <c r="B517" s="49" t="s">
        <v>4174</v>
      </c>
      <c r="C517" s="34">
        <v>55</v>
      </c>
      <c r="D517" s="34">
        <v>200</v>
      </c>
      <c r="E517" s="34">
        <v>4</v>
      </c>
      <c r="F517" s="34">
        <v>4</v>
      </c>
      <c r="G517" s="34">
        <v>52</v>
      </c>
      <c r="H517" s="34">
        <v>0</v>
      </c>
      <c r="I517" s="35" t="s">
        <v>8</v>
      </c>
      <c r="J517" s="35" t="s">
        <v>900</v>
      </c>
      <c r="K517" s="37">
        <v>335</v>
      </c>
      <c r="L517" s="37">
        <v>73</v>
      </c>
      <c r="M517" s="37">
        <v>99.5</v>
      </c>
    </row>
    <row r="518" spans="2:13" x14ac:dyDescent="0.25">
      <c r="B518" s="48" t="s">
        <v>4440</v>
      </c>
      <c r="C518" s="32">
        <v>55</v>
      </c>
      <c r="D518" s="32">
        <v>300</v>
      </c>
      <c r="E518" s="32">
        <v>4.5</v>
      </c>
      <c r="F518" s="32">
        <v>4.5</v>
      </c>
      <c r="G518" s="32">
        <v>58</v>
      </c>
      <c r="H518" s="32">
        <v>3.57</v>
      </c>
      <c r="I518" s="33" t="s">
        <v>8</v>
      </c>
      <c r="J518" s="33" t="s">
        <v>900</v>
      </c>
      <c r="K518" s="36">
        <v>530</v>
      </c>
      <c r="L518" s="36">
        <v>76.5</v>
      </c>
      <c r="M518" s="36">
        <v>123</v>
      </c>
    </row>
    <row r="519" spans="2:13" x14ac:dyDescent="0.25">
      <c r="B519" s="49" t="s">
        <v>4173</v>
      </c>
      <c r="C519" s="34">
        <v>85</v>
      </c>
      <c r="D519" s="34">
        <v>85</v>
      </c>
      <c r="E519" s="34">
        <v>3.5</v>
      </c>
      <c r="F519" s="34">
        <v>3.5</v>
      </c>
      <c r="G519" s="34">
        <v>52</v>
      </c>
      <c r="H519" s="34">
        <v>1</v>
      </c>
      <c r="I519" s="35" t="s">
        <v>8</v>
      </c>
      <c r="J519" s="35" t="s">
        <v>900</v>
      </c>
      <c r="K519" s="37">
        <v>355</v>
      </c>
      <c r="L519" s="37">
        <v>73</v>
      </c>
      <c r="M519" s="37">
        <v>98.5</v>
      </c>
    </row>
    <row r="520" spans="2:13" x14ac:dyDescent="0.25">
      <c r="B520" s="48" t="s">
        <v>4383</v>
      </c>
      <c r="C520" s="32">
        <v>105</v>
      </c>
      <c r="D520" s="32">
        <v>105</v>
      </c>
      <c r="E520" s="32">
        <v>2.8</v>
      </c>
      <c r="F520" s="32">
        <v>2.8</v>
      </c>
      <c r="G520" s="32">
        <v>62</v>
      </c>
      <c r="H520" s="32">
        <v>1</v>
      </c>
      <c r="I520" s="33" t="s">
        <v>8</v>
      </c>
      <c r="J520" s="33" t="s">
        <v>910</v>
      </c>
      <c r="K520" s="36">
        <v>750</v>
      </c>
      <c r="L520" s="36">
        <v>83</v>
      </c>
      <c r="M520" s="36">
        <v>116</v>
      </c>
    </row>
    <row r="521" spans="2:13" x14ac:dyDescent="0.25">
      <c r="B521" s="49" t="s">
        <v>4172</v>
      </c>
      <c r="C521" s="34">
        <v>28</v>
      </c>
      <c r="D521" s="34">
        <v>28</v>
      </c>
      <c r="E521" s="34">
        <v>2.8</v>
      </c>
      <c r="F521" s="34">
        <v>2.8</v>
      </c>
      <c r="G521" s="34">
        <v>52</v>
      </c>
      <c r="H521" s="34">
        <v>0</v>
      </c>
      <c r="I521" s="35" t="s">
        <v>8</v>
      </c>
      <c r="J521" s="35" t="s">
        <v>910</v>
      </c>
      <c r="K521" s="37">
        <v>250</v>
      </c>
      <c r="L521" s="37">
        <v>63</v>
      </c>
      <c r="M521" s="37">
        <v>44.5</v>
      </c>
    </row>
    <row r="522" spans="2:13" x14ac:dyDescent="0.25">
      <c r="B522" s="48" t="s">
        <v>3947</v>
      </c>
      <c r="C522" s="32">
        <v>55</v>
      </c>
      <c r="D522" s="32">
        <v>55</v>
      </c>
      <c r="E522" s="32">
        <v>2.8</v>
      </c>
      <c r="F522" s="32">
        <v>2.8</v>
      </c>
      <c r="G522" s="32">
        <v>52</v>
      </c>
      <c r="H522" s="32">
        <v>0</v>
      </c>
      <c r="I522" s="33" t="s">
        <v>8</v>
      </c>
      <c r="J522" s="33" t="s">
        <v>910</v>
      </c>
      <c r="K522" s="36">
        <v>210</v>
      </c>
      <c r="L522" s="36">
        <v>62</v>
      </c>
      <c r="M522" s="36">
        <v>63.5</v>
      </c>
    </row>
    <row r="523" spans="2:13" x14ac:dyDescent="0.25">
      <c r="B523" s="49" t="s">
        <v>4271</v>
      </c>
      <c r="C523" s="34">
        <v>19</v>
      </c>
      <c r="D523" s="34">
        <v>19</v>
      </c>
      <c r="E523" s="34">
        <v>4</v>
      </c>
      <c r="F523" s="34">
        <v>4</v>
      </c>
      <c r="G523" s="34">
        <v>0</v>
      </c>
      <c r="H523" s="34">
        <v>5.6</v>
      </c>
      <c r="I523" s="35" t="s">
        <v>8</v>
      </c>
      <c r="J523" s="35" t="s">
        <v>910</v>
      </c>
      <c r="K523" s="37">
        <v>885</v>
      </c>
      <c r="L523" s="37">
        <v>89</v>
      </c>
      <c r="M523" s="37">
        <v>124</v>
      </c>
    </row>
    <row r="524" spans="2:13" x14ac:dyDescent="0.25">
      <c r="B524" s="48" t="s">
        <v>4270</v>
      </c>
      <c r="C524" s="32">
        <v>24</v>
      </c>
      <c r="D524" s="32">
        <v>24</v>
      </c>
      <c r="E524" s="32">
        <v>3.5</v>
      </c>
      <c r="F524" s="32">
        <v>3.5</v>
      </c>
      <c r="G524" s="32">
        <v>77</v>
      </c>
      <c r="H524" s="32">
        <v>2.7</v>
      </c>
      <c r="I524" s="33" t="s">
        <v>8</v>
      </c>
      <c r="J524" s="33" t="s">
        <v>910</v>
      </c>
      <c r="K524" s="36">
        <v>730</v>
      </c>
      <c r="L524" s="36">
        <v>82.5</v>
      </c>
      <c r="M524" s="36">
        <v>108</v>
      </c>
    </row>
    <row r="525" spans="2:13" x14ac:dyDescent="0.25">
      <c r="B525" s="49" t="s">
        <v>4171</v>
      </c>
      <c r="C525" s="34">
        <v>45</v>
      </c>
      <c r="D525" s="34">
        <v>45</v>
      </c>
      <c r="E525" s="34">
        <v>2.8</v>
      </c>
      <c r="F525" s="34">
        <v>2.8</v>
      </c>
      <c r="G525" s="34">
        <v>77</v>
      </c>
      <c r="H525" s="34">
        <v>2</v>
      </c>
      <c r="I525" s="35" t="s">
        <v>8</v>
      </c>
      <c r="J525" s="35" t="s">
        <v>910</v>
      </c>
      <c r="K525" s="37">
        <v>780</v>
      </c>
      <c r="L525" s="37">
        <v>83.5</v>
      </c>
      <c r="M525" s="37">
        <v>112</v>
      </c>
    </row>
    <row r="526" spans="2:13" x14ac:dyDescent="0.25">
      <c r="B526" s="48" t="s">
        <v>4170</v>
      </c>
      <c r="C526" s="32">
        <v>85</v>
      </c>
      <c r="D526" s="32">
        <v>85</v>
      </c>
      <c r="E526" s="32">
        <v>2.8</v>
      </c>
      <c r="F526" s="32">
        <v>2.8</v>
      </c>
      <c r="G526" s="32">
        <v>77</v>
      </c>
      <c r="H526" s="32">
        <v>2</v>
      </c>
      <c r="I526" s="33" t="s">
        <v>8</v>
      </c>
      <c r="J526" s="33" t="s">
        <v>910</v>
      </c>
      <c r="K526" s="36">
        <v>650</v>
      </c>
      <c r="L526" s="36">
        <v>82.7</v>
      </c>
      <c r="M526" s="36">
        <v>107</v>
      </c>
    </row>
    <row r="527" spans="2:13" x14ac:dyDescent="0.25">
      <c r="B527" s="49" t="s">
        <v>4269</v>
      </c>
      <c r="C527" s="34">
        <v>14</v>
      </c>
      <c r="D527" s="34">
        <v>42</v>
      </c>
      <c r="E527" s="34">
        <v>3.5</v>
      </c>
      <c r="F527" s="34">
        <v>3.5</v>
      </c>
      <c r="G527" s="34">
        <v>37</v>
      </c>
      <c r="H527" s="34">
        <v>5.26</v>
      </c>
      <c r="I527" s="35" t="s">
        <v>1227</v>
      </c>
      <c r="J527" s="35" t="s">
        <v>1228</v>
      </c>
      <c r="K527" s="37">
        <v>112</v>
      </c>
      <c r="L527" s="37">
        <v>56.5</v>
      </c>
      <c r="M527" s="37">
        <v>50</v>
      </c>
    </row>
    <row r="528" spans="2:13" x14ac:dyDescent="0.25">
      <c r="B528" s="48" t="s">
        <v>4168</v>
      </c>
      <c r="C528" s="32">
        <v>14</v>
      </c>
      <c r="D528" s="32">
        <v>42</v>
      </c>
      <c r="E528" s="32">
        <v>3.5</v>
      </c>
      <c r="F528" s="32">
        <v>3.5</v>
      </c>
      <c r="G528" s="32">
        <v>37</v>
      </c>
      <c r="H528" s="32">
        <v>5.26</v>
      </c>
      <c r="I528" s="33" t="s">
        <v>1227</v>
      </c>
      <c r="J528" s="33" t="s">
        <v>1228</v>
      </c>
      <c r="K528" s="36">
        <v>112</v>
      </c>
      <c r="L528" s="36">
        <v>56.5</v>
      </c>
      <c r="M528" s="36">
        <v>50</v>
      </c>
    </row>
    <row r="529" spans="2:13" x14ac:dyDescent="0.25">
      <c r="B529" s="49" t="s">
        <v>3945</v>
      </c>
      <c r="C529" s="34">
        <v>15</v>
      </c>
      <c r="D529" s="34">
        <v>15</v>
      </c>
      <c r="E529" s="34">
        <v>8</v>
      </c>
      <c r="F529" s="34">
        <v>8</v>
      </c>
      <c r="G529" s="34">
        <v>0</v>
      </c>
      <c r="H529" s="34">
        <v>16.670000000000002</v>
      </c>
      <c r="I529" s="35" t="s">
        <v>1227</v>
      </c>
      <c r="J529" s="35" t="s">
        <v>1228</v>
      </c>
      <c r="K529" s="37">
        <v>22</v>
      </c>
      <c r="L529" s="37">
        <v>56</v>
      </c>
      <c r="M529" s="37">
        <v>9</v>
      </c>
    </row>
    <row r="530" spans="2:13" x14ac:dyDescent="0.25">
      <c r="B530" s="48" t="s">
        <v>2950</v>
      </c>
      <c r="C530" s="32">
        <v>15</v>
      </c>
      <c r="D530" s="32">
        <v>15</v>
      </c>
      <c r="E530" s="32">
        <v>8</v>
      </c>
      <c r="F530" s="32">
        <v>8</v>
      </c>
      <c r="G530" s="32">
        <v>0</v>
      </c>
      <c r="H530" s="32">
        <v>16.670000000000002</v>
      </c>
      <c r="I530" s="33" t="s">
        <v>1227</v>
      </c>
      <c r="J530" s="33" t="s">
        <v>1228</v>
      </c>
      <c r="K530" s="36">
        <v>22</v>
      </c>
      <c r="L530" s="36">
        <v>56</v>
      </c>
      <c r="M530" s="36">
        <v>9</v>
      </c>
    </row>
    <row r="531" spans="2:13" x14ac:dyDescent="0.25">
      <c r="B531" s="49" t="s">
        <v>3944</v>
      </c>
      <c r="C531" s="34">
        <v>15</v>
      </c>
      <c r="D531" s="34">
        <v>15</v>
      </c>
      <c r="E531" s="34">
        <v>8</v>
      </c>
      <c r="F531" s="34">
        <v>8</v>
      </c>
      <c r="G531" s="34">
        <v>0</v>
      </c>
      <c r="H531" s="34">
        <v>16.670000000000002</v>
      </c>
      <c r="I531" s="35" t="s">
        <v>1227</v>
      </c>
      <c r="J531" s="35" t="s">
        <v>1228</v>
      </c>
      <c r="K531" s="37">
        <v>22</v>
      </c>
      <c r="L531" s="37">
        <v>56</v>
      </c>
      <c r="M531" s="37">
        <v>9</v>
      </c>
    </row>
    <row r="532" spans="2:13" x14ac:dyDescent="0.25">
      <c r="B532" s="48" t="s">
        <v>4268</v>
      </c>
      <c r="C532" s="32">
        <v>15</v>
      </c>
      <c r="D532" s="32">
        <v>15</v>
      </c>
      <c r="E532" s="32">
        <v>8</v>
      </c>
      <c r="F532" s="32">
        <v>8</v>
      </c>
      <c r="G532" s="32">
        <v>0</v>
      </c>
      <c r="H532" s="32">
        <v>16.670000000000002</v>
      </c>
      <c r="I532" s="33" t="s">
        <v>1227</v>
      </c>
      <c r="J532" s="33" t="s">
        <v>1228</v>
      </c>
      <c r="K532" s="36">
        <v>22</v>
      </c>
      <c r="L532" s="36">
        <v>56</v>
      </c>
      <c r="M532" s="36">
        <v>9</v>
      </c>
    </row>
    <row r="533" spans="2:13" x14ac:dyDescent="0.25">
      <c r="B533" s="49" t="s">
        <v>4449</v>
      </c>
      <c r="C533" s="34">
        <v>17</v>
      </c>
      <c r="D533" s="34">
        <v>17</v>
      </c>
      <c r="E533" s="34">
        <v>1.8</v>
      </c>
      <c r="F533" s="34">
        <v>1.8</v>
      </c>
      <c r="G533" s="34">
        <v>46</v>
      </c>
      <c r="H533" s="34">
        <v>12.5</v>
      </c>
      <c r="I533" s="35" t="s">
        <v>1227</v>
      </c>
      <c r="J533" s="35" t="s">
        <v>1228</v>
      </c>
      <c r="K533" s="37">
        <v>120</v>
      </c>
      <c r="L533" s="37">
        <v>58</v>
      </c>
      <c r="M533" s="37">
        <v>36</v>
      </c>
    </row>
    <row r="534" spans="2:13" x14ac:dyDescent="0.25">
      <c r="B534" s="48" t="s">
        <v>4361</v>
      </c>
      <c r="C534" s="32">
        <v>17</v>
      </c>
      <c r="D534" s="32">
        <v>17</v>
      </c>
      <c r="E534" s="32">
        <v>1.8</v>
      </c>
      <c r="F534" s="32">
        <v>1.8</v>
      </c>
      <c r="G534" s="32">
        <v>46</v>
      </c>
      <c r="H534" s="32">
        <v>12.5</v>
      </c>
      <c r="I534" s="33" t="s">
        <v>1227</v>
      </c>
      <c r="J534" s="33" t="s">
        <v>1228</v>
      </c>
      <c r="K534" s="36">
        <v>120</v>
      </c>
      <c r="L534" s="36">
        <v>58</v>
      </c>
      <c r="M534" s="36">
        <v>36</v>
      </c>
    </row>
    <row r="535" spans="2:13" x14ac:dyDescent="0.25">
      <c r="B535" s="49" t="s">
        <v>2949</v>
      </c>
      <c r="C535" s="34">
        <v>17</v>
      </c>
      <c r="D535" s="34">
        <v>17</v>
      </c>
      <c r="E535" s="34">
        <v>2.8</v>
      </c>
      <c r="F535" s="34">
        <v>2.8</v>
      </c>
      <c r="G535" s="34">
        <v>37</v>
      </c>
      <c r="H535" s="34">
        <v>9.09</v>
      </c>
      <c r="I535" s="35" t="s">
        <v>1227</v>
      </c>
      <c r="J535" s="35" t="s">
        <v>1228</v>
      </c>
      <c r="K535" s="37">
        <v>71</v>
      </c>
      <c r="L535" s="37">
        <v>57</v>
      </c>
      <c r="M535" s="37">
        <v>22</v>
      </c>
    </row>
    <row r="536" spans="2:13" x14ac:dyDescent="0.25">
      <c r="B536" s="48" t="s">
        <v>2948</v>
      </c>
      <c r="C536" s="32">
        <v>17</v>
      </c>
      <c r="D536" s="32">
        <v>17</v>
      </c>
      <c r="E536" s="32">
        <v>2.8</v>
      </c>
      <c r="F536" s="32">
        <v>2.8</v>
      </c>
      <c r="G536" s="32">
        <v>37</v>
      </c>
      <c r="H536" s="32">
        <v>9.09</v>
      </c>
      <c r="I536" s="33" t="s">
        <v>1227</v>
      </c>
      <c r="J536" s="33" t="s">
        <v>1228</v>
      </c>
      <c r="K536" s="36">
        <v>71</v>
      </c>
      <c r="L536" s="36">
        <v>57</v>
      </c>
      <c r="M536" s="36">
        <v>22</v>
      </c>
    </row>
    <row r="537" spans="2:13" x14ac:dyDescent="0.25">
      <c r="B537" s="49" t="s">
        <v>2564</v>
      </c>
      <c r="C537" s="34">
        <v>25</v>
      </c>
      <c r="D537" s="34">
        <v>25</v>
      </c>
      <c r="E537" s="34">
        <v>1.8</v>
      </c>
      <c r="F537" s="34">
        <v>1.8</v>
      </c>
      <c r="G537" s="34">
        <v>46</v>
      </c>
      <c r="H537" s="34">
        <v>4.17</v>
      </c>
      <c r="I537" s="35" t="s">
        <v>1227</v>
      </c>
      <c r="J537" s="35" t="s">
        <v>1228</v>
      </c>
      <c r="K537" s="37">
        <v>137</v>
      </c>
      <c r="L537" s="37">
        <v>58</v>
      </c>
      <c r="M537" s="37">
        <v>42</v>
      </c>
    </row>
    <row r="538" spans="2:13" x14ac:dyDescent="0.25">
      <c r="B538" s="48" t="s">
        <v>3943</v>
      </c>
      <c r="C538" s="32">
        <v>25</v>
      </c>
      <c r="D538" s="32">
        <v>25</v>
      </c>
      <c r="E538" s="32">
        <v>1.8</v>
      </c>
      <c r="F538" s="32">
        <v>1.8</v>
      </c>
      <c r="G538" s="32">
        <v>46</v>
      </c>
      <c r="H538" s="32">
        <v>4.17</v>
      </c>
      <c r="I538" s="33" t="s">
        <v>1227</v>
      </c>
      <c r="J538" s="33" t="s">
        <v>1228</v>
      </c>
      <c r="K538" s="36">
        <v>137</v>
      </c>
      <c r="L538" s="36">
        <v>58</v>
      </c>
      <c r="M538" s="36">
        <v>42</v>
      </c>
    </row>
    <row r="539" spans="2:13" x14ac:dyDescent="0.25">
      <c r="B539" s="49" t="s">
        <v>4448</v>
      </c>
      <c r="C539" s="34">
        <v>45</v>
      </c>
      <c r="D539" s="34">
        <v>45</v>
      </c>
      <c r="E539" s="34">
        <v>1.8</v>
      </c>
      <c r="F539" s="34">
        <v>1.8</v>
      </c>
      <c r="G539" s="34">
        <v>37</v>
      </c>
      <c r="H539" s="34">
        <v>9.09</v>
      </c>
      <c r="I539" s="35" t="s">
        <v>1227</v>
      </c>
      <c r="J539" s="35" t="s">
        <v>1228</v>
      </c>
      <c r="K539" s="37">
        <v>116</v>
      </c>
      <c r="L539" s="37">
        <v>56</v>
      </c>
      <c r="M539" s="37">
        <v>46</v>
      </c>
    </row>
    <row r="540" spans="2:13" x14ac:dyDescent="0.25">
      <c r="B540" s="48" t="s">
        <v>2640</v>
      </c>
      <c r="C540" s="32">
        <v>45</v>
      </c>
      <c r="D540" s="32">
        <v>45</v>
      </c>
      <c r="E540" s="32">
        <v>1.8</v>
      </c>
      <c r="F540" s="32">
        <v>1.8</v>
      </c>
      <c r="G540" s="32">
        <v>37</v>
      </c>
      <c r="H540" s="32">
        <v>9.09</v>
      </c>
      <c r="I540" s="33" t="s">
        <v>1227</v>
      </c>
      <c r="J540" s="33" t="s">
        <v>1228</v>
      </c>
      <c r="K540" s="36">
        <v>116</v>
      </c>
      <c r="L540" s="36">
        <v>56</v>
      </c>
      <c r="M540" s="36">
        <v>46</v>
      </c>
    </row>
    <row r="541" spans="2:13" x14ac:dyDescent="0.25">
      <c r="B541" s="49" t="s">
        <v>4169</v>
      </c>
      <c r="C541" s="34">
        <v>9</v>
      </c>
      <c r="D541" s="34">
        <v>9</v>
      </c>
      <c r="E541" s="34">
        <v>8</v>
      </c>
      <c r="F541" s="34">
        <v>8</v>
      </c>
      <c r="G541" s="34">
        <v>0</v>
      </c>
      <c r="H541" s="34">
        <v>21.74</v>
      </c>
      <c r="I541" s="35" t="s">
        <v>1227</v>
      </c>
      <c r="J541" s="35" t="s">
        <v>1228</v>
      </c>
      <c r="K541" s="37">
        <v>30</v>
      </c>
      <c r="L541" s="37">
        <v>56</v>
      </c>
      <c r="M541" s="37">
        <v>12.8</v>
      </c>
    </row>
    <row r="542" spans="2:13" x14ac:dyDescent="0.25">
      <c r="B542" s="48" t="s">
        <v>3946</v>
      </c>
      <c r="C542" s="32">
        <v>9</v>
      </c>
      <c r="D542" s="32">
        <v>9</v>
      </c>
      <c r="E542" s="32">
        <v>8</v>
      </c>
      <c r="F542" s="32">
        <v>8</v>
      </c>
      <c r="G542" s="32">
        <v>0</v>
      </c>
      <c r="H542" s="32">
        <v>21.74</v>
      </c>
      <c r="I542" s="33" t="s">
        <v>1227</v>
      </c>
      <c r="J542" s="33" t="s">
        <v>1228</v>
      </c>
      <c r="K542" s="36">
        <v>30</v>
      </c>
      <c r="L542" s="36">
        <v>56</v>
      </c>
      <c r="M542" s="36">
        <v>12.8</v>
      </c>
    </row>
    <row r="543" spans="2:13" x14ac:dyDescent="0.25">
      <c r="B543" s="49" t="s">
        <v>4499</v>
      </c>
      <c r="C543" s="34">
        <v>12</v>
      </c>
      <c r="D543" s="34">
        <v>100</v>
      </c>
      <c r="E543" s="34">
        <v>4</v>
      </c>
      <c r="F543" s="34">
        <v>4</v>
      </c>
      <c r="G543" s="34">
        <v>72</v>
      </c>
      <c r="H543" s="34">
        <v>3.33</v>
      </c>
      <c r="I543" s="35" t="s">
        <v>1227</v>
      </c>
      <c r="J543" s="35" t="s">
        <v>1228</v>
      </c>
      <c r="K543" s="37">
        <v>561</v>
      </c>
      <c r="L543" s="37">
        <v>77.5</v>
      </c>
      <c r="M543" s="37">
        <v>116.5</v>
      </c>
    </row>
    <row r="544" spans="2:13" x14ac:dyDescent="0.25">
      <c r="B544" s="48" t="s">
        <v>2526</v>
      </c>
      <c r="C544" s="32">
        <v>12</v>
      </c>
      <c r="D544" s="32">
        <v>40</v>
      </c>
      <c r="E544" s="32">
        <v>2.8</v>
      </c>
      <c r="F544" s="32">
        <v>2.8</v>
      </c>
      <c r="G544" s="32">
        <v>62</v>
      </c>
      <c r="H544" s="32">
        <v>3.33</v>
      </c>
      <c r="I544" s="33" t="s">
        <v>1227</v>
      </c>
      <c r="J544" s="33" t="s">
        <v>1228</v>
      </c>
      <c r="K544" s="36">
        <v>382</v>
      </c>
      <c r="L544" s="36">
        <v>70</v>
      </c>
      <c r="M544" s="36">
        <v>84</v>
      </c>
    </row>
    <row r="545" spans="2:13" x14ac:dyDescent="0.25">
      <c r="B545" s="49" t="s">
        <v>2946</v>
      </c>
      <c r="C545" s="34">
        <v>12</v>
      </c>
      <c r="D545" s="34">
        <v>50</v>
      </c>
      <c r="E545" s="34">
        <v>3.5</v>
      </c>
      <c r="F545" s="34">
        <v>3.5</v>
      </c>
      <c r="G545" s="34">
        <v>52</v>
      </c>
      <c r="H545" s="34">
        <v>2.78</v>
      </c>
      <c r="I545" s="35" t="s">
        <v>1227</v>
      </c>
      <c r="J545" s="35" t="s">
        <v>1228</v>
      </c>
      <c r="K545" s="37">
        <v>211</v>
      </c>
      <c r="L545" s="37">
        <v>57</v>
      </c>
      <c r="M545" s="37">
        <v>83</v>
      </c>
    </row>
    <row r="546" spans="2:13" x14ac:dyDescent="0.25">
      <c r="B546" s="48" t="s">
        <v>3942</v>
      </c>
      <c r="C546" s="32">
        <v>12</v>
      </c>
      <c r="D546" s="32">
        <v>50</v>
      </c>
      <c r="E546" s="32">
        <v>3.5</v>
      </c>
      <c r="F546" s="32">
        <v>3.5</v>
      </c>
      <c r="G546" s="32">
        <v>52</v>
      </c>
      <c r="H546" s="32">
        <v>2.78</v>
      </c>
      <c r="I546" s="33" t="s">
        <v>1227</v>
      </c>
      <c r="J546" s="33" t="s">
        <v>1228</v>
      </c>
      <c r="K546" s="36">
        <v>211</v>
      </c>
      <c r="L546" s="36">
        <v>57</v>
      </c>
      <c r="M546" s="36">
        <v>83</v>
      </c>
    </row>
    <row r="547" spans="2:13" x14ac:dyDescent="0.25">
      <c r="B547" s="49" t="s">
        <v>4381</v>
      </c>
      <c r="C547" s="34">
        <v>12</v>
      </c>
      <c r="D547" s="34">
        <v>12</v>
      </c>
      <c r="E547" s="34">
        <v>2</v>
      </c>
      <c r="F547" s="34">
        <v>2</v>
      </c>
      <c r="G547" s="34">
        <v>46</v>
      </c>
      <c r="H547" s="34">
        <v>12.5</v>
      </c>
      <c r="I547" s="35" t="s">
        <v>1227</v>
      </c>
      <c r="J547" s="35" t="s">
        <v>1228</v>
      </c>
      <c r="K547" s="37">
        <v>130</v>
      </c>
      <c r="L547" s="37">
        <v>56</v>
      </c>
      <c r="M547" s="37">
        <v>43</v>
      </c>
    </row>
    <row r="548" spans="2:13" x14ac:dyDescent="0.25">
      <c r="B548" s="48" t="s">
        <v>2654</v>
      </c>
      <c r="C548" s="32">
        <v>12</v>
      </c>
      <c r="D548" s="32">
        <v>12</v>
      </c>
      <c r="E548" s="32">
        <v>2</v>
      </c>
      <c r="F548" s="32">
        <v>2</v>
      </c>
      <c r="G548" s="32">
        <v>46</v>
      </c>
      <c r="H548" s="32">
        <v>12.5</v>
      </c>
      <c r="I548" s="33" t="s">
        <v>1227</v>
      </c>
      <c r="J548" s="33" t="s">
        <v>1228</v>
      </c>
      <c r="K548" s="36">
        <v>130</v>
      </c>
      <c r="L548" s="36">
        <v>56</v>
      </c>
      <c r="M548" s="36">
        <v>43</v>
      </c>
    </row>
    <row r="549" spans="2:13" x14ac:dyDescent="0.25">
      <c r="B549" s="49" t="s">
        <v>2638</v>
      </c>
      <c r="C549" s="34">
        <v>14</v>
      </c>
      <c r="D549" s="34">
        <v>150</v>
      </c>
      <c r="E549" s="34">
        <v>4</v>
      </c>
      <c r="F549" s="34">
        <v>4</v>
      </c>
      <c r="G549" s="34">
        <v>58</v>
      </c>
      <c r="H549" s="34">
        <v>4.17</v>
      </c>
      <c r="I549" s="35" t="s">
        <v>1227</v>
      </c>
      <c r="J549" s="35" t="s">
        <v>1228</v>
      </c>
      <c r="K549" s="37">
        <v>285</v>
      </c>
      <c r="L549" s="37">
        <v>63.5</v>
      </c>
      <c r="M549" s="37">
        <v>83</v>
      </c>
    </row>
    <row r="550" spans="2:13" x14ac:dyDescent="0.25">
      <c r="B550" s="48" t="s">
        <v>4360</v>
      </c>
      <c r="C550" s="32">
        <v>14</v>
      </c>
      <c r="D550" s="32">
        <v>42</v>
      </c>
      <c r="E550" s="32">
        <v>3.5</v>
      </c>
      <c r="F550" s="32">
        <v>3.5</v>
      </c>
      <c r="G550" s="32">
        <v>37</v>
      </c>
      <c r="H550" s="32">
        <v>4.3499999999999996</v>
      </c>
      <c r="I550" s="33" t="s">
        <v>1227</v>
      </c>
      <c r="J550" s="33" t="s">
        <v>1228</v>
      </c>
      <c r="K550" s="36">
        <v>93</v>
      </c>
      <c r="L550" s="36">
        <v>60.6</v>
      </c>
      <c r="M550" s="36">
        <v>22.5</v>
      </c>
    </row>
    <row r="551" spans="2:13" x14ac:dyDescent="0.25">
      <c r="B551" s="49" t="s">
        <v>4380</v>
      </c>
      <c r="C551" s="34">
        <v>14</v>
      </c>
      <c r="D551" s="34">
        <v>42</v>
      </c>
      <c r="E551" s="34">
        <v>3.5</v>
      </c>
      <c r="F551" s="34">
        <v>3.5</v>
      </c>
      <c r="G551" s="34">
        <v>37</v>
      </c>
      <c r="H551" s="34">
        <v>4.3499999999999996</v>
      </c>
      <c r="I551" s="35" t="s">
        <v>1227</v>
      </c>
      <c r="J551" s="35" t="s">
        <v>1228</v>
      </c>
      <c r="K551" s="37">
        <v>93</v>
      </c>
      <c r="L551" s="37">
        <v>60.6</v>
      </c>
      <c r="M551" s="37">
        <v>22.5</v>
      </c>
    </row>
    <row r="552" spans="2:13" x14ac:dyDescent="0.25">
      <c r="B552" s="48" t="s">
        <v>2531</v>
      </c>
      <c r="C552" s="32">
        <v>17</v>
      </c>
      <c r="D552" s="32">
        <v>17</v>
      </c>
      <c r="E552" s="32">
        <v>1.2</v>
      </c>
      <c r="F552" s="32">
        <v>1.2</v>
      </c>
      <c r="G552" s="32">
        <v>62</v>
      </c>
      <c r="H552" s="32">
        <v>6.67</v>
      </c>
      <c r="I552" s="33" t="s">
        <v>1227</v>
      </c>
      <c r="J552" s="33" t="s">
        <v>1228</v>
      </c>
      <c r="K552" s="36">
        <v>390</v>
      </c>
      <c r="L552" s="36">
        <v>68.2</v>
      </c>
      <c r="M552" s="36">
        <v>87</v>
      </c>
    </row>
    <row r="553" spans="2:13" x14ac:dyDescent="0.25">
      <c r="B553" s="49" t="s">
        <v>4477</v>
      </c>
      <c r="C553" s="34">
        <v>25</v>
      </c>
      <c r="D553" s="34">
        <v>25</v>
      </c>
      <c r="E553" s="34">
        <v>1.2</v>
      </c>
      <c r="F553" s="34">
        <v>1.2</v>
      </c>
      <c r="G553" s="34">
        <v>62</v>
      </c>
      <c r="H553" s="34">
        <v>9.09</v>
      </c>
      <c r="I553" s="35" t="s">
        <v>1227</v>
      </c>
      <c r="J553" s="35" t="s">
        <v>1228</v>
      </c>
      <c r="K553" s="37">
        <v>410</v>
      </c>
      <c r="L553" s="37">
        <v>70</v>
      </c>
      <c r="M553" s="37">
        <v>87</v>
      </c>
    </row>
    <row r="554" spans="2:13" x14ac:dyDescent="0.25">
      <c r="B554" s="48" t="s">
        <v>4438</v>
      </c>
      <c r="C554" s="32">
        <v>300</v>
      </c>
      <c r="D554" s="32">
        <v>300</v>
      </c>
      <c r="E554" s="32">
        <v>4</v>
      </c>
      <c r="F554" s="32">
        <v>4</v>
      </c>
      <c r="G554" s="32">
        <v>77</v>
      </c>
      <c r="H554" s="32">
        <v>2.08</v>
      </c>
      <c r="I554" s="33" t="s">
        <v>1227</v>
      </c>
      <c r="J554" s="33" t="s">
        <v>1228</v>
      </c>
      <c r="K554" s="36">
        <v>1270</v>
      </c>
      <c r="L554" s="36">
        <v>92.5</v>
      </c>
      <c r="M554" s="36">
        <v>227</v>
      </c>
    </row>
    <row r="555" spans="2:13" x14ac:dyDescent="0.25">
      <c r="B555" s="49" t="s">
        <v>2945</v>
      </c>
      <c r="C555" s="34">
        <v>30</v>
      </c>
      <c r="D555" s="34">
        <v>30</v>
      </c>
      <c r="E555" s="34">
        <v>3.5</v>
      </c>
      <c r="F555" s="34">
        <v>3.5</v>
      </c>
      <c r="G555" s="34">
        <v>46</v>
      </c>
      <c r="H555" s="34">
        <v>0.8</v>
      </c>
      <c r="I555" s="35" t="s">
        <v>1227</v>
      </c>
      <c r="J555" s="35" t="s">
        <v>1228</v>
      </c>
      <c r="K555" s="37">
        <v>128</v>
      </c>
      <c r="L555" s="37">
        <v>57</v>
      </c>
      <c r="M555" s="37">
        <v>60</v>
      </c>
    </row>
    <row r="556" spans="2:13" x14ac:dyDescent="0.25">
      <c r="B556" s="48" t="s">
        <v>2570</v>
      </c>
      <c r="C556" s="32">
        <v>40</v>
      </c>
      <c r="D556" s="32">
        <v>150</v>
      </c>
      <c r="E556" s="32">
        <v>2.8</v>
      </c>
      <c r="F556" s="32">
        <v>2.8</v>
      </c>
      <c r="G556" s="32">
        <v>72</v>
      </c>
      <c r="H556" s="32">
        <v>4.76</v>
      </c>
      <c r="I556" s="33" t="s">
        <v>1227</v>
      </c>
      <c r="J556" s="33" t="s">
        <v>1228</v>
      </c>
      <c r="K556" s="36">
        <v>760</v>
      </c>
      <c r="L556" s="36">
        <v>79.400000000000006</v>
      </c>
      <c r="M556" s="36">
        <v>160</v>
      </c>
    </row>
    <row r="557" spans="2:13" x14ac:dyDescent="0.25">
      <c r="B557" s="49" t="s">
        <v>2944</v>
      </c>
      <c r="C557" s="34">
        <v>40</v>
      </c>
      <c r="D557" s="34">
        <v>150</v>
      </c>
      <c r="E557" s="34">
        <v>2.8</v>
      </c>
      <c r="F557" s="34">
        <v>2.8</v>
      </c>
      <c r="G557" s="34">
        <v>72</v>
      </c>
      <c r="H557" s="34">
        <v>4.76</v>
      </c>
      <c r="I557" s="35" t="s">
        <v>1227</v>
      </c>
      <c r="J557" s="35" t="s">
        <v>1228</v>
      </c>
      <c r="K557" s="37">
        <v>760</v>
      </c>
      <c r="L557" s="37">
        <v>79.400000000000006</v>
      </c>
      <c r="M557" s="37">
        <v>160</v>
      </c>
    </row>
    <row r="558" spans="2:13" x14ac:dyDescent="0.25">
      <c r="B558" s="48" t="s">
        <v>4439</v>
      </c>
      <c r="C558" s="32">
        <v>40</v>
      </c>
      <c r="D558" s="32">
        <v>150</v>
      </c>
      <c r="E558" s="32">
        <v>4</v>
      </c>
      <c r="F558" s="32">
        <v>4</v>
      </c>
      <c r="G558" s="32">
        <v>58</v>
      </c>
      <c r="H558" s="32">
        <v>6.25</v>
      </c>
      <c r="I558" s="33" t="s">
        <v>1227</v>
      </c>
      <c r="J558" s="33" t="s">
        <v>1228</v>
      </c>
      <c r="K558" s="36">
        <v>190</v>
      </c>
      <c r="L558" s="36">
        <v>63.5</v>
      </c>
      <c r="M558" s="36">
        <v>83</v>
      </c>
    </row>
    <row r="559" spans="2:13" x14ac:dyDescent="0.25">
      <c r="B559" s="49" t="s">
        <v>2943</v>
      </c>
      <c r="C559" s="34">
        <v>40</v>
      </c>
      <c r="D559" s="34">
        <v>150</v>
      </c>
      <c r="E559" s="34">
        <v>4</v>
      </c>
      <c r="F559" s="34">
        <v>4</v>
      </c>
      <c r="G559" s="34">
        <v>58</v>
      </c>
      <c r="H559" s="34">
        <v>6.25</v>
      </c>
      <c r="I559" s="35" t="s">
        <v>1227</v>
      </c>
      <c r="J559" s="35" t="s">
        <v>1228</v>
      </c>
      <c r="K559" s="37">
        <v>190</v>
      </c>
      <c r="L559" s="37">
        <v>63.5</v>
      </c>
      <c r="M559" s="37">
        <v>83</v>
      </c>
    </row>
    <row r="560" spans="2:13" x14ac:dyDescent="0.25">
      <c r="B560" s="48" t="s">
        <v>2942</v>
      </c>
      <c r="C560" s="32">
        <v>40</v>
      </c>
      <c r="D560" s="32">
        <v>150</v>
      </c>
      <c r="E560" s="32">
        <v>4</v>
      </c>
      <c r="F560" s="32">
        <v>4</v>
      </c>
      <c r="G560" s="32">
        <v>58</v>
      </c>
      <c r="H560" s="32">
        <v>6.25</v>
      </c>
      <c r="I560" s="33" t="s">
        <v>1227</v>
      </c>
      <c r="J560" s="33" t="s">
        <v>1228</v>
      </c>
      <c r="K560" s="36">
        <v>0</v>
      </c>
      <c r="L560" s="36">
        <v>63.5</v>
      </c>
      <c r="M560" s="36">
        <v>83</v>
      </c>
    </row>
    <row r="561" spans="2:13" x14ac:dyDescent="0.25">
      <c r="B561" s="49" t="s">
        <v>2504</v>
      </c>
      <c r="C561" s="34">
        <v>45</v>
      </c>
      <c r="D561" s="34">
        <v>45</v>
      </c>
      <c r="E561" s="34">
        <v>1.2</v>
      </c>
      <c r="F561" s="34">
        <v>1.2</v>
      </c>
      <c r="G561" s="34">
        <v>62</v>
      </c>
      <c r="H561" s="34">
        <v>10</v>
      </c>
      <c r="I561" s="35" t="s">
        <v>1227</v>
      </c>
      <c r="J561" s="35" t="s">
        <v>1228</v>
      </c>
      <c r="K561" s="37">
        <v>410</v>
      </c>
      <c r="L561" s="37">
        <v>70</v>
      </c>
      <c r="M561" s="37">
        <v>84.9</v>
      </c>
    </row>
    <row r="562" spans="2:13" x14ac:dyDescent="0.25">
      <c r="B562" s="48" t="s">
        <v>4469</v>
      </c>
      <c r="C562" s="32">
        <v>60</v>
      </c>
      <c r="D562" s="32">
        <v>60</v>
      </c>
      <c r="E562" s="32">
        <v>2.8</v>
      </c>
      <c r="F562" s="32">
        <v>2.8</v>
      </c>
      <c r="G562" s="32">
        <v>46</v>
      </c>
      <c r="H562" s="32">
        <v>1</v>
      </c>
      <c r="I562" s="33" t="s">
        <v>1227</v>
      </c>
      <c r="J562" s="33" t="s">
        <v>1228</v>
      </c>
      <c r="K562" s="36">
        <v>185</v>
      </c>
      <c r="L562" s="36">
        <v>56</v>
      </c>
      <c r="M562" s="36">
        <v>82</v>
      </c>
    </row>
    <row r="563" spans="2:13" x14ac:dyDescent="0.25">
      <c r="B563" s="49" t="s">
        <v>918</v>
      </c>
      <c r="C563" s="34">
        <v>7</v>
      </c>
      <c r="D563" s="34">
        <v>14</v>
      </c>
      <c r="E563" s="34">
        <v>2.8</v>
      </c>
      <c r="F563" s="34">
        <v>2.8</v>
      </c>
      <c r="G563" s="34">
        <v>0</v>
      </c>
      <c r="H563" s="34">
        <v>8.33</v>
      </c>
      <c r="I563" s="35" t="s">
        <v>1227</v>
      </c>
      <c r="J563" s="35" t="s">
        <v>1228</v>
      </c>
      <c r="K563" s="37">
        <v>534</v>
      </c>
      <c r="L563" s="37">
        <v>78.900000000000006</v>
      </c>
      <c r="M563" s="37">
        <v>105.8</v>
      </c>
    </row>
    <row r="564" spans="2:13" x14ac:dyDescent="0.25">
      <c r="B564" s="48" t="s">
        <v>2652</v>
      </c>
      <c r="C564" s="32">
        <v>75</v>
      </c>
      <c r="D564" s="32">
        <v>300</v>
      </c>
      <c r="E564" s="32">
        <v>4.8</v>
      </c>
      <c r="F564" s="32">
        <v>4.8</v>
      </c>
      <c r="G564" s="32">
        <v>58</v>
      </c>
      <c r="H564" s="32">
        <v>5.56</v>
      </c>
      <c r="I564" s="33" t="s">
        <v>1227</v>
      </c>
      <c r="J564" s="33" t="s">
        <v>1228</v>
      </c>
      <c r="K564" s="36">
        <v>423</v>
      </c>
      <c r="L564" s="36">
        <v>69</v>
      </c>
      <c r="M564" s="36">
        <v>116.5</v>
      </c>
    </row>
    <row r="565" spans="2:13" x14ac:dyDescent="0.25">
      <c r="B565" s="49" t="s">
        <v>2651</v>
      </c>
      <c r="C565" s="34">
        <v>75</v>
      </c>
      <c r="D565" s="34">
        <v>75</v>
      </c>
      <c r="E565" s="34">
        <v>1.8</v>
      </c>
      <c r="F565" s="34">
        <v>1.8</v>
      </c>
      <c r="G565" s="34">
        <v>58</v>
      </c>
      <c r="H565" s="34">
        <v>10</v>
      </c>
      <c r="I565" s="35" t="s">
        <v>1227</v>
      </c>
      <c r="J565" s="35" t="s">
        <v>1228</v>
      </c>
      <c r="K565" s="37">
        <v>305</v>
      </c>
      <c r="L565" s="37">
        <v>64</v>
      </c>
      <c r="M565" s="37">
        <v>69</v>
      </c>
    </row>
    <row r="566" spans="2:13" x14ac:dyDescent="0.25">
      <c r="B566" s="48" t="s">
        <v>2941</v>
      </c>
      <c r="C566" s="32">
        <v>75</v>
      </c>
      <c r="D566" s="32">
        <v>75</v>
      </c>
      <c r="E566" s="32">
        <v>1.8</v>
      </c>
      <c r="F566" s="32">
        <v>1.8</v>
      </c>
      <c r="G566" s="32">
        <v>58</v>
      </c>
      <c r="H566" s="32">
        <v>10</v>
      </c>
      <c r="I566" s="33" t="s">
        <v>1227</v>
      </c>
      <c r="J566" s="33" t="s">
        <v>1228</v>
      </c>
      <c r="K566" s="36">
        <v>305</v>
      </c>
      <c r="L566" s="36">
        <v>64</v>
      </c>
      <c r="M566" s="36">
        <v>69</v>
      </c>
    </row>
    <row r="567" spans="2:13" x14ac:dyDescent="0.25">
      <c r="B567" s="49" t="s">
        <v>1172</v>
      </c>
      <c r="C567" s="34">
        <v>8</v>
      </c>
      <c r="D567" s="34">
        <v>8</v>
      </c>
      <c r="E567" s="34">
        <v>1.8</v>
      </c>
      <c r="F567" s="34">
        <v>1.8</v>
      </c>
      <c r="G567" s="34">
        <v>0</v>
      </c>
      <c r="H567" s="34">
        <v>5</v>
      </c>
      <c r="I567" s="35" t="s">
        <v>1227</v>
      </c>
      <c r="J567" s="35" t="s">
        <v>1228</v>
      </c>
      <c r="K567" s="37">
        <v>315</v>
      </c>
      <c r="L567" s="37">
        <v>62</v>
      </c>
      <c r="M567" s="37">
        <v>80</v>
      </c>
    </row>
    <row r="568" spans="2:13" x14ac:dyDescent="0.25">
      <c r="B568" s="48" t="s">
        <v>4382</v>
      </c>
      <c r="C568" s="32">
        <v>9</v>
      </c>
      <c r="D568" s="32">
        <v>18</v>
      </c>
      <c r="E568" s="32">
        <v>4</v>
      </c>
      <c r="F568" s="32">
        <v>4</v>
      </c>
      <c r="G568" s="32">
        <v>52</v>
      </c>
      <c r="H568" s="32">
        <v>10</v>
      </c>
      <c r="I568" s="33" t="s">
        <v>1227</v>
      </c>
      <c r="J568" s="33" t="s">
        <v>1228</v>
      </c>
      <c r="K568" s="36">
        <v>155</v>
      </c>
      <c r="L568" s="36">
        <v>56.5</v>
      </c>
      <c r="M568" s="36">
        <v>49.5</v>
      </c>
    </row>
    <row r="569" spans="2:13" x14ac:dyDescent="0.25">
      <c r="B569" s="49" t="s">
        <v>3940</v>
      </c>
      <c r="C569" s="34">
        <v>11</v>
      </c>
      <c r="D569" s="34">
        <v>22</v>
      </c>
      <c r="E569" s="34">
        <v>2.8</v>
      </c>
      <c r="F569" s="34">
        <v>2.8</v>
      </c>
      <c r="G569" s="34">
        <v>72</v>
      </c>
      <c r="H569" s="34">
        <v>7.69</v>
      </c>
      <c r="I569" s="35" t="s">
        <v>1228</v>
      </c>
      <c r="J569" s="35" t="s">
        <v>1228</v>
      </c>
      <c r="K569" s="37">
        <v>485</v>
      </c>
      <c r="L569" s="37">
        <v>75</v>
      </c>
      <c r="M569" s="37">
        <v>92.5</v>
      </c>
    </row>
    <row r="570" spans="2:13" x14ac:dyDescent="0.25">
      <c r="B570" s="48" t="s">
        <v>4266</v>
      </c>
      <c r="C570" s="32">
        <v>14</v>
      </c>
      <c r="D570" s="32">
        <v>54</v>
      </c>
      <c r="E570" s="32">
        <v>2.8</v>
      </c>
      <c r="F570" s="32">
        <v>2.8</v>
      </c>
      <c r="G570" s="32">
        <v>67</v>
      </c>
      <c r="H570" s="32">
        <v>3.85</v>
      </c>
      <c r="I570" s="33" t="s">
        <v>1228</v>
      </c>
      <c r="J570" s="33" t="s">
        <v>1228</v>
      </c>
      <c r="K570" s="36">
        <v>440</v>
      </c>
      <c r="L570" s="36">
        <v>74.5</v>
      </c>
      <c r="M570" s="36">
        <v>88.5</v>
      </c>
    </row>
    <row r="571" spans="2:13" x14ac:dyDescent="0.25">
      <c r="B571" s="49" t="s">
        <v>2940</v>
      </c>
      <c r="C571" s="34">
        <v>25</v>
      </c>
      <c r="D571" s="34">
        <v>25</v>
      </c>
      <c r="E571" s="34">
        <v>2.8</v>
      </c>
      <c r="F571" s="34">
        <v>2.8</v>
      </c>
      <c r="G571" s="34">
        <v>43</v>
      </c>
      <c r="H571" s="34">
        <v>5.26</v>
      </c>
      <c r="I571" s="35" t="s">
        <v>1228</v>
      </c>
      <c r="J571" s="35" t="s">
        <v>1228</v>
      </c>
      <c r="K571" s="37">
        <v>95</v>
      </c>
      <c r="L571" s="37">
        <v>64</v>
      </c>
      <c r="M571" s="37">
        <v>23.5</v>
      </c>
    </row>
    <row r="572" spans="2:13" x14ac:dyDescent="0.25">
      <c r="B572" s="48" t="s">
        <v>4265</v>
      </c>
      <c r="C572" s="32">
        <v>35</v>
      </c>
      <c r="D572" s="32">
        <v>35</v>
      </c>
      <c r="E572" s="32">
        <v>3.5</v>
      </c>
      <c r="F572" s="32">
        <v>3.5</v>
      </c>
      <c r="G572" s="32">
        <v>52</v>
      </c>
      <c r="H572" s="32">
        <v>1</v>
      </c>
      <c r="I572" s="33" t="s">
        <v>1228</v>
      </c>
      <c r="J572" s="33" t="s">
        <v>1228</v>
      </c>
      <c r="K572" s="36">
        <v>165</v>
      </c>
      <c r="L572" s="36">
        <v>71</v>
      </c>
      <c r="M572" s="36">
        <v>53</v>
      </c>
    </row>
    <row r="573" spans="2:13" x14ac:dyDescent="0.25">
      <c r="B573" s="49" t="s">
        <v>2831</v>
      </c>
      <c r="C573" s="34">
        <v>12</v>
      </c>
      <c r="D573" s="34">
        <v>60</v>
      </c>
      <c r="E573" s="34">
        <v>2.8</v>
      </c>
      <c r="F573" s="34">
        <v>2.8</v>
      </c>
      <c r="G573" s="34">
        <v>72</v>
      </c>
      <c r="H573" s="34">
        <v>3.57</v>
      </c>
      <c r="I573" s="35" t="s">
        <v>1228</v>
      </c>
      <c r="J573" s="35" t="s">
        <v>1228</v>
      </c>
      <c r="K573" s="37">
        <v>575</v>
      </c>
      <c r="L573" s="37">
        <v>79.5</v>
      </c>
      <c r="M573" s="37">
        <v>98.5</v>
      </c>
    </row>
    <row r="574" spans="2:13" x14ac:dyDescent="0.25">
      <c r="B574" s="48" t="s">
        <v>4358</v>
      </c>
      <c r="C574" s="32">
        <v>14</v>
      </c>
      <c r="D574" s="32">
        <v>35</v>
      </c>
      <c r="E574" s="32">
        <v>2</v>
      </c>
      <c r="F574" s="32">
        <v>2</v>
      </c>
      <c r="G574" s="32">
        <v>77</v>
      </c>
      <c r="H574" s="32">
        <v>8.33</v>
      </c>
      <c r="I574" s="33" t="s">
        <v>1228</v>
      </c>
      <c r="J574" s="33" t="s">
        <v>1228</v>
      </c>
      <c r="K574" s="36">
        <v>915</v>
      </c>
      <c r="L574" s="36">
        <v>86</v>
      </c>
      <c r="M574" s="36">
        <v>133</v>
      </c>
    </row>
    <row r="575" spans="2:13" x14ac:dyDescent="0.25">
      <c r="B575" s="49" t="s">
        <v>2930</v>
      </c>
      <c r="C575" s="34">
        <v>150</v>
      </c>
      <c r="D575" s="34">
        <v>150</v>
      </c>
      <c r="E575" s="34">
        <v>2</v>
      </c>
      <c r="F575" s="34">
        <v>2</v>
      </c>
      <c r="G575" s="34">
        <v>82</v>
      </c>
      <c r="H575" s="34">
        <v>7.69</v>
      </c>
      <c r="I575" s="35" t="s">
        <v>1228</v>
      </c>
      <c r="J575" s="35" t="s">
        <v>1228</v>
      </c>
      <c r="K575" s="37">
        <v>1610</v>
      </c>
      <c r="L575" s="37">
        <v>100</v>
      </c>
      <c r="M575" s="37">
        <v>150</v>
      </c>
    </row>
    <row r="576" spans="2:13" x14ac:dyDescent="0.25">
      <c r="B576" s="48" t="s">
        <v>2935</v>
      </c>
      <c r="C576" s="32">
        <v>18</v>
      </c>
      <c r="D576" s="32">
        <v>180</v>
      </c>
      <c r="E576" s="32">
        <v>3.5</v>
      </c>
      <c r="F576" s="32">
        <v>3.5</v>
      </c>
      <c r="G576" s="32">
        <v>62</v>
      </c>
      <c r="H576" s="32">
        <v>4.3499999999999996</v>
      </c>
      <c r="I576" s="33" t="s">
        <v>1228</v>
      </c>
      <c r="J576" s="33" t="s">
        <v>1228</v>
      </c>
      <c r="K576" s="36">
        <v>435</v>
      </c>
      <c r="L576" s="36">
        <v>78</v>
      </c>
      <c r="M576" s="36">
        <v>84.5</v>
      </c>
    </row>
    <row r="577" spans="2:13" x14ac:dyDescent="0.25">
      <c r="B577" s="49" t="s">
        <v>3225</v>
      </c>
      <c r="C577" s="34">
        <v>300</v>
      </c>
      <c r="D577" s="34">
        <v>300</v>
      </c>
      <c r="E577" s="34">
        <v>2.8</v>
      </c>
      <c r="F577" s="34">
        <v>2.8</v>
      </c>
      <c r="G577" s="34">
        <v>43</v>
      </c>
      <c r="H577" s="34">
        <v>6.67</v>
      </c>
      <c r="I577" s="35" t="s">
        <v>1228</v>
      </c>
      <c r="J577" s="35" t="s">
        <v>1228</v>
      </c>
      <c r="K577" s="37">
        <v>3290</v>
      </c>
      <c r="L577" s="37">
        <v>129</v>
      </c>
      <c r="M577" s="37">
        <v>281</v>
      </c>
    </row>
    <row r="578" spans="2:13" x14ac:dyDescent="0.25">
      <c r="B578" s="48" t="s">
        <v>2933</v>
      </c>
      <c r="C578" s="32">
        <v>35</v>
      </c>
      <c r="D578" s="32">
        <v>100</v>
      </c>
      <c r="E578" s="32">
        <v>2</v>
      </c>
      <c r="F578" s="32">
        <v>2</v>
      </c>
      <c r="G578" s="32">
        <v>77</v>
      </c>
      <c r="H578" s="32">
        <v>11.11</v>
      </c>
      <c r="I578" s="33" t="s">
        <v>1228</v>
      </c>
      <c r="J578" s="33" t="s">
        <v>1228</v>
      </c>
      <c r="K578" s="36">
        <v>1650</v>
      </c>
      <c r="L578" s="36">
        <v>96.5</v>
      </c>
      <c r="M578" s="36">
        <v>213.5</v>
      </c>
    </row>
    <row r="579" spans="2:13" x14ac:dyDescent="0.25">
      <c r="B579" s="49" t="s">
        <v>3230</v>
      </c>
      <c r="C579" s="34">
        <v>40</v>
      </c>
      <c r="D579" s="34">
        <v>150</v>
      </c>
      <c r="E579" s="34">
        <v>4</v>
      </c>
      <c r="F579" s="34">
        <v>4</v>
      </c>
      <c r="G579" s="34">
        <v>58</v>
      </c>
      <c r="H579" s="34">
        <v>6.25</v>
      </c>
      <c r="I579" s="35" t="s">
        <v>1228</v>
      </c>
      <c r="J579" s="35" t="s">
        <v>1228</v>
      </c>
      <c r="K579" s="37">
        <v>220</v>
      </c>
      <c r="L579" s="37">
        <v>65.5</v>
      </c>
      <c r="M579" s="37">
        <v>72</v>
      </c>
    </row>
    <row r="580" spans="2:13" x14ac:dyDescent="0.25">
      <c r="B580" s="48" t="s">
        <v>3229</v>
      </c>
      <c r="C580" s="32">
        <v>50</v>
      </c>
      <c r="D580" s="32">
        <v>200</v>
      </c>
      <c r="E580" s="32">
        <v>2.8</v>
      </c>
      <c r="F580" s="32">
        <v>2.8</v>
      </c>
      <c r="G580" s="32">
        <v>67</v>
      </c>
      <c r="H580" s="32">
        <v>4.76</v>
      </c>
      <c r="I580" s="33" t="s">
        <v>1228</v>
      </c>
      <c r="J580" s="33" t="s">
        <v>1228</v>
      </c>
      <c r="K580" s="36">
        <v>995</v>
      </c>
      <c r="L580" s="36">
        <v>86.5</v>
      </c>
      <c r="M580" s="36">
        <v>157</v>
      </c>
    </row>
    <row r="581" spans="2:13" x14ac:dyDescent="0.25">
      <c r="B581" s="49" t="s">
        <v>2932</v>
      </c>
      <c r="C581" s="34">
        <v>50</v>
      </c>
      <c r="D581" s="34">
        <v>50</v>
      </c>
      <c r="E581" s="34">
        <v>2</v>
      </c>
      <c r="F581" s="34">
        <v>2</v>
      </c>
      <c r="G581" s="34">
        <v>52</v>
      </c>
      <c r="H581" s="34">
        <v>1.92</v>
      </c>
      <c r="I581" s="35" t="s">
        <v>1228</v>
      </c>
      <c r="J581" s="35" t="s">
        <v>1228</v>
      </c>
      <c r="K581" s="37">
        <v>300</v>
      </c>
      <c r="L581" s="37">
        <v>71</v>
      </c>
      <c r="M581" s="37">
        <v>61.5</v>
      </c>
    </row>
    <row r="582" spans="2:13" x14ac:dyDescent="0.25">
      <c r="B582" s="48" t="s">
        <v>3228</v>
      </c>
      <c r="C582" s="32">
        <v>70</v>
      </c>
      <c r="D582" s="32">
        <v>300</v>
      </c>
      <c r="E582" s="32">
        <v>4</v>
      </c>
      <c r="F582" s="32">
        <v>4</v>
      </c>
      <c r="G582" s="32">
        <v>58</v>
      </c>
      <c r="H582" s="32">
        <v>2</v>
      </c>
      <c r="I582" s="33" t="s">
        <v>1228</v>
      </c>
      <c r="J582" s="33" t="s">
        <v>1228</v>
      </c>
      <c r="K582" s="36">
        <v>620</v>
      </c>
      <c r="L582" s="36">
        <v>80</v>
      </c>
      <c r="M582" s="36">
        <v>127</v>
      </c>
    </row>
    <row r="583" spans="2:13" x14ac:dyDescent="0.25">
      <c r="B583" s="49" t="s">
        <v>2939</v>
      </c>
      <c r="C583" s="34">
        <v>7</v>
      </c>
      <c r="D583" s="34">
        <v>14</v>
      </c>
      <c r="E583" s="34">
        <v>4</v>
      </c>
      <c r="F583" s="34">
        <v>4</v>
      </c>
      <c r="G583" s="34">
        <v>0</v>
      </c>
      <c r="H583" s="34">
        <v>9.09</v>
      </c>
      <c r="I583" s="35" t="s">
        <v>1228</v>
      </c>
      <c r="J583" s="35" t="s">
        <v>1228</v>
      </c>
      <c r="K583" s="37">
        <v>780</v>
      </c>
      <c r="L583" s="37">
        <v>86.5</v>
      </c>
      <c r="M583" s="37">
        <v>119.5</v>
      </c>
    </row>
    <row r="584" spans="2:13" x14ac:dyDescent="0.25">
      <c r="B584" s="48" t="s">
        <v>3231</v>
      </c>
      <c r="C584" s="32">
        <v>8</v>
      </c>
      <c r="D584" s="32">
        <v>8</v>
      </c>
      <c r="E584" s="32">
        <v>3.5</v>
      </c>
      <c r="F584" s="32">
        <v>3.5</v>
      </c>
      <c r="G584" s="32">
        <v>0</v>
      </c>
      <c r="H584" s="32">
        <v>4.55</v>
      </c>
      <c r="I584" s="33" t="s">
        <v>1228</v>
      </c>
      <c r="J584" s="33" t="s">
        <v>1228</v>
      </c>
      <c r="K584" s="36">
        <v>455</v>
      </c>
      <c r="L584" s="36">
        <v>79</v>
      </c>
      <c r="M584" s="36">
        <v>78</v>
      </c>
    </row>
    <row r="585" spans="2:13" x14ac:dyDescent="0.25">
      <c r="B585" s="49" t="s">
        <v>2937</v>
      </c>
      <c r="C585" s="34">
        <v>9</v>
      </c>
      <c r="D585" s="34">
        <v>18</v>
      </c>
      <c r="E585" s="34">
        <v>4</v>
      </c>
      <c r="F585" s="34">
        <v>4</v>
      </c>
      <c r="G585" s="34">
        <v>72</v>
      </c>
      <c r="H585" s="34">
        <v>8.33</v>
      </c>
      <c r="I585" s="35" t="s">
        <v>1228</v>
      </c>
      <c r="J585" s="35" t="s">
        <v>1228</v>
      </c>
      <c r="K585" s="37">
        <v>280</v>
      </c>
      <c r="L585" s="37">
        <v>73</v>
      </c>
      <c r="M585" s="37">
        <v>79.5</v>
      </c>
    </row>
    <row r="586" spans="2:13" x14ac:dyDescent="0.25">
      <c r="B586" s="48" t="s">
        <v>2761</v>
      </c>
      <c r="C586" s="32">
        <v>12.5</v>
      </c>
      <c r="D586" s="32">
        <v>12.5</v>
      </c>
      <c r="E586" s="32">
        <v>0.05</v>
      </c>
      <c r="F586" s="32">
        <v>0.05</v>
      </c>
      <c r="G586" s="32">
        <v>0</v>
      </c>
      <c r="H586" s="32">
        <v>50</v>
      </c>
      <c r="I586" s="33" t="s">
        <v>1227</v>
      </c>
      <c r="J586" s="33" t="s">
        <v>1228</v>
      </c>
      <c r="K586" s="36">
        <v>45</v>
      </c>
      <c r="L586" s="36">
        <v>0</v>
      </c>
      <c r="M586" s="36">
        <v>0</v>
      </c>
    </row>
    <row r="587" spans="2:13" x14ac:dyDescent="0.25">
      <c r="B587" s="49" t="s">
        <v>4379</v>
      </c>
      <c r="C587" s="34">
        <v>14</v>
      </c>
      <c r="D587" s="34">
        <v>14</v>
      </c>
      <c r="E587" s="34">
        <v>2.5</v>
      </c>
      <c r="F587" s="34">
        <v>2.5</v>
      </c>
      <c r="G587" s="34">
        <v>46</v>
      </c>
      <c r="H587" s="34">
        <v>10</v>
      </c>
      <c r="I587" s="35" t="s">
        <v>1227</v>
      </c>
      <c r="J587" s="35" t="s">
        <v>1228</v>
      </c>
      <c r="K587" s="37">
        <v>55</v>
      </c>
      <c r="L587" s="37">
        <v>55.5</v>
      </c>
      <c r="M587" s="37">
        <v>20.5</v>
      </c>
    </row>
    <row r="588" spans="2:13" x14ac:dyDescent="0.25">
      <c r="B588" s="48" t="s">
        <v>2829</v>
      </c>
      <c r="C588" s="32">
        <v>14</v>
      </c>
      <c r="D588" s="32">
        <v>14</v>
      </c>
      <c r="E588" s="32">
        <v>2.5</v>
      </c>
      <c r="F588" s="32">
        <v>2.5</v>
      </c>
      <c r="G588" s="32">
        <v>46</v>
      </c>
      <c r="H588" s="32">
        <v>10</v>
      </c>
      <c r="I588" s="33" t="s">
        <v>1227</v>
      </c>
      <c r="J588" s="33" t="s">
        <v>1228</v>
      </c>
      <c r="K588" s="36">
        <v>55</v>
      </c>
      <c r="L588" s="36">
        <v>55.5</v>
      </c>
      <c r="M588" s="36">
        <v>20.5</v>
      </c>
    </row>
    <row r="589" spans="2:13" x14ac:dyDescent="0.25">
      <c r="B589" s="49" t="s">
        <v>3224</v>
      </c>
      <c r="C589" s="34">
        <v>14</v>
      </c>
      <c r="D589" s="34">
        <v>14</v>
      </c>
      <c r="E589" s="34">
        <v>2.5</v>
      </c>
      <c r="F589" s="34">
        <v>2.5</v>
      </c>
      <c r="G589" s="34">
        <v>46</v>
      </c>
      <c r="H589" s="34">
        <v>0</v>
      </c>
      <c r="I589" s="35" t="s">
        <v>1227</v>
      </c>
      <c r="J589" s="35" t="s">
        <v>1228</v>
      </c>
      <c r="K589" s="37">
        <v>55</v>
      </c>
      <c r="L589" s="37">
        <v>0</v>
      </c>
      <c r="M589" s="37">
        <v>0</v>
      </c>
    </row>
    <row r="590" spans="2:13" x14ac:dyDescent="0.25">
      <c r="B590" s="48" t="s">
        <v>4166</v>
      </c>
      <c r="C590" s="32">
        <v>20</v>
      </c>
      <c r="D590" s="32">
        <v>20</v>
      </c>
      <c r="E590" s="32">
        <v>1.7</v>
      </c>
      <c r="F590" s="32">
        <v>1.7</v>
      </c>
      <c r="G590" s="32">
        <v>46</v>
      </c>
      <c r="H590" s="32">
        <v>7.69</v>
      </c>
      <c r="I590" s="33" t="s">
        <v>1227</v>
      </c>
      <c r="J590" s="33" t="s">
        <v>1228</v>
      </c>
      <c r="K590" s="36">
        <v>100</v>
      </c>
      <c r="L590" s="36">
        <v>63</v>
      </c>
      <c r="M590" s="36">
        <v>25.5</v>
      </c>
    </row>
    <row r="591" spans="2:13" x14ac:dyDescent="0.25">
      <c r="B591" s="49" t="s">
        <v>2543</v>
      </c>
      <c r="C591" s="34">
        <v>20</v>
      </c>
      <c r="D591" s="34">
        <v>20</v>
      </c>
      <c r="E591" s="34">
        <v>1.7</v>
      </c>
      <c r="F591" s="34">
        <v>1.7</v>
      </c>
      <c r="G591" s="34">
        <v>46</v>
      </c>
      <c r="H591" s="34">
        <v>7.69</v>
      </c>
      <c r="I591" s="35" t="s">
        <v>1227</v>
      </c>
      <c r="J591" s="35" t="s">
        <v>1228</v>
      </c>
      <c r="K591" s="37">
        <v>87</v>
      </c>
      <c r="L591" s="37">
        <v>63</v>
      </c>
      <c r="M591" s="37">
        <v>25.5</v>
      </c>
    </row>
    <row r="592" spans="2:13" x14ac:dyDescent="0.25">
      <c r="B592" s="48" t="s">
        <v>2828</v>
      </c>
      <c r="C592" s="32">
        <v>20</v>
      </c>
      <c r="D592" s="32">
        <v>20</v>
      </c>
      <c r="E592" s="32">
        <v>1.7</v>
      </c>
      <c r="F592" s="32">
        <v>1.7</v>
      </c>
      <c r="G592" s="32">
        <v>46</v>
      </c>
      <c r="H592" s="32">
        <v>7.69</v>
      </c>
      <c r="I592" s="33" t="s">
        <v>1227</v>
      </c>
      <c r="J592" s="33" t="s">
        <v>1228</v>
      </c>
      <c r="K592" s="36">
        <v>87</v>
      </c>
      <c r="L592" s="36">
        <v>63</v>
      </c>
      <c r="M592" s="36">
        <v>25.5</v>
      </c>
    </row>
    <row r="593" spans="2:13" x14ac:dyDescent="0.25">
      <c r="B593" s="49" t="s">
        <v>2542</v>
      </c>
      <c r="C593" s="34">
        <v>25</v>
      </c>
      <c r="D593" s="34">
        <v>25</v>
      </c>
      <c r="E593" s="34">
        <v>1.7</v>
      </c>
      <c r="F593" s="34">
        <v>1.7</v>
      </c>
      <c r="G593" s="34">
        <v>46</v>
      </c>
      <c r="H593" s="34">
        <v>7.14</v>
      </c>
      <c r="I593" s="35" t="s">
        <v>1227</v>
      </c>
      <c r="J593" s="35" t="s">
        <v>1228</v>
      </c>
      <c r="K593" s="37">
        <v>125</v>
      </c>
      <c r="L593" s="37">
        <v>60.8</v>
      </c>
      <c r="M593" s="37">
        <v>52</v>
      </c>
    </row>
    <row r="594" spans="2:13" x14ac:dyDescent="0.25">
      <c r="B594" s="48" t="s">
        <v>4165</v>
      </c>
      <c r="C594" s="32">
        <v>25</v>
      </c>
      <c r="D594" s="32">
        <v>25</v>
      </c>
      <c r="E594" s="32">
        <v>1.7</v>
      </c>
      <c r="F594" s="32">
        <v>1.7</v>
      </c>
      <c r="G594" s="32">
        <v>46</v>
      </c>
      <c r="H594" s="32">
        <v>7.14</v>
      </c>
      <c r="I594" s="33" t="s">
        <v>1227</v>
      </c>
      <c r="J594" s="33" t="s">
        <v>1228</v>
      </c>
      <c r="K594" s="36">
        <v>125</v>
      </c>
      <c r="L594" s="36">
        <v>60.8</v>
      </c>
      <c r="M594" s="36">
        <v>52</v>
      </c>
    </row>
    <row r="595" spans="2:13" x14ac:dyDescent="0.25">
      <c r="B595" s="49" t="s">
        <v>2650</v>
      </c>
      <c r="C595" s="34">
        <v>30</v>
      </c>
      <c r="D595" s="34">
        <v>30</v>
      </c>
      <c r="E595" s="34">
        <v>2.8</v>
      </c>
      <c r="F595" s="34">
        <v>2.8</v>
      </c>
      <c r="G595" s="34">
        <v>46</v>
      </c>
      <c r="H595" s="34">
        <v>1</v>
      </c>
      <c r="I595" s="35" t="s">
        <v>1227</v>
      </c>
      <c r="J595" s="35" t="s">
        <v>1228</v>
      </c>
      <c r="K595" s="37">
        <v>180</v>
      </c>
      <c r="L595" s="37">
        <v>58.8</v>
      </c>
      <c r="M595" s="37">
        <v>63.5</v>
      </c>
    </row>
    <row r="596" spans="2:13" x14ac:dyDescent="0.25">
      <c r="B596" s="48" t="s">
        <v>2552</v>
      </c>
      <c r="C596" s="32">
        <v>42.5</v>
      </c>
      <c r="D596" s="32">
        <v>42.5</v>
      </c>
      <c r="E596" s="32">
        <v>1.7</v>
      </c>
      <c r="F596" s="32">
        <v>1.7</v>
      </c>
      <c r="G596" s="32">
        <v>37</v>
      </c>
      <c r="H596" s="32">
        <v>5</v>
      </c>
      <c r="I596" s="33" t="s">
        <v>1227</v>
      </c>
      <c r="J596" s="33" t="s">
        <v>1228</v>
      </c>
      <c r="K596" s="36">
        <v>130</v>
      </c>
      <c r="L596" s="36">
        <v>55</v>
      </c>
      <c r="M596" s="36">
        <v>50</v>
      </c>
    </row>
    <row r="597" spans="2:13" x14ac:dyDescent="0.25">
      <c r="B597" s="49" t="s">
        <v>2830</v>
      </c>
      <c r="C597" s="34">
        <v>8</v>
      </c>
      <c r="D597" s="34">
        <v>8</v>
      </c>
      <c r="E597" s="34">
        <v>3.5</v>
      </c>
      <c r="F597" s="34">
        <v>3.5</v>
      </c>
      <c r="G597" s="34">
        <v>0</v>
      </c>
      <c r="H597" s="34">
        <v>5</v>
      </c>
      <c r="I597" s="35" t="s">
        <v>1227</v>
      </c>
      <c r="J597" s="35" t="s">
        <v>1228</v>
      </c>
      <c r="K597" s="37">
        <v>165</v>
      </c>
      <c r="L597" s="37">
        <v>60.7</v>
      </c>
      <c r="M597" s="37">
        <v>51.7</v>
      </c>
    </row>
    <row r="598" spans="2:13" x14ac:dyDescent="0.25">
      <c r="B598" s="48" t="s">
        <v>2541</v>
      </c>
      <c r="C598" s="32">
        <v>100</v>
      </c>
      <c r="D598" s="32">
        <v>300</v>
      </c>
      <c r="E598" s="32">
        <v>4</v>
      </c>
      <c r="F598" s="32">
        <v>4</v>
      </c>
      <c r="G598" s="32">
        <v>67</v>
      </c>
      <c r="H598" s="32">
        <v>4.76</v>
      </c>
      <c r="I598" s="33" t="s">
        <v>1227</v>
      </c>
      <c r="J598" s="33" t="s">
        <v>1228</v>
      </c>
      <c r="K598" s="36">
        <v>520</v>
      </c>
      <c r="L598" s="36">
        <v>73.599999999999994</v>
      </c>
      <c r="M598" s="36">
        <v>126</v>
      </c>
    </row>
    <row r="599" spans="2:13" x14ac:dyDescent="0.25">
      <c r="B599" s="49" t="s">
        <v>4156</v>
      </c>
      <c r="C599" s="34">
        <v>100</v>
      </c>
      <c r="D599" s="34">
        <v>300</v>
      </c>
      <c r="E599" s="34">
        <v>4</v>
      </c>
      <c r="F599" s="34">
        <v>4</v>
      </c>
      <c r="G599" s="34">
        <v>67</v>
      </c>
      <c r="H599" s="34">
        <v>4.76</v>
      </c>
      <c r="I599" s="35" t="s">
        <v>1227</v>
      </c>
      <c r="J599" s="35" t="s">
        <v>1228</v>
      </c>
      <c r="K599" s="37">
        <v>520</v>
      </c>
      <c r="L599" s="37">
        <v>73</v>
      </c>
      <c r="M599" s="37">
        <v>126</v>
      </c>
    </row>
    <row r="600" spans="2:13" x14ac:dyDescent="0.25">
      <c r="B600" s="48" t="s">
        <v>2648</v>
      </c>
      <c r="C600" s="32">
        <v>12</v>
      </c>
      <c r="D600" s="32">
        <v>32</v>
      </c>
      <c r="E600" s="32">
        <v>3.5</v>
      </c>
      <c r="F600" s="32">
        <v>3.5</v>
      </c>
      <c r="G600" s="32">
        <v>37</v>
      </c>
      <c r="H600" s="32">
        <v>7.69</v>
      </c>
      <c r="I600" s="33" t="s">
        <v>1227</v>
      </c>
      <c r="J600" s="33" t="s">
        <v>1228</v>
      </c>
      <c r="K600" s="36">
        <v>70</v>
      </c>
      <c r="L600" s="36">
        <v>55.5</v>
      </c>
      <c r="M600" s="36">
        <v>24</v>
      </c>
    </row>
    <row r="601" spans="2:13" x14ac:dyDescent="0.25">
      <c r="B601" s="49" t="s">
        <v>4164</v>
      </c>
      <c r="C601" s="34">
        <v>12</v>
      </c>
      <c r="D601" s="34">
        <v>32</v>
      </c>
      <c r="E601" s="34">
        <v>3.5</v>
      </c>
      <c r="F601" s="34">
        <v>3.5</v>
      </c>
      <c r="G601" s="34">
        <v>37</v>
      </c>
      <c r="H601" s="34">
        <v>7.69</v>
      </c>
      <c r="I601" s="35" t="s">
        <v>1227</v>
      </c>
      <c r="J601" s="35" t="s">
        <v>1228</v>
      </c>
      <c r="K601" s="37">
        <v>70</v>
      </c>
      <c r="L601" s="37">
        <v>55.5</v>
      </c>
      <c r="M601" s="37">
        <v>24</v>
      </c>
    </row>
    <row r="602" spans="2:13" x14ac:dyDescent="0.25">
      <c r="B602" s="48" t="s">
        <v>2515</v>
      </c>
      <c r="C602" s="32">
        <v>12</v>
      </c>
      <c r="D602" s="32">
        <v>60</v>
      </c>
      <c r="E602" s="32">
        <v>3.5</v>
      </c>
      <c r="F602" s="32">
        <v>3.5</v>
      </c>
      <c r="G602" s="32">
        <v>58</v>
      </c>
      <c r="H602" s="32">
        <v>3.7</v>
      </c>
      <c r="I602" s="33" t="s">
        <v>1227</v>
      </c>
      <c r="J602" s="33" t="s">
        <v>1228</v>
      </c>
      <c r="K602" s="36">
        <v>210</v>
      </c>
      <c r="L602" s="36">
        <v>66</v>
      </c>
      <c r="M602" s="36">
        <v>71</v>
      </c>
    </row>
    <row r="603" spans="2:13" x14ac:dyDescent="0.25">
      <c r="B603" s="49" t="s">
        <v>2562</v>
      </c>
      <c r="C603" s="34">
        <v>14</v>
      </c>
      <c r="D603" s="34">
        <v>140</v>
      </c>
      <c r="E603" s="34">
        <v>3.5</v>
      </c>
      <c r="F603" s="34">
        <v>3.5</v>
      </c>
      <c r="G603" s="34">
        <v>58</v>
      </c>
      <c r="H603" s="34">
        <v>4</v>
      </c>
      <c r="I603" s="35" t="s">
        <v>1227</v>
      </c>
      <c r="J603" s="35" t="s">
        <v>1228</v>
      </c>
      <c r="K603" s="37">
        <v>265</v>
      </c>
      <c r="L603" s="37">
        <v>67</v>
      </c>
      <c r="M603" s="37">
        <v>75</v>
      </c>
    </row>
    <row r="604" spans="2:13" x14ac:dyDescent="0.25">
      <c r="B604" s="48" t="s">
        <v>2646</v>
      </c>
      <c r="C604" s="32">
        <v>14</v>
      </c>
      <c r="D604" s="32">
        <v>42</v>
      </c>
      <c r="E604" s="32">
        <v>3.5</v>
      </c>
      <c r="F604" s="32">
        <v>3.5</v>
      </c>
      <c r="G604" s="32">
        <v>52</v>
      </c>
      <c r="H604" s="32">
        <v>6.25</v>
      </c>
      <c r="I604" s="33" t="s">
        <v>1227</v>
      </c>
      <c r="J604" s="33" t="s">
        <v>1228</v>
      </c>
      <c r="K604" s="36">
        <v>165</v>
      </c>
      <c r="L604" s="36">
        <v>0</v>
      </c>
      <c r="M604" s="36">
        <v>0</v>
      </c>
    </row>
    <row r="605" spans="2:13" x14ac:dyDescent="0.25">
      <c r="B605" s="49" t="s">
        <v>4357</v>
      </c>
      <c r="C605" s="34">
        <v>14</v>
      </c>
      <c r="D605" s="34">
        <v>42</v>
      </c>
      <c r="E605" s="34">
        <v>3.5</v>
      </c>
      <c r="F605" s="34">
        <v>3.5</v>
      </c>
      <c r="G605" s="34">
        <v>46</v>
      </c>
      <c r="H605" s="34">
        <v>2.94</v>
      </c>
      <c r="I605" s="35" t="s">
        <v>1227</v>
      </c>
      <c r="J605" s="35" t="s">
        <v>1228</v>
      </c>
      <c r="K605" s="37">
        <v>110</v>
      </c>
      <c r="L605" s="37">
        <v>56</v>
      </c>
      <c r="M605" s="37">
        <v>49</v>
      </c>
    </row>
    <row r="606" spans="2:13" x14ac:dyDescent="0.25">
      <c r="B606" s="48" t="s">
        <v>4163</v>
      </c>
      <c r="C606" s="32">
        <v>14</v>
      </c>
      <c r="D606" s="32">
        <v>42</v>
      </c>
      <c r="E606" s="32">
        <v>3.5</v>
      </c>
      <c r="F606" s="32">
        <v>3.5</v>
      </c>
      <c r="G606" s="32">
        <v>46</v>
      </c>
      <c r="H606" s="32">
        <v>2.94</v>
      </c>
      <c r="I606" s="33" t="s">
        <v>1227</v>
      </c>
      <c r="J606" s="33" t="s">
        <v>1228</v>
      </c>
      <c r="K606" s="36">
        <v>110</v>
      </c>
      <c r="L606" s="36">
        <v>56</v>
      </c>
      <c r="M606" s="36">
        <v>49</v>
      </c>
    </row>
    <row r="607" spans="2:13" x14ac:dyDescent="0.25">
      <c r="B607" s="49" t="s">
        <v>4161</v>
      </c>
      <c r="C607" s="34">
        <v>14</v>
      </c>
      <c r="D607" s="34">
        <v>45</v>
      </c>
      <c r="E607" s="34">
        <v>3.5</v>
      </c>
      <c r="F607" s="34">
        <v>3.5</v>
      </c>
      <c r="G607" s="34">
        <v>0</v>
      </c>
      <c r="H607" s="34">
        <v>0</v>
      </c>
      <c r="I607" s="35" t="s">
        <v>1227</v>
      </c>
      <c r="J607" s="35" t="s">
        <v>1228</v>
      </c>
      <c r="K607" s="37">
        <v>225</v>
      </c>
      <c r="L607" s="37">
        <v>63</v>
      </c>
      <c r="M607" s="37">
        <v>62.5</v>
      </c>
    </row>
    <row r="608" spans="2:13" x14ac:dyDescent="0.25">
      <c r="B608" s="48" t="s">
        <v>2826</v>
      </c>
      <c r="C608" s="32">
        <v>35</v>
      </c>
      <c r="D608" s="32">
        <v>100</v>
      </c>
      <c r="E608" s="32">
        <v>4</v>
      </c>
      <c r="F608" s="32">
        <v>4</v>
      </c>
      <c r="G608" s="32">
        <v>46</v>
      </c>
      <c r="H608" s="32">
        <v>4.54</v>
      </c>
      <c r="I608" s="33" t="s">
        <v>1227</v>
      </c>
      <c r="J608" s="33" t="s">
        <v>1228</v>
      </c>
      <c r="K608" s="36">
        <v>135</v>
      </c>
      <c r="L608" s="36">
        <v>55.5</v>
      </c>
      <c r="M608" s="36">
        <v>50</v>
      </c>
    </row>
    <row r="609" spans="2:13" x14ac:dyDescent="0.25">
      <c r="B609" s="49" t="s">
        <v>3223</v>
      </c>
      <c r="C609" s="34">
        <v>35</v>
      </c>
      <c r="D609" s="34">
        <v>100</v>
      </c>
      <c r="E609" s="34">
        <v>4</v>
      </c>
      <c r="F609" s="34">
        <v>4</v>
      </c>
      <c r="G609" s="34">
        <v>46</v>
      </c>
      <c r="H609" s="34">
        <v>4.54</v>
      </c>
      <c r="I609" s="35" t="s">
        <v>1227</v>
      </c>
      <c r="J609" s="35" t="s">
        <v>1228</v>
      </c>
      <c r="K609" s="37">
        <v>135</v>
      </c>
      <c r="L609" s="37">
        <v>55.5</v>
      </c>
      <c r="M609" s="37">
        <v>50</v>
      </c>
    </row>
    <row r="610" spans="2:13" x14ac:dyDescent="0.25">
      <c r="B610" s="48" t="s">
        <v>4447</v>
      </c>
      <c r="C610" s="32">
        <v>45</v>
      </c>
      <c r="D610" s="32">
        <v>150</v>
      </c>
      <c r="E610" s="32">
        <v>4</v>
      </c>
      <c r="F610" s="32">
        <v>4</v>
      </c>
      <c r="G610" s="32">
        <v>52</v>
      </c>
      <c r="H610" s="32">
        <v>5.88</v>
      </c>
      <c r="I610" s="33" t="s">
        <v>1227</v>
      </c>
      <c r="J610" s="33" t="s">
        <v>1228</v>
      </c>
      <c r="K610" s="36">
        <v>200</v>
      </c>
      <c r="L610" s="36">
        <v>62</v>
      </c>
      <c r="M610" s="36">
        <v>73</v>
      </c>
    </row>
    <row r="611" spans="2:13" x14ac:dyDescent="0.25">
      <c r="B611" s="49" t="s">
        <v>4159</v>
      </c>
      <c r="C611" s="34">
        <v>45</v>
      </c>
      <c r="D611" s="34">
        <v>150</v>
      </c>
      <c r="E611" s="34">
        <v>4</v>
      </c>
      <c r="F611" s="34">
        <v>4</v>
      </c>
      <c r="G611" s="34">
        <v>52</v>
      </c>
      <c r="H611" s="34">
        <v>5.88</v>
      </c>
      <c r="I611" s="35" t="s">
        <v>1227</v>
      </c>
      <c r="J611" s="35" t="s">
        <v>1228</v>
      </c>
      <c r="K611" s="37">
        <v>200</v>
      </c>
      <c r="L611" s="37">
        <v>62</v>
      </c>
      <c r="M611" s="37">
        <v>73</v>
      </c>
    </row>
    <row r="612" spans="2:13" x14ac:dyDescent="0.25">
      <c r="B612" s="48" t="s">
        <v>4378</v>
      </c>
      <c r="C612" s="32">
        <v>45</v>
      </c>
      <c r="D612" s="32">
        <v>200</v>
      </c>
      <c r="E612" s="32">
        <v>4</v>
      </c>
      <c r="F612" s="32">
        <v>4</v>
      </c>
      <c r="G612" s="32">
        <v>52</v>
      </c>
      <c r="H612" s="32">
        <v>5.26</v>
      </c>
      <c r="I612" s="33" t="s">
        <v>1227</v>
      </c>
      <c r="J612" s="33" t="s">
        <v>1228</v>
      </c>
      <c r="K612" s="36">
        <v>370</v>
      </c>
      <c r="L612" s="36">
        <v>70</v>
      </c>
      <c r="M612" s="36">
        <v>100</v>
      </c>
    </row>
    <row r="613" spans="2:13" x14ac:dyDescent="0.25">
      <c r="B613" s="49" t="s">
        <v>4157</v>
      </c>
      <c r="C613" s="34">
        <v>45</v>
      </c>
      <c r="D613" s="34">
        <v>200</v>
      </c>
      <c r="E613" s="34">
        <v>4</v>
      </c>
      <c r="F613" s="34">
        <v>4</v>
      </c>
      <c r="G613" s="34">
        <v>52</v>
      </c>
      <c r="H613" s="34">
        <v>0</v>
      </c>
      <c r="I613" s="35" t="s">
        <v>1227</v>
      </c>
      <c r="J613" s="35" t="s">
        <v>1228</v>
      </c>
      <c r="K613" s="37">
        <v>380</v>
      </c>
      <c r="L613" s="37">
        <v>70</v>
      </c>
      <c r="M613" s="37">
        <v>100</v>
      </c>
    </row>
    <row r="614" spans="2:13" x14ac:dyDescent="0.25">
      <c r="B614" s="48" t="s">
        <v>4486</v>
      </c>
      <c r="C614" s="32">
        <v>7</v>
      </c>
      <c r="D614" s="32">
        <v>14</v>
      </c>
      <c r="E614" s="32">
        <v>4</v>
      </c>
      <c r="F614" s="32">
        <v>4</v>
      </c>
      <c r="G614" s="32">
        <v>0</v>
      </c>
      <c r="H614" s="32">
        <v>5</v>
      </c>
      <c r="I614" s="33" t="s">
        <v>1227</v>
      </c>
      <c r="J614" s="33" t="s">
        <v>1228</v>
      </c>
      <c r="K614" s="36">
        <v>300</v>
      </c>
      <c r="L614" s="36">
        <v>75</v>
      </c>
      <c r="M614" s="36">
        <v>83.1</v>
      </c>
    </row>
    <row r="615" spans="2:13" x14ac:dyDescent="0.25">
      <c r="B615" s="49" t="s">
        <v>4485</v>
      </c>
      <c r="C615" s="34">
        <v>12</v>
      </c>
      <c r="D615" s="34">
        <v>35</v>
      </c>
      <c r="E615" s="34">
        <v>2.8</v>
      </c>
      <c r="F615" s="34">
        <v>2.8</v>
      </c>
      <c r="G615" s="34">
        <v>58</v>
      </c>
      <c r="H615" s="34">
        <v>5.88</v>
      </c>
      <c r="I615" s="35" t="s">
        <v>1227</v>
      </c>
      <c r="J615" s="35" t="s">
        <v>1228</v>
      </c>
      <c r="K615" s="37">
        <v>305</v>
      </c>
      <c r="L615" s="37">
        <v>67.599999999999994</v>
      </c>
      <c r="M615" s="37">
        <v>73.8</v>
      </c>
    </row>
    <row r="616" spans="2:13" x14ac:dyDescent="0.25">
      <c r="B616" s="48" t="s">
        <v>4436</v>
      </c>
      <c r="C616" s="32">
        <v>12</v>
      </c>
      <c r="D616" s="32">
        <v>35</v>
      </c>
      <c r="E616" s="32">
        <v>2.8</v>
      </c>
      <c r="F616" s="32">
        <v>2.8</v>
      </c>
      <c r="G616" s="32">
        <v>58</v>
      </c>
      <c r="H616" s="32">
        <v>5.88</v>
      </c>
      <c r="I616" s="33" t="s">
        <v>1227</v>
      </c>
      <c r="J616" s="33" t="s">
        <v>1228</v>
      </c>
      <c r="K616" s="36">
        <v>305</v>
      </c>
      <c r="L616" s="36">
        <v>68</v>
      </c>
      <c r="M616" s="36">
        <v>74</v>
      </c>
    </row>
    <row r="617" spans="2:13" x14ac:dyDescent="0.25">
      <c r="B617" s="49" t="s">
        <v>4435</v>
      </c>
      <c r="C617" s="34">
        <v>35</v>
      </c>
      <c r="D617" s="34">
        <v>100</v>
      </c>
      <c r="E617" s="34">
        <v>2.8</v>
      </c>
      <c r="F617" s="34">
        <v>2.8</v>
      </c>
      <c r="G617" s="34">
        <v>58</v>
      </c>
      <c r="H617" s="34">
        <v>10</v>
      </c>
      <c r="I617" s="35" t="s">
        <v>1227</v>
      </c>
      <c r="J617" s="35" t="s">
        <v>1228</v>
      </c>
      <c r="K617" s="37">
        <v>357</v>
      </c>
      <c r="L617" s="37">
        <v>67.400000000000006</v>
      </c>
      <c r="M617" s="37">
        <v>99.9</v>
      </c>
    </row>
    <row r="618" spans="2:13" x14ac:dyDescent="0.25">
      <c r="B618" s="48" t="s">
        <v>4446</v>
      </c>
      <c r="C618" s="32">
        <v>35</v>
      </c>
      <c r="D618" s="32">
        <v>100</v>
      </c>
      <c r="E618" s="32">
        <v>2.8</v>
      </c>
      <c r="F618" s="32">
        <v>2.8</v>
      </c>
      <c r="G618" s="32">
        <v>58</v>
      </c>
      <c r="H618" s="32">
        <v>10</v>
      </c>
      <c r="I618" s="33" t="s">
        <v>1227</v>
      </c>
      <c r="J618" s="33" t="s">
        <v>1228</v>
      </c>
      <c r="K618" s="36">
        <v>360</v>
      </c>
      <c r="L618" s="36">
        <v>67.400000000000006</v>
      </c>
      <c r="M618" s="36">
        <v>99.9</v>
      </c>
    </row>
    <row r="619" spans="2:13" x14ac:dyDescent="0.25">
      <c r="B619" s="49" t="s">
        <v>2825</v>
      </c>
      <c r="C619" s="34">
        <v>14</v>
      </c>
      <c r="D619" s="34">
        <v>42</v>
      </c>
      <c r="E619" s="34">
        <v>3.5</v>
      </c>
      <c r="F619" s="34">
        <v>3.5</v>
      </c>
      <c r="G619" s="34">
        <v>37</v>
      </c>
      <c r="H619" s="34">
        <v>5.88</v>
      </c>
      <c r="I619" s="35" t="s">
        <v>1227</v>
      </c>
      <c r="J619" s="35" t="s">
        <v>1228</v>
      </c>
      <c r="K619" s="37">
        <v>95</v>
      </c>
      <c r="L619" s="37">
        <v>61</v>
      </c>
      <c r="M619" s="37">
        <v>26.8</v>
      </c>
    </row>
    <row r="620" spans="2:13" x14ac:dyDescent="0.25">
      <c r="B620" s="48" t="s">
        <v>3222</v>
      </c>
      <c r="C620" s="32">
        <v>14</v>
      </c>
      <c r="D620" s="32">
        <v>42</v>
      </c>
      <c r="E620" s="32">
        <v>3.5</v>
      </c>
      <c r="F620" s="32">
        <v>3.5</v>
      </c>
      <c r="G620" s="32">
        <v>37</v>
      </c>
      <c r="H620" s="32">
        <v>5.88</v>
      </c>
      <c r="I620" s="33" t="s">
        <v>1227</v>
      </c>
      <c r="J620" s="33" t="s">
        <v>1228</v>
      </c>
      <c r="K620" s="36">
        <v>95</v>
      </c>
      <c r="L620" s="36">
        <v>61</v>
      </c>
      <c r="M620" s="36">
        <v>26.8</v>
      </c>
    </row>
    <row r="621" spans="2:13" x14ac:dyDescent="0.25">
      <c r="B621" s="49" t="s">
        <v>4355</v>
      </c>
      <c r="C621" s="34">
        <v>45</v>
      </c>
      <c r="D621" s="34">
        <v>175</v>
      </c>
      <c r="E621" s="34">
        <v>4</v>
      </c>
      <c r="F621" s="34">
        <v>4</v>
      </c>
      <c r="G621" s="34">
        <v>46</v>
      </c>
      <c r="H621" s="34">
        <v>5</v>
      </c>
      <c r="I621" s="35" t="s">
        <v>1227</v>
      </c>
      <c r="J621" s="35" t="s">
        <v>1228</v>
      </c>
      <c r="K621" s="37">
        <v>210</v>
      </c>
      <c r="L621" s="37">
        <v>62</v>
      </c>
      <c r="M621" s="37">
        <v>90</v>
      </c>
    </row>
    <row r="622" spans="2:13" x14ac:dyDescent="0.25">
      <c r="B622" s="48" t="s">
        <v>2824</v>
      </c>
      <c r="C622" s="32">
        <v>45</v>
      </c>
      <c r="D622" s="32">
        <v>45</v>
      </c>
      <c r="E622" s="32">
        <v>2.8</v>
      </c>
      <c r="F622" s="32">
        <v>2.8</v>
      </c>
      <c r="G622" s="32">
        <v>0</v>
      </c>
      <c r="H622" s="32">
        <v>1</v>
      </c>
      <c r="I622" s="33" t="s">
        <v>1227</v>
      </c>
      <c r="J622" s="33" t="s">
        <v>1228</v>
      </c>
      <c r="K622" s="36">
        <v>225</v>
      </c>
      <c r="L622" s="36">
        <v>63</v>
      </c>
      <c r="M622" s="36">
        <v>62.5</v>
      </c>
    </row>
    <row r="623" spans="2:13" x14ac:dyDescent="0.25">
      <c r="B623" s="49" t="s">
        <v>4476</v>
      </c>
      <c r="C623" s="34">
        <v>42.5</v>
      </c>
      <c r="D623" s="34">
        <v>42.5</v>
      </c>
      <c r="E623" s="34">
        <v>1.2</v>
      </c>
      <c r="F623" s="34">
        <v>1.2</v>
      </c>
      <c r="G623" s="34">
        <v>67</v>
      </c>
      <c r="H623" s="34">
        <v>5</v>
      </c>
      <c r="I623" s="35" t="s">
        <v>1227</v>
      </c>
      <c r="J623" s="35" t="s">
        <v>1228</v>
      </c>
      <c r="K623" s="37">
        <v>425</v>
      </c>
      <c r="L623" s="37">
        <v>74</v>
      </c>
      <c r="M623" s="37">
        <v>77</v>
      </c>
    </row>
    <row r="624" spans="2:13" x14ac:dyDescent="0.25">
      <c r="B624" s="48" t="s">
        <v>4461</v>
      </c>
      <c r="C624" s="32">
        <v>12</v>
      </c>
      <c r="D624" s="32">
        <v>12</v>
      </c>
      <c r="E624" s="32">
        <v>1.4</v>
      </c>
      <c r="F624" s="32">
        <v>1.4</v>
      </c>
      <c r="G624" s="32">
        <v>62</v>
      </c>
      <c r="H624" s="32">
        <v>10</v>
      </c>
      <c r="I624" s="33" t="s">
        <v>1227</v>
      </c>
      <c r="J624" s="33" t="s">
        <v>1228</v>
      </c>
      <c r="K624" s="36">
        <v>335</v>
      </c>
      <c r="L624" s="36">
        <v>70</v>
      </c>
      <c r="M624" s="36">
        <v>70</v>
      </c>
    </row>
    <row r="625" spans="2:13" x14ac:dyDescent="0.25">
      <c r="B625" s="49" t="s">
        <v>2540</v>
      </c>
      <c r="C625" s="34">
        <v>15</v>
      </c>
      <c r="D625" s="34">
        <v>15</v>
      </c>
      <c r="E625" s="34">
        <v>1.7</v>
      </c>
      <c r="F625" s="34">
        <v>1.7</v>
      </c>
      <c r="G625" s="34">
        <v>46</v>
      </c>
      <c r="H625" s="34">
        <v>10</v>
      </c>
      <c r="I625" s="35" t="s">
        <v>1227</v>
      </c>
      <c r="J625" s="35" t="s">
        <v>1228</v>
      </c>
      <c r="K625" s="37">
        <v>115</v>
      </c>
      <c r="L625" s="37">
        <v>58</v>
      </c>
      <c r="M625" s="37">
        <v>36</v>
      </c>
    </row>
    <row r="626" spans="2:13" x14ac:dyDescent="0.25">
      <c r="B626" s="48" t="s">
        <v>4155</v>
      </c>
      <c r="C626" s="32">
        <v>15</v>
      </c>
      <c r="D626" s="32">
        <v>15</v>
      </c>
      <c r="E626" s="32">
        <v>1.7</v>
      </c>
      <c r="F626" s="32">
        <v>1.7</v>
      </c>
      <c r="G626" s="32">
        <v>46</v>
      </c>
      <c r="H626" s="32">
        <v>10</v>
      </c>
      <c r="I626" s="33" t="s">
        <v>1227</v>
      </c>
      <c r="J626" s="33" t="s">
        <v>1228</v>
      </c>
      <c r="K626" s="36">
        <v>115</v>
      </c>
      <c r="L626" s="36">
        <v>58</v>
      </c>
      <c r="M626" s="36">
        <v>36</v>
      </c>
    </row>
    <row r="627" spans="2:13" x14ac:dyDescent="0.25">
      <c r="B627" s="49" t="s">
        <v>4468</v>
      </c>
      <c r="C627" s="34">
        <v>25</v>
      </c>
      <c r="D627" s="34">
        <v>25</v>
      </c>
      <c r="E627" s="34">
        <v>1.4</v>
      </c>
      <c r="F627" s="34">
        <v>1.4</v>
      </c>
      <c r="G627" s="34">
        <v>46</v>
      </c>
      <c r="H627" s="34">
        <v>9.09</v>
      </c>
      <c r="I627" s="35" t="s">
        <v>1227</v>
      </c>
      <c r="J627" s="35" t="s">
        <v>1228</v>
      </c>
      <c r="K627" s="37">
        <v>200</v>
      </c>
      <c r="L627" s="37">
        <v>63</v>
      </c>
      <c r="M627" s="37">
        <v>54.5</v>
      </c>
    </row>
    <row r="628" spans="2:13" x14ac:dyDescent="0.25">
      <c r="B628" s="48" t="s">
        <v>2514</v>
      </c>
      <c r="C628" s="32">
        <v>100</v>
      </c>
      <c r="D628" s="32">
        <v>400</v>
      </c>
      <c r="E628" s="32">
        <v>4</v>
      </c>
      <c r="F628" s="32">
        <v>4</v>
      </c>
      <c r="G628" s="32">
        <v>72</v>
      </c>
      <c r="H628" s="32">
        <v>2</v>
      </c>
      <c r="I628" s="33" t="s">
        <v>1227</v>
      </c>
      <c r="J628" s="33" t="s">
        <v>1228</v>
      </c>
      <c r="K628" s="36">
        <v>985</v>
      </c>
      <c r="L628" s="36">
        <v>83</v>
      </c>
      <c r="M628" s="36">
        <v>172</v>
      </c>
    </row>
    <row r="629" spans="2:13" x14ac:dyDescent="0.25">
      <c r="B629" s="49" t="s">
        <v>4504</v>
      </c>
      <c r="C629" s="34">
        <v>12</v>
      </c>
      <c r="D629" s="34">
        <v>60</v>
      </c>
      <c r="E629" s="34">
        <v>2.8</v>
      </c>
      <c r="F629" s="34">
        <v>2.8</v>
      </c>
      <c r="G629" s="34">
        <v>62</v>
      </c>
      <c r="H629" s="34">
        <v>2</v>
      </c>
      <c r="I629" s="35" t="s">
        <v>1227</v>
      </c>
      <c r="J629" s="35" t="s">
        <v>1228</v>
      </c>
      <c r="K629" s="37">
        <v>320</v>
      </c>
      <c r="L629" s="37">
        <v>68.400000000000006</v>
      </c>
      <c r="M629" s="37">
        <v>86</v>
      </c>
    </row>
    <row r="630" spans="2:13" x14ac:dyDescent="0.25">
      <c r="B630" s="48" t="s">
        <v>4505</v>
      </c>
      <c r="C630" s="32">
        <v>8</v>
      </c>
      <c r="D630" s="32">
        <v>18</v>
      </c>
      <c r="E630" s="32">
        <v>2.8</v>
      </c>
      <c r="F630" s="32">
        <v>2.8</v>
      </c>
      <c r="G630" s="32">
        <v>67</v>
      </c>
      <c r="H630" s="32">
        <v>8.3000000000000007</v>
      </c>
      <c r="I630" s="33" t="s">
        <v>1227</v>
      </c>
      <c r="J630" s="33" t="s">
        <v>1228</v>
      </c>
      <c r="K630" s="36">
        <v>315</v>
      </c>
      <c r="L630" s="36">
        <v>73.400000000000006</v>
      </c>
      <c r="M630" s="36">
        <v>88</v>
      </c>
    </row>
    <row r="631" spans="2:13" x14ac:dyDescent="0.25">
      <c r="B631" s="49" t="s">
        <v>3221</v>
      </c>
      <c r="C631" s="34">
        <v>15</v>
      </c>
      <c r="D631" s="34">
        <v>15</v>
      </c>
      <c r="E631" s="34">
        <v>4</v>
      </c>
      <c r="F631" s="34">
        <v>4</v>
      </c>
      <c r="G631" s="34">
        <v>49</v>
      </c>
      <c r="H631" s="34">
        <v>6.67</v>
      </c>
      <c r="I631" s="35" t="s">
        <v>1331</v>
      </c>
      <c r="J631" s="35" t="s">
        <v>900</v>
      </c>
      <c r="K631" s="37">
        <v>189</v>
      </c>
      <c r="L631" s="37">
        <v>63</v>
      </c>
      <c r="M631" s="37">
        <v>39.5</v>
      </c>
    </row>
    <row r="632" spans="2:13" x14ac:dyDescent="0.25">
      <c r="B632" s="48" t="s">
        <v>3220</v>
      </c>
      <c r="C632" s="32">
        <v>15</v>
      </c>
      <c r="D632" s="32">
        <v>15</v>
      </c>
      <c r="E632" s="32">
        <v>4</v>
      </c>
      <c r="F632" s="32">
        <v>4</v>
      </c>
      <c r="G632" s="32">
        <v>49</v>
      </c>
      <c r="H632" s="32">
        <v>6.67</v>
      </c>
      <c r="I632" s="33" t="s">
        <v>1331</v>
      </c>
      <c r="J632" s="33" t="s">
        <v>900</v>
      </c>
      <c r="K632" s="36">
        <v>189</v>
      </c>
      <c r="L632" s="36">
        <v>63</v>
      </c>
      <c r="M632" s="36">
        <v>39.5</v>
      </c>
    </row>
    <row r="633" spans="2:13" x14ac:dyDescent="0.25">
      <c r="B633" s="49" t="s">
        <v>2696</v>
      </c>
      <c r="C633" s="34">
        <v>16</v>
      </c>
      <c r="D633" s="34">
        <v>85</v>
      </c>
      <c r="E633" s="34">
        <v>3.5</v>
      </c>
      <c r="F633" s="34">
        <v>3.5</v>
      </c>
      <c r="G633" s="34">
        <v>72</v>
      </c>
      <c r="H633" s="34">
        <v>3.8</v>
      </c>
      <c r="I633" s="35" t="s">
        <v>1331</v>
      </c>
      <c r="J633" s="35" t="s">
        <v>900</v>
      </c>
      <c r="K633" s="37">
        <v>488</v>
      </c>
      <c r="L633" s="37">
        <v>78</v>
      </c>
      <c r="M633" s="37">
        <v>94</v>
      </c>
    </row>
    <row r="634" spans="2:13" x14ac:dyDescent="0.25">
      <c r="B634" s="48" t="s">
        <v>3219</v>
      </c>
      <c r="C634" s="32">
        <v>18</v>
      </c>
      <c r="D634" s="32">
        <v>50</v>
      </c>
      <c r="E634" s="32">
        <v>4</v>
      </c>
      <c r="F634" s="32">
        <v>4</v>
      </c>
      <c r="G634" s="32">
        <v>58</v>
      </c>
      <c r="H634" s="32">
        <v>4.3499999999999996</v>
      </c>
      <c r="I634" s="33" t="s">
        <v>1331</v>
      </c>
      <c r="J634" s="33" t="s">
        <v>900</v>
      </c>
      <c r="K634" s="36">
        <v>158</v>
      </c>
      <c r="L634" s="36">
        <v>71</v>
      </c>
      <c r="M634" s="36">
        <v>41</v>
      </c>
    </row>
    <row r="635" spans="2:13" x14ac:dyDescent="0.25">
      <c r="B635" s="49" t="s">
        <v>3218</v>
      </c>
      <c r="C635" s="34">
        <v>20</v>
      </c>
      <c r="D635" s="34">
        <v>40</v>
      </c>
      <c r="E635" s="34">
        <v>2.8</v>
      </c>
      <c r="F635" s="34">
        <v>2.8</v>
      </c>
      <c r="G635" s="34">
        <v>55</v>
      </c>
      <c r="H635" s="34">
        <v>5</v>
      </c>
      <c r="I635" s="35" t="s">
        <v>1331</v>
      </c>
      <c r="J635" s="35" t="s">
        <v>900</v>
      </c>
      <c r="K635" s="37">
        <v>283</v>
      </c>
      <c r="L635" s="37">
        <v>71</v>
      </c>
      <c r="M635" s="37">
        <v>68.5</v>
      </c>
    </row>
    <row r="636" spans="2:13" x14ac:dyDescent="0.25">
      <c r="B636" s="48" t="s">
        <v>3216</v>
      </c>
      <c r="C636" s="32">
        <v>20</v>
      </c>
      <c r="D636" s="32">
        <v>40</v>
      </c>
      <c r="E636" s="32">
        <v>2.8</v>
      </c>
      <c r="F636" s="32">
        <v>2.8</v>
      </c>
      <c r="G636" s="32">
        <v>55</v>
      </c>
      <c r="H636" s="32">
        <v>5</v>
      </c>
      <c r="I636" s="33" t="s">
        <v>1331</v>
      </c>
      <c r="J636" s="33" t="s">
        <v>900</v>
      </c>
      <c r="K636" s="36">
        <v>283</v>
      </c>
      <c r="L636" s="36">
        <v>71</v>
      </c>
      <c r="M636" s="36">
        <v>68.5</v>
      </c>
    </row>
    <row r="637" spans="2:13" x14ac:dyDescent="0.25">
      <c r="B637" s="49" t="s">
        <v>4154</v>
      </c>
      <c r="C637" s="34">
        <v>21</v>
      </c>
      <c r="D637" s="34">
        <v>21</v>
      </c>
      <c r="E637" s="34">
        <v>3.2</v>
      </c>
      <c r="F637" s="34">
        <v>3.2</v>
      </c>
      <c r="G637" s="34">
        <v>49</v>
      </c>
      <c r="H637" s="34">
        <v>5.88</v>
      </c>
      <c r="I637" s="35" t="s">
        <v>1331</v>
      </c>
      <c r="J637" s="35" t="s">
        <v>900</v>
      </c>
      <c r="K637" s="37">
        <v>134</v>
      </c>
      <c r="L637" s="37">
        <v>63</v>
      </c>
      <c r="M637" s="37">
        <v>25</v>
      </c>
    </row>
    <row r="638" spans="2:13" x14ac:dyDescent="0.25">
      <c r="B638" s="48" t="s">
        <v>3215</v>
      </c>
      <c r="C638" s="32">
        <v>21</v>
      </c>
      <c r="D638" s="32">
        <v>21</v>
      </c>
      <c r="E638" s="32">
        <v>3.2</v>
      </c>
      <c r="F638" s="32">
        <v>3.2</v>
      </c>
      <c r="G638" s="32">
        <v>49</v>
      </c>
      <c r="H638" s="32">
        <v>5.88</v>
      </c>
      <c r="I638" s="33" t="s">
        <v>1331</v>
      </c>
      <c r="J638" s="33" t="s">
        <v>900</v>
      </c>
      <c r="K638" s="36">
        <v>134</v>
      </c>
      <c r="L638" s="36">
        <v>63</v>
      </c>
      <c r="M638" s="36">
        <v>25</v>
      </c>
    </row>
    <row r="639" spans="2:13" x14ac:dyDescent="0.25">
      <c r="B639" s="49" t="s">
        <v>3214</v>
      </c>
      <c r="C639" s="34">
        <v>35</v>
      </c>
      <c r="D639" s="34">
        <v>35</v>
      </c>
      <c r="E639" s="34">
        <v>2.8</v>
      </c>
      <c r="F639" s="34">
        <v>2.8</v>
      </c>
      <c r="G639" s="34">
        <v>0</v>
      </c>
      <c r="H639" s="34">
        <v>1</v>
      </c>
      <c r="I639" s="35" t="s">
        <v>1331</v>
      </c>
      <c r="J639" s="35" t="s">
        <v>900</v>
      </c>
      <c r="K639" s="37">
        <v>214</v>
      </c>
      <c r="L639" s="37">
        <v>63</v>
      </c>
      <c r="M639" s="37">
        <v>46.5</v>
      </c>
    </row>
    <row r="640" spans="2:13" x14ac:dyDescent="0.25">
      <c r="B640" s="48" t="s">
        <v>3213</v>
      </c>
      <c r="C640" s="32">
        <v>35</v>
      </c>
      <c r="D640" s="32">
        <v>35</v>
      </c>
      <c r="E640" s="32">
        <v>2.8</v>
      </c>
      <c r="F640" s="32">
        <v>2.8</v>
      </c>
      <c r="G640" s="32">
        <v>0</v>
      </c>
      <c r="H640" s="32">
        <v>1</v>
      </c>
      <c r="I640" s="33" t="s">
        <v>1331</v>
      </c>
      <c r="J640" s="33" t="s">
        <v>900</v>
      </c>
      <c r="K640" s="36">
        <v>214</v>
      </c>
      <c r="L640" s="36">
        <v>63</v>
      </c>
      <c r="M640" s="36">
        <v>46.5</v>
      </c>
    </row>
    <row r="641" spans="2:13" x14ac:dyDescent="0.25">
      <c r="B641" s="49" t="s">
        <v>4153</v>
      </c>
      <c r="C641" s="34">
        <v>40</v>
      </c>
      <c r="D641" s="34">
        <v>40</v>
      </c>
      <c r="E641" s="34">
        <v>2.8</v>
      </c>
      <c r="F641" s="34">
        <v>2.8</v>
      </c>
      <c r="G641" s="34">
        <v>49</v>
      </c>
      <c r="H641" s="34">
        <v>7.69</v>
      </c>
      <c r="I641" s="35" t="s">
        <v>1331</v>
      </c>
      <c r="J641" s="35" t="s">
        <v>900</v>
      </c>
      <c r="K641" s="37">
        <v>89</v>
      </c>
      <c r="L641" s="37">
        <v>63</v>
      </c>
      <c r="M641" s="37">
        <v>15</v>
      </c>
    </row>
    <row r="642" spans="2:13" x14ac:dyDescent="0.25">
      <c r="B642" s="48" t="s">
        <v>3939</v>
      </c>
      <c r="C642" s="32">
        <v>40</v>
      </c>
      <c r="D642" s="32">
        <v>40</v>
      </c>
      <c r="E642" s="32">
        <v>2.8</v>
      </c>
      <c r="F642" s="32">
        <v>2.8</v>
      </c>
      <c r="G642" s="32">
        <v>49</v>
      </c>
      <c r="H642" s="32">
        <v>7.69</v>
      </c>
      <c r="I642" s="33" t="s">
        <v>1331</v>
      </c>
      <c r="J642" s="33" t="s">
        <v>900</v>
      </c>
      <c r="K642" s="36">
        <v>89</v>
      </c>
      <c r="L642" s="36">
        <v>63</v>
      </c>
      <c r="M642" s="36">
        <v>15</v>
      </c>
    </row>
    <row r="643" spans="2:13" x14ac:dyDescent="0.25">
      <c r="B643" s="49" t="s">
        <v>4354</v>
      </c>
      <c r="C643" s="34">
        <v>55</v>
      </c>
      <c r="D643" s="34">
        <v>300</v>
      </c>
      <c r="E643" s="34">
        <v>4</v>
      </c>
      <c r="F643" s="34">
        <v>4</v>
      </c>
      <c r="G643" s="34">
        <v>58</v>
      </c>
      <c r="H643" s="34">
        <v>3.57</v>
      </c>
      <c r="I643" s="35" t="s">
        <v>1331</v>
      </c>
      <c r="J643" s="35" t="s">
        <v>900</v>
      </c>
      <c r="K643" s="37">
        <v>466</v>
      </c>
      <c r="L643" s="37">
        <v>72</v>
      </c>
      <c r="M643" s="37">
        <v>111.5</v>
      </c>
    </row>
    <row r="644" spans="2:13" x14ac:dyDescent="0.25">
      <c r="B644" s="48" t="s">
        <v>4353</v>
      </c>
      <c r="C644" s="32">
        <v>55</v>
      </c>
      <c r="D644" s="32">
        <v>300</v>
      </c>
      <c r="E644" s="32">
        <v>4.5</v>
      </c>
      <c r="F644" s="32">
        <v>4.5</v>
      </c>
      <c r="G644" s="32">
        <v>58</v>
      </c>
      <c r="H644" s="32">
        <v>3.33</v>
      </c>
      <c r="I644" s="33" t="s">
        <v>1331</v>
      </c>
      <c r="J644" s="33" t="s">
        <v>900</v>
      </c>
      <c r="K644" s="36">
        <v>442</v>
      </c>
      <c r="L644" s="36">
        <v>76.5</v>
      </c>
      <c r="M644" s="36">
        <v>89</v>
      </c>
    </row>
    <row r="645" spans="2:13" x14ac:dyDescent="0.25">
      <c r="B645" s="49" t="s">
        <v>4150</v>
      </c>
      <c r="C645" s="34">
        <v>28</v>
      </c>
      <c r="D645" s="34">
        <v>45</v>
      </c>
      <c r="E645" s="34">
        <v>4.5</v>
      </c>
      <c r="F645" s="34">
        <v>4.5</v>
      </c>
      <c r="G645" s="34">
        <v>82</v>
      </c>
      <c r="H645" s="34">
        <v>4.76</v>
      </c>
      <c r="I645" s="35" t="s">
        <v>1473</v>
      </c>
      <c r="J645" s="35" t="s">
        <v>900</v>
      </c>
      <c r="K645" s="37">
        <v>1470</v>
      </c>
      <c r="L645" s="37">
        <v>99</v>
      </c>
      <c r="M645" s="37">
        <v>152</v>
      </c>
    </row>
    <row r="646" spans="2:13" x14ac:dyDescent="0.25">
      <c r="B646" s="48" t="s">
        <v>4152</v>
      </c>
      <c r="C646" s="32">
        <v>70</v>
      </c>
      <c r="D646" s="32">
        <v>70</v>
      </c>
      <c r="E646" s="32">
        <v>2.4</v>
      </c>
      <c r="F646" s="32">
        <v>2.4</v>
      </c>
      <c r="G646" s="32">
        <v>49</v>
      </c>
      <c r="H646" s="32">
        <v>8.33</v>
      </c>
      <c r="I646" s="33" t="s">
        <v>1331</v>
      </c>
      <c r="J646" s="33" t="s">
        <v>900</v>
      </c>
      <c r="K646" s="36">
        <v>131</v>
      </c>
      <c r="L646" s="36">
        <v>63</v>
      </c>
      <c r="M646" s="36">
        <v>26</v>
      </c>
    </row>
    <row r="647" spans="2:13" x14ac:dyDescent="0.25">
      <c r="B647" s="49" t="s">
        <v>3938</v>
      </c>
      <c r="C647" s="34">
        <v>70</v>
      </c>
      <c r="D647" s="34">
        <v>70</v>
      </c>
      <c r="E647" s="34">
        <v>2.4</v>
      </c>
      <c r="F647" s="34">
        <v>2.4</v>
      </c>
      <c r="G647" s="34">
        <v>49</v>
      </c>
      <c r="H647" s="34">
        <v>8.33</v>
      </c>
      <c r="I647" s="35" t="s">
        <v>1331</v>
      </c>
      <c r="J647" s="35" t="s">
        <v>900</v>
      </c>
      <c r="K647" s="37">
        <v>131</v>
      </c>
      <c r="L647" s="37">
        <v>63</v>
      </c>
      <c r="M647" s="37">
        <v>26</v>
      </c>
    </row>
    <row r="648" spans="2:13" x14ac:dyDescent="0.25">
      <c r="B648" s="48" t="s">
        <v>4349</v>
      </c>
      <c r="C648" s="32">
        <v>150</v>
      </c>
      <c r="D648" s="32">
        <v>450</v>
      </c>
      <c r="E648" s="32">
        <v>4.5</v>
      </c>
      <c r="F648" s="32">
        <v>4.5</v>
      </c>
      <c r="G648" s="32">
        <v>86</v>
      </c>
      <c r="H648" s="32">
        <v>4.55</v>
      </c>
      <c r="I648" s="33" t="s">
        <v>1331</v>
      </c>
      <c r="J648" s="33" t="s">
        <v>910</v>
      </c>
      <c r="K648" s="36">
        <v>2000</v>
      </c>
      <c r="L648" s="36">
        <v>95</v>
      </c>
      <c r="M648" s="36">
        <v>241.5</v>
      </c>
    </row>
    <row r="649" spans="2:13" x14ac:dyDescent="0.25">
      <c r="B649" s="49" t="s">
        <v>2759</v>
      </c>
      <c r="C649" s="34">
        <v>15</v>
      </c>
      <c r="D649" s="34">
        <v>30</v>
      </c>
      <c r="E649" s="34">
        <v>2.8</v>
      </c>
      <c r="F649" s="34">
        <v>2.8</v>
      </c>
      <c r="G649" s="34">
        <v>0</v>
      </c>
      <c r="H649" s="34">
        <v>5</v>
      </c>
      <c r="I649" s="35" t="s">
        <v>1331</v>
      </c>
      <c r="J649" s="35" t="s">
        <v>910</v>
      </c>
      <c r="K649" s="37">
        <v>1040</v>
      </c>
      <c r="L649" s="37">
        <v>98.5</v>
      </c>
      <c r="M649" s="37">
        <v>143.5</v>
      </c>
    </row>
    <row r="650" spans="2:13" x14ac:dyDescent="0.25">
      <c r="B650" s="48" t="s">
        <v>2695</v>
      </c>
      <c r="C650" s="32">
        <v>24</v>
      </c>
      <c r="D650" s="32">
        <v>70</v>
      </c>
      <c r="E650" s="32">
        <v>2.8</v>
      </c>
      <c r="F650" s="32">
        <v>2.8</v>
      </c>
      <c r="G650" s="32">
        <v>82</v>
      </c>
      <c r="H650" s="32">
        <v>5</v>
      </c>
      <c r="I650" s="33" t="s">
        <v>1331</v>
      </c>
      <c r="J650" s="33" t="s">
        <v>910</v>
      </c>
      <c r="K650" s="36">
        <v>787</v>
      </c>
      <c r="L650" s="36">
        <v>88.5</v>
      </c>
      <c r="M650" s="36">
        <v>109.5</v>
      </c>
    </row>
    <row r="651" spans="2:13" x14ac:dyDescent="0.25">
      <c r="B651" s="49" t="s">
        <v>4352</v>
      </c>
      <c r="C651" s="34">
        <v>28</v>
      </c>
      <c r="D651" s="34">
        <v>105</v>
      </c>
      <c r="E651" s="34">
        <v>3.5</v>
      </c>
      <c r="F651" s="34">
        <v>3.5</v>
      </c>
      <c r="G651" s="34">
        <v>62</v>
      </c>
      <c r="H651" s="34">
        <v>4.55</v>
      </c>
      <c r="I651" s="35" t="s">
        <v>1331</v>
      </c>
      <c r="J651" s="35" t="s">
        <v>910</v>
      </c>
      <c r="K651" s="37">
        <v>440</v>
      </c>
      <c r="L651" s="37">
        <v>73</v>
      </c>
      <c r="M651" s="37">
        <v>86.5</v>
      </c>
    </row>
    <row r="652" spans="2:13" x14ac:dyDescent="0.25">
      <c r="B652" s="48" t="s">
        <v>4148</v>
      </c>
      <c r="C652" s="32">
        <v>70</v>
      </c>
      <c r="D652" s="32">
        <v>200</v>
      </c>
      <c r="E652" s="32">
        <v>2.8</v>
      </c>
      <c r="F652" s="32">
        <v>2.8</v>
      </c>
      <c r="G652" s="32">
        <v>77</v>
      </c>
      <c r="H652" s="32">
        <v>7.69</v>
      </c>
      <c r="I652" s="33" t="s">
        <v>1331</v>
      </c>
      <c r="J652" s="33" t="s">
        <v>910</v>
      </c>
      <c r="K652" s="36">
        <v>1760</v>
      </c>
      <c r="L652" s="36">
        <v>91.5</v>
      </c>
      <c r="M652" s="36">
        <v>203</v>
      </c>
    </row>
    <row r="653" spans="2:13" x14ac:dyDescent="0.25">
      <c r="B653" s="49" t="s">
        <v>3937</v>
      </c>
      <c r="C653" s="34">
        <v>8.5</v>
      </c>
      <c r="D653" s="34">
        <v>8.5</v>
      </c>
      <c r="E653" s="34">
        <v>1.9</v>
      </c>
      <c r="F653" s="34">
        <v>1.9</v>
      </c>
      <c r="G653" s="34">
        <v>40.5</v>
      </c>
      <c r="H653" s="34">
        <v>20</v>
      </c>
      <c r="I653" s="35" t="s">
        <v>1482</v>
      </c>
      <c r="J653" s="35" t="s">
        <v>1482</v>
      </c>
      <c r="K653" s="37">
        <v>37</v>
      </c>
      <c r="L653" s="37">
        <v>45.5</v>
      </c>
      <c r="M653" s="37">
        <v>23</v>
      </c>
    </row>
    <row r="654" spans="2:13" x14ac:dyDescent="0.25">
      <c r="B654" s="48" t="s">
        <v>3935</v>
      </c>
      <c r="C654" s="32">
        <v>5</v>
      </c>
      <c r="D654" s="32">
        <v>15</v>
      </c>
      <c r="E654" s="32">
        <v>2.8</v>
      </c>
      <c r="F654" s="32">
        <v>2.8</v>
      </c>
      <c r="G654" s="32">
        <v>40.5</v>
      </c>
      <c r="H654" s="32">
        <v>16.670000000000002</v>
      </c>
      <c r="I654" s="33" t="s">
        <v>1482</v>
      </c>
      <c r="J654" s="33" t="s">
        <v>1482</v>
      </c>
      <c r="K654" s="36">
        <v>96</v>
      </c>
      <c r="L654" s="36">
        <v>48.5</v>
      </c>
      <c r="M654" s="36">
        <v>48</v>
      </c>
    </row>
    <row r="655" spans="2:13" x14ac:dyDescent="0.25">
      <c r="B655" s="49" t="s">
        <v>3934</v>
      </c>
      <c r="C655" s="34">
        <v>3.2</v>
      </c>
      <c r="D655" s="34">
        <v>3.2</v>
      </c>
      <c r="E655" s="34">
        <v>5.6</v>
      </c>
      <c r="F655" s="34">
        <v>5.6</v>
      </c>
      <c r="G655" s="34">
        <v>0</v>
      </c>
      <c r="H655" s="34">
        <v>16.670000000000002</v>
      </c>
      <c r="I655" s="35" t="s">
        <v>1482</v>
      </c>
      <c r="J655" s="35" t="s">
        <v>1482</v>
      </c>
      <c r="K655" s="37">
        <v>29</v>
      </c>
      <c r="L655" s="37">
        <v>40.6</v>
      </c>
      <c r="M655" s="37">
        <v>30.5</v>
      </c>
    </row>
    <row r="656" spans="2:13" x14ac:dyDescent="0.25">
      <c r="B656" s="48" t="s">
        <v>2967</v>
      </c>
      <c r="C656" s="32">
        <v>6.3</v>
      </c>
      <c r="D656" s="32">
        <v>6.3</v>
      </c>
      <c r="E656" s="32">
        <v>7.1</v>
      </c>
      <c r="F656" s="32">
        <v>7.1</v>
      </c>
      <c r="G656" s="32">
        <v>0</v>
      </c>
      <c r="H656" s="32">
        <v>6.67</v>
      </c>
      <c r="I656" s="33" t="s">
        <v>1482</v>
      </c>
      <c r="J656" s="33" t="s">
        <v>1482</v>
      </c>
      <c r="K656" s="36">
        <v>21</v>
      </c>
      <c r="L656" s="36">
        <v>40.6</v>
      </c>
      <c r="M656" s="36">
        <v>25</v>
      </c>
    </row>
    <row r="657" spans="2:13" x14ac:dyDescent="0.25">
      <c r="B657" s="49" t="s">
        <v>3933</v>
      </c>
      <c r="C657" s="34">
        <v>18</v>
      </c>
      <c r="D657" s="34">
        <v>18</v>
      </c>
      <c r="E657" s="34">
        <v>8</v>
      </c>
      <c r="F657" s="34">
        <v>8</v>
      </c>
      <c r="G657" s="34">
        <v>0</v>
      </c>
      <c r="H657" s="34">
        <v>12.5</v>
      </c>
      <c r="I657" s="35" t="s">
        <v>1482</v>
      </c>
      <c r="J657" s="35" t="s">
        <v>1482</v>
      </c>
      <c r="K657" s="37">
        <v>18</v>
      </c>
      <c r="L657" s="37">
        <v>40.6</v>
      </c>
      <c r="M657" s="37">
        <v>19.5</v>
      </c>
    </row>
    <row r="658" spans="2:13" x14ac:dyDescent="0.25">
      <c r="B658" s="48" t="s">
        <v>3932</v>
      </c>
      <c r="C658" s="32">
        <v>15</v>
      </c>
      <c r="D658" s="32">
        <v>45</v>
      </c>
      <c r="E658" s="32">
        <v>2.8</v>
      </c>
      <c r="F658" s="32">
        <v>2.8</v>
      </c>
      <c r="G658" s="32">
        <v>40.5</v>
      </c>
      <c r="H658" s="32">
        <v>20</v>
      </c>
      <c r="I658" s="33" t="s">
        <v>1482</v>
      </c>
      <c r="J658" s="33" t="s">
        <v>1482</v>
      </c>
      <c r="K658" s="36">
        <v>90</v>
      </c>
      <c r="L658" s="36">
        <v>50</v>
      </c>
      <c r="M658" s="36">
        <v>56</v>
      </c>
    </row>
    <row r="659" spans="2:13" x14ac:dyDescent="0.25">
      <c r="B659" s="49" t="s">
        <v>3930</v>
      </c>
      <c r="C659" s="34">
        <v>3.8</v>
      </c>
      <c r="D659" s="34">
        <v>5.9</v>
      </c>
      <c r="E659" s="34">
        <v>3.7</v>
      </c>
      <c r="F659" s="34">
        <v>3.7</v>
      </c>
      <c r="G659" s="34">
        <v>49</v>
      </c>
      <c r="H659" s="34">
        <v>33.33</v>
      </c>
      <c r="I659" s="35" t="s">
        <v>1482</v>
      </c>
      <c r="J659" s="35" t="s">
        <v>1482</v>
      </c>
      <c r="K659" s="37">
        <v>75</v>
      </c>
      <c r="L659" s="37">
        <v>54</v>
      </c>
      <c r="M659" s="37">
        <v>38</v>
      </c>
    </row>
    <row r="660" spans="2:13" x14ac:dyDescent="0.25">
      <c r="B660" s="48" t="s">
        <v>2645</v>
      </c>
      <c r="C660" s="32">
        <v>10</v>
      </c>
      <c r="D660" s="32">
        <v>17</v>
      </c>
      <c r="E660" s="32">
        <v>3.5</v>
      </c>
      <c r="F660" s="32">
        <v>3.5</v>
      </c>
      <c r="G660" s="32">
        <v>0</v>
      </c>
      <c r="H660" s="32">
        <v>2.63</v>
      </c>
      <c r="I660" s="33" t="s">
        <v>1331</v>
      </c>
      <c r="J660" s="33" t="s">
        <v>900</v>
      </c>
      <c r="K660" s="36">
        <v>320</v>
      </c>
      <c r="L660" s="36">
        <v>71.5</v>
      </c>
      <c r="M660" s="36">
        <v>68</v>
      </c>
    </row>
    <row r="661" spans="2:13" x14ac:dyDescent="0.25">
      <c r="B661" s="49" t="s">
        <v>2758</v>
      </c>
      <c r="C661" s="34">
        <v>12</v>
      </c>
      <c r="D661" s="34">
        <v>24</v>
      </c>
      <c r="E661" s="34">
        <v>4</v>
      </c>
      <c r="F661" s="34">
        <v>4</v>
      </c>
      <c r="G661" s="34">
        <v>77</v>
      </c>
      <c r="H661" s="34">
        <v>8.33</v>
      </c>
      <c r="I661" s="35" t="s">
        <v>1331</v>
      </c>
      <c r="J661" s="35" t="s">
        <v>900</v>
      </c>
      <c r="K661" s="37">
        <v>430</v>
      </c>
      <c r="L661" s="37">
        <v>84</v>
      </c>
      <c r="M661" s="37">
        <v>87.5</v>
      </c>
    </row>
    <row r="662" spans="2:13" x14ac:dyDescent="0.25">
      <c r="B662" s="48" t="s">
        <v>2965</v>
      </c>
      <c r="C662" s="32">
        <v>16</v>
      </c>
      <c r="D662" s="32">
        <v>45</v>
      </c>
      <c r="E662" s="32">
        <v>4</v>
      </c>
      <c r="F662" s="32">
        <v>4</v>
      </c>
      <c r="G662" s="32">
        <v>67</v>
      </c>
      <c r="H662" s="32">
        <v>3.85</v>
      </c>
      <c r="I662" s="33" t="s">
        <v>1331</v>
      </c>
      <c r="J662" s="33" t="s">
        <v>900</v>
      </c>
      <c r="K662" s="36">
        <v>365</v>
      </c>
      <c r="L662" s="36">
        <v>72</v>
      </c>
      <c r="M662" s="36">
        <v>92</v>
      </c>
    </row>
    <row r="663" spans="2:13" x14ac:dyDescent="0.25">
      <c r="B663" s="49" t="s">
        <v>2823</v>
      </c>
      <c r="C663" s="34">
        <v>16</v>
      </c>
      <c r="D663" s="34">
        <v>50</v>
      </c>
      <c r="E663" s="34">
        <v>2.8</v>
      </c>
      <c r="F663" s="34">
        <v>2.8</v>
      </c>
      <c r="G663" s="34">
        <v>77</v>
      </c>
      <c r="H663" s="34">
        <v>4.76</v>
      </c>
      <c r="I663" s="35" t="s">
        <v>1331</v>
      </c>
      <c r="J663" s="35" t="s">
        <v>900</v>
      </c>
      <c r="K663" s="37">
        <v>565</v>
      </c>
      <c r="L663" s="37">
        <v>84</v>
      </c>
      <c r="M663" s="37">
        <v>98.5</v>
      </c>
    </row>
    <row r="664" spans="2:13" x14ac:dyDescent="0.25">
      <c r="B664" s="48" t="s">
        <v>2964</v>
      </c>
      <c r="C664" s="32">
        <v>17</v>
      </c>
      <c r="D664" s="32">
        <v>70</v>
      </c>
      <c r="E664" s="32">
        <v>4</v>
      </c>
      <c r="F664" s="32">
        <v>4</v>
      </c>
      <c r="G664" s="32">
        <v>67</v>
      </c>
      <c r="H664" s="32">
        <v>3.23</v>
      </c>
      <c r="I664" s="33" t="s">
        <v>1331</v>
      </c>
      <c r="J664" s="33" t="s">
        <v>900</v>
      </c>
      <c r="K664" s="36">
        <v>485</v>
      </c>
      <c r="L664" s="36">
        <v>75</v>
      </c>
      <c r="M664" s="36">
        <v>93.5</v>
      </c>
    </row>
    <row r="665" spans="2:13" x14ac:dyDescent="0.25">
      <c r="B665" s="49" t="s">
        <v>2963</v>
      </c>
      <c r="C665" s="34">
        <v>18</v>
      </c>
      <c r="D665" s="34">
        <v>135</v>
      </c>
      <c r="E665" s="34">
        <v>3.5</v>
      </c>
      <c r="F665" s="34">
        <v>3.5</v>
      </c>
      <c r="G665" s="34">
        <v>62</v>
      </c>
      <c r="H665" s="34">
        <v>4.17</v>
      </c>
      <c r="I665" s="35" t="s">
        <v>1331</v>
      </c>
      <c r="J665" s="35" t="s">
        <v>900</v>
      </c>
      <c r="K665" s="37">
        <v>405</v>
      </c>
      <c r="L665" s="37">
        <v>76</v>
      </c>
      <c r="M665" s="37">
        <v>73</v>
      </c>
    </row>
    <row r="666" spans="2:13" x14ac:dyDescent="0.25">
      <c r="B666" s="48" t="s">
        <v>2822</v>
      </c>
      <c r="C666" s="32">
        <v>18</v>
      </c>
      <c r="D666" s="32">
        <v>270</v>
      </c>
      <c r="E666" s="32">
        <v>3.5</v>
      </c>
      <c r="F666" s="32">
        <v>3.5</v>
      </c>
      <c r="G666" s="32">
        <v>62</v>
      </c>
      <c r="H666" s="32">
        <v>3.85</v>
      </c>
      <c r="I666" s="33" t="s">
        <v>1331</v>
      </c>
      <c r="J666" s="33" t="s">
        <v>900</v>
      </c>
      <c r="K666" s="36">
        <v>453</v>
      </c>
      <c r="L666" s="36">
        <v>76</v>
      </c>
      <c r="M666" s="36">
        <v>89</v>
      </c>
    </row>
    <row r="667" spans="2:13" x14ac:dyDescent="0.25">
      <c r="B667" s="49" t="s">
        <v>2962</v>
      </c>
      <c r="C667" s="34">
        <v>18</v>
      </c>
      <c r="D667" s="34">
        <v>55</v>
      </c>
      <c r="E667" s="34">
        <v>3.5</v>
      </c>
      <c r="F667" s="34">
        <v>3.5</v>
      </c>
      <c r="G667" s="34">
        <v>52</v>
      </c>
      <c r="H667" s="34">
        <v>2.94</v>
      </c>
      <c r="I667" s="35" t="s">
        <v>1331</v>
      </c>
      <c r="J667" s="35" t="s">
        <v>900</v>
      </c>
      <c r="K667" s="37">
        <v>230</v>
      </c>
      <c r="L667" s="37">
        <v>67.5</v>
      </c>
      <c r="M667" s="37">
        <v>68.5</v>
      </c>
    </row>
    <row r="668" spans="2:13" x14ac:dyDescent="0.25">
      <c r="B668" s="48" t="s">
        <v>2960</v>
      </c>
      <c r="C668" s="32">
        <v>200</v>
      </c>
      <c r="D668" s="32">
        <v>200</v>
      </c>
      <c r="E668" s="32">
        <v>2.8</v>
      </c>
      <c r="F668" s="32">
        <v>2.8</v>
      </c>
      <c r="G668" s="32">
        <v>77</v>
      </c>
      <c r="H668" s="32">
        <v>5</v>
      </c>
      <c r="I668" s="33" t="s">
        <v>1331</v>
      </c>
      <c r="J668" s="33" t="s">
        <v>900</v>
      </c>
      <c r="K668" s="36">
        <v>825</v>
      </c>
      <c r="L668" s="36">
        <v>83</v>
      </c>
      <c r="M668" s="36">
        <v>134</v>
      </c>
    </row>
    <row r="669" spans="2:13" x14ac:dyDescent="0.25">
      <c r="B669" s="49" t="s">
        <v>3929</v>
      </c>
      <c r="C669" s="34">
        <v>21</v>
      </c>
      <c r="D669" s="34">
        <v>21</v>
      </c>
      <c r="E669" s="34">
        <v>3.2</v>
      </c>
      <c r="F669" s="34">
        <v>3.2</v>
      </c>
      <c r="G669" s="34">
        <v>49</v>
      </c>
      <c r="H669" s="34">
        <v>5.88</v>
      </c>
      <c r="I669" s="35" t="s">
        <v>1331</v>
      </c>
      <c r="J669" s="35" t="s">
        <v>900</v>
      </c>
      <c r="K669" s="37">
        <v>140</v>
      </c>
      <c r="L669" s="37">
        <v>63</v>
      </c>
      <c r="M669" s="37">
        <v>25</v>
      </c>
    </row>
    <row r="670" spans="2:13" x14ac:dyDescent="0.25">
      <c r="B670" s="48" t="s">
        <v>3923</v>
      </c>
      <c r="C670" s="32">
        <v>300</v>
      </c>
      <c r="D670" s="32">
        <v>300</v>
      </c>
      <c r="E670" s="32">
        <v>4</v>
      </c>
      <c r="F670" s="32">
        <v>4</v>
      </c>
      <c r="G670" s="32">
        <v>77</v>
      </c>
      <c r="H670" s="32">
        <v>4.17</v>
      </c>
      <c r="I670" s="33" t="s">
        <v>1331</v>
      </c>
      <c r="J670" s="33" t="s">
        <v>900</v>
      </c>
      <c r="K670" s="36">
        <v>1070</v>
      </c>
      <c r="L670" s="36">
        <v>83</v>
      </c>
      <c r="M670" s="36">
        <v>184</v>
      </c>
    </row>
    <row r="671" spans="2:13" x14ac:dyDescent="0.25">
      <c r="B671" s="49" t="s">
        <v>2961</v>
      </c>
      <c r="C671" s="34">
        <v>35</v>
      </c>
      <c r="D671" s="34">
        <v>35</v>
      </c>
      <c r="E671" s="34">
        <v>2.4</v>
      </c>
      <c r="F671" s="34">
        <v>2.4</v>
      </c>
      <c r="G671" s="34">
        <v>0</v>
      </c>
      <c r="H671" s="34">
        <v>5.88</v>
      </c>
      <c r="I671" s="35" t="s">
        <v>1331</v>
      </c>
      <c r="J671" s="35" t="s">
        <v>900</v>
      </c>
      <c r="K671" s="37">
        <v>124</v>
      </c>
      <c r="L671" s="37">
        <v>45</v>
      </c>
      <c r="M671" s="37">
        <v>63</v>
      </c>
    </row>
    <row r="672" spans="2:13" x14ac:dyDescent="0.25">
      <c r="B672" s="48" t="s">
        <v>3928</v>
      </c>
      <c r="C672" s="32">
        <v>40</v>
      </c>
      <c r="D672" s="32">
        <v>40</v>
      </c>
      <c r="E672" s="32">
        <v>2.8</v>
      </c>
      <c r="F672" s="32">
        <v>2.8</v>
      </c>
      <c r="G672" s="32">
        <v>27</v>
      </c>
      <c r="H672" s="32">
        <v>7.69</v>
      </c>
      <c r="I672" s="33" t="s">
        <v>1331</v>
      </c>
      <c r="J672" s="33" t="s">
        <v>900</v>
      </c>
      <c r="K672" s="36">
        <v>52</v>
      </c>
      <c r="L672" s="36">
        <v>63</v>
      </c>
      <c r="M672" s="36">
        <v>9.1999999999999993</v>
      </c>
    </row>
    <row r="673" spans="2:13" x14ac:dyDescent="0.25">
      <c r="B673" s="49" t="s">
        <v>3927</v>
      </c>
      <c r="C673" s="34">
        <v>50</v>
      </c>
      <c r="D673" s="34">
        <v>135</v>
      </c>
      <c r="E673" s="34">
        <v>2.8</v>
      </c>
      <c r="F673" s="34">
        <v>2.8</v>
      </c>
      <c r="G673" s="34">
        <v>67</v>
      </c>
      <c r="H673" s="34">
        <v>5.88</v>
      </c>
      <c r="I673" s="35" t="s">
        <v>1331</v>
      </c>
      <c r="J673" s="35" t="s">
        <v>900</v>
      </c>
      <c r="K673" s="37">
        <v>685</v>
      </c>
      <c r="L673" s="37">
        <v>76.5</v>
      </c>
      <c r="M673" s="37">
        <v>136</v>
      </c>
    </row>
    <row r="674" spans="2:13" x14ac:dyDescent="0.25">
      <c r="B674" s="48" t="s">
        <v>3926</v>
      </c>
      <c r="C674" s="32">
        <v>50</v>
      </c>
      <c r="D674" s="32">
        <v>200</v>
      </c>
      <c r="E674" s="32">
        <v>4</v>
      </c>
      <c r="F674" s="32">
        <v>4</v>
      </c>
      <c r="G674" s="32">
        <v>49</v>
      </c>
      <c r="H674" s="32">
        <v>4.17</v>
      </c>
      <c r="I674" s="33" t="s">
        <v>1331</v>
      </c>
      <c r="J674" s="33" t="s">
        <v>900</v>
      </c>
      <c r="K674" s="36">
        <v>285</v>
      </c>
      <c r="L674" s="36">
        <v>79.5</v>
      </c>
      <c r="M674" s="36">
        <v>69</v>
      </c>
    </row>
    <row r="675" spans="2:13" x14ac:dyDescent="0.25">
      <c r="B675" s="49" t="s">
        <v>2694</v>
      </c>
      <c r="C675" s="34">
        <v>50</v>
      </c>
      <c r="D675" s="34">
        <v>50</v>
      </c>
      <c r="E675" s="34">
        <v>1.8</v>
      </c>
      <c r="F675" s="34">
        <v>1.8</v>
      </c>
      <c r="G675" s="34">
        <v>52</v>
      </c>
      <c r="H675" s="34">
        <v>6.67</v>
      </c>
      <c r="I675" s="35" t="s">
        <v>1331</v>
      </c>
      <c r="J675" s="35" t="s">
        <v>900</v>
      </c>
      <c r="K675" s="37">
        <v>122</v>
      </c>
      <c r="L675" s="37">
        <v>63</v>
      </c>
      <c r="M675" s="37">
        <v>38.5</v>
      </c>
    </row>
    <row r="676" spans="2:13" x14ac:dyDescent="0.25">
      <c r="B676" s="48" t="s">
        <v>2821</v>
      </c>
      <c r="C676" s="32">
        <v>55</v>
      </c>
      <c r="D676" s="32">
        <v>300</v>
      </c>
      <c r="E676" s="32">
        <v>4</v>
      </c>
      <c r="F676" s="32">
        <v>4</v>
      </c>
      <c r="G676" s="32">
        <v>58</v>
      </c>
      <c r="H676" s="32">
        <v>3.57</v>
      </c>
      <c r="I676" s="33" t="s">
        <v>1331</v>
      </c>
      <c r="J676" s="33" t="s">
        <v>900</v>
      </c>
      <c r="K676" s="36">
        <v>440</v>
      </c>
      <c r="L676" s="36">
        <v>71</v>
      </c>
      <c r="M676" s="36">
        <v>111.5</v>
      </c>
    </row>
    <row r="677" spans="2:13" x14ac:dyDescent="0.25">
      <c r="B677" s="49" t="s">
        <v>2757</v>
      </c>
      <c r="C677" s="34">
        <v>55</v>
      </c>
      <c r="D677" s="34">
        <v>55</v>
      </c>
      <c r="E677" s="34">
        <v>1.4</v>
      </c>
      <c r="F677" s="34">
        <v>1.4</v>
      </c>
      <c r="G677" s="34">
        <v>58</v>
      </c>
      <c r="H677" s="34">
        <v>5.88</v>
      </c>
      <c r="I677" s="35" t="s">
        <v>1331</v>
      </c>
      <c r="J677" s="35" t="s">
        <v>900</v>
      </c>
      <c r="K677" s="37">
        <v>375</v>
      </c>
      <c r="L677" s="37">
        <v>70.5</v>
      </c>
      <c r="M677" s="37">
        <v>66</v>
      </c>
    </row>
    <row r="678" spans="2:13" x14ac:dyDescent="0.25">
      <c r="B678" s="48" t="s">
        <v>2819</v>
      </c>
      <c r="C678" s="32">
        <v>560</v>
      </c>
      <c r="D678" s="32">
        <v>560</v>
      </c>
      <c r="E678" s="32">
        <v>5.6</v>
      </c>
      <c r="F678" s="32">
        <v>5.6</v>
      </c>
      <c r="G678" s="32">
        <v>112</v>
      </c>
      <c r="H678" s="32">
        <v>10</v>
      </c>
      <c r="I678" s="33" t="s">
        <v>1331</v>
      </c>
      <c r="J678" s="33" t="s">
        <v>900</v>
      </c>
      <c r="K678" s="36">
        <v>3040</v>
      </c>
      <c r="L678" s="36">
        <v>130</v>
      </c>
      <c r="M678" s="36">
        <v>522</v>
      </c>
    </row>
    <row r="679" spans="2:13" x14ac:dyDescent="0.25">
      <c r="B679" s="49" t="s">
        <v>3924</v>
      </c>
      <c r="C679" s="34">
        <v>60</v>
      </c>
      <c r="D679" s="34">
        <v>250</v>
      </c>
      <c r="E679" s="34">
        <v>4</v>
      </c>
      <c r="F679" s="34">
        <v>4</v>
      </c>
      <c r="G679" s="34">
        <v>67</v>
      </c>
      <c r="H679" s="34">
        <v>6.67</v>
      </c>
      <c r="I679" s="35" t="s">
        <v>1331</v>
      </c>
      <c r="J679" s="35" t="s">
        <v>900</v>
      </c>
      <c r="K679" s="37">
        <v>1040</v>
      </c>
      <c r="L679" s="37">
        <v>82</v>
      </c>
      <c r="M679" s="37">
        <v>167.5</v>
      </c>
    </row>
    <row r="680" spans="2:13" x14ac:dyDescent="0.25">
      <c r="B680" s="48" t="s">
        <v>1056</v>
      </c>
      <c r="C680" s="32">
        <v>25</v>
      </c>
      <c r="D680" s="32">
        <v>25</v>
      </c>
      <c r="E680" s="32">
        <v>4</v>
      </c>
      <c r="F680" s="32">
        <v>4</v>
      </c>
      <c r="G680" s="32">
        <v>40.5</v>
      </c>
      <c r="H680" s="32">
        <v>9.09</v>
      </c>
      <c r="I680" s="33" t="s">
        <v>1473</v>
      </c>
      <c r="J680" s="33" t="s">
        <v>900</v>
      </c>
      <c r="K680" s="36">
        <v>1040</v>
      </c>
      <c r="L680" s="36">
        <v>90</v>
      </c>
      <c r="M680" s="36">
        <v>149</v>
      </c>
    </row>
    <row r="681" spans="2:13" x14ac:dyDescent="0.25">
      <c r="B681" s="49" t="s">
        <v>3253</v>
      </c>
      <c r="C681" s="34">
        <v>50</v>
      </c>
      <c r="D681" s="34">
        <v>200</v>
      </c>
      <c r="E681" s="34">
        <v>4</v>
      </c>
      <c r="F681" s="34">
        <v>4</v>
      </c>
      <c r="G681" s="34">
        <v>52</v>
      </c>
      <c r="H681" s="34">
        <v>4.17</v>
      </c>
      <c r="I681" s="35" t="s">
        <v>1331</v>
      </c>
      <c r="J681" s="35" t="s">
        <v>900</v>
      </c>
      <c r="K681" s="37">
        <v>235</v>
      </c>
      <c r="L681" s="37">
        <v>78.5</v>
      </c>
      <c r="M681" s="37">
        <v>66.5</v>
      </c>
    </row>
    <row r="682" spans="2:13" x14ac:dyDescent="0.25">
      <c r="B682" s="48" t="s">
        <v>4348</v>
      </c>
      <c r="C682" s="32">
        <v>100</v>
      </c>
      <c r="D682" s="32">
        <v>100</v>
      </c>
      <c r="E682" s="32">
        <v>2.8</v>
      </c>
      <c r="F682" s="32">
        <v>2.8</v>
      </c>
      <c r="G682" s="32">
        <v>49</v>
      </c>
      <c r="H682" s="32">
        <v>1</v>
      </c>
      <c r="I682" s="33" t="s">
        <v>1331</v>
      </c>
      <c r="J682" s="33" t="s">
        <v>910</v>
      </c>
      <c r="K682" s="36">
        <v>340</v>
      </c>
      <c r="L682" s="36">
        <v>65</v>
      </c>
      <c r="M682" s="36">
        <v>80.5</v>
      </c>
    </row>
    <row r="683" spans="2:13" x14ac:dyDescent="0.25">
      <c r="B683" s="49" t="s">
        <v>2959</v>
      </c>
      <c r="C683" s="34">
        <v>50</v>
      </c>
      <c r="D683" s="34">
        <v>50</v>
      </c>
      <c r="E683" s="34">
        <v>2.8</v>
      </c>
      <c r="F683" s="34">
        <v>2.8</v>
      </c>
      <c r="G683" s="34">
        <v>49</v>
      </c>
      <c r="H683" s="34">
        <v>1</v>
      </c>
      <c r="I683" s="35" t="s">
        <v>1331</v>
      </c>
      <c r="J683" s="35" t="s">
        <v>910</v>
      </c>
      <c r="K683" s="37">
        <v>265</v>
      </c>
      <c r="L683" s="37">
        <v>67.5</v>
      </c>
      <c r="M683" s="37">
        <v>60.5</v>
      </c>
    </row>
    <row r="684" spans="2:13" x14ac:dyDescent="0.25">
      <c r="B684" s="48" t="s">
        <v>3252</v>
      </c>
      <c r="C684" s="32">
        <v>35</v>
      </c>
      <c r="D684" s="32">
        <v>35</v>
      </c>
      <c r="E684" s="32">
        <v>3.5</v>
      </c>
      <c r="F684" s="32">
        <v>3.5</v>
      </c>
      <c r="G684" s="32">
        <v>82</v>
      </c>
      <c r="H684" s="32">
        <v>4</v>
      </c>
      <c r="I684" s="33" t="s">
        <v>1473</v>
      </c>
      <c r="J684" s="33" t="s">
        <v>910</v>
      </c>
      <c r="K684" s="36">
        <v>570</v>
      </c>
      <c r="L684" s="36">
        <v>88</v>
      </c>
      <c r="M684" s="36">
        <v>90</v>
      </c>
    </row>
    <row r="685" spans="2:13" x14ac:dyDescent="0.25">
      <c r="B685" s="49" t="s">
        <v>3251</v>
      </c>
      <c r="C685" s="34">
        <v>55</v>
      </c>
      <c r="D685" s="34">
        <v>55</v>
      </c>
      <c r="E685" s="34">
        <v>2.8</v>
      </c>
      <c r="F685" s="34">
        <v>2.8</v>
      </c>
      <c r="G685" s="34">
        <v>67</v>
      </c>
      <c r="H685" s="34">
        <v>5.88</v>
      </c>
      <c r="I685" s="35" t="s">
        <v>1473</v>
      </c>
      <c r="J685" s="35" t="s">
        <v>910</v>
      </c>
      <c r="K685" s="37">
        <v>416</v>
      </c>
      <c r="L685" s="37">
        <v>81.3</v>
      </c>
      <c r="M685" s="37">
        <v>68.2</v>
      </c>
    </row>
    <row r="686" spans="2:13" x14ac:dyDescent="0.25">
      <c r="B686" s="48" t="s">
        <v>3250</v>
      </c>
      <c r="C686" s="32">
        <v>90</v>
      </c>
      <c r="D686" s="32">
        <v>90</v>
      </c>
      <c r="E686" s="32">
        <v>2.8</v>
      </c>
      <c r="F686" s="32">
        <v>2.8</v>
      </c>
      <c r="G686" s="32">
        <v>67</v>
      </c>
      <c r="H686" s="32">
        <v>2</v>
      </c>
      <c r="I686" s="33" t="s">
        <v>1473</v>
      </c>
      <c r="J686" s="33" t="s">
        <v>910</v>
      </c>
      <c r="K686" s="36">
        <v>1040</v>
      </c>
      <c r="L686" s="36">
        <v>90.5</v>
      </c>
      <c r="M686" s="36">
        <v>111.6</v>
      </c>
    </row>
    <row r="687" spans="2:13" x14ac:dyDescent="0.25">
      <c r="B687" s="49" t="s">
        <v>2958</v>
      </c>
      <c r="C687" s="34">
        <v>31</v>
      </c>
      <c r="D687" s="34">
        <v>31</v>
      </c>
      <c r="E687" s="34">
        <v>1.8</v>
      </c>
      <c r="F687" s="34">
        <v>1.8</v>
      </c>
      <c r="G687" s="34">
        <v>58</v>
      </c>
      <c r="H687" s="34">
        <v>6.25</v>
      </c>
      <c r="I687" s="35" t="s">
        <v>1331</v>
      </c>
      <c r="J687" s="35" t="s">
        <v>910</v>
      </c>
      <c r="K687" s="37">
        <v>345</v>
      </c>
      <c r="L687" s="37">
        <v>65</v>
      </c>
      <c r="M687" s="37">
        <v>68.5</v>
      </c>
    </row>
    <row r="688" spans="2:13" x14ac:dyDescent="0.25">
      <c r="B688" s="48" t="s">
        <v>2693</v>
      </c>
      <c r="C688" s="32">
        <v>35</v>
      </c>
      <c r="D688" s="32">
        <v>35</v>
      </c>
      <c r="E688" s="32">
        <v>2</v>
      </c>
      <c r="F688" s="32">
        <v>2</v>
      </c>
      <c r="G688" s="32">
        <v>49</v>
      </c>
      <c r="H688" s="32">
        <v>0</v>
      </c>
      <c r="I688" s="33" t="s">
        <v>1331</v>
      </c>
      <c r="J688" s="33" t="s">
        <v>910</v>
      </c>
      <c r="K688" s="36">
        <v>195</v>
      </c>
      <c r="L688" s="36">
        <v>64</v>
      </c>
      <c r="M688" s="36">
        <v>44.5</v>
      </c>
    </row>
    <row r="689" spans="2:13" x14ac:dyDescent="0.25">
      <c r="B689" s="49" t="s">
        <v>3246</v>
      </c>
      <c r="C689" s="34">
        <v>400</v>
      </c>
      <c r="D689" s="34">
        <v>400</v>
      </c>
      <c r="E689" s="34">
        <v>0</v>
      </c>
      <c r="F689" s="34">
        <v>0</v>
      </c>
      <c r="G689" s="34">
        <v>0</v>
      </c>
      <c r="H689" s="34">
        <v>4.3</v>
      </c>
      <c r="I689" s="35">
        <v>0</v>
      </c>
      <c r="J689" s="35" t="s">
        <v>910</v>
      </c>
      <c r="K689" s="37">
        <v>1140</v>
      </c>
      <c r="L689" s="37">
        <v>199</v>
      </c>
      <c r="M689" s="37">
        <v>83.5</v>
      </c>
    </row>
    <row r="690" spans="2:13" x14ac:dyDescent="0.25">
      <c r="B690" s="48" t="s">
        <v>2957</v>
      </c>
      <c r="C690" s="32">
        <v>43</v>
      </c>
      <c r="D690" s="32">
        <v>43</v>
      </c>
      <c r="E690" s="32">
        <v>1.9</v>
      </c>
      <c r="F690" s="32">
        <v>1.9</v>
      </c>
      <c r="G690" s="32">
        <v>49</v>
      </c>
      <c r="H690" s="32">
        <v>8.33</v>
      </c>
      <c r="I690" s="33" t="s">
        <v>1331</v>
      </c>
      <c r="J690" s="33" t="s">
        <v>910</v>
      </c>
      <c r="K690" s="36">
        <v>155</v>
      </c>
      <c r="L690" s="36">
        <v>64</v>
      </c>
      <c r="M690" s="36">
        <v>27</v>
      </c>
    </row>
    <row r="691" spans="2:13" x14ac:dyDescent="0.25">
      <c r="B691" s="49" t="s">
        <v>3249</v>
      </c>
      <c r="C691" s="34">
        <v>50</v>
      </c>
      <c r="D691" s="34">
        <v>50</v>
      </c>
      <c r="E691" s="34">
        <v>1.4</v>
      </c>
      <c r="F691" s="34">
        <v>1.4</v>
      </c>
      <c r="G691" s="34">
        <v>49</v>
      </c>
      <c r="H691" s="34">
        <v>0</v>
      </c>
      <c r="I691" s="35" t="s">
        <v>1331</v>
      </c>
      <c r="J691" s="35" t="s">
        <v>910</v>
      </c>
      <c r="K691" s="37">
        <v>220</v>
      </c>
      <c r="L691" s="37">
        <v>37</v>
      </c>
      <c r="M691" s="37">
        <v>65</v>
      </c>
    </row>
    <row r="692" spans="2:13" x14ac:dyDescent="0.25">
      <c r="B692" s="48" t="s">
        <v>3234</v>
      </c>
      <c r="C692" s="32">
        <v>120</v>
      </c>
      <c r="D692" s="32">
        <v>120</v>
      </c>
      <c r="E692" s="32">
        <v>4</v>
      </c>
      <c r="F692" s="32">
        <v>4</v>
      </c>
      <c r="G692" s="32">
        <v>67</v>
      </c>
      <c r="H692" s="32">
        <v>1</v>
      </c>
      <c r="I692" s="33" t="s">
        <v>1473</v>
      </c>
      <c r="J692" s="33" t="s">
        <v>910</v>
      </c>
      <c r="K692" s="36">
        <v>735</v>
      </c>
      <c r="L692" s="36">
        <v>82.5</v>
      </c>
      <c r="M692" s="36">
        <v>110</v>
      </c>
    </row>
    <row r="693" spans="2:13" x14ac:dyDescent="0.25">
      <c r="B693" s="49" t="s">
        <v>3232</v>
      </c>
      <c r="C693" s="34">
        <v>150</v>
      </c>
      <c r="D693" s="34">
        <v>300</v>
      </c>
      <c r="E693" s="34">
        <v>5.6</v>
      </c>
      <c r="F693" s="34">
        <v>5.6</v>
      </c>
      <c r="G693" s="34">
        <v>67</v>
      </c>
      <c r="H693" s="34">
        <v>5.56</v>
      </c>
      <c r="I693" s="35" t="s">
        <v>1473</v>
      </c>
      <c r="J693" s="35" t="s">
        <v>910</v>
      </c>
      <c r="K693" s="37">
        <v>920</v>
      </c>
      <c r="L693" s="37">
        <v>80</v>
      </c>
      <c r="M693" s="37">
        <v>201</v>
      </c>
    </row>
    <row r="694" spans="2:13" x14ac:dyDescent="0.25">
      <c r="B694" s="48" t="s">
        <v>3922</v>
      </c>
      <c r="C694" s="32">
        <v>150</v>
      </c>
      <c r="D694" s="32">
        <v>150</v>
      </c>
      <c r="E694" s="32">
        <v>2.8</v>
      </c>
      <c r="F694" s="32">
        <v>2.8</v>
      </c>
      <c r="G694" s="32">
        <v>67</v>
      </c>
      <c r="H694" s="32">
        <v>0</v>
      </c>
      <c r="I694" s="33" t="s">
        <v>1473</v>
      </c>
      <c r="J694" s="33" t="s">
        <v>910</v>
      </c>
      <c r="K694" s="36">
        <v>500</v>
      </c>
      <c r="L694" s="36">
        <v>74.5</v>
      </c>
      <c r="M694" s="36">
        <v>96</v>
      </c>
    </row>
    <row r="695" spans="2:13" x14ac:dyDescent="0.25">
      <c r="B695" s="49" t="s">
        <v>3921</v>
      </c>
      <c r="C695" s="34">
        <v>200</v>
      </c>
      <c r="D695" s="34">
        <v>200</v>
      </c>
      <c r="E695" s="34">
        <v>4</v>
      </c>
      <c r="F695" s="34">
        <v>4</v>
      </c>
      <c r="G695" s="34">
        <v>58</v>
      </c>
      <c r="H695" s="34">
        <v>6.25</v>
      </c>
      <c r="I695" s="35" t="s">
        <v>1473</v>
      </c>
      <c r="J695" s="35" t="s">
        <v>910</v>
      </c>
      <c r="K695" s="37">
        <v>625</v>
      </c>
      <c r="L695" s="37">
        <v>74.5</v>
      </c>
      <c r="M695" s="37">
        <v>119</v>
      </c>
    </row>
    <row r="696" spans="2:13" x14ac:dyDescent="0.25">
      <c r="B696" s="48" t="s">
        <v>3920</v>
      </c>
      <c r="C696" s="32">
        <v>300</v>
      </c>
      <c r="D696" s="32">
        <v>300</v>
      </c>
      <c r="E696" s="32">
        <v>4</v>
      </c>
      <c r="F696" s="32">
        <v>4</v>
      </c>
      <c r="G696" s="32">
        <v>77</v>
      </c>
      <c r="H696" s="32">
        <v>9.09</v>
      </c>
      <c r="I696" s="33" t="s">
        <v>1473</v>
      </c>
      <c r="J696" s="33" t="s">
        <v>910</v>
      </c>
      <c r="K696" s="36">
        <v>1490</v>
      </c>
      <c r="L696" s="36">
        <v>83</v>
      </c>
      <c r="M696" s="36">
        <v>207.5</v>
      </c>
    </row>
    <row r="697" spans="2:13" x14ac:dyDescent="0.25">
      <c r="B697" s="49" t="s">
        <v>3243</v>
      </c>
      <c r="C697" s="34">
        <v>33</v>
      </c>
      <c r="D697" s="34">
        <v>55</v>
      </c>
      <c r="E697" s="34">
        <v>4.5</v>
      </c>
      <c r="F697" s="34">
        <v>4.5</v>
      </c>
      <c r="G697" s="34">
        <v>82</v>
      </c>
      <c r="H697" s="34">
        <v>4.76</v>
      </c>
      <c r="I697" s="35" t="s">
        <v>1473</v>
      </c>
      <c r="J697" s="35" t="s">
        <v>910</v>
      </c>
      <c r="K697" s="37">
        <v>585</v>
      </c>
      <c r="L697" s="37">
        <v>80</v>
      </c>
      <c r="M697" s="37">
        <v>104</v>
      </c>
    </row>
    <row r="698" spans="2:13" x14ac:dyDescent="0.25">
      <c r="B698" s="48" t="s">
        <v>3918</v>
      </c>
      <c r="C698" s="32">
        <v>400</v>
      </c>
      <c r="D698" s="32">
        <v>400</v>
      </c>
      <c r="E698" s="32">
        <v>5.6</v>
      </c>
      <c r="F698" s="32">
        <v>5.6</v>
      </c>
      <c r="G698" s="32">
        <v>77</v>
      </c>
      <c r="H698" s="32">
        <v>6.67</v>
      </c>
      <c r="I698" s="33" t="s">
        <v>1473</v>
      </c>
      <c r="J698" s="33" t="s">
        <v>910</v>
      </c>
      <c r="K698" s="36">
        <v>1260</v>
      </c>
      <c r="L698" s="36">
        <v>75</v>
      </c>
      <c r="M698" s="36">
        <v>252</v>
      </c>
    </row>
    <row r="699" spans="2:13" x14ac:dyDescent="0.25">
      <c r="B699" s="49" t="s">
        <v>3241</v>
      </c>
      <c r="C699" s="34">
        <v>45</v>
      </c>
      <c r="D699" s="34">
        <v>85</v>
      </c>
      <c r="E699" s="34">
        <v>4.5</v>
      </c>
      <c r="F699" s="34">
        <v>4.5</v>
      </c>
      <c r="G699" s="34">
        <v>77</v>
      </c>
      <c r="H699" s="34">
        <v>4.55</v>
      </c>
      <c r="I699" s="35" t="s">
        <v>1473</v>
      </c>
      <c r="J699" s="35" t="s">
        <v>910</v>
      </c>
      <c r="K699" s="37">
        <v>870</v>
      </c>
      <c r="L699" s="37">
        <v>85</v>
      </c>
      <c r="M699" s="37">
        <v>99.5</v>
      </c>
    </row>
    <row r="700" spans="2:13" x14ac:dyDescent="0.25">
      <c r="B700" s="48" t="s">
        <v>3240</v>
      </c>
      <c r="C700" s="32">
        <v>45</v>
      </c>
      <c r="D700" s="32">
        <v>45</v>
      </c>
      <c r="E700" s="32">
        <v>2.8</v>
      </c>
      <c r="F700" s="32">
        <v>2.8</v>
      </c>
      <c r="G700" s="32">
        <v>67</v>
      </c>
      <c r="H700" s="32">
        <v>6.67</v>
      </c>
      <c r="I700" s="33" t="s">
        <v>1473</v>
      </c>
      <c r="J700" s="33" t="s">
        <v>910</v>
      </c>
      <c r="K700" s="36">
        <v>475</v>
      </c>
      <c r="L700" s="36">
        <v>76.5</v>
      </c>
      <c r="M700" s="36">
        <v>66.5</v>
      </c>
    </row>
    <row r="701" spans="2:13" x14ac:dyDescent="0.25">
      <c r="B701" s="49" t="s">
        <v>3238</v>
      </c>
      <c r="C701" s="34">
        <v>55</v>
      </c>
      <c r="D701" s="34">
        <v>110</v>
      </c>
      <c r="E701" s="34">
        <v>5.6</v>
      </c>
      <c r="F701" s="34">
        <v>5.6</v>
      </c>
      <c r="G701" s="34">
        <v>82</v>
      </c>
      <c r="H701" s="34">
        <v>6.25</v>
      </c>
      <c r="I701" s="35" t="s">
        <v>1473</v>
      </c>
      <c r="J701" s="35" t="s">
        <v>910</v>
      </c>
      <c r="K701" s="37">
        <v>500</v>
      </c>
      <c r="L701" s="37">
        <v>88</v>
      </c>
      <c r="M701" s="37">
        <v>104</v>
      </c>
    </row>
    <row r="702" spans="2:13" x14ac:dyDescent="0.25">
      <c r="B702" s="48" t="s">
        <v>3237</v>
      </c>
      <c r="C702" s="32">
        <v>75</v>
      </c>
      <c r="D702" s="32">
        <v>75</v>
      </c>
      <c r="E702" s="32">
        <v>2.8</v>
      </c>
      <c r="F702" s="32">
        <v>2.8</v>
      </c>
      <c r="G702" s="32">
        <v>58</v>
      </c>
      <c r="H702" s="32">
        <v>5.56</v>
      </c>
      <c r="I702" s="33" t="s">
        <v>1473</v>
      </c>
      <c r="J702" s="33" t="s">
        <v>910</v>
      </c>
      <c r="K702" s="36">
        <v>215</v>
      </c>
      <c r="L702" s="36">
        <v>74.5</v>
      </c>
      <c r="M702" s="36">
        <v>37.5</v>
      </c>
    </row>
    <row r="703" spans="2:13" x14ac:dyDescent="0.25">
      <c r="B703" s="49" t="s">
        <v>3235</v>
      </c>
      <c r="C703" s="34">
        <v>80</v>
      </c>
      <c r="D703" s="34">
        <v>160</v>
      </c>
      <c r="E703" s="34">
        <v>4.5</v>
      </c>
      <c r="F703" s="34">
        <v>4.5</v>
      </c>
      <c r="G703" s="34">
        <v>77</v>
      </c>
      <c r="H703" s="34">
        <v>5.88</v>
      </c>
      <c r="I703" s="35" t="s">
        <v>1473</v>
      </c>
      <c r="J703" s="35" t="s">
        <v>910</v>
      </c>
      <c r="K703" s="37">
        <v>1010</v>
      </c>
      <c r="L703" s="37">
        <v>85</v>
      </c>
      <c r="M703" s="37">
        <v>130.5</v>
      </c>
    </row>
    <row r="704" spans="2:13" x14ac:dyDescent="0.25">
      <c r="B704" s="48" t="s">
        <v>3248</v>
      </c>
      <c r="C704" s="32">
        <v>77</v>
      </c>
      <c r="D704" s="32">
        <v>77</v>
      </c>
      <c r="E704" s="32">
        <v>1.8</v>
      </c>
      <c r="F704" s="32">
        <v>1.8</v>
      </c>
      <c r="G704" s="32">
        <v>49</v>
      </c>
      <c r="H704" s="32">
        <v>7.14</v>
      </c>
      <c r="I704" s="33" t="s">
        <v>1331</v>
      </c>
      <c r="J704" s="33" t="s">
        <v>910</v>
      </c>
      <c r="K704" s="36">
        <v>270</v>
      </c>
      <c r="L704" s="36">
        <v>64</v>
      </c>
      <c r="M704" s="36">
        <v>48</v>
      </c>
    </row>
    <row r="705" spans="2:13" x14ac:dyDescent="0.25">
      <c r="B705" s="49" t="s">
        <v>2956</v>
      </c>
      <c r="C705" s="34">
        <v>8</v>
      </c>
      <c r="D705" s="34">
        <v>8</v>
      </c>
      <c r="E705" s="34">
        <v>3</v>
      </c>
      <c r="F705" s="34">
        <v>3</v>
      </c>
      <c r="G705" s="34">
        <v>0</v>
      </c>
      <c r="H705" s="34">
        <v>0</v>
      </c>
      <c r="I705" s="35" t="s">
        <v>1221</v>
      </c>
      <c r="J705" s="35" t="s">
        <v>900</v>
      </c>
      <c r="K705" s="37">
        <v>245</v>
      </c>
      <c r="L705" s="37">
        <v>64</v>
      </c>
      <c r="M705" s="37">
        <v>62</v>
      </c>
    </row>
    <row r="706" spans="2:13" x14ac:dyDescent="0.25">
      <c r="B706" s="48" t="s">
        <v>2818</v>
      </c>
      <c r="C706" s="32">
        <v>16</v>
      </c>
      <c r="D706" s="32">
        <v>50</v>
      </c>
      <c r="E706" s="32">
        <v>2</v>
      </c>
      <c r="F706" s="32">
        <v>2</v>
      </c>
      <c r="G706" s="32">
        <v>0</v>
      </c>
      <c r="H706" s="32">
        <v>5.26</v>
      </c>
      <c r="I706" s="33" t="s">
        <v>1333</v>
      </c>
      <c r="J706" s="33" t="s">
        <v>900</v>
      </c>
      <c r="K706" s="36">
        <v>622</v>
      </c>
      <c r="L706" s="36">
        <v>81</v>
      </c>
      <c r="M706" s="36">
        <v>97</v>
      </c>
    </row>
    <row r="707" spans="2:13" x14ac:dyDescent="0.25">
      <c r="B707" s="49" t="s">
        <v>2955</v>
      </c>
      <c r="C707" s="34">
        <v>18</v>
      </c>
      <c r="D707" s="34">
        <v>55</v>
      </c>
      <c r="E707" s="34">
        <v>3.5</v>
      </c>
      <c r="F707" s="34">
        <v>3.5</v>
      </c>
      <c r="G707" s="34">
        <v>0</v>
      </c>
      <c r="H707" s="34">
        <v>4.54</v>
      </c>
      <c r="I707" s="35" t="s">
        <v>1333</v>
      </c>
      <c r="J707" s="35" t="s">
        <v>900</v>
      </c>
      <c r="K707" s="37">
        <v>198</v>
      </c>
      <c r="L707" s="37">
        <v>63</v>
      </c>
      <c r="M707" s="37">
        <v>65.099999999999994</v>
      </c>
    </row>
    <row r="708" spans="2:13" x14ac:dyDescent="0.25">
      <c r="B708" s="48" t="s">
        <v>2817</v>
      </c>
      <c r="C708" s="32">
        <v>20</v>
      </c>
      <c r="D708" s="32">
        <v>20</v>
      </c>
      <c r="E708" s="32">
        <v>2.8</v>
      </c>
      <c r="F708" s="32">
        <v>2.8</v>
      </c>
      <c r="G708" s="32">
        <v>0</v>
      </c>
      <c r="H708" s="32">
        <v>5.56</v>
      </c>
      <c r="I708" s="33" t="s">
        <v>1333</v>
      </c>
      <c r="J708" s="33" t="s">
        <v>900</v>
      </c>
      <c r="K708" s="36">
        <v>89</v>
      </c>
      <c r="L708" s="36">
        <v>62.2</v>
      </c>
      <c r="M708" s="36">
        <v>24.5</v>
      </c>
    </row>
    <row r="709" spans="2:13" x14ac:dyDescent="0.25">
      <c r="B709" s="49" t="s">
        <v>2816</v>
      </c>
      <c r="C709" s="34">
        <v>60</v>
      </c>
      <c r="D709" s="34">
        <v>60</v>
      </c>
      <c r="E709" s="34">
        <v>2.8</v>
      </c>
      <c r="F709" s="34">
        <v>2.8</v>
      </c>
      <c r="G709" s="34">
        <v>0</v>
      </c>
      <c r="H709" s="34">
        <v>1</v>
      </c>
      <c r="I709" s="35" t="s">
        <v>1333</v>
      </c>
      <c r="J709" s="35" t="s">
        <v>900</v>
      </c>
      <c r="K709" s="37">
        <v>450</v>
      </c>
      <c r="L709" s="37">
        <v>73</v>
      </c>
      <c r="M709" s="37">
        <v>84</v>
      </c>
    </row>
    <row r="710" spans="2:13" x14ac:dyDescent="0.25">
      <c r="B710" s="48" t="s">
        <v>1144</v>
      </c>
      <c r="C710" s="32">
        <v>9</v>
      </c>
      <c r="D710" s="32">
        <v>9</v>
      </c>
      <c r="E710" s="32">
        <v>3.5</v>
      </c>
      <c r="F710" s="32">
        <v>3.5</v>
      </c>
      <c r="G710" s="32">
        <v>0</v>
      </c>
      <c r="H710" s="32">
        <v>9.09</v>
      </c>
      <c r="I710" s="33" t="s">
        <v>1568</v>
      </c>
      <c r="J710" s="33" t="s">
        <v>900</v>
      </c>
      <c r="K710" s="36">
        <v>31</v>
      </c>
      <c r="L710" s="36">
        <v>50</v>
      </c>
      <c r="M710" s="36">
        <v>13</v>
      </c>
    </row>
    <row r="711" spans="2:13" x14ac:dyDescent="0.25">
      <c r="B711" s="49" t="s">
        <v>3310</v>
      </c>
      <c r="C711" s="34">
        <v>100</v>
      </c>
      <c r="D711" s="34">
        <v>100</v>
      </c>
      <c r="E711" s="34">
        <v>2.8</v>
      </c>
      <c r="F711" s="34">
        <v>2.8</v>
      </c>
      <c r="G711" s="34">
        <v>67</v>
      </c>
      <c r="H711" s="34">
        <v>1</v>
      </c>
      <c r="I711" s="35" t="s">
        <v>1229</v>
      </c>
      <c r="J711" s="35" t="s">
        <v>910</v>
      </c>
      <c r="K711" s="37">
        <v>720</v>
      </c>
      <c r="L711" s="37">
        <v>72.5</v>
      </c>
      <c r="M711" s="37">
        <v>123.1</v>
      </c>
    </row>
    <row r="712" spans="2:13" x14ac:dyDescent="0.25">
      <c r="B712" s="48" t="s">
        <v>3309</v>
      </c>
      <c r="C712" s="32">
        <v>100</v>
      </c>
      <c r="D712" s="32">
        <v>100</v>
      </c>
      <c r="E712" s="32">
        <v>2.8</v>
      </c>
      <c r="F712" s="32">
        <v>2.8</v>
      </c>
      <c r="G712" s="32">
        <v>67</v>
      </c>
      <c r="H712" s="32">
        <v>1</v>
      </c>
      <c r="I712" s="33" t="s">
        <v>1298</v>
      </c>
      <c r="J712" s="33" t="s">
        <v>900</v>
      </c>
      <c r="K712" s="36">
        <v>730</v>
      </c>
      <c r="L712" s="36">
        <v>72.5</v>
      </c>
      <c r="M712" s="36">
        <v>149</v>
      </c>
    </row>
    <row r="713" spans="2:13" x14ac:dyDescent="0.25">
      <c r="B713" s="49" t="s">
        <v>3308</v>
      </c>
      <c r="C713" s="34">
        <v>100</v>
      </c>
      <c r="D713" s="34">
        <v>100</v>
      </c>
      <c r="E713" s="34">
        <v>2.8</v>
      </c>
      <c r="F713" s="34">
        <v>2.8</v>
      </c>
      <c r="G713" s="34">
        <v>67</v>
      </c>
      <c r="H713" s="34">
        <v>1</v>
      </c>
      <c r="I713" s="35" t="s">
        <v>1228</v>
      </c>
      <c r="J713" s="35" t="s">
        <v>1228</v>
      </c>
      <c r="K713" s="37">
        <v>735</v>
      </c>
      <c r="L713" s="37">
        <v>72.5</v>
      </c>
      <c r="M713" s="37">
        <v>128.4</v>
      </c>
    </row>
    <row r="714" spans="2:13" x14ac:dyDescent="0.25">
      <c r="B714" s="48" t="s">
        <v>2984</v>
      </c>
      <c r="C714" s="32">
        <v>100</v>
      </c>
      <c r="D714" s="32">
        <v>100</v>
      </c>
      <c r="E714" s="32">
        <v>2.8</v>
      </c>
      <c r="F714" s="32">
        <v>2.8</v>
      </c>
      <c r="G714" s="32">
        <v>67</v>
      </c>
      <c r="H714" s="32">
        <v>1</v>
      </c>
      <c r="I714" s="33" t="s">
        <v>1286</v>
      </c>
      <c r="J714" s="33" t="s">
        <v>900</v>
      </c>
      <c r="K714" s="36">
        <v>770</v>
      </c>
      <c r="L714" s="36">
        <v>72.5</v>
      </c>
      <c r="M714" s="36">
        <v>149.4</v>
      </c>
    </row>
    <row r="715" spans="2:13" x14ac:dyDescent="0.25">
      <c r="B715" s="49" t="s">
        <v>3307</v>
      </c>
      <c r="C715" s="34">
        <v>100</v>
      </c>
      <c r="D715" s="34">
        <v>100</v>
      </c>
      <c r="E715" s="34">
        <v>2.8</v>
      </c>
      <c r="F715" s="34">
        <v>2.8</v>
      </c>
      <c r="G715" s="34">
        <v>67</v>
      </c>
      <c r="H715" s="34">
        <v>1</v>
      </c>
      <c r="I715" s="35" t="s">
        <v>1227</v>
      </c>
      <c r="J715" s="35" t="s">
        <v>1228</v>
      </c>
      <c r="K715" s="37">
        <v>725</v>
      </c>
      <c r="L715" s="37">
        <v>72.5</v>
      </c>
      <c r="M715" s="37">
        <v>147.9</v>
      </c>
    </row>
    <row r="716" spans="2:13" x14ac:dyDescent="0.25">
      <c r="B716" s="48" t="s">
        <v>3306</v>
      </c>
      <c r="C716" s="32">
        <v>100</v>
      </c>
      <c r="D716" s="32">
        <v>100</v>
      </c>
      <c r="E716" s="32">
        <v>2.8</v>
      </c>
      <c r="F716" s="32">
        <v>2.8</v>
      </c>
      <c r="G716" s="32">
        <v>67</v>
      </c>
      <c r="H716" s="32">
        <v>1</v>
      </c>
      <c r="I716" s="33" t="s">
        <v>8</v>
      </c>
      <c r="J716" s="33" t="s">
        <v>910</v>
      </c>
      <c r="K716" s="36">
        <v>705</v>
      </c>
      <c r="L716" s="36">
        <v>72.5</v>
      </c>
      <c r="M716" s="36">
        <v>120.6</v>
      </c>
    </row>
    <row r="717" spans="2:13" x14ac:dyDescent="0.25">
      <c r="B717" s="49" t="s">
        <v>3305</v>
      </c>
      <c r="C717" s="34">
        <v>100</v>
      </c>
      <c r="D717" s="34">
        <v>100</v>
      </c>
      <c r="E717" s="34">
        <v>2.8</v>
      </c>
      <c r="F717" s="34">
        <v>2.8</v>
      </c>
      <c r="G717" s="34">
        <v>67</v>
      </c>
      <c r="H717" s="34">
        <v>1</v>
      </c>
      <c r="I717" s="35" t="s">
        <v>1331</v>
      </c>
      <c r="J717" s="35" t="s">
        <v>910</v>
      </c>
      <c r="K717" s="37">
        <v>710</v>
      </c>
      <c r="L717" s="37">
        <v>72.5</v>
      </c>
      <c r="M717" s="37">
        <v>121.6</v>
      </c>
    </row>
    <row r="718" spans="2:13" x14ac:dyDescent="0.25">
      <c r="B718" s="48" t="s">
        <v>3304</v>
      </c>
      <c r="C718" s="32">
        <v>100</v>
      </c>
      <c r="D718" s="32">
        <v>100</v>
      </c>
      <c r="E718" s="32">
        <v>2.8</v>
      </c>
      <c r="F718" s="32">
        <v>2.8</v>
      </c>
      <c r="G718" s="32">
        <v>67</v>
      </c>
      <c r="H718" s="32">
        <v>1</v>
      </c>
      <c r="I718" s="33" t="s">
        <v>1333</v>
      </c>
      <c r="J718" s="33" t="s">
        <v>900</v>
      </c>
      <c r="K718" s="36">
        <v>720</v>
      </c>
      <c r="L718" s="36">
        <v>72.5</v>
      </c>
      <c r="M718" s="36">
        <v>141.6</v>
      </c>
    </row>
    <row r="719" spans="2:13" x14ac:dyDescent="0.25">
      <c r="B719" s="49" t="s">
        <v>3303</v>
      </c>
      <c r="C719" s="34">
        <v>100</v>
      </c>
      <c r="D719" s="34">
        <v>100</v>
      </c>
      <c r="E719" s="34">
        <v>2.8</v>
      </c>
      <c r="F719" s="34">
        <v>2.8</v>
      </c>
      <c r="G719" s="34">
        <v>67</v>
      </c>
      <c r="H719" s="34">
        <v>1</v>
      </c>
      <c r="I719" s="35" t="s">
        <v>1293</v>
      </c>
      <c r="J719" s="35" t="s">
        <v>910</v>
      </c>
      <c r="K719" s="37">
        <v>715</v>
      </c>
      <c r="L719" s="37">
        <v>72.5</v>
      </c>
      <c r="M719" s="37">
        <v>122.6</v>
      </c>
    </row>
    <row r="720" spans="2:13" x14ac:dyDescent="0.25">
      <c r="B720" s="48" t="s">
        <v>2983</v>
      </c>
      <c r="C720" s="32">
        <v>100</v>
      </c>
      <c r="D720" s="32">
        <v>100</v>
      </c>
      <c r="E720" s="32">
        <v>2.8</v>
      </c>
      <c r="F720" s="32">
        <v>2.8</v>
      </c>
      <c r="G720" s="32">
        <v>67</v>
      </c>
      <c r="H720" s="32">
        <v>1</v>
      </c>
      <c r="I720" s="33" t="s">
        <v>1221</v>
      </c>
      <c r="J720" s="33" t="s">
        <v>910</v>
      </c>
      <c r="K720" s="36">
        <v>730</v>
      </c>
      <c r="L720" s="36">
        <v>72.5</v>
      </c>
      <c r="M720" s="36">
        <v>149.1</v>
      </c>
    </row>
    <row r="721" spans="2:13" x14ac:dyDescent="0.25">
      <c r="B721" s="49" t="s">
        <v>1004</v>
      </c>
      <c r="C721" s="34">
        <v>100</v>
      </c>
      <c r="D721" s="34">
        <v>100</v>
      </c>
      <c r="E721" s="34">
        <v>3.1</v>
      </c>
      <c r="F721" s="34">
        <v>3.1</v>
      </c>
      <c r="G721" s="34">
        <v>67</v>
      </c>
      <c r="H721" s="34">
        <v>1</v>
      </c>
      <c r="I721" s="35" t="s">
        <v>1229</v>
      </c>
      <c r="J721" s="35" t="s">
        <v>910</v>
      </c>
      <c r="K721" s="37">
        <v>726</v>
      </c>
      <c r="L721" s="37">
        <v>81.599999999999994</v>
      </c>
      <c r="M721" s="37">
        <v>123.1</v>
      </c>
    </row>
    <row r="722" spans="2:13" x14ac:dyDescent="0.25">
      <c r="B722" s="48" t="s">
        <v>1005</v>
      </c>
      <c r="C722" s="32">
        <v>100</v>
      </c>
      <c r="D722" s="32">
        <v>100</v>
      </c>
      <c r="E722" s="32">
        <v>3.1</v>
      </c>
      <c r="F722" s="32">
        <v>3.1</v>
      </c>
      <c r="G722" s="32">
        <v>67</v>
      </c>
      <c r="H722" s="32">
        <v>1</v>
      </c>
      <c r="I722" s="33" t="s">
        <v>1298</v>
      </c>
      <c r="J722" s="33" t="s">
        <v>900</v>
      </c>
      <c r="K722" s="36">
        <v>735</v>
      </c>
      <c r="L722" s="36">
        <v>81.599999999999994</v>
      </c>
      <c r="M722" s="36">
        <v>149</v>
      </c>
    </row>
    <row r="723" spans="2:13" x14ac:dyDescent="0.25">
      <c r="B723" s="49" t="s">
        <v>1006</v>
      </c>
      <c r="C723" s="34">
        <v>100</v>
      </c>
      <c r="D723" s="34">
        <v>100</v>
      </c>
      <c r="E723" s="34">
        <v>3.1</v>
      </c>
      <c r="F723" s="34">
        <v>3.1</v>
      </c>
      <c r="G723" s="34">
        <v>67</v>
      </c>
      <c r="H723" s="34">
        <v>1</v>
      </c>
      <c r="I723" s="35" t="s">
        <v>1228</v>
      </c>
      <c r="J723" s="35" t="s">
        <v>1228</v>
      </c>
      <c r="K723" s="37">
        <v>740</v>
      </c>
      <c r="L723" s="37">
        <v>81.599999999999994</v>
      </c>
      <c r="M723" s="37">
        <v>128.4</v>
      </c>
    </row>
    <row r="724" spans="2:13" x14ac:dyDescent="0.25">
      <c r="B724" s="48" t="s">
        <v>1008</v>
      </c>
      <c r="C724" s="32">
        <v>100</v>
      </c>
      <c r="D724" s="32">
        <v>100</v>
      </c>
      <c r="E724" s="32">
        <v>3.1</v>
      </c>
      <c r="F724" s="32">
        <v>3.1</v>
      </c>
      <c r="G724" s="32">
        <v>67</v>
      </c>
      <c r="H724" s="32">
        <v>1</v>
      </c>
      <c r="I724" s="33" t="s">
        <v>1286</v>
      </c>
      <c r="J724" s="33" t="s">
        <v>900</v>
      </c>
      <c r="K724" s="36">
        <v>775</v>
      </c>
      <c r="L724" s="36">
        <v>81.599999999999994</v>
      </c>
      <c r="M724" s="36">
        <v>149.4</v>
      </c>
    </row>
    <row r="725" spans="2:13" x14ac:dyDescent="0.25">
      <c r="B725" s="49" t="s">
        <v>1007</v>
      </c>
      <c r="C725" s="34">
        <v>100</v>
      </c>
      <c r="D725" s="34">
        <v>100</v>
      </c>
      <c r="E725" s="34">
        <v>3.1</v>
      </c>
      <c r="F725" s="34">
        <v>3.1</v>
      </c>
      <c r="G725" s="34">
        <v>67</v>
      </c>
      <c r="H725" s="34">
        <v>1</v>
      </c>
      <c r="I725" s="35" t="s">
        <v>1227</v>
      </c>
      <c r="J725" s="35" t="s">
        <v>1228</v>
      </c>
      <c r="K725" s="37">
        <v>730</v>
      </c>
      <c r="L725" s="37">
        <v>81.599999999999994</v>
      </c>
      <c r="M725" s="37">
        <v>147.9</v>
      </c>
    </row>
    <row r="726" spans="2:13" x14ac:dyDescent="0.25">
      <c r="B726" s="48" t="s">
        <v>1009</v>
      </c>
      <c r="C726" s="32">
        <v>100</v>
      </c>
      <c r="D726" s="32">
        <v>100</v>
      </c>
      <c r="E726" s="32">
        <v>3.1</v>
      </c>
      <c r="F726" s="32">
        <v>3.1</v>
      </c>
      <c r="G726" s="32">
        <v>67</v>
      </c>
      <c r="H726" s="32">
        <v>1</v>
      </c>
      <c r="I726" s="33" t="s">
        <v>8</v>
      </c>
      <c r="J726" s="33" t="s">
        <v>910</v>
      </c>
      <c r="K726" s="36">
        <v>710</v>
      </c>
      <c r="L726" s="36">
        <v>81.599999999999994</v>
      </c>
      <c r="M726" s="36">
        <v>120.6</v>
      </c>
    </row>
    <row r="727" spans="2:13" x14ac:dyDescent="0.25">
      <c r="B727" s="49" t="s">
        <v>3862</v>
      </c>
      <c r="C727" s="34">
        <v>100</v>
      </c>
      <c r="D727" s="34">
        <v>100</v>
      </c>
      <c r="E727" s="34">
        <v>3.1</v>
      </c>
      <c r="F727" s="34">
        <v>3.1</v>
      </c>
      <c r="G727" s="34">
        <v>67</v>
      </c>
      <c r="H727" s="34">
        <v>1</v>
      </c>
      <c r="I727" s="35" t="s">
        <v>1331</v>
      </c>
      <c r="J727" s="35" t="s">
        <v>910</v>
      </c>
      <c r="K727" s="37">
        <v>715</v>
      </c>
      <c r="L727" s="37">
        <v>81.599999999999994</v>
      </c>
      <c r="M727" s="37">
        <v>121.6</v>
      </c>
    </row>
    <row r="728" spans="2:13" x14ac:dyDescent="0.25">
      <c r="B728" s="48" t="s">
        <v>2982</v>
      </c>
      <c r="C728" s="32">
        <v>100</v>
      </c>
      <c r="D728" s="32">
        <v>100</v>
      </c>
      <c r="E728" s="32">
        <v>3.1</v>
      </c>
      <c r="F728" s="32">
        <v>3.1</v>
      </c>
      <c r="G728" s="32">
        <v>67</v>
      </c>
      <c r="H728" s="32">
        <v>1</v>
      </c>
      <c r="I728" s="33" t="s">
        <v>1333</v>
      </c>
      <c r="J728" s="33" t="s">
        <v>900</v>
      </c>
      <c r="K728" s="36">
        <v>725</v>
      </c>
      <c r="L728" s="36">
        <v>81.599999999999994</v>
      </c>
      <c r="M728" s="36">
        <v>141.6</v>
      </c>
    </row>
    <row r="729" spans="2:13" x14ac:dyDescent="0.25">
      <c r="B729" s="49" t="s">
        <v>1011</v>
      </c>
      <c r="C729" s="34">
        <v>100</v>
      </c>
      <c r="D729" s="34">
        <v>100</v>
      </c>
      <c r="E729" s="34">
        <v>3.1</v>
      </c>
      <c r="F729" s="34">
        <v>3.1</v>
      </c>
      <c r="G729" s="34">
        <v>67</v>
      </c>
      <c r="H729" s="34">
        <v>1</v>
      </c>
      <c r="I729" s="35" t="s">
        <v>1293</v>
      </c>
      <c r="J729" s="35" t="s">
        <v>910</v>
      </c>
      <c r="K729" s="37">
        <v>720</v>
      </c>
      <c r="L729" s="37">
        <v>81.599999999999994</v>
      </c>
      <c r="M729" s="37">
        <v>122.6</v>
      </c>
    </row>
    <row r="730" spans="2:13" x14ac:dyDescent="0.25">
      <c r="B730" s="48" t="s">
        <v>1010</v>
      </c>
      <c r="C730" s="32">
        <v>100</v>
      </c>
      <c r="D730" s="32">
        <v>100</v>
      </c>
      <c r="E730" s="32">
        <v>3.1</v>
      </c>
      <c r="F730" s="32">
        <v>3.1</v>
      </c>
      <c r="G730" s="32">
        <v>67</v>
      </c>
      <c r="H730" s="32">
        <v>1</v>
      </c>
      <c r="I730" s="33" t="s">
        <v>1221</v>
      </c>
      <c r="J730" s="33" t="s">
        <v>910</v>
      </c>
      <c r="K730" s="36">
        <v>735</v>
      </c>
      <c r="L730" s="36">
        <v>81.599999999999994</v>
      </c>
      <c r="M730" s="36">
        <v>149.1</v>
      </c>
    </row>
    <row r="731" spans="2:13" x14ac:dyDescent="0.25">
      <c r="B731" s="49" t="s">
        <v>955</v>
      </c>
      <c r="C731" s="34">
        <v>10</v>
      </c>
      <c r="D731" s="34">
        <v>10</v>
      </c>
      <c r="E731" s="34">
        <v>2.8</v>
      </c>
      <c r="F731" s="34">
        <v>2.8</v>
      </c>
      <c r="G731" s="34">
        <v>0</v>
      </c>
      <c r="H731" s="34">
        <v>0</v>
      </c>
      <c r="I731" s="35" t="s">
        <v>1229</v>
      </c>
      <c r="J731" s="35" t="s">
        <v>900</v>
      </c>
      <c r="K731" s="37">
        <v>590</v>
      </c>
      <c r="L731" s="37">
        <v>86</v>
      </c>
      <c r="M731" s="37">
        <v>79</v>
      </c>
    </row>
    <row r="732" spans="2:13" x14ac:dyDescent="0.25">
      <c r="B732" s="48" t="s">
        <v>1074</v>
      </c>
      <c r="C732" s="32">
        <v>10</v>
      </c>
      <c r="D732" s="32">
        <v>10</v>
      </c>
      <c r="E732" s="32">
        <v>2.8</v>
      </c>
      <c r="F732" s="32">
        <v>2.8</v>
      </c>
      <c r="G732" s="32">
        <v>0</v>
      </c>
      <c r="H732" s="32">
        <v>0</v>
      </c>
      <c r="I732" s="33" t="s">
        <v>1298</v>
      </c>
      <c r="J732" s="33" t="s">
        <v>900</v>
      </c>
      <c r="K732" s="36">
        <v>620</v>
      </c>
      <c r="L732" s="36">
        <v>86</v>
      </c>
      <c r="M732" s="36">
        <v>79</v>
      </c>
    </row>
    <row r="733" spans="2:13" x14ac:dyDescent="0.25">
      <c r="B733" s="49" t="s">
        <v>1075</v>
      </c>
      <c r="C733" s="34">
        <v>10</v>
      </c>
      <c r="D733" s="34">
        <v>10</v>
      </c>
      <c r="E733" s="34">
        <v>2.8</v>
      </c>
      <c r="F733" s="34">
        <v>2.8</v>
      </c>
      <c r="G733" s="34">
        <v>0</v>
      </c>
      <c r="H733" s="34">
        <v>0</v>
      </c>
      <c r="I733" s="35" t="s">
        <v>1228</v>
      </c>
      <c r="J733" s="35" t="s">
        <v>1228</v>
      </c>
      <c r="K733" s="37">
        <v>610</v>
      </c>
      <c r="L733" s="37">
        <v>86</v>
      </c>
      <c r="M733" s="37">
        <v>85</v>
      </c>
    </row>
    <row r="734" spans="2:13" x14ac:dyDescent="0.25">
      <c r="B734" s="48" t="s">
        <v>1079</v>
      </c>
      <c r="C734" s="32">
        <v>10</v>
      </c>
      <c r="D734" s="32">
        <v>10</v>
      </c>
      <c r="E734" s="32">
        <v>2.8</v>
      </c>
      <c r="F734" s="32">
        <v>2.8</v>
      </c>
      <c r="G734" s="32">
        <v>0</v>
      </c>
      <c r="H734" s="32">
        <v>0</v>
      </c>
      <c r="I734" s="33" t="s">
        <v>1286</v>
      </c>
      <c r="J734" s="33" t="s">
        <v>900</v>
      </c>
      <c r="K734" s="36">
        <v>625</v>
      </c>
      <c r="L734" s="36">
        <v>86</v>
      </c>
      <c r="M734" s="36">
        <v>106</v>
      </c>
    </row>
    <row r="735" spans="2:13" x14ac:dyDescent="0.25">
      <c r="B735" s="49" t="s">
        <v>1179</v>
      </c>
      <c r="C735" s="34">
        <v>10</v>
      </c>
      <c r="D735" s="34">
        <v>10</v>
      </c>
      <c r="E735" s="34">
        <v>2.8</v>
      </c>
      <c r="F735" s="34">
        <v>2.8</v>
      </c>
      <c r="G735" s="34">
        <v>0</v>
      </c>
      <c r="H735" s="34">
        <v>0</v>
      </c>
      <c r="I735" s="35" t="s">
        <v>1227</v>
      </c>
      <c r="J735" s="35" t="s">
        <v>1228</v>
      </c>
      <c r="K735" s="37">
        <v>620</v>
      </c>
      <c r="L735" s="37">
        <v>86</v>
      </c>
      <c r="M735" s="37">
        <v>104</v>
      </c>
    </row>
    <row r="736" spans="2:13" x14ac:dyDescent="0.25">
      <c r="B736" s="48" t="s">
        <v>1076</v>
      </c>
      <c r="C736" s="32">
        <v>10</v>
      </c>
      <c r="D736" s="32">
        <v>10</v>
      </c>
      <c r="E736" s="32">
        <v>2.8</v>
      </c>
      <c r="F736" s="32">
        <v>2.8</v>
      </c>
      <c r="G736" s="32">
        <v>0</v>
      </c>
      <c r="H736" s="32">
        <v>0</v>
      </c>
      <c r="I736" s="33" t="s">
        <v>8</v>
      </c>
      <c r="J736" s="33" t="s">
        <v>900</v>
      </c>
      <c r="K736" s="36">
        <v>580</v>
      </c>
      <c r="L736" s="36">
        <v>86</v>
      </c>
      <c r="M736" s="36">
        <v>77</v>
      </c>
    </row>
    <row r="737" spans="2:13" x14ac:dyDescent="0.25">
      <c r="B737" s="49" t="s">
        <v>1077</v>
      </c>
      <c r="C737" s="34">
        <v>10</v>
      </c>
      <c r="D737" s="34">
        <v>10</v>
      </c>
      <c r="E737" s="34">
        <v>2.8</v>
      </c>
      <c r="F737" s="34">
        <v>2.8</v>
      </c>
      <c r="G737" s="34">
        <v>0</v>
      </c>
      <c r="H737" s="34">
        <v>0</v>
      </c>
      <c r="I737" s="35" t="s">
        <v>1331</v>
      </c>
      <c r="J737" s="35" t="s">
        <v>900</v>
      </c>
      <c r="K737" s="37">
        <v>580</v>
      </c>
      <c r="L737" s="37">
        <v>86</v>
      </c>
      <c r="M737" s="37">
        <v>78</v>
      </c>
    </row>
    <row r="738" spans="2:13" x14ac:dyDescent="0.25">
      <c r="B738" s="48" t="s">
        <v>1078</v>
      </c>
      <c r="C738" s="32">
        <v>10</v>
      </c>
      <c r="D738" s="32">
        <v>10</v>
      </c>
      <c r="E738" s="32">
        <v>2.8</v>
      </c>
      <c r="F738" s="32">
        <v>2.8</v>
      </c>
      <c r="G738" s="32">
        <v>0</v>
      </c>
      <c r="H738" s="32">
        <v>0</v>
      </c>
      <c r="I738" s="33" t="s">
        <v>1333</v>
      </c>
      <c r="J738" s="33" t="s">
        <v>900</v>
      </c>
      <c r="K738" s="36">
        <v>615</v>
      </c>
      <c r="L738" s="36">
        <v>86</v>
      </c>
      <c r="M738" s="36">
        <v>98</v>
      </c>
    </row>
    <row r="739" spans="2:13" x14ac:dyDescent="0.25">
      <c r="B739" s="49" t="s">
        <v>1080</v>
      </c>
      <c r="C739" s="34">
        <v>10</v>
      </c>
      <c r="D739" s="34">
        <v>10</v>
      </c>
      <c r="E739" s="34">
        <v>2.8</v>
      </c>
      <c r="F739" s="34">
        <v>2.8</v>
      </c>
      <c r="G739" s="34">
        <v>0</v>
      </c>
      <c r="H739" s="34">
        <v>0</v>
      </c>
      <c r="I739" s="35" t="s">
        <v>1293</v>
      </c>
      <c r="J739" s="35" t="s">
        <v>900</v>
      </c>
      <c r="K739" s="37">
        <v>585</v>
      </c>
      <c r="L739" s="37">
        <v>86</v>
      </c>
      <c r="M739" s="37">
        <v>79</v>
      </c>
    </row>
    <row r="740" spans="2:13" x14ac:dyDescent="0.25">
      <c r="B740" s="48" t="s">
        <v>1081</v>
      </c>
      <c r="C740" s="32">
        <v>10</v>
      </c>
      <c r="D740" s="32">
        <v>10</v>
      </c>
      <c r="E740" s="32">
        <v>2.8</v>
      </c>
      <c r="F740" s="32">
        <v>2.8</v>
      </c>
      <c r="G740" s="32">
        <v>0</v>
      </c>
      <c r="H740" s="32">
        <v>0</v>
      </c>
      <c r="I740" s="33" t="s">
        <v>1221</v>
      </c>
      <c r="J740" s="33" t="s">
        <v>900</v>
      </c>
      <c r="K740" s="36">
        <v>620</v>
      </c>
      <c r="L740" s="36">
        <v>86</v>
      </c>
      <c r="M740" s="36">
        <v>105</v>
      </c>
    </row>
    <row r="741" spans="2:13" x14ac:dyDescent="0.25">
      <c r="B741" s="49" t="s">
        <v>3907</v>
      </c>
      <c r="C741" s="34">
        <v>10</v>
      </c>
      <c r="D741" s="34">
        <v>10</v>
      </c>
      <c r="E741" s="34">
        <v>3.1</v>
      </c>
      <c r="F741" s="34">
        <v>3.1</v>
      </c>
      <c r="G741" s="34">
        <v>0</v>
      </c>
      <c r="H741" s="34">
        <v>0</v>
      </c>
      <c r="I741" s="35" t="s">
        <v>1298</v>
      </c>
      <c r="J741" s="35" t="s">
        <v>910</v>
      </c>
      <c r="K741" s="37">
        <v>630</v>
      </c>
      <c r="L741" s="37">
        <v>87</v>
      </c>
      <c r="M741" s="37">
        <v>132</v>
      </c>
    </row>
    <row r="742" spans="2:13" x14ac:dyDescent="0.25">
      <c r="B742" s="48" t="s">
        <v>3906</v>
      </c>
      <c r="C742" s="32">
        <v>10</v>
      </c>
      <c r="D742" s="32">
        <v>10</v>
      </c>
      <c r="E742" s="32">
        <v>3.1</v>
      </c>
      <c r="F742" s="32">
        <v>3.1</v>
      </c>
      <c r="G742" s="32">
        <v>0</v>
      </c>
      <c r="H742" s="32">
        <v>0</v>
      </c>
      <c r="I742" s="33" t="s">
        <v>1228</v>
      </c>
      <c r="J742" s="33" t="s">
        <v>1228</v>
      </c>
      <c r="K742" s="36">
        <v>620</v>
      </c>
      <c r="L742" s="36">
        <v>87</v>
      </c>
      <c r="M742" s="36">
        <v>111.4</v>
      </c>
    </row>
    <row r="743" spans="2:13" x14ac:dyDescent="0.25">
      <c r="B743" s="49" t="s">
        <v>1132</v>
      </c>
      <c r="C743" s="34">
        <v>10</v>
      </c>
      <c r="D743" s="34">
        <v>10</v>
      </c>
      <c r="E743" s="34">
        <v>3.1</v>
      </c>
      <c r="F743" s="34">
        <v>3.1</v>
      </c>
      <c r="G743" s="34">
        <v>0</v>
      </c>
      <c r="H743" s="34">
        <v>0</v>
      </c>
      <c r="I743" s="35" t="s">
        <v>1331</v>
      </c>
      <c r="J743" s="35" t="s">
        <v>900</v>
      </c>
      <c r="K743" s="37">
        <v>590</v>
      </c>
      <c r="L743" s="37">
        <v>87</v>
      </c>
      <c r="M743" s="37">
        <v>104.6</v>
      </c>
    </row>
    <row r="744" spans="2:13" x14ac:dyDescent="0.25">
      <c r="B744" s="48" t="s">
        <v>4146</v>
      </c>
      <c r="C744" s="32">
        <v>10</v>
      </c>
      <c r="D744" s="32">
        <v>10</v>
      </c>
      <c r="E744" s="32">
        <v>3.1</v>
      </c>
      <c r="F744" s="32">
        <v>3.1</v>
      </c>
      <c r="G744" s="32">
        <v>0</v>
      </c>
      <c r="H744" s="32">
        <v>0</v>
      </c>
      <c r="I744" s="33" t="s">
        <v>1229</v>
      </c>
      <c r="J744" s="33" t="s">
        <v>910</v>
      </c>
      <c r="K744" s="36">
        <v>600</v>
      </c>
      <c r="L744" s="36">
        <v>87</v>
      </c>
      <c r="M744" s="36">
        <v>106.1</v>
      </c>
    </row>
    <row r="745" spans="2:13" x14ac:dyDescent="0.25">
      <c r="B745" s="49" t="s">
        <v>3905</v>
      </c>
      <c r="C745" s="34">
        <v>10</v>
      </c>
      <c r="D745" s="34">
        <v>10</v>
      </c>
      <c r="E745" s="34">
        <v>3.1</v>
      </c>
      <c r="F745" s="34">
        <v>3.1</v>
      </c>
      <c r="G745" s="34">
        <v>0</v>
      </c>
      <c r="H745" s="34">
        <v>0</v>
      </c>
      <c r="I745" s="35" t="s">
        <v>1298</v>
      </c>
      <c r="J745" s="35" t="s">
        <v>900</v>
      </c>
      <c r="K745" s="37">
        <v>630</v>
      </c>
      <c r="L745" s="37">
        <v>87</v>
      </c>
      <c r="M745" s="37">
        <v>132</v>
      </c>
    </row>
    <row r="746" spans="2:13" x14ac:dyDescent="0.25">
      <c r="B746" s="48" t="s">
        <v>3904</v>
      </c>
      <c r="C746" s="32">
        <v>10</v>
      </c>
      <c r="D746" s="32">
        <v>10</v>
      </c>
      <c r="E746" s="32">
        <v>3.1</v>
      </c>
      <c r="F746" s="32">
        <v>3.1</v>
      </c>
      <c r="G746" s="32">
        <v>0</v>
      </c>
      <c r="H746" s="32">
        <v>0</v>
      </c>
      <c r="I746" s="33" t="s">
        <v>1228</v>
      </c>
      <c r="J746" s="33" t="s">
        <v>1228</v>
      </c>
      <c r="K746" s="36">
        <v>620</v>
      </c>
      <c r="L746" s="36">
        <v>87</v>
      </c>
      <c r="M746" s="36">
        <v>111.4</v>
      </c>
    </row>
    <row r="747" spans="2:13" x14ac:dyDescent="0.25">
      <c r="B747" s="49" t="s">
        <v>4145</v>
      </c>
      <c r="C747" s="34">
        <v>10</v>
      </c>
      <c r="D747" s="34">
        <v>10</v>
      </c>
      <c r="E747" s="34">
        <v>3.1</v>
      </c>
      <c r="F747" s="34">
        <v>3.1</v>
      </c>
      <c r="G747" s="34">
        <v>0</v>
      </c>
      <c r="H747" s="34">
        <v>0</v>
      </c>
      <c r="I747" s="35" t="s">
        <v>1286</v>
      </c>
      <c r="J747" s="35" t="s">
        <v>900</v>
      </c>
      <c r="K747" s="37">
        <v>635</v>
      </c>
      <c r="L747" s="37">
        <v>87</v>
      </c>
      <c r="M747" s="37">
        <v>132.4</v>
      </c>
    </row>
    <row r="748" spans="2:13" x14ac:dyDescent="0.25">
      <c r="B748" s="48" t="s">
        <v>4144</v>
      </c>
      <c r="C748" s="32">
        <v>10</v>
      </c>
      <c r="D748" s="32">
        <v>10</v>
      </c>
      <c r="E748" s="32">
        <v>3.1</v>
      </c>
      <c r="F748" s="32">
        <v>3.1</v>
      </c>
      <c r="G748" s="32">
        <v>0</v>
      </c>
      <c r="H748" s="32">
        <v>0</v>
      </c>
      <c r="I748" s="33" t="s">
        <v>1227</v>
      </c>
      <c r="J748" s="33" t="s">
        <v>1228</v>
      </c>
      <c r="K748" s="36">
        <v>620</v>
      </c>
      <c r="L748" s="36">
        <v>87</v>
      </c>
      <c r="M748" s="36">
        <v>111.4</v>
      </c>
    </row>
    <row r="749" spans="2:13" x14ac:dyDescent="0.25">
      <c r="B749" s="49" t="s">
        <v>3275</v>
      </c>
      <c r="C749" s="34">
        <v>10</v>
      </c>
      <c r="D749" s="34">
        <v>10</v>
      </c>
      <c r="E749" s="34">
        <v>3.1</v>
      </c>
      <c r="F749" s="34">
        <v>3.1</v>
      </c>
      <c r="G749" s="34">
        <v>0</v>
      </c>
      <c r="H749" s="34">
        <v>0</v>
      </c>
      <c r="I749" s="35" t="s">
        <v>8</v>
      </c>
      <c r="J749" s="35" t="s">
        <v>910</v>
      </c>
      <c r="K749" s="37">
        <v>590</v>
      </c>
      <c r="L749" s="37">
        <v>87</v>
      </c>
      <c r="M749" s="37">
        <v>103.6</v>
      </c>
    </row>
    <row r="750" spans="2:13" x14ac:dyDescent="0.25">
      <c r="B750" s="48" t="s">
        <v>1054</v>
      </c>
      <c r="C750" s="32">
        <v>10</v>
      </c>
      <c r="D750" s="32">
        <v>10</v>
      </c>
      <c r="E750" s="32">
        <v>3.1</v>
      </c>
      <c r="F750" s="32">
        <v>3.1</v>
      </c>
      <c r="G750" s="32">
        <v>0</v>
      </c>
      <c r="H750" s="32">
        <v>0</v>
      </c>
      <c r="I750" s="33" t="s">
        <v>1333</v>
      </c>
      <c r="J750" s="33" t="s">
        <v>900</v>
      </c>
      <c r="K750" s="36">
        <v>625</v>
      </c>
      <c r="L750" s="36">
        <v>87</v>
      </c>
      <c r="M750" s="36">
        <v>124.6</v>
      </c>
    </row>
    <row r="751" spans="2:13" x14ac:dyDescent="0.25">
      <c r="B751" s="49" t="s">
        <v>3274</v>
      </c>
      <c r="C751" s="34">
        <v>10</v>
      </c>
      <c r="D751" s="34">
        <v>10</v>
      </c>
      <c r="E751" s="34">
        <v>3.1</v>
      </c>
      <c r="F751" s="34">
        <v>3.1</v>
      </c>
      <c r="G751" s="34">
        <v>0</v>
      </c>
      <c r="H751" s="34">
        <v>0</v>
      </c>
      <c r="I751" s="35" t="s">
        <v>1293</v>
      </c>
      <c r="J751" s="35" t="s">
        <v>910</v>
      </c>
      <c r="K751" s="37">
        <v>595</v>
      </c>
      <c r="L751" s="37">
        <v>87</v>
      </c>
      <c r="M751" s="37">
        <v>105.6</v>
      </c>
    </row>
    <row r="752" spans="2:13" x14ac:dyDescent="0.25">
      <c r="B752" s="48" t="s">
        <v>4143</v>
      </c>
      <c r="C752" s="32">
        <v>10</v>
      </c>
      <c r="D752" s="32">
        <v>10</v>
      </c>
      <c r="E752" s="32">
        <v>3.1</v>
      </c>
      <c r="F752" s="32">
        <v>3.1</v>
      </c>
      <c r="G752" s="32">
        <v>0</v>
      </c>
      <c r="H752" s="32">
        <v>0</v>
      </c>
      <c r="I752" s="33" t="s">
        <v>1221</v>
      </c>
      <c r="J752" s="33" t="s">
        <v>910</v>
      </c>
      <c r="K752" s="36">
        <v>630</v>
      </c>
      <c r="L752" s="36">
        <v>87</v>
      </c>
      <c r="M752" s="36">
        <v>132.1</v>
      </c>
    </row>
    <row r="753" spans="2:13" x14ac:dyDescent="0.25">
      <c r="B753" s="49" t="s">
        <v>3273</v>
      </c>
      <c r="C753" s="34">
        <v>12</v>
      </c>
      <c r="D753" s="34">
        <v>12</v>
      </c>
      <c r="E753" s="34">
        <v>2</v>
      </c>
      <c r="F753" s="34">
        <v>2</v>
      </c>
      <c r="G753" s="34">
        <v>67</v>
      </c>
      <c r="H753" s="34">
        <v>0</v>
      </c>
      <c r="I753" s="35" t="s">
        <v>1298</v>
      </c>
      <c r="J753" s="35" t="s">
        <v>900</v>
      </c>
      <c r="K753" s="37">
        <v>245</v>
      </c>
      <c r="L753" s="37">
        <v>73</v>
      </c>
      <c r="M753" s="37">
        <v>59</v>
      </c>
    </row>
    <row r="754" spans="2:13" x14ac:dyDescent="0.25">
      <c r="B754" s="48" t="s">
        <v>3272</v>
      </c>
      <c r="C754" s="32">
        <v>12</v>
      </c>
      <c r="D754" s="32">
        <v>12</v>
      </c>
      <c r="E754" s="32">
        <v>2</v>
      </c>
      <c r="F754" s="32">
        <v>2</v>
      </c>
      <c r="G754" s="32">
        <v>67</v>
      </c>
      <c r="H754" s="32">
        <v>0</v>
      </c>
      <c r="I754" s="33" t="s">
        <v>1298</v>
      </c>
      <c r="J754" s="33" t="s">
        <v>900</v>
      </c>
      <c r="K754" s="36">
        <v>245</v>
      </c>
      <c r="L754" s="36">
        <v>73</v>
      </c>
      <c r="M754" s="36">
        <v>59</v>
      </c>
    </row>
    <row r="755" spans="2:13" x14ac:dyDescent="0.25">
      <c r="B755" s="49" t="s">
        <v>4263</v>
      </c>
      <c r="C755" s="34">
        <v>12</v>
      </c>
      <c r="D755" s="34">
        <v>12</v>
      </c>
      <c r="E755" s="34">
        <v>2</v>
      </c>
      <c r="F755" s="34">
        <v>2</v>
      </c>
      <c r="G755" s="34">
        <v>67</v>
      </c>
      <c r="H755" s="34">
        <v>0</v>
      </c>
      <c r="I755" s="35" t="s">
        <v>1286</v>
      </c>
      <c r="J755" s="35" t="s">
        <v>900</v>
      </c>
      <c r="K755" s="37">
        <v>260</v>
      </c>
      <c r="L755" s="37">
        <v>73</v>
      </c>
      <c r="M755" s="37">
        <v>59</v>
      </c>
    </row>
    <row r="756" spans="2:13" x14ac:dyDescent="0.25">
      <c r="B756" s="48" t="s">
        <v>4142</v>
      </c>
      <c r="C756" s="32">
        <v>12</v>
      </c>
      <c r="D756" s="32">
        <v>12</v>
      </c>
      <c r="E756" s="32">
        <v>2</v>
      </c>
      <c r="F756" s="32">
        <v>2</v>
      </c>
      <c r="G756" s="32">
        <v>67</v>
      </c>
      <c r="H756" s="32">
        <v>0</v>
      </c>
      <c r="I756" s="33" t="s">
        <v>1286</v>
      </c>
      <c r="J756" s="33" t="s">
        <v>900</v>
      </c>
      <c r="K756" s="36">
        <v>260</v>
      </c>
      <c r="L756" s="36">
        <v>73</v>
      </c>
      <c r="M756" s="36">
        <v>59</v>
      </c>
    </row>
    <row r="757" spans="2:13" x14ac:dyDescent="0.25">
      <c r="B757" s="49" t="s">
        <v>4347</v>
      </c>
      <c r="C757" s="34">
        <v>12</v>
      </c>
      <c r="D757" s="34">
        <v>12</v>
      </c>
      <c r="E757" s="34">
        <v>2</v>
      </c>
      <c r="F757" s="34">
        <v>2</v>
      </c>
      <c r="G757" s="34">
        <v>67</v>
      </c>
      <c r="H757" s="34">
        <v>0</v>
      </c>
      <c r="I757" s="35" t="s">
        <v>1227</v>
      </c>
      <c r="J757" s="35" t="s">
        <v>1228</v>
      </c>
      <c r="K757" s="37">
        <v>255</v>
      </c>
      <c r="L757" s="37">
        <v>73</v>
      </c>
      <c r="M757" s="37">
        <v>58</v>
      </c>
    </row>
    <row r="758" spans="2:13" x14ac:dyDescent="0.25">
      <c r="B758" s="48" t="s">
        <v>4141</v>
      </c>
      <c r="C758" s="32">
        <v>12</v>
      </c>
      <c r="D758" s="32">
        <v>12</v>
      </c>
      <c r="E758" s="32">
        <v>2</v>
      </c>
      <c r="F758" s="32">
        <v>2</v>
      </c>
      <c r="G758" s="32">
        <v>67</v>
      </c>
      <c r="H758" s="32">
        <v>0</v>
      </c>
      <c r="I758" s="33" t="s">
        <v>1227</v>
      </c>
      <c r="J758" s="33" t="s">
        <v>1228</v>
      </c>
      <c r="K758" s="36">
        <v>255</v>
      </c>
      <c r="L758" s="36">
        <v>73</v>
      </c>
      <c r="M758" s="36">
        <v>58</v>
      </c>
    </row>
    <row r="759" spans="2:13" x14ac:dyDescent="0.25">
      <c r="B759" s="49" t="s">
        <v>2981</v>
      </c>
      <c r="C759" s="34">
        <v>12</v>
      </c>
      <c r="D759" s="34">
        <v>12</v>
      </c>
      <c r="E759" s="34">
        <v>2</v>
      </c>
      <c r="F759" s="34">
        <v>2</v>
      </c>
      <c r="G759" s="34">
        <v>67</v>
      </c>
      <c r="H759" s="34">
        <v>0</v>
      </c>
      <c r="I759" s="35" t="s">
        <v>1333</v>
      </c>
      <c r="J759" s="35" t="s">
        <v>900</v>
      </c>
      <c r="K759" s="37">
        <v>235</v>
      </c>
      <c r="L759" s="37">
        <v>73</v>
      </c>
      <c r="M759" s="37">
        <v>52</v>
      </c>
    </row>
    <row r="760" spans="2:13" x14ac:dyDescent="0.25">
      <c r="B760" s="48" t="s">
        <v>2755</v>
      </c>
      <c r="C760" s="32">
        <v>12</v>
      </c>
      <c r="D760" s="32">
        <v>12</v>
      </c>
      <c r="E760" s="32">
        <v>2</v>
      </c>
      <c r="F760" s="32">
        <v>2</v>
      </c>
      <c r="G760" s="32">
        <v>67</v>
      </c>
      <c r="H760" s="32">
        <v>0</v>
      </c>
      <c r="I760" s="33" t="s">
        <v>1333</v>
      </c>
      <c r="J760" s="33" t="s">
        <v>900</v>
      </c>
      <c r="K760" s="36">
        <v>235</v>
      </c>
      <c r="L760" s="36">
        <v>73</v>
      </c>
      <c r="M760" s="36">
        <v>52</v>
      </c>
    </row>
    <row r="761" spans="2:13" x14ac:dyDescent="0.25">
      <c r="B761" s="49" t="s">
        <v>4460</v>
      </c>
      <c r="C761" s="34">
        <v>12</v>
      </c>
      <c r="D761" s="34">
        <v>12</v>
      </c>
      <c r="E761" s="34">
        <v>2</v>
      </c>
      <c r="F761" s="34">
        <v>2</v>
      </c>
      <c r="G761" s="34">
        <v>67</v>
      </c>
      <c r="H761" s="34">
        <v>0</v>
      </c>
      <c r="I761" s="35" t="s">
        <v>1221</v>
      </c>
      <c r="J761" s="35" t="s">
        <v>900</v>
      </c>
      <c r="K761" s="37">
        <v>245</v>
      </c>
      <c r="L761" s="37">
        <v>73</v>
      </c>
      <c r="M761" s="37">
        <v>59</v>
      </c>
    </row>
    <row r="762" spans="2:13" x14ac:dyDescent="0.25">
      <c r="B762" s="48" t="s">
        <v>4434</v>
      </c>
      <c r="C762" s="32">
        <v>12</v>
      </c>
      <c r="D762" s="32">
        <v>12</v>
      </c>
      <c r="E762" s="32">
        <v>2</v>
      </c>
      <c r="F762" s="32">
        <v>2</v>
      </c>
      <c r="G762" s="32">
        <v>67</v>
      </c>
      <c r="H762" s="32">
        <v>0</v>
      </c>
      <c r="I762" s="33" t="s">
        <v>1221</v>
      </c>
      <c r="J762" s="33" t="s">
        <v>900</v>
      </c>
      <c r="K762" s="36">
        <v>245</v>
      </c>
      <c r="L762" s="36">
        <v>73</v>
      </c>
      <c r="M762" s="36">
        <v>59</v>
      </c>
    </row>
    <row r="763" spans="2:13" x14ac:dyDescent="0.25">
      <c r="B763" s="49" t="s">
        <v>1133</v>
      </c>
      <c r="C763" s="34">
        <v>12</v>
      </c>
      <c r="D763" s="34">
        <v>12</v>
      </c>
      <c r="E763" s="34">
        <v>2.2000000000000002</v>
      </c>
      <c r="F763" s="34">
        <v>2.2000000000000002</v>
      </c>
      <c r="G763" s="34">
        <v>67</v>
      </c>
      <c r="H763" s="34">
        <v>0</v>
      </c>
      <c r="I763" s="35" t="s">
        <v>1298</v>
      </c>
      <c r="J763" s="35" t="s">
        <v>900</v>
      </c>
      <c r="K763" s="37">
        <v>250</v>
      </c>
      <c r="L763" s="37">
        <v>73.599999999999994</v>
      </c>
      <c r="M763" s="37">
        <v>59</v>
      </c>
    </row>
    <row r="764" spans="2:13" x14ac:dyDescent="0.25">
      <c r="B764" s="48" t="s">
        <v>1135</v>
      </c>
      <c r="C764" s="32">
        <v>12</v>
      </c>
      <c r="D764" s="32">
        <v>12</v>
      </c>
      <c r="E764" s="32">
        <v>2.2000000000000002</v>
      </c>
      <c r="F764" s="32">
        <v>2.2000000000000002</v>
      </c>
      <c r="G764" s="32">
        <v>67</v>
      </c>
      <c r="H764" s="32">
        <v>0</v>
      </c>
      <c r="I764" s="33" t="s">
        <v>1286</v>
      </c>
      <c r="J764" s="33" t="s">
        <v>900</v>
      </c>
      <c r="K764" s="36">
        <v>265</v>
      </c>
      <c r="L764" s="36">
        <v>73.599999999999994</v>
      </c>
      <c r="M764" s="36">
        <v>59.4</v>
      </c>
    </row>
    <row r="765" spans="2:13" x14ac:dyDescent="0.25">
      <c r="B765" s="49" t="s">
        <v>1134</v>
      </c>
      <c r="C765" s="34">
        <v>12</v>
      </c>
      <c r="D765" s="34">
        <v>12</v>
      </c>
      <c r="E765" s="34">
        <v>2.2000000000000002</v>
      </c>
      <c r="F765" s="34">
        <v>2.2000000000000002</v>
      </c>
      <c r="G765" s="34">
        <v>67</v>
      </c>
      <c r="H765" s="34">
        <v>0</v>
      </c>
      <c r="I765" s="35" t="s">
        <v>1227</v>
      </c>
      <c r="J765" s="35" t="s">
        <v>1228</v>
      </c>
      <c r="K765" s="37">
        <v>260</v>
      </c>
      <c r="L765" s="37">
        <v>73.599999999999994</v>
      </c>
      <c r="M765" s="37">
        <v>57.9</v>
      </c>
    </row>
    <row r="766" spans="2:13" x14ac:dyDescent="0.25">
      <c r="B766" s="48" t="s">
        <v>1136</v>
      </c>
      <c r="C766" s="32">
        <v>12</v>
      </c>
      <c r="D766" s="32">
        <v>12</v>
      </c>
      <c r="E766" s="32">
        <v>2.2000000000000002</v>
      </c>
      <c r="F766" s="32">
        <v>2.2000000000000002</v>
      </c>
      <c r="G766" s="32">
        <v>67</v>
      </c>
      <c r="H766" s="32">
        <v>0</v>
      </c>
      <c r="I766" s="33" t="s">
        <v>1333</v>
      </c>
      <c r="J766" s="33" t="s">
        <v>900</v>
      </c>
      <c r="K766" s="36">
        <v>240</v>
      </c>
      <c r="L766" s="36">
        <v>73.599999999999994</v>
      </c>
      <c r="M766" s="36">
        <v>51.6</v>
      </c>
    </row>
    <row r="767" spans="2:13" x14ac:dyDescent="0.25">
      <c r="B767" s="49" t="s">
        <v>1137</v>
      </c>
      <c r="C767" s="34">
        <v>12</v>
      </c>
      <c r="D767" s="34">
        <v>12</v>
      </c>
      <c r="E767" s="34">
        <v>2.2000000000000002</v>
      </c>
      <c r="F767" s="34">
        <v>2.2000000000000002</v>
      </c>
      <c r="G767" s="34">
        <v>67</v>
      </c>
      <c r="H767" s="34">
        <v>0</v>
      </c>
      <c r="I767" s="35" t="s">
        <v>1221</v>
      </c>
      <c r="J767" s="35" t="s">
        <v>900</v>
      </c>
      <c r="K767" s="37">
        <v>250</v>
      </c>
      <c r="L767" s="37">
        <v>73.599999999999994</v>
      </c>
      <c r="M767" s="37">
        <v>59.1</v>
      </c>
    </row>
    <row r="768" spans="2:13" x14ac:dyDescent="0.25">
      <c r="B768" s="48" t="s">
        <v>3271</v>
      </c>
      <c r="C768" s="32">
        <v>12</v>
      </c>
      <c r="D768" s="32">
        <v>12</v>
      </c>
      <c r="E768" s="32">
        <v>2.8</v>
      </c>
      <c r="F768" s="32">
        <v>2.8</v>
      </c>
      <c r="G768" s="32">
        <v>0</v>
      </c>
      <c r="H768" s="32">
        <v>0</v>
      </c>
      <c r="I768" s="33" t="s">
        <v>1229</v>
      </c>
      <c r="J768" s="33" t="s">
        <v>910</v>
      </c>
      <c r="K768" s="36">
        <v>515</v>
      </c>
      <c r="L768" s="36">
        <v>77.3</v>
      </c>
      <c r="M768" s="36">
        <v>72.7</v>
      </c>
    </row>
    <row r="769" spans="2:13" x14ac:dyDescent="0.25">
      <c r="B769" s="49" t="s">
        <v>3270</v>
      </c>
      <c r="C769" s="34">
        <v>12</v>
      </c>
      <c r="D769" s="34">
        <v>12</v>
      </c>
      <c r="E769" s="34">
        <v>2.8</v>
      </c>
      <c r="F769" s="34">
        <v>2.8</v>
      </c>
      <c r="G769" s="34">
        <v>0</v>
      </c>
      <c r="H769" s="34">
        <v>0</v>
      </c>
      <c r="I769" s="35" t="s">
        <v>1298</v>
      </c>
      <c r="J769" s="35" t="s">
        <v>900</v>
      </c>
      <c r="K769" s="37">
        <v>525</v>
      </c>
      <c r="L769" s="37">
        <v>77.3</v>
      </c>
      <c r="M769" s="37">
        <v>98.6</v>
      </c>
    </row>
    <row r="770" spans="2:13" x14ac:dyDescent="0.25">
      <c r="B770" s="48" t="s">
        <v>3269</v>
      </c>
      <c r="C770" s="32">
        <v>12</v>
      </c>
      <c r="D770" s="32">
        <v>12</v>
      </c>
      <c r="E770" s="32">
        <v>2.8</v>
      </c>
      <c r="F770" s="32">
        <v>2.8</v>
      </c>
      <c r="G770" s="32">
        <v>0</v>
      </c>
      <c r="H770" s="32">
        <v>0</v>
      </c>
      <c r="I770" s="33" t="s">
        <v>1228</v>
      </c>
      <c r="J770" s="33" t="s">
        <v>1228</v>
      </c>
      <c r="K770" s="36">
        <v>530</v>
      </c>
      <c r="L770" s="36">
        <v>77.3</v>
      </c>
      <c r="M770" s="36">
        <v>78</v>
      </c>
    </row>
    <row r="771" spans="2:13" x14ac:dyDescent="0.25">
      <c r="B771" s="49" t="s">
        <v>3268</v>
      </c>
      <c r="C771" s="34">
        <v>12</v>
      </c>
      <c r="D771" s="34">
        <v>12</v>
      </c>
      <c r="E771" s="34">
        <v>2.8</v>
      </c>
      <c r="F771" s="34">
        <v>2.8</v>
      </c>
      <c r="G771" s="34">
        <v>0</v>
      </c>
      <c r="H771" s="34">
        <v>0</v>
      </c>
      <c r="I771" s="35" t="s">
        <v>1286</v>
      </c>
      <c r="J771" s="35" t="s">
        <v>900</v>
      </c>
      <c r="K771" s="37">
        <v>565</v>
      </c>
      <c r="L771" s="37">
        <v>77.3</v>
      </c>
      <c r="M771" s="37">
        <v>99</v>
      </c>
    </row>
    <row r="772" spans="2:13" x14ac:dyDescent="0.25">
      <c r="B772" s="48" t="s">
        <v>3267</v>
      </c>
      <c r="C772" s="32">
        <v>12</v>
      </c>
      <c r="D772" s="32">
        <v>12</v>
      </c>
      <c r="E772" s="32">
        <v>2.8</v>
      </c>
      <c r="F772" s="32">
        <v>2.8</v>
      </c>
      <c r="G772" s="32">
        <v>0</v>
      </c>
      <c r="H772" s="32">
        <v>0</v>
      </c>
      <c r="I772" s="33" t="s">
        <v>1227</v>
      </c>
      <c r="J772" s="33" t="s">
        <v>1228</v>
      </c>
      <c r="K772" s="36">
        <v>520</v>
      </c>
      <c r="L772" s="36">
        <v>77.3</v>
      </c>
      <c r="M772" s="36">
        <v>97.5</v>
      </c>
    </row>
    <row r="773" spans="2:13" x14ac:dyDescent="0.25">
      <c r="B773" s="49" t="s">
        <v>2980</v>
      </c>
      <c r="C773" s="34">
        <v>12</v>
      </c>
      <c r="D773" s="34">
        <v>12</v>
      </c>
      <c r="E773" s="34">
        <v>2.8</v>
      </c>
      <c r="F773" s="34">
        <v>2.8</v>
      </c>
      <c r="G773" s="34">
        <v>0</v>
      </c>
      <c r="H773" s="34">
        <v>0</v>
      </c>
      <c r="I773" s="35" t="s">
        <v>8</v>
      </c>
      <c r="J773" s="35" t="s">
        <v>910</v>
      </c>
      <c r="K773" s="37">
        <v>500</v>
      </c>
      <c r="L773" s="37">
        <v>77.3</v>
      </c>
      <c r="M773" s="37">
        <v>70.2</v>
      </c>
    </row>
    <row r="774" spans="2:13" x14ac:dyDescent="0.25">
      <c r="B774" s="48" t="s">
        <v>3266</v>
      </c>
      <c r="C774" s="32">
        <v>12</v>
      </c>
      <c r="D774" s="32">
        <v>12</v>
      </c>
      <c r="E774" s="32">
        <v>2.8</v>
      </c>
      <c r="F774" s="32">
        <v>2.8</v>
      </c>
      <c r="G774" s="32">
        <v>0</v>
      </c>
      <c r="H774" s="32">
        <v>0</v>
      </c>
      <c r="I774" s="33" t="s">
        <v>1331</v>
      </c>
      <c r="J774" s="33" t="s">
        <v>910</v>
      </c>
      <c r="K774" s="36">
        <v>505</v>
      </c>
      <c r="L774" s="36">
        <v>77.3</v>
      </c>
      <c r="M774" s="36">
        <v>71.2</v>
      </c>
    </row>
    <row r="775" spans="2:13" x14ac:dyDescent="0.25">
      <c r="B775" s="49" t="s">
        <v>3265</v>
      </c>
      <c r="C775" s="34">
        <v>12</v>
      </c>
      <c r="D775" s="34">
        <v>12</v>
      </c>
      <c r="E775" s="34">
        <v>2.8</v>
      </c>
      <c r="F775" s="34">
        <v>2.8</v>
      </c>
      <c r="G775" s="34">
        <v>0</v>
      </c>
      <c r="H775" s="34">
        <v>0</v>
      </c>
      <c r="I775" s="35" t="s">
        <v>1333</v>
      </c>
      <c r="J775" s="35" t="s">
        <v>900</v>
      </c>
      <c r="K775" s="37">
        <v>515</v>
      </c>
      <c r="L775" s="37">
        <v>77.3</v>
      </c>
      <c r="M775" s="37">
        <v>91.2</v>
      </c>
    </row>
    <row r="776" spans="2:13" x14ac:dyDescent="0.25">
      <c r="B776" s="48" t="s">
        <v>2979</v>
      </c>
      <c r="C776" s="32">
        <v>12</v>
      </c>
      <c r="D776" s="32">
        <v>12</v>
      </c>
      <c r="E776" s="32">
        <v>2.8</v>
      </c>
      <c r="F776" s="32">
        <v>2.8</v>
      </c>
      <c r="G776" s="32">
        <v>0</v>
      </c>
      <c r="H776" s="32">
        <v>0</v>
      </c>
      <c r="I776" s="33" t="s">
        <v>1293</v>
      </c>
      <c r="J776" s="33" t="s">
        <v>910</v>
      </c>
      <c r="K776" s="36">
        <v>510</v>
      </c>
      <c r="L776" s="36">
        <v>77.3</v>
      </c>
      <c r="M776" s="36">
        <v>72.2</v>
      </c>
    </row>
    <row r="777" spans="2:13" x14ac:dyDescent="0.25">
      <c r="B777" s="49" t="s">
        <v>2978</v>
      </c>
      <c r="C777" s="34">
        <v>12</v>
      </c>
      <c r="D777" s="34">
        <v>12</v>
      </c>
      <c r="E777" s="34">
        <v>2.8</v>
      </c>
      <c r="F777" s="34">
        <v>2.8</v>
      </c>
      <c r="G777" s="34">
        <v>0</v>
      </c>
      <c r="H777" s="34">
        <v>0</v>
      </c>
      <c r="I777" s="35" t="s">
        <v>1221</v>
      </c>
      <c r="J777" s="35" t="s">
        <v>910</v>
      </c>
      <c r="K777" s="37">
        <v>525</v>
      </c>
      <c r="L777" s="37">
        <v>77.3</v>
      </c>
      <c r="M777" s="37">
        <v>98.7</v>
      </c>
    </row>
    <row r="778" spans="2:13" x14ac:dyDescent="0.25">
      <c r="B778" s="48" t="s">
        <v>3903</v>
      </c>
      <c r="C778" s="32">
        <v>12</v>
      </c>
      <c r="D778" s="32">
        <v>12</v>
      </c>
      <c r="E778" s="32">
        <v>3.1</v>
      </c>
      <c r="F778" s="32">
        <v>3.1</v>
      </c>
      <c r="G778" s="32">
        <v>0</v>
      </c>
      <c r="H778" s="32">
        <v>0</v>
      </c>
      <c r="I778" s="33" t="s">
        <v>1229</v>
      </c>
      <c r="J778" s="33" t="s">
        <v>910</v>
      </c>
      <c r="K778" s="36">
        <v>525</v>
      </c>
      <c r="L778" s="36">
        <v>81.599999999999994</v>
      </c>
      <c r="M778" s="36">
        <v>72.7</v>
      </c>
    </row>
    <row r="779" spans="2:13" x14ac:dyDescent="0.25">
      <c r="B779" s="49" t="s">
        <v>3902</v>
      </c>
      <c r="C779" s="34">
        <v>12</v>
      </c>
      <c r="D779" s="34">
        <v>12</v>
      </c>
      <c r="E779" s="34">
        <v>3.1</v>
      </c>
      <c r="F779" s="34">
        <v>3.1</v>
      </c>
      <c r="G779" s="34">
        <v>0</v>
      </c>
      <c r="H779" s="34">
        <v>0</v>
      </c>
      <c r="I779" s="35" t="s">
        <v>1298</v>
      </c>
      <c r="J779" s="35" t="s">
        <v>900</v>
      </c>
      <c r="K779" s="37">
        <v>535</v>
      </c>
      <c r="L779" s="37">
        <v>81.599999999999994</v>
      </c>
      <c r="M779" s="37">
        <v>98.6</v>
      </c>
    </row>
    <row r="780" spans="2:13" x14ac:dyDescent="0.25">
      <c r="B780" s="48" t="s">
        <v>3901</v>
      </c>
      <c r="C780" s="32">
        <v>12</v>
      </c>
      <c r="D780" s="32">
        <v>12</v>
      </c>
      <c r="E780" s="32">
        <v>3.1</v>
      </c>
      <c r="F780" s="32">
        <v>3.1</v>
      </c>
      <c r="G780" s="32">
        <v>0</v>
      </c>
      <c r="H780" s="32">
        <v>0</v>
      </c>
      <c r="I780" s="33" t="s">
        <v>1228</v>
      </c>
      <c r="J780" s="33" t="s">
        <v>1228</v>
      </c>
      <c r="K780" s="36">
        <v>540</v>
      </c>
      <c r="L780" s="36">
        <v>81.599999999999994</v>
      </c>
      <c r="M780" s="36">
        <v>78</v>
      </c>
    </row>
    <row r="781" spans="2:13" x14ac:dyDescent="0.25">
      <c r="B781" s="49" t="s">
        <v>3900</v>
      </c>
      <c r="C781" s="34">
        <v>12</v>
      </c>
      <c r="D781" s="34">
        <v>12</v>
      </c>
      <c r="E781" s="34">
        <v>3.1</v>
      </c>
      <c r="F781" s="34">
        <v>3.1</v>
      </c>
      <c r="G781" s="34">
        <v>0</v>
      </c>
      <c r="H781" s="34">
        <v>0</v>
      </c>
      <c r="I781" s="35" t="s">
        <v>1286</v>
      </c>
      <c r="J781" s="35" t="s">
        <v>900</v>
      </c>
      <c r="K781" s="37">
        <v>575</v>
      </c>
      <c r="L781" s="37">
        <v>81.599999999999994</v>
      </c>
      <c r="M781" s="37">
        <v>99</v>
      </c>
    </row>
    <row r="782" spans="2:13" x14ac:dyDescent="0.25">
      <c r="B782" s="48" t="s">
        <v>1032</v>
      </c>
      <c r="C782" s="32">
        <v>12</v>
      </c>
      <c r="D782" s="32">
        <v>12</v>
      </c>
      <c r="E782" s="32">
        <v>3.1</v>
      </c>
      <c r="F782" s="32">
        <v>3.1</v>
      </c>
      <c r="G782" s="32">
        <v>0</v>
      </c>
      <c r="H782" s="32">
        <v>0</v>
      </c>
      <c r="I782" s="33" t="s">
        <v>1227</v>
      </c>
      <c r="J782" s="33" t="s">
        <v>1228</v>
      </c>
      <c r="K782" s="36">
        <v>530</v>
      </c>
      <c r="L782" s="36">
        <v>81.599999999999994</v>
      </c>
      <c r="M782" s="36">
        <v>97.5</v>
      </c>
    </row>
    <row r="783" spans="2:13" x14ac:dyDescent="0.25">
      <c r="B783" s="49" t="s">
        <v>1031</v>
      </c>
      <c r="C783" s="34">
        <v>12</v>
      </c>
      <c r="D783" s="34">
        <v>12</v>
      </c>
      <c r="E783" s="34">
        <v>3.1</v>
      </c>
      <c r="F783" s="34">
        <v>3.1</v>
      </c>
      <c r="G783" s="34">
        <v>0</v>
      </c>
      <c r="H783" s="34">
        <v>0</v>
      </c>
      <c r="I783" s="35" t="s">
        <v>8</v>
      </c>
      <c r="J783" s="35" t="s">
        <v>910</v>
      </c>
      <c r="K783" s="37">
        <v>510</v>
      </c>
      <c r="L783" s="37">
        <v>81.599999999999994</v>
      </c>
      <c r="M783" s="37">
        <v>70.2</v>
      </c>
    </row>
    <row r="784" spans="2:13" x14ac:dyDescent="0.25">
      <c r="B784" s="48" t="s">
        <v>3899</v>
      </c>
      <c r="C784" s="32">
        <v>12</v>
      </c>
      <c r="D784" s="32">
        <v>12</v>
      </c>
      <c r="E784" s="32">
        <v>3.1</v>
      </c>
      <c r="F784" s="32">
        <v>3.1</v>
      </c>
      <c r="G784" s="32">
        <v>0</v>
      </c>
      <c r="H784" s="32">
        <v>0</v>
      </c>
      <c r="I784" s="33" t="s">
        <v>1331</v>
      </c>
      <c r="J784" s="33" t="s">
        <v>910</v>
      </c>
      <c r="K784" s="36">
        <v>515</v>
      </c>
      <c r="L784" s="36">
        <v>81.599999999999994</v>
      </c>
      <c r="M784" s="36">
        <v>71.2</v>
      </c>
    </row>
    <row r="785" spans="2:13" x14ac:dyDescent="0.25">
      <c r="B785" s="49" t="s">
        <v>3898</v>
      </c>
      <c r="C785" s="34">
        <v>12</v>
      </c>
      <c r="D785" s="34">
        <v>12</v>
      </c>
      <c r="E785" s="34">
        <v>3.1</v>
      </c>
      <c r="F785" s="34">
        <v>3.1</v>
      </c>
      <c r="G785" s="34">
        <v>0</v>
      </c>
      <c r="H785" s="34">
        <v>0</v>
      </c>
      <c r="I785" s="35" t="s">
        <v>1333</v>
      </c>
      <c r="J785" s="35" t="s">
        <v>900</v>
      </c>
      <c r="K785" s="37">
        <v>525</v>
      </c>
      <c r="L785" s="37">
        <v>81.599999999999994</v>
      </c>
      <c r="M785" s="37">
        <v>91.2</v>
      </c>
    </row>
    <row r="786" spans="2:13" x14ac:dyDescent="0.25">
      <c r="B786" s="48" t="s">
        <v>3897</v>
      </c>
      <c r="C786" s="32">
        <v>12</v>
      </c>
      <c r="D786" s="32">
        <v>12</v>
      </c>
      <c r="E786" s="32">
        <v>3.1</v>
      </c>
      <c r="F786" s="32">
        <v>3.1</v>
      </c>
      <c r="G786" s="32">
        <v>0</v>
      </c>
      <c r="H786" s="32">
        <v>0</v>
      </c>
      <c r="I786" s="33" t="s">
        <v>1293</v>
      </c>
      <c r="J786" s="33" t="s">
        <v>910</v>
      </c>
      <c r="K786" s="36">
        <v>520</v>
      </c>
      <c r="L786" s="36">
        <v>81.599999999999994</v>
      </c>
      <c r="M786" s="36">
        <v>72.2</v>
      </c>
    </row>
    <row r="787" spans="2:13" x14ac:dyDescent="0.25">
      <c r="B787" s="49" t="s">
        <v>1030</v>
      </c>
      <c r="C787" s="34">
        <v>12</v>
      </c>
      <c r="D787" s="34">
        <v>12</v>
      </c>
      <c r="E787" s="34">
        <v>3.1</v>
      </c>
      <c r="F787" s="34">
        <v>3.1</v>
      </c>
      <c r="G787" s="34">
        <v>0</v>
      </c>
      <c r="H787" s="34">
        <v>0</v>
      </c>
      <c r="I787" s="35" t="s">
        <v>1221</v>
      </c>
      <c r="J787" s="35" t="s">
        <v>910</v>
      </c>
      <c r="K787" s="37">
        <v>535</v>
      </c>
      <c r="L787" s="37">
        <v>81.599999999999994</v>
      </c>
      <c r="M787" s="37">
        <v>98.7</v>
      </c>
    </row>
    <row r="788" spans="2:13" x14ac:dyDescent="0.25">
      <c r="B788" s="48" t="s">
        <v>3861</v>
      </c>
      <c r="C788" s="32">
        <v>135</v>
      </c>
      <c r="D788" s="32">
        <v>135</v>
      </c>
      <c r="E788" s="32">
        <v>2</v>
      </c>
      <c r="F788" s="32">
        <v>2</v>
      </c>
      <c r="G788" s="32">
        <v>77</v>
      </c>
      <c r="H788" s="32">
        <v>0</v>
      </c>
      <c r="I788" s="33" t="s">
        <v>1229</v>
      </c>
      <c r="J788" s="33" t="s">
        <v>910</v>
      </c>
      <c r="K788" s="36">
        <v>830</v>
      </c>
      <c r="L788" s="36">
        <v>82</v>
      </c>
      <c r="M788" s="36">
        <v>122</v>
      </c>
    </row>
    <row r="789" spans="2:13" x14ac:dyDescent="0.25">
      <c r="B789" s="49" t="s">
        <v>3860</v>
      </c>
      <c r="C789" s="34">
        <v>135</v>
      </c>
      <c r="D789" s="34">
        <v>135</v>
      </c>
      <c r="E789" s="34">
        <v>2</v>
      </c>
      <c r="F789" s="34">
        <v>2</v>
      </c>
      <c r="G789" s="34">
        <v>77</v>
      </c>
      <c r="H789" s="34">
        <v>0</v>
      </c>
      <c r="I789" s="35" t="s">
        <v>1298</v>
      </c>
      <c r="J789" s="35" t="s">
        <v>900</v>
      </c>
      <c r="K789" s="37">
        <v>840</v>
      </c>
      <c r="L789" s="37">
        <v>82</v>
      </c>
      <c r="M789" s="37">
        <v>148</v>
      </c>
    </row>
    <row r="790" spans="2:13" x14ac:dyDescent="0.25">
      <c r="B790" s="48" t="s">
        <v>3859</v>
      </c>
      <c r="C790" s="32">
        <v>135</v>
      </c>
      <c r="D790" s="32">
        <v>135</v>
      </c>
      <c r="E790" s="32">
        <v>2</v>
      </c>
      <c r="F790" s="32">
        <v>2</v>
      </c>
      <c r="G790" s="32">
        <v>77</v>
      </c>
      <c r="H790" s="32">
        <v>0</v>
      </c>
      <c r="I790" s="33" t="s">
        <v>1228</v>
      </c>
      <c r="J790" s="33" t="s">
        <v>1228</v>
      </c>
      <c r="K790" s="36">
        <v>845</v>
      </c>
      <c r="L790" s="36">
        <v>82</v>
      </c>
      <c r="M790" s="36">
        <v>127</v>
      </c>
    </row>
    <row r="791" spans="2:13" x14ac:dyDescent="0.25">
      <c r="B791" s="49" t="s">
        <v>3858</v>
      </c>
      <c r="C791" s="34">
        <v>135</v>
      </c>
      <c r="D791" s="34">
        <v>135</v>
      </c>
      <c r="E791" s="34">
        <v>2</v>
      </c>
      <c r="F791" s="34">
        <v>2</v>
      </c>
      <c r="G791" s="34">
        <v>77</v>
      </c>
      <c r="H791" s="34">
        <v>0</v>
      </c>
      <c r="I791" s="35" t="s">
        <v>1286</v>
      </c>
      <c r="J791" s="35" t="s">
        <v>900</v>
      </c>
      <c r="K791" s="37">
        <v>880</v>
      </c>
      <c r="L791" s="37">
        <v>82</v>
      </c>
      <c r="M791" s="37">
        <v>148</v>
      </c>
    </row>
    <row r="792" spans="2:13" x14ac:dyDescent="0.25">
      <c r="B792" s="48" t="s">
        <v>4133</v>
      </c>
      <c r="C792" s="32">
        <v>135</v>
      </c>
      <c r="D792" s="32">
        <v>135</v>
      </c>
      <c r="E792" s="32">
        <v>2</v>
      </c>
      <c r="F792" s="32">
        <v>2</v>
      </c>
      <c r="G792" s="32">
        <v>77</v>
      </c>
      <c r="H792" s="32">
        <v>0</v>
      </c>
      <c r="I792" s="33" t="s">
        <v>1227</v>
      </c>
      <c r="J792" s="33" t="s">
        <v>1228</v>
      </c>
      <c r="K792" s="36">
        <v>835</v>
      </c>
      <c r="L792" s="36">
        <v>82</v>
      </c>
      <c r="M792" s="36">
        <v>147</v>
      </c>
    </row>
    <row r="793" spans="2:13" x14ac:dyDescent="0.25">
      <c r="B793" s="49" t="s">
        <v>3857</v>
      </c>
      <c r="C793" s="34">
        <v>135</v>
      </c>
      <c r="D793" s="34">
        <v>135</v>
      </c>
      <c r="E793" s="34">
        <v>2</v>
      </c>
      <c r="F793" s="34">
        <v>2</v>
      </c>
      <c r="G793" s="34">
        <v>77</v>
      </c>
      <c r="H793" s="34">
        <v>0</v>
      </c>
      <c r="I793" s="35" t="s">
        <v>8</v>
      </c>
      <c r="J793" s="35" t="s">
        <v>910</v>
      </c>
      <c r="K793" s="37">
        <v>815</v>
      </c>
      <c r="L793" s="37">
        <v>82</v>
      </c>
      <c r="M793" s="37">
        <v>120</v>
      </c>
    </row>
    <row r="794" spans="2:13" x14ac:dyDescent="0.25">
      <c r="B794" s="48" t="s">
        <v>4255</v>
      </c>
      <c r="C794" s="32">
        <v>135</v>
      </c>
      <c r="D794" s="32">
        <v>135</v>
      </c>
      <c r="E794" s="32">
        <v>2</v>
      </c>
      <c r="F794" s="32">
        <v>2</v>
      </c>
      <c r="G794" s="32">
        <v>77</v>
      </c>
      <c r="H794" s="32">
        <v>0</v>
      </c>
      <c r="I794" s="33" t="s">
        <v>1331</v>
      </c>
      <c r="J794" s="33" t="s">
        <v>910</v>
      </c>
      <c r="K794" s="36">
        <v>820</v>
      </c>
      <c r="L794" s="36">
        <v>82</v>
      </c>
      <c r="M794" s="36">
        <v>121</v>
      </c>
    </row>
    <row r="795" spans="2:13" x14ac:dyDescent="0.25">
      <c r="B795" s="49" t="s">
        <v>3856</v>
      </c>
      <c r="C795" s="34">
        <v>135</v>
      </c>
      <c r="D795" s="34">
        <v>135</v>
      </c>
      <c r="E795" s="34">
        <v>2</v>
      </c>
      <c r="F795" s="34">
        <v>2</v>
      </c>
      <c r="G795" s="34">
        <v>77</v>
      </c>
      <c r="H795" s="34">
        <v>0</v>
      </c>
      <c r="I795" s="35" t="s">
        <v>1293</v>
      </c>
      <c r="J795" s="35" t="s">
        <v>910</v>
      </c>
      <c r="K795" s="37">
        <v>825</v>
      </c>
      <c r="L795" s="37">
        <v>82</v>
      </c>
      <c r="M795" s="37">
        <v>122</v>
      </c>
    </row>
    <row r="796" spans="2:13" x14ac:dyDescent="0.25">
      <c r="B796" s="48" t="s">
        <v>2733</v>
      </c>
      <c r="C796" s="32">
        <v>135</v>
      </c>
      <c r="D796" s="32">
        <v>135</v>
      </c>
      <c r="E796" s="32">
        <v>2</v>
      </c>
      <c r="F796" s="32">
        <v>2</v>
      </c>
      <c r="G796" s="32">
        <v>77</v>
      </c>
      <c r="H796" s="32">
        <v>0</v>
      </c>
      <c r="I796" s="33" t="s">
        <v>1221</v>
      </c>
      <c r="J796" s="33" t="s">
        <v>910</v>
      </c>
      <c r="K796" s="36">
        <v>840</v>
      </c>
      <c r="L796" s="36">
        <v>82</v>
      </c>
      <c r="M796" s="36">
        <v>148</v>
      </c>
    </row>
    <row r="797" spans="2:13" x14ac:dyDescent="0.25">
      <c r="B797" s="49" t="s">
        <v>1120</v>
      </c>
      <c r="C797" s="34">
        <v>135</v>
      </c>
      <c r="D797" s="34">
        <v>135</v>
      </c>
      <c r="E797" s="34">
        <v>2.2000000000000002</v>
      </c>
      <c r="F797" s="34">
        <v>2.2000000000000002</v>
      </c>
      <c r="G797" s="34">
        <v>77</v>
      </c>
      <c r="H797" s="34">
        <v>0</v>
      </c>
      <c r="I797" s="35" t="s">
        <v>1229</v>
      </c>
      <c r="J797" s="35" t="s">
        <v>910</v>
      </c>
      <c r="K797" s="37">
        <v>835</v>
      </c>
      <c r="L797" s="37">
        <v>82</v>
      </c>
      <c r="M797" s="37">
        <v>122</v>
      </c>
    </row>
    <row r="798" spans="2:13" x14ac:dyDescent="0.25">
      <c r="B798" s="48" t="s">
        <v>1126</v>
      </c>
      <c r="C798" s="32">
        <v>135</v>
      </c>
      <c r="D798" s="32">
        <v>135</v>
      </c>
      <c r="E798" s="32">
        <v>2.2000000000000002</v>
      </c>
      <c r="F798" s="32">
        <v>2.2000000000000002</v>
      </c>
      <c r="G798" s="32">
        <v>77</v>
      </c>
      <c r="H798" s="32">
        <v>0</v>
      </c>
      <c r="I798" s="33" t="s">
        <v>1228</v>
      </c>
      <c r="J798" s="33" t="s">
        <v>1228</v>
      </c>
      <c r="K798" s="36">
        <v>850</v>
      </c>
      <c r="L798" s="36">
        <v>82</v>
      </c>
      <c r="M798" s="36">
        <v>127</v>
      </c>
    </row>
    <row r="799" spans="2:13" x14ac:dyDescent="0.25">
      <c r="B799" s="49" t="s">
        <v>1128</v>
      </c>
      <c r="C799" s="34">
        <v>135</v>
      </c>
      <c r="D799" s="34">
        <v>135</v>
      </c>
      <c r="E799" s="34">
        <v>2.2000000000000002</v>
      </c>
      <c r="F799" s="34">
        <v>2.2000000000000002</v>
      </c>
      <c r="G799" s="34">
        <v>77</v>
      </c>
      <c r="H799" s="34">
        <v>0</v>
      </c>
      <c r="I799" s="35" t="s">
        <v>1286</v>
      </c>
      <c r="J799" s="35" t="s">
        <v>900</v>
      </c>
      <c r="K799" s="37">
        <v>885</v>
      </c>
      <c r="L799" s="37">
        <v>82</v>
      </c>
      <c r="M799" s="37">
        <v>148</v>
      </c>
    </row>
    <row r="800" spans="2:13" x14ac:dyDescent="0.25">
      <c r="B800" s="48" t="s">
        <v>1127</v>
      </c>
      <c r="C800" s="32">
        <v>135</v>
      </c>
      <c r="D800" s="32">
        <v>135</v>
      </c>
      <c r="E800" s="32">
        <v>2.2000000000000002</v>
      </c>
      <c r="F800" s="32">
        <v>2.2000000000000002</v>
      </c>
      <c r="G800" s="32">
        <v>77</v>
      </c>
      <c r="H800" s="32">
        <v>0</v>
      </c>
      <c r="I800" s="33" t="s">
        <v>1227</v>
      </c>
      <c r="J800" s="33" t="s">
        <v>1228</v>
      </c>
      <c r="K800" s="36">
        <v>840</v>
      </c>
      <c r="L800" s="36">
        <v>82</v>
      </c>
      <c r="M800" s="36">
        <v>147</v>
      </c>
    </row>
    <row r="801" spans="2:13" x14ac:dyDescent="0.25">
      <c r="B801" s="49" t="s">
        <v>1125</v>
      </c>
      <c r="C801" s="34">
        <v>135</v>
      </c>
      <c r="D801" s="34">
        <v>135</v>
      </c>
      <c r="E801" s="34">
        <v>2.2000000000000002</v>
      </c>
      <c r="F801" s="34">
        <v>2.2000000000000002</v>
      </c>
      <c r="G801" s="34">
        <v>77</v>
      </c>
      <c r="H801" s="34">
        <v>0</v>
      </c>
      <c r="I801" s="35" t="s">
        <v>8</v>
      </c>
      <c r="J801" s="35" t="s">
        <v>910</v>
      </c>
      <c r="K801" s="37">
        <v>820</v>
      </c>
      <c r="L801" s="37">
        <v>82</v>
      </c>
      <c r="M801" s="37">
        <v>120</v>
      </c>
    </row>
    <row r="802" spans="2:13" x14ac:dyDescent="0.25">
      <c r="B802" s="48" t="s">
        <v>1129</v>
      </c>
      <c r="C802" s="32">
        <v>135</v>
      </c>
      <c r="D802" s="32">
        <v>135</v>
      </c>
      <c r="E802" s="32">
        <v>2.2000000000000002</v>
      </c>
      <c r="F802" s="32">
        <v>2.2000000000000002</v>
      </c>
      <c r="G802" s="32">
        <v>77</v>
      </c>
      <c r="H802" s="32">
        <v>0</v>
      </c>
      <c r="I802" s="33" t="s">
        <v>1331</v>
      </c>
      <c r="J802" s="33" t="s">
        <v>910</v>
      </c>
      <c r="K802" s="36">
        <v>825</v>
      </c>
      <c r="L802" s="36">
        <v>82</v>
      </c>
      <c r="M802" s="36">
        <v>121</v>
      </c>
    </row>
    <row r="803" spans="2:13" x14ac:dyDescent="0.25">
      <c r="B803" s="49" t="s">
        <v>1130</v>
      </c>
      <c r="C803" s="34">
        <v>135</v>
      </c>
      <c r="D803" s="34">
        <v>135</v>
      </c>
      <c r="E803" s="34">
        <v>2.2000000000000002</v>
      </c>
      <c r="F803" s="34">
        <v>2.2000000000000002</v>
      </c>
      <c r="G803" s="34">
        <v>77</v>
      </c>
      <c r="H803" s="34">
        <v>0</v>
      </c>
      <c r="I803" s="35" t="s">
        <v>1293</v>
      </c>
      <c r="J803" s="35" t="s">
        <v>910</v>
      </c>
      <c r="K803" s="37">
        <v>830</v>
      </c>
      <c r="L803" s="37">
        <v>82</v>
      </c>
      <c r="M803" s="37">
        <v>122</v>
      </c>
    </row>
    <row r="804" spans="2:13" x14ac:dyDescent="0.25">
      <c r="B804" s="48" t="s">
        <v>1131</v>
      </c>
      <c r="C804" s="32">
        <v>135</v>
      </c>
      <c r="D804" s="32">
        <v>135</v>
      </c>
      <c r="E804" s="32">
        <v>2.2000000000000002</v>
      </c>
      <c r="F804" s="32">
        <v>2.2000000000000002</v>
      </c>
      <c r="G804" s="32">
        <v>77</v>
      </c>
      <c r="H804" s="32">
        <v>0</v>
      </c>
      <c r="I804" s="33" t="s">
        <v>1221</v>
      </c>
      <c r="J804" s="33" t="s">
        <v>910</v>
      </c>
      <c r="K804" s="36">
        <v>845</v>
      </c>
      <c r="L804" s="36">
        <v>82</v>
      </c>
      <c r="M804" s="36">
        <v>148</v>
      </c>
    </row>
    <row r="805" spans="2:13" x14ac:dyDescent="0.25">
      <c r="B805" s="49" t="s">
        <v>2977</v>
      </c>
      <c r="C805" s="34">
        <v>14</v>
      </c>
      <c r="D805" s="34">
        <v>14</v>
      </c>
      <c r="E805" s="34">
        <v>2.8</v>
      </c>
      <c r="F805" s="34">
        <v>2.8</v>
      </c>
      <c r="G805" s="34">
        <v>0</v>
      </c>
      <c r="H805" s="34">
        <v>0</v>
      </c>
      <c r="I805" s="35" t="s">
        <v>1229</v>
      </c>
      <c r="J805" s="35" t="s">
        <v>910</v>
      </c>
      <c r="K805" s="37">
        <v>0</v>
      </c>
      <c r="L805" s="37">
        <v>0</v>
      </c>
      <c r="M805" s="37">
        <v>0</v>
      </c>
    </row>
    <row r="806" spans="2:13" x14ac:dyDescent="0.25">
      <c r="B806" s="48" t="s">
        <v>3896</v>
      </c>
      <c r="C806" s="32">
        <v>14</v>
      </c>
      <c r="D806" s="32">
        <v>14</v>
      </c>
      <c r="E806" s="32">
        <v>2.8</v>
      </c>
      <c r="F806" s="32">
        <v>2.8</v>
      </c>
      <c r="G806" s="32">
        <v>0</v>
      </c>
      <c r="H806" s="32">
        <v>0</v>
      </c>
      <c r="I806" s="33" t="s">
        <v>1331</v>
      </c>
      <c r="J806" s="33" t="s">
        <v>910</v>
      </c>
      <c r="K806" s="36">
        <v>0</v>
      </c>
      <c r="L806" s="36">
        <v>0</v>
      </c>
      <c r="M806" s="36">
        <v>0</v>
      </c>
    </row>
    <row r="807" spans="2:13" x14ac:dyDescent="0.25">
      <c r="B807" s="49" t="s">
        <v>2976</v>
      </c>
      <c r="C807" s="34">
        <v>14</v>
      </c>
      <c r="D807" s="34">
        <v>14</v>
      </c>
      <c r="E807" s="34">
        <v>2.8</v>
      </c>
      <c r="F807" s="34">
        <v>2.8</v>
      </c>
      <c r="G807" s="34">
        <v>0</v>
      </c>
      <c r="H807" s="34">
        <v>0</v>
      </c>
      <c r="I807" s="35" t="s">
        <v>1229</v>
      </c>
      <c r="J807" s="35" t="s">
        <v>910</v>
      </c>
      <c r="K807" s="37">
        <v>555</v>
      </c>
      <c r="L807" s="37">
        <v>92</v>
      </c>
      <c r="M807" s="37">
        <v>86</v>
      </c>
    </row>
    <row r="808" spans="2:13" x14ac:dyDescent="0.25">
      <c r="B808" s="48" t="s">
        <v>3895</v>
      </c>
      <c r="C808" s="32">
        <v>14</v>
      </c>
      <c r="D808" s="32">
        <v>14</v>
      </c>
      <c r="E808" s="32">
        <v>2.8</v>
      </c>
      <c r="F808" s="32">
        <v>2.8</v>
      </c>
      <c r="G808" s="32">
        <v>0</v>
      </c>
      <c r="H808" s="32">
        <v>0</v>
      </c>
      <c r="I808" s="33" t="s">
        <v>1228</v>
      </c>
      <c r="J808" s="33" t="s">
        <v>1228</v>
      </c>
      <c r="K808" s="36">
        <v>555</v>
      </c>
      <c r="L808" s="36">
        <v>92</v>
      </c>
      <c r="M808" s="36">
        <v>86</v>
      </c>
    </row>
    <row r="809" spans="2:13" x14ac:dyDescent="0.25">
      <c r="B809" s="49" t="s">
        <v>3894</v>
      </c>
      <c r="C809" s="34">
        <v>14</v>
      </c>
      <c r="D809" s="34">
        <v>14</v>
      </c>
      <c r="E809" s="34">
        <v>2.8</v>
      </c>
      <c r="F809" s="34">
        <v>2.8</v>
      </c>
      <c r="G809" s="34">
        <v>0</v>
      </c>
      <c r="H809" s="34">
        <v>0</v>
      </c>
      <c r="I809" s="35" t="s">
        <v>1286</v>
      </c>
      <c r="J809" s="35" t="s">
        <v>900</v>
      </c>
      <c r="K809" s="37">
        <v>575</v>
      </c>
      <c r="L809" s="37">
        <v>92</v>
      </c>
      <c r="M809" s="37">
        <v>122.4</v>
      </c>
    </row>
    <row r="810" spans="2:13" x14ac:dyDescent="0.25">
      <c r="B810" s="48" t="s">
        <v>3893</v>
      </c>
      <c r="C810" s="32">
        <v>14</v>
      </c>
      <c r="D810" s="32">
        <v>14</v>
      </c>
      <c r="E810" s="32">
        <v>2.8</v>
      </c>
      <c r="F810" s="32">
        <v>2.8</v>
      </c>
      <c r="G810" s="32">
        <v>0</v>
      </c>
      <c r="H810" s="32">
        <v>0</v>
      </c>
      <c r="I810" s="33" t="s">
        <v>1227</v>
      </c>
      <c r="J810" s="33" t="s">
        <v>1228</v>
      </c>
      <c r="K810" s="36">
        <v>570</v>
      </c>
      <c r="L810" s="36">
        <v>92</v>
      </c>
      <c r="M810" s="36">
        <v>120.9</v>
      </c>
    </row>
    <row r="811" spans="2:13" x14ac:dyDescent="0.25">
      <c r="B811" s="49" t="s">
        <v>2975</v>
      </c>
      <c r="C811" s="34">
        <v>14</v>
      </c>
      <c r="D811" s="34">
        <v>14</v>
      </c>
      <c r="E811" s="34">
        <v>2.8</v>
      </c>
      <c r="F811" s="34">
        <v>2.8</v>
      </c>
      <c r="G811" s="34">
        <v>0</v>
      </c>
      <c r="H811" s="34">
        <v>0</v>
      </c>
      <c r="I811" s="35" t="s">
        <v>8</v>
      </c>
      <c r="J811" s="35" t="s">
        <v>910</v>
      </c>
      <c r="K811" s="37">
        <v>555</v>
      </c>
      <c r="L811" s="37">
        <v>92</v>
      </c>
      <c r="M811" s="37">
        <v>86</v>
      </c>
    </row>
    <row r="812" spans="2:13" x14ac:dyDescent="0.25">
      <c r="B812" s="48" t="s">
        <v>2974</v>
      </c>
      <c r="C812" s="32">
        <v>14</v>
      </c>
      <c r="D812" s="32">
        <v>14</v>
      </c>
      <c r="E812" s="32">
        <v>2.8</v>
      </c>
      <c r="F812" s="32">
        <v>2.8</v>
      </c>
      <c r="G812" s="32">
        <v>0</v>
      </c>
      <c r="H812" s="32">
        <v>0</v>
      </c>
      <c r="I812" s="33" t="s">
        <v>1331</v>
      </c>
      <c r="J812" s="33" t="s">
        <v>910</v>
      </c>
      <c r="K812" s="36">
        <v>555</v>
      </c>
      <c r="L812" s="36">
        <v>92</v>
      </c>
      <c r="M812" s="36">
        <v>86</v>
      </c>
    </row>
    <row r="813" spans="2:13" x14ac:dyDescent="0.25">
      <c r="B813" s="49" t="s">
        <v>3278</v>
      </c>
      <c r="C813" s="34">
        <v>14</v>
      </c>
      <c r="D813" s="34">
        <v>14</v>
      </c>
      <c r="E813" s="34">
        <v>2.8</v>
      </c>
      <c r="F813" s="34">
        <v>2.8</v>
      </c>
      <c r="G813" s="34">
        <v>0</v>
      </c>
      <c r="H813" s="34">
        <v>0</v>
      </c>
      <c r="I813" s="35" t="s">
        <v>1333</v>
      </c>
      <c r="J813" s="35" t="s">
        <v>900</v>
      </c>
      <c r="K813" s="37">
        <v>570</v>
      </c>
      <c r="L813" s="37">
        <v>92</v>
      </c>
      <c r="M813" s="37">
        <v>122</v>
      </c>
    </row>
    <row r="814" spans="2:13" x14ac:dyDescent="0.25">
      <c r="B814" s="48" t="s">
        <v>3277</v>
      </c>
      <c r="C814" s="32">
        <v>14</v>
      </c>
      <c r="D814" s="32">
        <v>14</v>
      </c>
      <c r="E814" s="32">
        <v>2.8</v>
      </c>
      <c r="F814" s="32">
        <v>2.8</v>
      </c>
      <c r="G814" s="32">
        <v>0</v>
      </c>
      <c r="H814" s="32">
        <v>0</v>
      </c>
      <c r="I814" s="33" t="s">
        <v>1293</v>
      </c>
      <c r="J814" s="33" t="s">
        <v>910</v>
      </c>
      <c r="K814" s="36">
        <v>555</v>
      </c>
      <c r="L814" s="36">
        <v>92</v>
      </c>
      <c r="M814" s="36">
        <v>86</v>
      </c>
    </row>
    <row r="815" spans="2:13" x14ac:dyDescent="0.25">
      <c r="B815" s="50" t="s">
        <v>4262</v>
      </c>
      <c r="C815">
        <v>14</v>
      </c>
      <c r="D815">
        <v>14</v>
      </c>
      <c r="E815">
        <v>2.8</v>
      </c>
      <c r="F815" s="16">
        <v>2.8</v>
      </c>
      <c r="G815">
        <v>0</v>
      </c>
      <c r="H815">
        <v>0</v>
      </c>
      <c r="I815" t="s">
        <v>1221</v>
      </c>
      <c r="J815" t="s">
        <v>910</v>
      </c>
      <c r="K815">
        <v>555</v>
      </c>
      <c r="L815">
        <v>92</v>
      </c>
      <c r="M815">
        <v>86</v>
      </c>
    </row>
    <row r="816" spans="2:13" x14ac:dyDescent="0.25">
      <c r="B816" s="50" t="s">
        <v>1063</v>
      </c>
      <c r="C816">
        <v>14</v>
      </c>
      <c r="D816">
        <v>14</v>
      </c>
      <c r="E816">
        <v>3.1</v>
      </c>
      <c r="F816" s="16">
        <v>3.1</v>
      </c>
      <c r="G816">
        <v>0</v>
      </c>
      <c r="H816">
        <v>0</v>
      </c>
      <c r="I816" t="s">
        <v>1229</v>
      </c>
      <c r="J816" t="s">
        <v>910</v>
      </c>
      <c r="K816">
        <v>552</v>
      </c>
      <c r="L816">
        <v>94</v>
      </c>
      <c r="M816">
        <v>87</v>
      </c>
    </row>
    <row r="817" spans="2:13" x14ac:dyDescent="0.25">
      <c r="B817" s="50" t="s">
        <v>1062</v>
      </c>
      <c r="C817">
        <v>14</v>
      </c>
      <c r="D817">
        <v>14</v>
      </c>
      <c r="E817">
        <v>3.1</v>
      </c>
      <c r="F817" s="16">
        <v>3.1</v>
      </c>
      <c r="G817">
        <v>0</v>
      </c>
      <c r="H817">
        <v>0</v>
      </c>
      <c r="I817" t="s">
        <v>8</v>
      </c>
      <c r="J817" t="s">
        <v>910</v>
      </c>
      <c r="K817">
        <v>552</v>
      </c>
      <c r="L817">
        <v>94</v>
      </c>
      <c r="M817">
        <v>87</v>
      </c>
    </row>
    <row r="818" spans="2:13" x14ac:dyDescent="0.25">
      <c r="B818" s="50" t="s">
        <v>1153</v>
      </c>
      <c r="C818">
        <v>14</v>
      </c>
      <c r="D818">
        <v>14</v>
      </c>
      <c r="E818">
        <v>3.1</v>
      </c>
      <c r="F818" s="16">
        <v>3.1</v>
      </c>
      <c r="G818">
        <v>0</v>
      </c>
      <c r="H818">
        <v>0</v>
      </c>
      <c r="I818" t="s">
        <v>1331</v>
      </c>
      <c r="J818" t="s">
        <v>910</v>
      </c>
      <c r="K818">
        <v>552</v>
      </c>
      <c r="L818">
        <v>94</v>
      </c>
      <c r="M818">
        <v>87</v>
      </c>
    </row>
    <row r="819" spans="2:13" x14ac:dyDescent="0.25">
      <c r="B819" s="50" t="s">
        <v>1045</v>
      </c>
      <c r="C819">
        <v>14</v>
      </c>
      <c r="D819">
        <v>14</v>
      </c>
      <c r="E819">
        <v>3.1</v>
      </c>
      <c r="F819" s="16">
        <v>3.1</v>
      </c>
      <c r="G819">
        <v>0</v>
      </c>
      <c r="H819">
        <v>0</v>
      </c>
      <c r="I819" t="s">
        <v>1229</v>
      </c>
      <c r="J819" t="s">
        <v>910</v>
      </c>
      <c r="K819">
        <v>620</v>
      </c>
      <c r="L819">
        <v>87</v>
      </c>
      <c r="M819">
        <v>96.1</v>
      </c>
    </row>
    <row r="820" spans="2:13" x14ac:dyDescent="0.25">
      <c r="B820" s="50" t="s">
        <v>1047</v>
      </c>
      <c r="C820">
        <v>14</v>
      </c>
      <c r="D820">
        <v>14</v>
      </c>
      <c r="E820">
        <v>3.1</v>
      </c>
      <c r="F820" s="16">
        <v>3.1</v>
      </c>
      <c r="G820">
        <v>0</v>
      </c>
      <c r="H820">
        <v>0</v>
      </c>
      <c r="I820" t="s">
        <v>1298</v>
      </c>
      <c r="J820" t="s">
        <v>900</v>
      </c>
      <c r="K820">
        <v>690</v>
      </c>
      <c r="L820">
        <v>87</v>
      </c>
      <c r="M820">
        <v>122</v>
      </c>
    </row>
    <row r="821" spans="2:13" x14ac:dyDescent="0.25">
      <c r="B821" s="50" t="s">
        <v>1048</v>
      </c>
      <c r="C821">
        <v>14</v>
      </c>
      <c r="D821">
        <v>14</v>
      </c>
      <c r="E821">
        <v>3.1</v>
      </c>
      <c r="F821" s="16">
        <v>3.1</v>
      </c>
      <c r="G821">
        <v>0</v>
      </c>
      <c r="H821">
        <v>0</v>
      </c>
      <c r="I821" t="s">
        <v>1228</v>
      </c>
      <c r="J821" t="s">
        <v>1228</v>
      </c>
      <c r="K821">
        <v>640</v>
      </c>
      <c r="L821">
        <v>87</v>
      </c>
      <c r="M821">
        <v>101.4</v>
      </c>
    </row>
    <row r="822" spans="2:13" x14ac:dyDescent="0.25">
      <c r="B822" s="50" t="s">
        <v>3276</v>
      </c>
      <c r="C822">
        <v>14</v>
      </c>
      <c r="D822">
        <v>14</v>
      </c>
      <c r="E822">
        <v>3.1</v>
      </c>
      <c r="F822" s="16">
        <v>3.1</v>
      </c>
      <c r="G822">
        <v>0</v>
      </c>
      <c r="H822">
        <v>0</v>
      </c>
      <c r="I822" t="s">
        <v>1286</v>
      </c>
      <c r="J822" t="s">
        <v>900</v>
      </c>
      <c r="K822">
        <v>695</v>
      </c>
      <c r="L822">
        <v>87</v>
      </c>
      <c r="M822">
        <v>122.2</v>
      </c>
    </row>
    <row r="823" spans="2:13" x14ac:dyDescent="0.25">
      <c r="B823" s="50" t="s">
        <v>1049</v>
      </c>
      <c r="C823">
        <v>14</v>
      </c>
      <c r="D823">
        <v>14</v>
      </c>
      <c r="E823">
        <v>3.1</v>
      </c>
      <c r="F823" s="16">
        <v>3.1</v>
      </c>
      <c r="G823">
        <v>0</v>
      </c>
      <c r="H823">
        <v>0</v>
      </c>
      <c r="I823" t="s">
        <v>1227</v>
      </c>
      <c r="J823" t="s">
        <v>1228</v>
      </c>
      <c r="K823">
        <v>650</v>
      </c>
      <c r="L823">
        <v>87</v>
      </c>
      <c r="M823">
        <v>120.9</v>
      </c>
    </row>
    <row r="824" spans="2:13" x14ac:dyDescent="0.25">
      <c r="B824" s="50" t="s">
        <v>1050</v>
      </c>
      <c r="C824">
        <v>14</v>
      </c>
      <c r="D824">
        <v>14</v>
      </c>
      <c r="E824">
        <v>3.1</v>
      </c>
      <c r="F824" s="16">
        <v>3.1</v>
      </c>
      <c r="G824">
        <v>0</v>
      </c>
      <c r="H824">
        <v>0</v>
      </c>
      <c r="I824" t="s">
        <v>8</v>
      </c>
      <c r="J824" t="s">
        <v>910</v>
      </c>
      <c r="K824">
        <v>605</v>
      </c>
      <c r="L824">
        <v>87</v>
      </c>
      <c r="M824">
        <v>93.6</v>
      </c>
    </row>
    <row r="825" spans="2:13" x14ac:dyDescent="0.25">
      <c r="B825" s="50" t="s">
        <v>1051</v>
      </c>
      <c r="C825">
        <v>14</v>
      </c>
      <c r="D825">
        <v>14</v>
      </c>
      <c r="E825">
        <v>3.1</v>
      </c>
      <c r="F825" s="16">
        <v>3.1</v>
      </c>
      <c r="G825">
        <v>0</v>
      </c>
      <c r="H825">
        <v>0</v>
      </c>
      <c r="I825" t="s">
        <v>1331</v>
      </c>
      <c r="J825" t="s">
        <v>910</v>
      </c>
      <c r="K825">
        <v>595</v>
      </c>
      <c r="L825">
        <v>87</v>
      </c>
      <c r="M825">
        <v>94.6</v>
      </c>
    </row>
    <row r="826" spans="2:13" x14ac:dyDescent="0.25">
      <c r="B826" s="50" t="s">
        <v>1053</v>
      </c>
      <c r="C826">
        <v>14</v>
      </c>
      <c r="D826">
        <v>14</v>
      </c>
      <c r="E826">
        <v>3.1</v>
      </c>
      <c r="F826" s="16">
        <v>3.1</v>
      </c>
      <c r="G826">
        <v>0</v>
      </c>
      <c r="H826">
        <v>0</v>
      </c>
      <c r="I826" t="s">
        <v>1293</v>
      </c>
      <c r="J826" t="s">
        <v>910</v>
      </c>
      <c r="K826">
        <v>615</v>
      </c>
      <c r="L826">
        <v>87</v>
      </c>
      <c r="M826">
        <v>95.6</v>
      </c>
    </row>
    <row r="827" spans="2:13" x14ac:dyDescent="0.25">
      <c r="B827" s="50" t="s">
        <v>1052</v>
      </c>
      <c r="C827">
        <v>14</v>
      </c>
      <c r="D827">
        <v>14</v>
      </c>
      <c r="E827">
        <v>3.1</v>
      </c>
      <c r="F827" s="16">
        <v>3.1</v>
      </c>
      <c r="G827">
        <v>0</v>
      </c>
      <c r="H827">
        <v>0</v>
      </c>
      <c r="I827" t="s">
        <v>1221</v>
      </c>
      <c r="J827" t="s">
        <v>910</v>
      </c>
      <c r="K827">
        <v>640</v>
      </c>
      <c r="L827">
        <v>87</v>
      </c>
      <c r="M827">
        <v>122.1</v>
      </c>
    </row>
    <row r="828" spans="2:13" x14ac:dyDescent="0.25">
      <c r="B828" s="50" t="s">
        <v>993</v>
      </c>
      <c r="C828">
        <v>16</v>
      </c>
      <c r="D828">
        <v>16</v>
      </c>
      <c r="E828">
        <v>2</v>
      </c>
      <c r="F828" s="16">
        <v>2</v>
      </c>
      <c r="G828">
        <v>77</v>
      </c>
      <c r="H828">
        <v>0</v>
      </c>
      <c r="I828" t="s">
        <v>1229</v>
      </c>
      <c r="J828" t="s">
        <v>900</v>
      </c>
      <c r="K828">
        <v>583</v>
      </c>
      <c r="L828">
        <v>83</v>
      </c>
      <c r="M828">
        <v>89.4</v>
      </c>
    </row>
    <row r="829" spans="2:13" x14ac:dyDescent="0.25">
      <c r="B829" s="50" t="s">
        <v>994</v>
      </c>
      <c r="C829">
        <v>16</v>
      </c>
      <c r="D829">
        <v>16</v>
      </c>
      <c r="E829">
        <v>2</v>
      </c>
      <c r="F829" s="16">
        <v>2</v>
      </c>
      <c r="G829">
        <v>77</v>
      </c>
      <c r="H829">
        <v>0</v>
      </c>
      <c r="I829" t="s">
        <v>1298</v>
      </c>
      <c r="J829" t="s">
        <v>900</v>
      </c>
      <c r="K829">
        <v>583</v>
      </c>
      <c r="L829">
        <v>83</v>
      </c>
      <c r="M829">
        <v>89.4</v>
      </c>
    </row>
    <row r="830" spans="2:13" x14ac:dyDescent="0.25">
      <c r="B830" s="50" t="s">
        <v>996</v>
      </c>
      <c r="C830">
        <v>16</v>
      </c>
      <c r="D830">
        <v>16</v>
      </c>
      <c r="E830">
        <v>2</v>
      </c>
      <c r="F830" s="16">
        <v>2</v>
      </c>
      <c r="G830">
        <v>77</v>
      </c>
      <c r="H830">
        <v>0</v>
      </c>
      <c r="I830" t="s">
        <v>1228</v>
      </c>
      <c r="J830" t="s">
        <v>1228</v>
      </c>
      <c r="K830">
        <v>583</v>
      </c>
      <c r="L830">
        <v>83</v>
      </c>
      <c r="M830">
        <v>89.4</v>
      </c>
    </row>
    <row r="831" spans="2:13" x14ac:dyDescent="0.25">
      <c r="B831" s="50" t="s">
        <v>999</v>
      </c>
      <c r="C831">
        <v>16</v>
      </c>
      <c r="D831">
        <v>16</v>
      </c>
      <c r="E831">
        <v>2</v>
      </c>
      <c r="F831" s="16">
        <v>2</v>
      </c>
      <c r="G831">
        <v>77</v>
      </c>
      <c r="H831">
        <v>0</v>
      </c>
      <c r="I831" t="s">
        <v>1286</v>
      </c>
      <c r="J831" t="s">
        <v>900</v>
      </c>
      <c r="K831">
        <v>583</v>
      </c>
      <c r="L831">
        <v>83</v>
      </c>
      <c r="M831">
        <v>89.4</v>
      </c>
    </row>
    <row r="832" spans="2:13" x14ac:dyDescent="0.25">
      <c r="B832" s="50" t="s">
        <v>995</v>
      </c>
      <c r="C832">
        <v>16</v>
      </c>
      <c r="D832">
        <v>16</v>
      </c>
      <c r="E832">
        <v>2</v>
      </c>
      <c r="F832" s="16">
        <v>2</v>
      </c>
      <c r="G832">
        <v>77</v>
      </c>
      <c r="H832">
        <v>0</v>
      </c>
      <c r="I832" t="s">
        <v>1227</v>
      </c>
      <c r="J832" t="s">
        <v>1228</v>
      </c>
      <c r="K832">
        <v>583</v>
      </c>
      <c r="L832">
        <v>83</v>
      </c>
      <c r="M832">
        <v>89.4</v>
      </c>
    </row>
    <row r="833" spans="2:13" x14ac:dyDescent="0.25">
      <c r="B833" s="50" t="s">
        <v>997</v>
      </c>
      <c r="C833">
        <v>16</v>
      </c>
      <c r="D833">
        <v>16</v>
      </c>
      <c r="E833">
        <v>2</v>
      </c>
      <c r="F833" s="16">
        <v>2</v>
      </c>
      <c r="G833">
        <v>77</v>
      </c>
      <c r="H833">
        <v>0</v>
      </c>
      <c r="I833" t="s">
        <v>1331</v>
      </c>
      <c r="J833" t="s">
        <v>900</v>
      </c>
      <c r="K833">
        <v>583</v>
      </c>
      <c r="L833">
        <v>83</v>
      </c>
      <c r="M833">
        <v>89.4</v>
      </c>
    </row>
    <row r="834" spans="2:13" x14ac:dyDescent="0.25">
      <c r="B834" s="50" t="s">
        <v>998</v>
      </c>
      <c r="C834">
        <v>16</v>
      </c>
      <c r="D834">
        <v>16</v>
      </c>
      <c r="E834">
        <v>2</v>
      </c>
      <c r="F834" s="16">
        <v>2</v>
      </c>
      <c r="G834">
        <v>77</v>
      </c>
      <c r="H834">
        <v>0</v>
      </c>
      <c r="I834" t="s">
        <v>1333</v>
      </c>
      <c r="J834" t="s">
        <v>900</v>
      </c>
      <c r="K834">
        <v>583</v>
      </c>
      <c r="L834">
        <v>83</v>
      </c>
      <c r="M834">
        <v>89.4</v>
      </c>
    </row>
    <row r="835" spans="2:13" x14ac:dyDescent="0.25">
      <c r="B835" s="50" t="s">
        <v>1001</v>
      </c>
      <c r="C835">
        <v>16</v>
      </c>
      <c r="D835">
        <v>16</v>
      </c>
      <c r="E835">
        <v>2</v>
      </c>
      <c r="F835" s="16">
        <v>2</v>
      </c>
      <c r="G835">
        <v>77</v>
      </c>
      <c r="H835">
        <v>0</v>
      </c>
      <c r="I835" t="s">
        <v>1293</v>
      </c>
      <c r="J835" t="s">
        <v>900</v>
      </c>
      <c r="K835">
        <v>583</v>
      </c>
      <c r="L835">
        <v>83</v>
      </c>
      <c r="M835">
        <v>89.4</v>
      </c>
    </row>
    <row r="836" spans="2:13" x14ac:dyDescent="0.25">
      <c r="B836" s="50" t="s">
        <v>1000</v>
      </c>
      <c r="C836">
        <v>16</v>
      </c>
      <c r="D836">
        <v>16</v>
      </c>
      <c r="E836">
        <v>2</v>
      </c>
      <c r="F836" s="16">
        <v>2</v>
      </c>
      <c r="G836">
        <v>77</v>
      </c>
      <c r="H836">
        <v>0</v>
      </c>
      <c r="I836" t="s">
        <v>1221</v>
      </c>
      <c r="J836" t="s">
        <v>900</v>
      </c>
      <c r="K836">
        <v>583</v>
      </c>
      <c r="L836">
        <v>83</v>
      </c>
      <c r="M836">
        <v>89.4</v>
      </c>
    </row>
    <row r="837" spans="2:13" x14ac:dyDescent="0.25">
      <c r="B837" s="50" t="s">
        <v>1110</v>
      </c>
      <c r="C837">
        <v>16</v>
      </c>
      <c r="D837">
        <v>16</v>
      </c>
      <c r="E837">
        <v>2.2000000000000002</v>
      </c>
      <c r="F837" s="16">
        <v>2.2000000000000002</v>
      </c>
      <c r="G837">
        <v>77</v>
      </c>
      <c r="H837">
        <v>0</v>
      </c>
      <c r="I837" t="s">
        <v>1229</v>
      </c>
      <c r="J837" t="s">
        <v>900</v>
      </c>
      <c r="K837">
        <v>590</v>
      </c>
      <c r="L837">
        <v>83</v>
      </c>
      <c r="M837">
        <v>89.4</v>
      </c>
    </row>
    <row r="838" spans="2:13" x14ac:dyDescent="0.25">
      <c r="B838" s="50" t="s">
        <v>1111</v>
      </c>
      <c r="C838">
        <v>16</v>
      </c>
      <c r="D838">
        <v>16</v>
      </c>
      <c r="E838">
        <v>2.2000000000000002</v>
      </c>
      <c r="F838" s="16">
        <v>2.2000000000000002</v>
      </c>
      <c r="G838">
        <v>77</v>
      </c>
      <c r="H838">
        <v>0</v>
      </c>
      <c r="I838" t="s">
        <v>1298</v>
      </c>
      <c r="J838" t="s">
        <v>900</v>
      </c>
      <c r="K838">
        <v>620</v>
      </c>
      <c r="L838">
        <v>83</v>
      </c>
      <c r="M838">
        <v>115.7</v>
      </c>
    </row>
    <row r="839" spans="2:13" x14ac:dyDescent="0.25">
      <c r="B839" s="50" t="s">
        <v>1112</v>
      </c>
      <c r="C839">
        <v>16</v>
      </c>
      <c r="D839">
        <v>16</v>
      </c>
      <c r="E839">
        <v>2.2000000000000002</v>
      </c>
      <c r="F839" s="16">
        <v>2.2000000000000002</v>
      </c>
      <c r="G839">
        <v>77</v>
      </c>
      <c r="H839">
        <v>0</v>
      </c>
      <c r="I839" t="s">
        <v>1228</v>
      </c>
      <c r="J839" t="s">
        <v>1228</v>
      </c>
      <c r="K839">
        <v>610</v>
      </c>
      <c r="L839">
        <v>83</v>
      </c>
      <c r="M839">
        <v>94.7</v>
      </c>
    </row>
    <row r="840" spans="2:13" x14ac:dyDescent="0.25">
      <c r="B840" s="50" t="s">
        <v>1114</v>
      </c>
      <c r="C840">
        <v>16</v>
      </c>
      <c r="D840">
        <v>16</v>
      </c>
      <c r="E840">
        <v>2.2000000000000002</v>
      </c>
      <c r="F840" s="16">
        <v>2.2000000000000002</v>
      </c>
      <c r="G840">
        <v>77</v>
      </c>
      <c r="H840">
        <v>0</v>
      </c>
      <c r="I840" t="s">
        <v>1286</v>
      </c>
      <c r="J840" t="s">
        <v>900</v>
      </c>
      <c r="K840">
        <v>625</v>
      </c>
      <c r="L840">
        <v>83</v>
      </c>
      <c r="M840">
        <v>115.7</v>
      </c>
    </row>
    <row r="841" spans="2:13" x14ac:dyDescent="0.25">
      <c r="B841" s="50" t="s">
        <v>1113</v>
      </c>
      <c r="C841">
        <v>16</v>
      </c>
      <c r="D841">
        <v>16</v>
      </c>
      <c r="E841">
        <v>2.2000000000000002</v>
      </c>
      <c r="F841" s="16">
        <v>2.2000000000000002</v>
      </c>
      <c r="G841">
        <v>77</v>
      </c>
      <c r="H841">
        <v>0</v>
      </c>
      <c r="I841" t="s">
        <v>1227</v>
      </c>
      <c r="J841" t="s">
        <v>1228</v>
      </c>
      <c r="K841">
        <v>620</v>
      </c>
      <c r="L841">
        <v>83</v>
      </c>
      <c r="M841">
        <v>114.2</v>
      </c>
    </row>
    <row r="842" spans="2:13" x14ac:dyDescent="0.25">
      <c r="B842" s="50" t="s">
        <v>1115</v>
      </c>
      <c r="C842">
        <v>16</v>
      </c>
      <c r="D842">
        <v>16</v>
      </c>
      <c r="E842">
        <v>2.2000000000000002</v>
      </c>
      <c r="F842" s="16">
        <v>2.2000000000000002</v>
      </c>
      <c r="G842">
        <v>77</v>
      </c>
      <c r="H842">
        <v>0</v>
      </c>
      <c r="I842" t="s">
        <v>8</v>
      </c>
      <c r="J842" t="s">
        <v>900</v>
      </c>
      <c r="K842">
        <v>580</v>
      </c>
      <c r="L842">
        <v>83</v>
      </c>
      <c r="M842">
        <v>86.9</v>
      </c>
    </row>
    <row r="843" spans="2:13" x14ac:dyDescent="0.25">
      <c r="B843" s="50" t="s">
        <v>3892</v>
      </c>
      <c r="C843">
        <v>16</v>
      </c>
      <c r="D843">
        <v>16</v>
      </c>
      <c r="E843">
        <v>2.2000000000000002</v>
      </c>
      <c r="F843" s="16">
        <v>2.2000000000000002</v>
      </c>
      <c r="G843">
        <v>77</v>
      </c>
      <c r="H843">
        <v>0</v>
      </c>
      <c r="I843" t="s">
        <v>1333</v>
      </c>
      <c r="J843" t="s">
        <v>900</v>
      </c>
      <c r="K843">
        <v>615</v>
      </c>
      <c r="L843">
        <v>83</v>
      </c>
      <c r="M843">
        <v>107.9</v>
      </c>
    </row>
    <row r="844" spans="2:13" x14ac:dyDescent="0.25">
      <c r="B844" s="50" t="s">
        <v>1117</v>
      </c>
      <c r="C844">
        <v>16</v>
      </c>
      <c r="D844">
        <v>16</v>
      </c>
      <c r="E844">
        <v>2.2000000000000002</v>
      </c>
      <c r="F844" s="16">
        <v>2.2000000000000002</v>
      </c>
      <c r="G844">
        <v>77</v>
      </c>
      <c r="H844">
        <v>0</v>
      </c>
      <c r="I844" t="s">
        <v>1293</v>
      </c>
      <c r="J844" t="s">
        <v>900</v>
      </c>
      <c r="K844">
        <v>585</v>
      </c>
      <c r="L844">
        <v>83</v>
      </c>
      <c r="M844">
        <v>88.9</v>
      </c>
    </row>
    <row r="845" spans="2:13" x14ac:dyDescent="0.25">
      <c r="B845" s="50" t="s">
        <v>1116</v>
      </c>
      <c r="C845">
        <v>16</v>
      </c>
      <c r="D845">
        <v>16</v>
      </c>
      <c r="E845">
        <v>2.2000000000000002</v>
      </c>
      <c r="F845" s="16">
        <v>2.2000000000000002</v>
      </c>
      <c r="G845">
        <v>77</v>
      </c>
      <c r="H845">
        <v>0</v>
      </c>
      <c r="I845" t="s">
        <v>1221</v>
      </c>
      <c r="J845" t="s">
        <v>900</v>
      </c>
      <c r="K845">
        <v>620</v>
      </c>
      <c r="L845">
        <v>83</v>
      </c>
      <c r="M845">
        <v>115.4</v>
      </c>
    </row>
    <row r="846" spans="2:13" x14ac:dyDescent="0.25">
      <c r="B846" s="50" t="s">
        <v>3890</v>
      </c>
      <c r="C846">
        <v>16</v>
      </c>
      <c r="D846">
        <v>16</v>
      </c>
      <c r="E846">
        <v>2.6</v>
      </c>
      <c r="F846" s="16">
        <v>2.6</v>
      </c>
      <c r="G846">
        <v>77</v>
      </c>
      <c r="H846">
        <v>0</v>
      </c>
      <c r="I846" t="s">
        <v>1229</v>
      </c>
      <c r="J846" t="s">
        <v>910</v>
      </c>
      <c r="K846">
        <v>530</v>
      </c>
      <c r="L846">
        <v>81.7</v>
      </c>
      <c r="M846">
        <v>96.1</v>
      </c>
    </row>
    <row r="847" spans="2:13" x14ac:dyDescent="0.25">
      <c r="B847" s="50" t="s">
        <v>3889</v>
      </c>
      <c r="C847">
        <v>16</v>
      </c>
      <c r="D847">
        <v>16</v>
      </c>
      <c r="E847">
        <v>2.6</v>
      </c>
      <c r="F847" s="16">
        <v>2.6</v>
      </c>
      <c r="G847">
        <v>77</v>
      </c>
      <c r="H847">
        <v>0</v>
      </c>
      <c r="I847" t="s">
        <v>1298</v>
      </c>
      <c r="J847" t="s">
        <v>900</v>
      </c>
      <c r="K847">
        <v>540</v>
      </c>
      <c r="L847">
        <v>81.7</v>
      </c>
      <c r="M847">
        <v>122</v>
      </c>
    </row>
    <row r="848" spans="2:13" x14ac:dyDescent="0.25">
      <c r="B848" s="50" t="s">
        <v>3286</v>
      </c>
      <c r="C848">
        <v>16</v>
      </c>
      <c r="D848">
        <v>16</v>
      </c>
      <c r="E848">
        <v>2.6</v>
      </c>
      <c r="F848" s="16">
        <v>2.6</v>
      </c>
      <c r="G848">
        <v>77</v>
      </c>
      <c r="H848">
        <v>0</v>
      </c>
      <c r="I848" t="s">
        <v>8</v>
      </c>
      <c r="J848" t="s">
        <v>910</v>
      </c>
      <c r="K848">
        <v>515</v>
      </c>
      <c r="L848">
        <v>81.7</v>
      </c>
      <c r="M848">
        <v>93.6</v>
      </c>
    </row>
    <row r="849" spans="2:13" x14ac:dyDescent="0.25">
      <c r="B849" s="50" t="s">
        <v>3285</v>
      </c>
      <c r="C849">
        <v>16</v>
      </c>
      <c r="D849">
        <v>16</v>
      </c>
      <c r="E849">
        <v>2.6</v>
      </c>
      <c r="F849" s="16">
        <v>2.6</v>
      </c>
      <c r="G849">
        <v>77</v>
      </c>
      <c r="H849">
        <v>0</v>
      </c>
      <c r="I849" t="s">
        <v>1221</v>
      </c>
      <c r="J849" t="s">
        <v>910</v>
      </c>
      <c r="K849">
        <v>540</v>
      </c>
      <c r="L849">
        <v>81.7</v>
      </c>
      <c r="M849">
        <v>122.1</v>
      </c>
    </row>
    <row r="850" spans="2:13" x14ac:dyDescent="0.25">
      <c r="B850" s="50" t="s">
        <v>2973</v>
      </c>
      <c r="C850">
        <v>20</v>
      </c>
      <c r="D850">
        <v>20</v>
      </c>
      <c r="E850">
        <v>1.8</v>
      </c>
      <c r="F850" s="16">
        <v>1.8</v>
      </c>
      <c r="G850">
        <v>77</v>
      </c>
      <c r="H850">
        <v>0</v>
      </c>
      <c r="I850" t="s">
        <v>1229</v>
      </c>
      <c r="J850" t="s">
        <v>910</v>
      </c>
      <c r="K850">
        <v>497</v>
      </c>
      <c r="L850">
        <v>83</v>
      </c>
      <c r="M850">
        <v>88.4</v>
      </c>
    </row>
    <row r="851" spans="2:13" x14ac:dyDescent="0.25">
      <c r="B851" s="50" t="s">
        <v>3284</v>
      </c>
      <c r="C851">
        <v>20</v>
      </c>
      <c r="D851">
        <v>20</v>
      </c>
      <c r="E851">
        <v>1.8</v>
      </c>
      <c r="F851" s="16">
        <v>1.8</v>
      </c>
      <c r="G851">
        <v>77</v>
      </c>
      <c r="H851">
        <v>0</v>
      </c>
      <c r="I851" t="s">
        <v>1298</v>
      </c>
      <c r="J851" t="s">
        <v>900</v>
      </c>
      <c r="K851">
        <v>525</v>
      </c>
      <c r="L851">
        <v>83</v>
      </c>
      <c r="M851">
        <v>114.3</v>
      </c>
    </row>
    <row r="852" spans="2:13" x14ac:dyDescent="0.25">
      <c r="B852" s="50" t="s">
        <v>3283</v>
      </c>
      <c r="C852">
        <v>20</v>
      </c>
      <c r="D852">
        <v>20</v>
      </c>
      <c r="E852">
        <v>1.8</v>
      </c>
      <c r="F852" s="16">
        <v>1.8</v>
      </c>
      <c r="G852">
        <v>77</v>
      </c>
      <c r="H852">
        <v>0</v>
      </c>
      <c r="I852" t="s">
        <v>1228</v>
      </c>
      <c r="J852" t="s">
        <v>1228</v>
      </c>
      <c r="K852">
        <v>530</v>
      </c>
      <c r="L852">
        <v>83</v>
      </c>
      <c r="M852">
        <v>93.7</v>
      </c>
    </row>
    <row r="853" spans="2:13" x14ac:dyDescent="0.25">
      <c r="B853" s="50" t="s">
        <v>3282</v>
      </c>
      <c r="C853">
        <v>20</v>
      </c>
      <c r="D853">
        <v>20</v>
      </c>
      <c r="E853">
        <v>1.8</v>
      </c>
      <c r="F853" s="16">
        <v>1.8</v>
      </c>
      <c r="G853">
        <v>77</v>
      </c>
      <c r="H853">
        <v>0</v>
      </c>
      <c r="I853" t="s">
        <v>1286</v>
      </c>
      <c r="J853" t="s">
        <v>900</v>
      </c>
      <c r="K853">
        <v>565</v>
      </c>
      <c r="L853">
        <v>83</v>
      </c>
      <c r="M853">
        <v>114.7</v>
      </c>
    </row>
    <row r="854" spans="2:13" x14ac:dyDescent="0.25">
      <c r="B854" s="50" t="s">
        <v>3281</v>
      </c>
      <c r="C854">
        <v>20</v>
      </c>
      <c r="D854">
        <v>20</v>
      </c>
      <c r="E854">
        <v>1.8</v>
      </c>
      <c r="F854" s="16">
        <v>1.8</v>
      </c>
      <c r="G854">
        <v>77</v>
      </c>
      <c r="H854">
        <v>0</v>
      </c>
      <c r="I854" t="s">
        <v>1227</v>
      </c>
      <c r="J854" t="s">
        <v>1228</v>
      </c>
      <c r="K854">
        <v>520</v>
      </c>
      <c r="L854">
        <v>83</v>
      </c>
      <c r="M854">
        <v>113.2</v>
      </c>
    </row>
    <row r="855" spans="2:13" x14ac:dyDescent="0.25">
      <c r="B855" s="50" t="s">
        <v>2972</v>
      </c>
      <c r="C855">
        <v>20</v>
      </c>
      <c r="D855">
        <v>20</v>
      </c>
      <c r="E855">
        <v>1.8</v>
      </c>
      <c r="F855" s="16">
        <v>1.8</v>
      </c>
      <c r="G855">
        <v>77</v>
      </c>
      <c r="H855">
        <v>0</v>
      </c>
      <c r="I855" t="s">
        <v>8</v>
      </c>
      <c r="J855" t="s">
        <v>910</v>
      </c>
      <c r="K855">
        <v>488</v>
      </c>
      <c r="L855">
        <v>83</v>
      </c>
      <c r="M855">
        <v>85.9</v>
      </c>
    </row>
    <row r="856" spans="2:13" x14ac:dyDescent="0.25">
      <c r="B856" s="50" t="s">
        <v>4261</v>
      </c>
      <c r="C856">
        <v>20</v>
      </c>
      <c r="D856">
        <v>20</v>
      </c>
      <c r="E856">
        <v>1.8</v>
      </c>
      <c r="F856" s="16">
        <v>1.8</v>
      </c>
      <c r="G856">
        <v>77</v>
      </c>
      <c r="H856">
        <v>0</v>
      </c>
      <c r="I856" t="s">
        <v>1331</v>
      </c>
      <c r="J856" t="s">
        <v>910</v>
      </c>
      <c r="K856">
        <v>493</v>
      </c>
      <c r="L856">
        <v>83</v>
      </c>
      <c r="M856">
        <v>86.9</v>
      </c>
    </row>
    <row r="857" spans="2:13" x14ac:dyDescent="0.25">
      <c r="B857" s="50" t="s">
        <v>3280</v>
      </c>
      <c r="C857">
        <v>20</v>
      </c>
      <c r="D857">
        <v>20</v>
      </c>
      <c r="E857">
        <v>1.8</v>
      </c>
      <c r="F857" s="16">
        <v>1.8</v>
      </c>
      <c r="G857">
        <v>77</v>
      </c>
      <c r="H857">
        <v>0</v>
      </c>
      <c r="I857" t="s">
        <v>1333</v>
      </c>
      <c r="J857" t="s">
        <v>900</v>
      </c>
      <c r="K857">
        <v>515</v>
      </c>
      <c r="L857">
        <v>83</v>
      </c>
      <c r="M857">
        <v>106.9</v>
      </c>
    </row>
    <row r="858" spans="2:13" x14ac:dyDescent="0.25">
      <c r="B858" s="50" t="s">
        <v>3279</v>
      </c>
      <c r="C858">
        <v>20</v>
      </c>
      <c r="D858">
        <v>20</v>
      </c>
      <c r="E858">
        <v>1.8</v>
      </c>
      <c r="F858" s="16">
        <v>1.8</v>
      </c>
      <c r="G858">
        <v>77</v>
      </c>
      <c r="H858">
        <v>0</v>
      </c>
      <c r="I858" t="s">
        <v>1293</v>
      </c>
      <c r="J858" t="s">
        <v>910</v>
      </c>
      <c r="K858">
        <v>498</v>
      </c>
      <c r="L858">
        <v>83</v>
      </c>
      <c r="M858">
        <v>87.9</v>
      </c>
    </row>
    <row r="859" spans="2:13" x14ac:dyDescent="0.25">
      <c r="B859" s="50" t="s">
        <v>2692</v>
      </c>
      <c r="C859">
        <v>20</v>
      </c>
      <c r="D859">
        <v>20</v>
      </c>
      <c r="E859">
        <v>1.8</v>
      </c>
      <c r="F859" s="16">
        <v>1.8</v>
      </c>
      <c r="G859">
        <v>77</v>
      </c>
      <c r="H859">
        <v>0</v>
      </c>
      <c r="I859" t="s">
        <v>1221</v>
      </c>
      <c r="J859" t="s">
        <v>910</v>
      </c>
      <c r="K859">
        <v>525</v>
      </c>
      <c r="L859">
        <v>83</v>
      </c>
      <c r="M859">
        <v>114.4</v>
      </c>
    </row>
    <row r="860" spans="2:13" x14ac:dyDescent="0.25">
      <c r="B860" s="50" t="s">
        <v>968</v>
      </c>
      <c r="C860">
        <v>20</v>
      </c>
      <c r="D860">
        <v>20</v>
      </c>
      <c r="E860">
        <v>1.9</v>
      </c>
      <c r="F860" s="16">
        <v>1.9</v>
      </c>
      <c r="G860">
        <v>77</v>
      </c>
      <c r="H860">
        <v>0</v>
      </c>
      <c r="I860" t="s">
        <v>1229</v>
      </c>
      <c r="J860" t="s">
        <v>910</v>
      </c>
      <c r="K860">
        <v>518</v>
      </c>
      <c r="L860">
        <v>83</v>
      </c>
      <c r="M860">
        <v>88.4</v>
      </c>
    </row>
    <row r="861" spans="2:13" x14ac:dyDescent="0.25">
      <c r="B861" s="50" t="s">
        <v>969</v>
      </c>
      <c r="C861">
        <v>20</v>
      </c>
      <c r="D861">
        <v>20</v>
      </c>
      <c r="E861">
        <v>1.9</v>
      </c>
      <c r="F861" s="16">
        <v>1.9</v>
      </c>
      <c r="G861">
        <v>77</v>
      </c>
      <c r="H861">
        <v>0</v>
      </c>
      <c r="I861" t="s">
        <v>1298</v>
      </c>
      <c r="J861" t="s">
        <v>900</v>
      </c>
      <c r="K861">
        <v>546</v>
      </c>
      <c r="L861">
        <v>83</v>
      </c>
      <c r="M861">
        <v>114.3</v>
      </c>
    </row>
    <row r="862" spans="2:13" x14ac:dyDescent="0.25">
      <c r="B862" s="50" t="s">
        <v>972</v>
      </c>
      <c r="C862">
        <v>20</v>
      </c>
      <c r="D862">
        <v>20</v>
      </c>
      <c r="E862">
        <v>1.9</v>
      </c>
      <c r="F862" s="16">
        <v>1.9</v>
      </c>
      <c r="G862">
        <v>77</v>
      </c>
      <c r="H862">
        <v>0</v>
      </c>
      <c r="I862" t="s">
        <v>1228</v>
      </c>
      <c r="J862" t="s">
        <v>1228</v>
      </c>
      <c r="K862">
        <v>551</v>
      </c>
      <c r="L862">
        <v>83</v>
      </c>
      <c r="M862">
        <v>93.7</v>
      </c>
    </row>
    <row r="863" spans="2:13" x14ac:dyDescent="0.25">
      <c r="B863" s="50" t="s">
        <v>970</v>
      </c>
      <c r="C863">
        <v>20</v>
      </c>
      <c r="D863">
        <v>20</v>
      </c>
      <c r="E863">
        <v>1.9</v>
      </c>
      <c r="F863" s="16">
        <v>1.9</v>
      </c>
      <c r="G863">
        <v>77</v>
      </c>
      <c r="H863">
        <v>0</v>
      </c>
      <c r="I863" t="s">
        <v>1286</v>
      </c>
      <c r="J863" t="s">
        <v>900</v>
      </c>
      <c r="K863">
        <v>586</v>
      </c>
      <c r="L863">
        <v>83</v>
      </c>
      <c r="M863">
        <v>114.7</v>
      </c>
    </row>
    <row r="864" spans="2:13" x14ac:dyDescent="0.25">
      <c r="B864" s="50" t="s">
        <v>973</v>
      </c>
      <c r="C864">
        <v>20</v>
      </c>
      <c r="D864">
        <v>20</v>
      </c>
      <c r="E864">
        <v>1.9</v>
      </c>
      <c r="F864" s="16">
        <v>1.9</v>
      </c>
      <c r="G864">
        <v>77</v>
      </c>
      <c r="H864">
        <v>0</v>
      </c>
      <c r="I864" t="s">
        <v>1227</v>
      </c>
      <c r="J864" t="s">
        <v>1228</v>
      </c>
      <c r="K864">
        <v>541</v>
      </c>
      <c r="L864">
        <v>83</v>
      </c>
      <c r="M864">
        <v>113.2</v>
      </c>
    </row>
    <row r="865" spans="2:13" x14ac:dyDescent="0.25">
      <c r="B865" s="50" t="s">
        <v>967</v>
      </c>
      <c r="C865">
        <v>20</v>
      </c>
      <c r="D865">
        <v>20</v>
      </c>
      <c r="E865">
        <v>1.9</v>
      </c>
      <c r="F865" s="16">
        <v>1.9</v>
      </c>
      <c r="G865">
        <v>77</v>
      </c>
      <c r="H865">
        <v>0</v>
      </c>
      <c r="I865" t="s">
        <v>8</v>
      </c>
      <c r="J865" t="s">
        <v>910</v>
      </c>
      <c r="K865">
        <v>508</v>
      </c>
      <c r="L865">
        <v>83</v>
      </c>
      <c r="M865">
        <v>85.9</v>
      </c>
    </row>
    <row r="866" spans="2:13" x14ac:dyDescent="0.25">
      <c r="B866" s="50" t="s">
        <v>1156</v>
      </c>
      <c r="C866">
        <v>20</v>
      </c>
      <c r="D866">
        <v>20</v>
      </c>
      <c r="E866">
        <v>1.9</v>
      </c>
      <c r="F866" s="16">
        <v>1.9</v>
      </c>
      <c r="G866">
        <v>77</v>
      </c>
      <c r="H866">
        <v>0</v>
      </c>
      <c r="I866" t="s">
        <v>1331</v>
      </c>
      <c r="J866" t="s">
        <v>910</v>
      </c>
      <c r="K866">
        <v>513</v>
      </c>
      <c r="L866">
        <v>83</v>
      </c>
      <c r="M866">
        <v>86.9</v>
      </c>
    </row>
    <row r="867" spans="2:13" x14ac:dyDescent="0.25">
      <c r="B867" s="50" t="s">
        <v>971</v>
      </c>
      <c r="C867">
        <v>20</v>
      </c>
      <c r="D867">
        <v>20</v>
      </c>
      <c r="E867">
        <v>1.9</v>
      </c>
      <c r="F867" s="16">
        <v>1.9</v>
      </c>
      <c r="G867">
        <v>77</v>
      </c>
      <c r="H867">
        <v>0</v>
      </c>
      <c r="I867" t="s">
        <v>1333</v>
      </c>
      <c r="J867" t="s">
        <v>900</v>
      </c>
      <c r="K867">
        <v>536</v>
      </c>
      <c r="L867">
        <v>83</v>
      </c>
      <c r="M867">
        <v>106.9</v>
      </c>
    </row>
    <row r="868" spans="2:13" x14ac:dyDescent="0.25">
      <c r="B868" s="50" t="s">
        <v>1155</v>
      </c>
      <c r="C868">
        <v>20</v>
      </c>
      <c r="D868">
        <v>20</v>
      </c>
      <c r="E868">
        <v>1.9</v>
      </c>
      <c r="F868" s="16">
        <v>1.9</v>
      </c>
      <c r="G868">
        <v>77</v>
      </c>
      <c r="H868">
        <v>0</v>
      </c>
      <c r="I868" t="s">
        <v>1293</v>
      </c>
      <c r="J868" t="s">
        <v>910</v>
      </c>
      <c r="K868">
        <v>518</v>
      </c>
      <c r="L868">
        <v>83</v>
      </c>
      <c r="M868">
        <v>87.9</v>
      </c>
    </row>
    <row r="869" spans="2:13" x14ac:dyDescent="0.25">
      <c r="B869" s="50" t="s">
        <v>2971</v>
      </c>
      <c r="C869">
        <v>20</v>
      </c>
      <c r="D869">
        <v>20</v>
      </c>
      <c r="E869">
        <v>1.9</v>
      </c>
      <c r="F869" s="16">
        <v>1.9</v>
      </c>
      <c r="G869">
        <v>77</v>
      </c>
      <c r="H869">
        <v>0</v>
      </c>
      <c r="I869" t="s">
        <v>1221</v>
      </c>
      <c r="J869" t="s">
        <v>910</v>
      </c>
      <c r="K869">
        <v>546</v>
      </c>
      <c r="L869">
        <v>83</v>
      </c>
      <c r="M869">
        <v>114.4</v>
      </c>
    </row>
    <row r="870" spans="2:13" x14ac:dyDescent="0.25">
      <c r="B870" s="50" t="s">
        <v>3888</v>
      </c>
      <c r="C870">
        <v>21</v>
      </c>
      <c r="D870">
        <v>21</v>
      </c>
      <c r="E870">
        <v>1.4</v>
      </c>
      <c r="F870" s="16">
        <v>1.4</v>
      </c>
      <c r="G870">
        <v>58</v>
      </c>
      <c r="H870">
        <v>0</v>
      </c>
      <c r="I870" t="s">
        <v>1298</v>
      </c>
      <c r="J870" t="s">
        <v>900</v>
      </c>
      <c r="K870">
        <v>275</v>
      </c>
      <c r="L870">
        <v>58</v>
      </c>
      <c r="M870">
        <v>67.5</v>
      </c>
    </row>
    <row r="871" spans="2:13" x14ac:dyDescent="0.25">
      <c r="B871" s="50" t="s">
        <v>3887</v>
      </c>
      <c r="C871">
        <v>21</v>
      </c>
      <c r="D871">
        <v>21</v>
      </c>
      <c r="E871">
        <v>1.4</v>
      </c>
      <c r="F871" s="16">
        <v>1.4</v>
      </c>
      <c r="G871">
        <v>58</v>
      </c>
      <c r="H871">
        <v>0</v>
      </c>
      <c r="I871" t="s">
        <v>1298</v>
      </c>
      <c r="J871" t="s">
        <v>900</v>
      </c>
      <c r="K871">
        <v>275</v>
      </c>
      <c r="L871">
        <v>58</v>
      </c>
      <c r="M871">
        <v>67.5</v>
      </c>
    </row>
    <row r="872" spans="2:13" x14ac:dyDescent="0.25">
      <c r="B872" s="50" t="s">
        <v>2970</v>
      </c>
      <c r="C872">
        <v>21</v>
      </c>
      <c r="D872">
        <v>21</v>
      </c>
      <c r="E872">
        <v>1.4</v>
      </c>
      <c r="F872" s="16">
        <v>1.4</v>
      </c>
      <c r="G872">
        <v>58</v>
      </c>
      <c r="H872">
        <v>0</v>
      </c>
      <c r="I872" t="s">
        <v>1286</v>
      </c>
      <c r="J872" t="s">
        <v>900</v>
      </c>
      <c r="K872">
        <v>290</v>
      </c>
      <c r="L872">
        <v>58</v>
      </c>
      <c r="M872">
        <v>67.900000000000006</v>
      </c>
    </row>
    <row r="873" spans="2:13" x14ac:dyDescent="0.25">
      <c r="B873" s="50" t="s">
        <v>2969</v>
      </c>
      <c r="C873">
        <v>21</v>
      </c>
      <c r="D873">
        <v>21</v>
      </c>
      <c r="E873">
        <v>1.4</v>
      </c>
      <c r="F873" s="16">
        <v>1.4</v>
      </c>
      <c r="G873">
        <v>58</v>
      </c>
      <c r="H873">
        <v>0</v>
      </c>
      <c r="I873" t="s">
        <v>1286</v>
      </c>
      <c r="J873" t="s">
        <v>900</v>
      </c>
      <c r="K873">
        <v>290</v>
      </c>
      <c r="L873">
        <v>58</v>
      </c>
      <c r="M873">
        <v>67.900000000000006</v>
      </c>
    </row>
    <row r="874" spans="2:13" x14ac:dyDescent="0.25">
      <c r="B874" s="50" t="s">
        <v>2968</v>
      </c>
      <c r="C874">
        <v>21</v>
      </c>
      <c r="D874">
        <v>21</v>
      </c>
      <c r="E874">
        <v>1.4</v>
      </c>
      <c r="F874" s="16">
        <v>1.4</v>
      </c>
      <c r="G874">
        <v>58</v>
      </c>
      <c r="H874">
        <v>0</v>
      </c>
      <c r="I874" t="s">
        <v>1227</v>
      </c>
      <c r="J874" t="s">
        <v>1228</v>
      </c>
      <c r="K874">
        <v>285</v>
      </c>
      <c r="L874">
        <v>58</v>
      </c>
      <c r="M874">
        <v>66.400000000000006</v>
      </c>
    </row>
    <row r="875" spans="2:13" x14ac:dyDescent="0.25">
      <c r="B875" s="50" t="s">
        <v>3886</v>
      </c>
      <c r="C875">
        <v>21</v>
      </c>
      <c r="D875">
        <v>21</v>
      </c>
      <c r="E875">
        <v>1.4</v>
      </c>
      <c r="F875" s="16">
        <v>1.4</v>
      </c>
      <c r="G875">
        <v>58</v>
      </c>
      <c r="H875">
        <v>0</v>
      </c>
      <c r="I875" t="s">
        <v>1227</v>
      </c>
      <c r="J875" t="s">
        <v>1228</v>
      </c>
      <c r="K875">
        <v>285</v>
      </c>
      <c r="L875">
        <v>58</v>
      </c>
      <c r="M875">
        <v>66.400000000000006</v>
      </c>
    </row>
    <row r="876" spans="2:13" x14ac:dyDescent="0.25">
      <c r="B876" s="50" t="s">
        <v>2754</v>
      </c>
      <c r="C876">
        <v>21</v>
      </c>
      <c r="D876">
        <v>21</v>
      </c>
      <c r="E876">
        <v>1.4</v>
      </c>
      <c r="F876" s="16">
        <v>1.4</v>
      </c>
      <c r="G876">
        <v>58</v>
      </c>
      <c r="H876">
        <v>0</v>
      </c>
      <c r="I876" t="s">
        <v>1221</v>
      </c>
      <c r="J876" t="s">
        <v>900</v>
      </c>
      <c r="K876">
        <v>275</v>
      </c>
      <c r="L876">
        <v>58</v>
      </c>
      <c r="M876">
        <v>67.599999999999994</v>
      </c>
    </row>
    <row r="877" spans="2:13" x14ac:dyDescent="0.25">
      <c r="B877" s="50" t="s">
        <v>3885</v>
      </c>
      <c r="C877">
        <v>21</v>
      </c>
      <c r="D877">
        <v>21</v>
      </c>
      <c r="E877">
        <v>1.4</v>
      </c>
      <c r="F877" s="16">
        <v>1.4</v>
      </c>
      <c r="G877">
        <v>58</v>
      </c>
      <c r="H877">
        <v>0</v>
      </c>
      <c r="I877" t="s">
        <v>1221</v>
      </c>
      <c r="J877" t="s">
        <v>900</v>
      </c>
      <c r="K877">
        <v>275</v>
      </c>
      <c r="L877">
        <v>58</v>
      </c>
      <c r="M877">
        <v>67.599999999999994</v>
      </c>
    </row>
    <row r="878" spans="2:13" x14ac:dyDescent="0.25">
      <c r="B878" s="50" t="s">
        <v>980</v>
      </c>
      <c r="C878">
        <v>21</v>
      </c>
      <c r="D878">
        <v>21</v>
      </c>
      <c r="E878">
        <v>1.5</v>
      </c>
      <c r="F878" s="16">
        <v>1.5</v>
      </c>
      <c r="G878">
        <v>58</v>
      </c>
      <c r="H878">
        <v>0</v>
      </c>
      <c r="I878" t="s">
        <v>1286</v>
      </c>
      <c r="J878" t="s">
        <v>900</v>
      </c>
      <c r="K878">
        <v>305</v>
      </c>
      <c r="L878">
        <v>73.599999999999994</v>
      </c>
      <c r="M878">
        <v>67.900000000000006</v>
      </c>
    </row>
    <row r="879" spans="2:13" x14ac:dyDescent="0.25">
      <c r="B879" s="50" t="s">
        <v>981</v>
      </c>
      <c r="C879">
        <v>21</v>
      </c>
      <c r="D879">
        <v>21</v>
      </c>
      <c r="E879">
        <v>1.5</v>
      </c>
      <c r="F879" s="16">
        <v>1.5</v>
      </c>
      <c r="G879">
        <v>58</v>
      </c>
      <c r="H879">
        <v>0</v>
      </c>
      <c r="I879" t="s">
        <v>1227</v>
      </c>
      <c r="J879" t="s">
        <v>1228</v>
      </c>
      <c r="K879">
        <v>300</v>
      </c>
      <c r="L879">
        <v>73.599999999999994</v>
      </c>
      <c r="M879">
        <v>66.400000000000006</v>
      </c>
    </row>
    <row r="880" spans="2:13" x14ac:dyDescent="0.25">
      <c r="B880" s="50" t="s">
        <v>982</v>
      </c>
      <c r="C880">
        <v>21</v>
      </c>
      <c r="D880">
        <v>21</v>
      </c>
      <c r="E880">
        <v>1.5</v>
      </c>
      <c r="F880" s="16">
        <v>1.5</v>
      </c>
      <c r="G880">
        <v>58</v>
      </c>
      <c r="H880">
        <v>0</v>
      </c>
      <c r="I880" t="s">
        <v>1221</v>
      </c>
      <c r="J880" t="s">
        <v>900</v>
      </c>
      <c r="K880">
        <v>290</v>
      </c>
      <c r="L880">
        <v>73.599999999999994</v>
      </c>
      <c r="M880">
        <v>67.599999999999994</v>
      </c>
    </row>
    <row r="881" spans="2:13" x14ac:dyDescent="0.25">
      <c r="B881" s="50" t="s">
        <v>4260</v>
      </c>
      <c r="C881">
        <v>24</v>
      </c>
      <c r="D881">
        <v>24</v>
      </c>
      <c r="E881">
        <v>1.4</v>
      </c>
      <c r="F881" s="16">
        <v>1.4</v>
      </c>
      <c r="G881">
        <v>77</v>
      </c>
      <c r="H881">
        <v>0</v>
      </c>
      <c r="I881" t="s">
        <v>1229</v>
      </c>
      <c r="J881" t="s">
        <v>910</v>
      </c>
      <c r="K881">
        <v>580</v>
      </c>
      <c r="L881">
        <v>83</v>
      </c>
      <c r="M881">
        <v>95</v>
      </c>
    </row>
    <row r="882" spans="2:13" x14ac:dyDescent="0.25">
      <c r="B882" s="50" t="s">
        <v>3884</v>
      </c>
      <c r="C882">
        <v>24</v>
      </c>
      <c r="D882">
        <v>24</v>
      </c>
      <c r="E882">
        <v>1.4</v>
      </c>
      <c r="F882" s="16">
        <v>1.4</v>
      </c>
      <c r="G882">
        <v>77</v>
      </c>
      <c r="H882">
        <v>0</v>
      </c>
      <c r="I882" t="s">
        <v>1298</v>
      </c>
      <c r="J882" t="s">
        <v>900</v>
      </c>
      <c r="K882">
        <v>580</v>
      </c>
      <c r="L882">
        <v>83</v>
      </c>
      <c r="M882">
        <v>123.4</v>
      </c>
    </row>
    <row r="883" spans="2:13" x14ac:dyDescent="0.25">
      <c r="B883" s="50" t="s">
        <v>3883</v>
      </c>
      <c r="C883">
        <v>24</v>
      </c>
      <c r="D883">
        <v>24</v>
      </c>
      <c r="E883">
        <v>1.4</v>
      </c>
      <c r="F883" s="16">
        <v>1.4</v>
      </c>
      <c r="G883">
        <v>77</v>
      </c>
      <c r="H883">
        <v>0</v>
      </c>
      <c r="I883" t="s">
        <v>1228</v>
      </c>
      <c r="J883" t="s">
        <v>1228</v>
      </c>
      <c r="K883">
        <v>580</v>
      </c>
      <c r="L883">
        <v>83</v>
      </c>
      <c r="M883">
        <v>95</v>
      </c>
    </row>
    <row r="884" spans="2:13" x14ac:dyDescent="0.25">
      <c r="B884" s="50" t="s">
        <v>3882</v>
      </c>
      <c r="C884">
        <v>24</v>
      </c>
      <c r="D884">
        <v>24</v>
      </c>
      <c r="E884">
        <v>1.4</v>
      </c>
      <c r="F884" s="16">
        <v>1.4</v>
      </c>
      <c r="G884">
        <v>77</v>
      </c>
      <c r="H884">
        <v>0</v>
      </c>
      <c r="I884" t="s">
        <v>1286</v>
      </c>
      <c r="J884" t="s">
        <v>1228</v>
      </c>
      <c r="K884">
        <v>630</v>
      </c>
      <c r="L884">
        <v>83</v>
      </c>
      <c r="M884">
        <v>123.8</v>
      </c>
    </row>
    <row r="885" spans="2:13" x14ac:dyDescent="0.25">
      <c r="B885" s="50" t="s">
        <v>3881</v>
      </c>
      <c r="C885">
        <v>24</v>
      </c>
      <c r="D885">
        <v>24</v>
      </c>
      <c r="E885">
        <v>1.4</v>
      </c>
      <c r="F885" s="16">
        <v>1.4</v>
      </c>
      <c r="G885">
        <v>77</v>
      </c>
      <c r="H885">
        <v>0</v>
      </c>
      <c r="I885" t="s">
        <v>1227</v>
      </c>
      <c r="J885" t="s">
        <v>1228</v>
      </c>
      <c r="K885">
        <v>585</v>
      </c>
      <c r="L885">
        <v>83</v>
      </c>
      <c r="M885">
        <v>122.3</v>
      </c>
    </row>
    <row r="886" spans="2:13" x14ac:dyDescent="0.25">
      <c r="B886" s="50" t="s">
        <v>4140</v>
      </c>
      <c r="C886">
        <v>24</v>
      </c>
      <c r="D886">
        <v>24</v>
      </c>
      <c r="E886">
        <v>1.4</v>
      </c>
      <c r="F886" s="16">
        <v>1.4</v>
      </c>
      <c r="G886">
        <v>77</v>
      </c>
      <c r="H886">
        <v>0</v>
      </c>
      <c r="I886" t="s">
        <v>8</v>
      </c>
      <c r="J886" t="s">
        <v>910</v>
      </c>
      <c r="K886">
        <v>580</v>
      </c>
      <c r="L886">
        <v>83</v>
      </c>
      <c r="M886">
        <v>95</v>
      </c>
    </row>
    <row r="887" spans="2:13" x14ac:dyDescent="0.25">
      <c r="B887" s="50" t="s">
        <v>3880</v>
      </c>
      <c r="C887">
        <v>24</v>
      </c>
      <c r="D887">
        <v>24</v>
      </c>
      <c r="E887">
        <v>1.4</v>
      </c>
      <c r="F887" s="16">
        <v>1.4</v>
      </c>
      <c r="G887">
        <v>77</v>
      </c>
      <c r="H887">
        <v>0</v>
      </c>
      <c r="I887" t="s">
        <v>1331</v>
      </c>
      <c r="J887" t="s">
        <v>910</v>
      </c>
      <c r="K887">
        <v>580</v>
      </c>
      <c r="L887">
        <v>83</v>
      </c>
      <c r="M887">
        <v>95</v>
      </c>
    </row>
    <row r="888" spans="2:13" x14ac:dyDescent="0.25">
      <c r="B888" s="50" t="s">
        <v>3879</v>
      </c>
      <c r="C888">
        <v>24</v>
      </c>
      <c r="D888">
        <v>24</v>
      </c>
      <c r="E888">
        <v>1.4</v>
      </c>
      <c r="F888" s="16">
        <v>1.4</v>
      </c>
      <c r="G888">
        <v>77</v>
      </c>
      <c r="H888">
        <v>0</v>
      </c>
      <c r="I888" t="s">
        <v>1333</v>
      </c>
      <c r="J888" t="s">
        <v>900</v>
      </c>
      <c r="K888">
        <v>580</v>
      </c>
      <c r="L888">
        <v>83</v>
      </c>
      <c r="M888">
        <v>95</v>
      </c>
    </row>
    <row r="889" spans="2:13" x14ac:dyDescent="0.25">
      <c r="B889" s="50" t="s">
        <v>4139</v>
      </c>
      <c r="C889">
        <v>24</v>
      </c>
      <c r="D889">
        <v>24</v>
      </c>
      <c r="E889">
        <v>1.4</v>
      </c>
      <c r="F889" s="16">
        <v>1.4</v>
      </c>
      <c r="G889">
        <v>77</v>
      </c>
      <c r="H889">
        <v>0</v>
      </c>
      <c r="I889" t="s">
        <v>1293</v>
      </c>
      <c r="J889" t="s">
        <v>910</v>
      </c>
      <c r="K889">
        <v>580</v>
      </c>
      <c r="L889">
        <v>83</v>
      </c>
      <c r="M889">
        <v>95</v>
      </c>
    </row>
    <row r="890" spans="2:13" x14ac:dyDescent="0.25">
      <c r="B890" s="50" t="s">
        <v>3878</v>
      </c>
      <c r="C890">
        <v>24</v>
      </c>
      <c r="D890">
        <v>24</v>
      </c>
      <c r="E890">
        <v>1.4</v>
      </c>
      <c r="F890" s="16">
        <v>1.4</v>
      </c>
      <c r="G890">
        <v>77</v>
      </c>
      <c r="H890">
        <v>0</v>
      </c>
      <c r="I890" t="s">
        <v>1221</v>
      </c>
      <c r="J890" t="s">
        <v>900</v>
      </c>
      <c r="K890">
        <v>580</v>
      </c>
      <c r="L890">
        <v>83</v>
      </c>
      <c r="M890">
        <v>95</v>
      </c>
    </row>
    <row r="891" spans="2:13" x14ac:dyDescent="0.25">
      <c r="B891" s="50" t="s">
        <v>1064</v>
      </c>
      <c r="C891">
        <v>24</v>
      </c>
      <c r="D891">
        <v>24</v>
      </c>
      <c r="E891">
        <v>1.5</v>
      </c>
      <c r="F891" s="16">
        <v>1.5</v>
      </c>
      <c r="G891">
        <v>77</v>
      </c>
      <c r="H891">
        <v>0</v>
      </c>
      <c r="I891" t="s">
        <v>8</v>
      </c>
      <c r="J891" t="s">
        <v>910</v>
      </c>
      <c r="K891">
        <v>680</v>
      </c>
      <c r="L891">
        <v>83</v>
      </c>
      <c r="M891">
        <v>97</v>
      </c>
    </row>
    <row r="892" spans="2:13" x14ac:dyDescent="0.25">
      <c r="B892" s="50" t="s">
        <v>1068</v>
      </c>
      <c r="C892">
        <v>24</v>
      </c>
      <c r="D892">
        <v>24</v>
      </c>
      <c r="E892">
        <v>1.5</v>
      </c>
      <c r="F892" s="16">
        <v>1.5</v>
      </c>
      <c r="G892">
        <v>77</v>
      </c>
      <c r="H892">
        <v>0</v>
      </c>
      <c r="I892" t="s">
        <v>1229</v>
      </c>
      <c r="J892" t="s">
        <v>910</v>
      </c>
      <c r="K892">
        <v>615</v>
      </c>
      <c r="L892">
        <v>83</v>
      </c>
      <c r="M892">
        <v>97.5</v>
      </c>
    </row>
    <row r="893" spans="2:13" x14ac:dyDescent="0.25">
      <c r="B893" s="50" t="s">
        <v>3294</v>
      </c>
      <c r="C893">
        <v>24</v>
      </c>
      <c r="D893">
        <v>24</v>
      </c>
      <c r="E893">
        <v>1.5</v>
      </c>
      <c r="F893" s="16">
        <v>1.5</v>
      </c>
      <c r="G893">
        <v>77</v>
      </c>
      <c r="H893">
        <v>0</v>
      </c>
      <c r="I893" t="s">
        <v>1298</v>
      </c>
      <c r="J893" t="s">
        <v>900</v>
      </c>
      <c r="K893">
        <v>630</v>
      </c>
      <c r="L893">
        <v>83</v>
      </c>
      <c r="M893">
        <v>123.4</v>
      </c>
    </row>
    <row r="894" spans="2:13" x14ac:dyDescent="0.25">
      <c r="B894" s="50" t="s">
        <v>3293</v>
      </c>
      <c r="C894">
        <v>24</v>
      </c>
      <c r="D894">
        <v>24</v>
      </c>
      <c r="E894">
        <v>1.5</v>
      </c>
      <c r="F894" s="16">
        <v>1.5</v>
      </c>
      <c r="G894">
        <v>77</v>
      </c>
      <c r="H894">
        <v>0</v>
      </c>
      <c r="I894" t="s">
        <v>1228</v>
      </c>
      <c r="J894" t="s">
        <v>1228</v>
      </c>
      <c r="K894">
        <v>630</v>
      </c>
      <c r="L894">
        <v>83</v>
      </c>
      <c r="M894">
        <v>102.8</v>
      </c>
    </row>
    <row r="895" spans="2:13" x14ac:dyDescent="0.25">
      <c r="B895" s="50" t="s">
        <v>3292</v>
      </c>
      <c r="C895">
        <v>24</v>
      </c>
      <c r="D895">
        <v>24</v>
      </c>
      <c r="E895">
        <v>1.5</v>
      </c>
      <c r="F895" s="16">
        <v>1.5</v>
      </c>
      <c r="G895">
        <v>77</v>
      </c>
      <c r="H895">
        <v>0</v>
      </c>
      <c r="I895" t="s">
        <v>1286</v>
      </c>
      <c r="J895" t="s">
        <v>900</v>
      </c>
      <c r="K895">
        <v>640</v>
      </c>
      <c r="L895">
        <v>83</v>
      </c>
      <c r="M895">
        <v>123.8</v>
      </c>
    </row>
    <row r="896" spans="2:13" x14ac:dyDescent="0.25">
      <c r="B896" s="50" t="s">
        <v>1073</v>
      </c>
      <c r="C896">
        <v>24</v>
      </c>
      <c r="D896">
        <v>24</v>
      </c>
      <c r="E896">
        <v>1.5</v>
      </c>
      <c r="F896" s="16">
        <v>1.5</v>
      </c>
      <c r="G896">
        <v>77</v>
      </c>
      <c r="H896">
        <v>0</v>
      </c>
      <c r="I896" t="s">
        <v>1227</v>
      </c>
      <c r="J896" t="s">
        <v>1228</v>
      </c>
      <c r="K896">
        <v>635</v>
      </c>
      <c r="L896">
        <v>83</v>
      </c>
      <c r="M896">
        <v>122.3</v>
      </c>
    </row>
    <row r="897" spans="2:13" x14ac:dyDescent="0.25">
      <c r="B897" s="50" t="s">
        <v>1072</v>
      </c>
      <c r="C897">
        <v>24</v>
      </c>
      <c r="D897">
        <v>24</v>
      </c>
      <c r="E897">
        <v>1.5</v>
      </c>
      <c r="F897" s="16">
        <v>1.5</v>
      </c>
      <c r="G897">
        <v>77</v>
      </c>
      <c r="H897">
        <v>0</v>
      </c>
      <c r="I897" t="s">
        <v>8</v>
      </c>
      <c r="J897" t="s">
        <v>910</v>
      </c>
      <c r="K897">
        <v>600</v>
      </c>
      <c r="L897">
        <v>83</v>
      </c>
      <c r="M897">
        <v>95</v>
      </c>
    </row>
    <row r="898" spans="2:13" x14ac:dyDescent="0.25">
      <c r="B898" s="50" t="s">
        <v>3291</v>
      </c>
      <c r="C898">
        <v>24</v>
      </c>
      <c r="D898">
        <v>24</v>
      </c>
      <c r="E898">
        <v>1.5</v>
      </c>
      <c r="F898" s="16">
        <v>1.5</v>
      </c>
      <c r="G898">
        <v>77</v>
      </c>
      <c r="H898">
        <v>0</v>
      </c>
      <c r="I898" t="s">
        <v>1331</v>
      </c>
      <c r="J898" t="s">
        <v>910</v>
      </c>
      <c r="K898">
        <v>600</v>
      </c>
      <c r="L898">
        <v>83</v>
      </c>
      <c r="M898">
        <v>96</v>
      </c>
    </row>
    <row r="899" spans="2:13" x14ac:dyDescent="0.25">
      <c r="B899" s="50" t="s">
        <v>3290</v>
      </c>
      <c r="C899">
        <v>24</v>
      </c>
      <c r="D899">
        <v>24</v>
      </c>
      <c r="E899">
        <v>1.5</v>
      </c>
      <c r="F899" s="16">
        <v>1.5</v>
      </c>
      <c r="G899">
        <v>77</v>
      </c>
      <c r="H899">
        <v>0</v>
      </c>
      <c r="I899" t="s">
        <v>1333</v>
      </c>
      <c r="J899" t="s">
        <v>900</v>
      </c>
      <c r="K899">
        <v>630</v>
      </c>
      <c r="L899">
        <v>83</v>
      </c>
      <c r="M899">
        <v>116</v>
      </c>
    </row>
    <row r="900" spans="2:13" x14ac:dyDescent="0.25">
      <c r="B900" s="50" t="s">
        <v>3289</v>
      </c>
      <c r="C900">
        <v>24</v>
      </c>
      <c r="D900">
        <v>24</v>
      </c>
      <c r="E900">
        <v>1.5</v>
      </c>
      <c r="F900" s="16">
        <v>1.5</v>
      </c>
      <c r="G900">
        <v>77</v>
      </c>
      <c r="H900">
        <v>0</v>
      </c>
      <c r="I900" t="s">
        <v>1293</v>
      </c>
      <c r="J900" t="s">
        <v>910</v>
      </c>
      <c r="K900">
        <v>609</v>
      </c>
      <c r="L900">
        <v>83</v>
      </c>
      <c r="M900">
        <v>97</v>
      </c>
    </row>
    <row r="901" spans="2:13" x14ac:dyDescent="0.25">
      <c r="B901" s="50" t="s">
        <v>1069</v>
      </c>
      <c r="C901">
        <v>24</v>
      </c>
      <c r="D901">
        <v>24</v>
      </c>
      <c r="E901">
        <v>1.5</v>
      </c>
      <c r="F901" s="16">
        <v>1.5</v>
      </c>
      <c r="G901">
        <v>77</v>
      </c>
      <c r="H901">
        <v>0</v>
      </c>
      <c r="I901" t="s">
        <v>1221</v>
      </c>
      <c r="J901" t="s">
        <v>900</v>
      </c>
      <c r="K901">
        <v>640</v>
      </c>
      <c r="L901">
        <v>83</v>
      </c>
      <c r="M901">
        <v>123.5</v>
      </c>
    </row>
    <row r="902" spans="2:13" x14ac:dyDescent="0.25">
      <c r="B902" s="50" t="s">
        <v>3323</v>
      </c>
      <c r="C902">
        <v>300</v>
      </c>
      <c r="D902">
        <v>300</v>
      </c>
      <c r="E902">
        <v>6.3</v>
      </c>
      <c r="F902" s="16">
        <v>6.3</v>
      </c>
      <c r="G902">
        <v>0</v>
      </c>
      <c r="H902">
        <v>0</v>
      </c>
      <c r="I902" t="s">
        <v>1298</v>
      </c>
      <c r="J902" t="s">
        <v>910</v>
      </c>
      <c r="K902">
        <v>318</v>
      </c>
      <c r="L902">
        <v>64.5</v>
      </c>
      <c r="M902">
        <v>73.7</v>
      </c>
    </row>
    <row r="903" spans="2:13" x14ac:dyDescent="0.25">
      <c r="B903" s="50" t="s">
        <v>947</v>
      </c>
      <c r="C903">
        <v>300</v>
      </c>
      <c r="D903">
        <v>300</v>
      </c>
      <c r="E903">
        <v>6.3</v>
      </c>
      <c r="F903" s="16">
        <v>6.3</v>
      </c>
      <c r="G903">
        <v>0</v>
      </c>
      <c r="H903">
        <v>0</v>
      </c>
      <c r="I903" t="s">
        <v>1298</v>
      </c>
      <c r="J903" t="s">
        <v>910</v>
      </c>
      <c r="K903">
        <v>318</v>
      </c>
      <c r="L903">
        <v>64.5</v>
      </c>
      <c r="M903">
        <v>73.7</v>
      </c>
    </row>
    <row r="904" spans="2:13" x14ac:dyDescent="0.25">
      <c r="B904" s="50" t="s">
        <v>3322</v>
      </c>
      <c r="C904">
        <v>300</v>
      </c>
      <c r="D904">
        <v>300</v>
      </c>
      <c r="E904">
        <v>6.3</v>
      </c>
      <c r="F904" s="16">
        <v>6.3</v>
      </c>
      <c r="G904">
        <v>0</v>
      </c>
      <c r="H904">
        <v>0</v>
      </c>
      <c r="I904" t="s">
        <v>1286</v>
      </c>
      <c r="J904" t="s">
        <v>900</v>
      </c>
      <c r="K904">
        <v>318</v>
      </c>
      <c r="L904">
        <v>64.5</v>
      </c>
      <c r="M904">
        <v>73.7</v>
      </c>
    </row>
    <row r="905" spans="2:13" x14ac:dyDescent="0.25">
      <c r="B905" s="50" t="s">
        <v>949</v>
      </c>
      <c r="C905">
        <v>300</v>
      </c>
      <c r="D905">
        <v>300</v>
      </c>
      <c r="E905">
        <v>6.3</v>
      </c>
      <c r="F905" s="16">
        <v>6.3</v>
      </c>
      <c r="G905">
        <v>0</v>
      </c>
      <c r="H905">
        <v>0</v>
      </c>
      <c r="I905" t="s">
        <v>1286</v>
      </c>
      <c r="J905" t="s">
        <v>900</v>
      </c>
      <c r="K905">
        <v>318</v>
      </c>
      <c r="L905">
        <v>64.5</v>
      </c>
      <c r="M905">
        <v>73.7</v>
      </c>
    </row>
    <row r="906" spans="2:13" x14ac:dyDescent="0.25">
      <c r="B906" s="50" t="s">
        <v>4132</v>
      </c>
      <c r="C906">
        <v>300</v>
      </c>
      <c r="D906">
        <v>300</v>
      </c>
      <c r="E906">
        <v>6.3</v>
      </c>
      <c r="F906" s="16">
        <v>6.3</v>
      </c>
      <c r="G906">
        <v>0</v>
      </c>
      <c r="H906">
        <v>0</v>
      </c>
      <c r="I906" t="s">
        <v>1227</v>
      </c>
      <c r="J906" t="s">
        <v>1228</v>
      </c>
      <c r="K906">
        <v>318</v>
      </c>
      <c r="L906">
        <v>64.5</v>
      </c>
      <c r="M906">
        <v>73.7</v>
      </c>
    </row>
    <row r="907" spans="2:13" x14ac:dyDescent="0.25">
      <c r="B907" s="50" t="s">
        <v>948</v>
      </c>
      <c r="C907">
        <v>300</v>
      </c>
      <c r="D907">
        <v>300</v>
      </c>
      <c r="E907">
        <v>6.3</v>
      </c>
      <c r="F907" s="16">
        <v>6.3</v>
      </c>
      <c r="G907">
        <v>0</v>
      </c>
      <c r="H907">
        <v>0</v>
      </c>
      <c r="I907" t="s">
        <v>1227</v>
      </c>
      <c r="J907" t="s">
        <v>1228</v>
      </c>
      <c r="K907">
        <v>318</v>
      </c>
      <c r="L907">
        <v>64.5</v>
      </c>
      <c r="M907">
        <v>73.7</v>
      </c>
    </row>
    <row r="908" spans="2:13" x14ac:dyDescent="0.25">
      <c r="B908" s="50" t="s">
        <v>4254</v>
      </c>
      <c r="C908">
        <v>300</v>
      </c>
      <c r="D908">
        <v>300</v>
      </c>
      <c r="E908">
        <v>6.3</v>
      </c>
      <c r="F908" s="16">
        <v>6.3</v>
      </c>
      <c r="G908">
        <v>0</v>
      </c>
      <c r="H908">
        <v>0</v>
      </c>
      <c r="I908" t="s">
        <v>1221</v>
      </c>
      <c r="J908" t="s">
        <v>900</v>
      </c>
      <c r="K908">
        <v>318</v>
      </c>
      <c r="L908">
        <v>64.5</v>
      </c>
      <c r="M908">
        <v>73.7</v>
      </c>
    </row>
    <row r="909" spans="2:13" x14ac:dyDescent="0.25">
      <c r="B909" s="50" t="s">
        <v>950</v>
      </c>
      <c r="C909">
        <v>300</v>
      </c>
      <c r="D909">
        <v>300</v>
      </c>
      <c r="E909">
        <v>6.3</v>
      </c>
      <c r="F909" s="16">
        <v>6.3</v>
      </c>
      <c r="G909">
        <v>0</v>
      </c>
      <c r="H909">
        <v>0</v>
      </c>
      <c r="I909" t="s">
        <v>1221</v>
      </c>
      <c r="J909" t="s">
        <v>900</v>
      </c>
      <c r="K909">
        <v>318</v>
      </c>
      <c r="L909">
        <v>64.5</v>
      </c>
      <c r="M909">
        <v>73.7</v>
      </c>
    </row>
    <row r="910" spans="2:13" x14ac:dyDescent="0.25">
      <c r="B910" s="50" t="s">
        <v>1122</v>
      </c>
      <c r="C910">
        <v>300</v>
      </c>
      <c r="D910">
        <v>300</v>
      </c>
      <c r="E910">
        <v>6.3</v>
      </c>
      <c r="F910" s="16">
        <v>6.3</v>
      </c>
      <c r="G910">
        <v>25.5</v>
      </c>
      <c r="H910">
        <v>0</v>
      </c>
      <c r="I910" t="s">
        <v>1229</v>
      </c>
      <c r="J910" t="s">
        <v>910</v>
      </c>
      <c r="K910">
        <v>270</v>
      </c>
      <c r="L910">
        <v>64.5</v>
      </c>
      <c r="M910">
        <v>76.099999999999994</v>
      </c>
    </row>
    <row r="911" spans="2:13" x14ac:dyDescent="0.25">
      <c r="B911" s="50" t="s">
        <v>1123</v>
      </c>
      <c r="C911">
        <v>300</v>
      </c>
      <c r="D911">
        <v>300</v>
      </c>
      <c r="E911">
        <v>6.3</v>
      </c>
      <c r="F911" s="16">
        <v>6.3</v>
      </c>
      <c r="G911">
        <v>25.5</v>
      </c>
      <c r="H911">
        <v>0</v>
      </c>
      <c r="I911" t="s">
        <v>8</v>
      </c>
      <c r="J911" t="s">
        <v>910</v>
      </c>
      <c r="K911">
        <v>260</v>
      </c>
      <c r="L911">
        <v>64.5</v>
      </c>
      <c r="M911">
        <v>73.599999999999994</v>
      </c>
    </row>
    <row r="912" spans="2:13" x14ac:dyDescent="0.25">
      <c r="B912" s="50" t="s">
        <v>1124</v>
      </c>
      <c r="C912">
        <v>300</v>
      </c>
      <c r="D912">
        <v>300</v>
      </c>
      <c r="E912">
        <v>6.3</v>
      </c>
      <c r="F912" s="16">
        <v>6.3</v>
      </c>
      <c r="G912">
        <v>25.5</v>
      </c>
      <c r="H912">
        <v>0</v>
      </c>
      <c r="I912" t="s">
        <v>1293</v>
      </c>
      <c r="J912" t="s">
        <v>900</v>
      </c>
      <c r="K912">
        <v>260</v>
      </c>
      <c r="L912">
        <v>64.5</v>
      </c>
      <c r="M912">
        <v>75.599999999999994</v>
      </c>
    </row>
    <row r="913" spans="2:13" x14ac:dyDescent="0.25">
      <c r="B913" s="50" t="s">
        <v>2753</v>
      </c>
      <c r="C913">
        <v>35</v>
      </c>
      <c r="D913">
        <v>35</v>
      </c>
      <c r="E913">
        <v>1.2</v>
      </c>
      <c r="F913" s="16">
        <v>1.2</v>
      </c>
      <c r="G913">
        <v>62</v>
      </c>
      <c r="H913">
        <v>0</v>
      </c>
      <c r="I913" t="s">
        <v>1298</v>
      </c>
      <c r="J913" t="s">
        <v>900</v>
      </c>
      <c r="K913">
        <v>420</v>
      </c>
      <c r="L913">
        <v>67.5</v>
      </c>
      <c r="M913">
        <v>74.099999999999994</v>
      </c>
    </row>
    <row r="914" spans="2:13" x14ac:dyDescent="0.25">
      <c r="B914" s="50" t="s">
        <v>3288</v>
      </c>
      <c r="C914">
        <v>35</v>
      </c>
      <c r="D914">
        <v>35</v>
      </c>
      <c r="E914">
        <v>1.2</v>
      </c>
      <c r="F914" s="16">
        <v>1.2</v>
      </c>
      <c r="G914">
        <v>62</v>
      </c>
      <c r="H914">
        <v>0</v>
      </c>
      <c r="I914" t="s">
        <v>1286</v>
      </c>
      <c r="J914" t="s">
        <v>900</v>
      </c>
      <c r="K914">
        <v>433</v>
      </c>
      <c r="L914">
        <v>67.5</v>
      </c>
      <c r="M914">
        <v>74.5</v>
      </c>
    </row>
    <row r="915" spans="2:13" x14ac:dyDescent="0.25">
      <c r="B915" s="50" t="s">
        <v>4259</v>
      </c>
      <c r="C915">
        <v>35</v>
      </c>
      <c r="D915">
        <v>35</v>
      </c>
      <c r="E915">
        <v>1.2</v>
      </c>
      <c r="F915" s="16">
        <v>1.2</v>
      </c>
      <c r="G915">
        <v>62</v>
      </c>
      <c r="H915">
        <v>0</v>
      </c>
      <c r="I915" t="s">
        <v>1227</v>
      </c>
      <c r="J915" t="s">
        <v>1228</v>
      </c>
      <c r="K915">
        <v>426</v>
      </c>
      <c r="L915">
        <v>67.5</v>
      </c>
      <c r="M915">
        <v>73</v>
      </c>
    </row>
    <row r="916" spans="2:13" x14ac:dyDescent="0.25">
      <c r="B916" s="50" t="s">
        <v>4138</v>
      </c>
      <c r="C916">
        <v>35</v>
      </c>
      <c r="D916">
        <v>35</v>
      </c>
      <c r="E916">
        <v>1.2</v>
      </c>
      <c r="F916" s="16">
        <v>1.2</v>
      </c>
      <c r="G916">
        <v>62</v>
      </c>
      <c r="H916">
        <v>0</v>
      </c>
      <c r="I916" t="s">
        <v>1221</v>
      </c>
      <c r="J916" t="s">
        <v>900</v>
      </c>
      <c r="K916">
        <v>420</v>
      </c>
      <c r="L916">
        <v>67.5</v>
      </c>
      <c r="M916">
        <v>74.2</v>
      </c>
    </row>
    <row r="917" spans="2:13" x14ac:dyDescent="0.25">
      <c r="B917" s="50" t="s">
        <v>1102</v>
      </c>
      <c r="C917">
        <v>35</v>
      </c>
      <c r="D917">
        <v>35</v>
      </c>
      <c r="E917">
        <v>1.4</v>
      </c>
      <c r="F917" s="16">
        <v>1.4</v>
      </c>
      <c r="G917">
        <v>77</v>
      </c>
      <c r="H917">
        <v>0</v>
      </c>
      <c r="I917" t="s">
        <v>1229</v>
      </c>
      <c r="J917" t="s">
        <v>910</v>
      </c>
      <c r="K917">
        <v>660</v>
      </c>
      <c r="L917">
        <v>83</v>
      </c>
      <c r="M917">
        <v>111</v>
      </c>
    </row>
    <row r="918" spans="2:13" x14ac:dyDescent="0.25">
      <c r="B918" s="50" t="s">
        <v>1149</v>
      </c>
      <c r="C918">
        <v>35</v>
      </c>
      <c r="D918">
        <v>35</v>
      </c>
      <c r="E918">
        <v>1.4</v>
      </c>
      <c r="F918" s="16">
        <v>1.4</v>
      </c>
      <c r="G918">
        <v>77</v>
      </c>
      <c r="H918">
        <v>0</v>
      </c>
      <c r="I918" t="s">
        <v>1298</v>
      </c>
      <c r="J918" t="s">
        <v>910</v>
      </c>
      <c r="K918">
        <v>660</v>
      </c>
      <c r="L918">
        <v>83</v>
      </c>
      <c r="M918">
        <v>111</v>
      </c>
    </row>
    <row r="919" spans="2:13" x14ac:dyDescent="0.25">
      <c r="B919" s="50" t="s">
        <v>1105</v>
      </c>
      <c r="C919">
        <v>35</v>
      </c>
      <c r="D919">
        <v>35</v>
      </c>
      <c r="E919">
        <v>1.4</v>
      </c>
      <c r="F919" s="16">
        <v>1.4</v>
      </c>
      <c r="G919">
        <v>77</v>
      </c>
      <c r="H919">
        <v>0</v>
      </c>
      <c r="I919" t="s">
        <v>1228</v>
      </c>
      <c r="J919" t="s">
        <v>1228</v>
      </c>
      <c r="K919">
        <v>660</v>
      </c>
      <c r="L919">
        <v>83</v>
      </c>
      <c r="M919">
        <v>111</v>
      </c>
    </row>
    <row r="920" spans="2:13" x14ac:dyDescent="0.25">
      <c r="B920" s="50" t="s">
        <v>3287</v>
      </c>
      <c r="C920">
        <v>35</v>
      </c>
      <c r="D920">
        <v>35</v>
      </c>
      <c r="E920">
        <v>1.4</v>
      </c>
      <c r="F920" s="16">
        <v>1.4</v>
      </c>
      <c r="G920">
        <v>77</v>
      </c>
      <c r="H920">
        <v>0</v>
      </c>
      <c r="I920" t="s">
        <v>1286</v>
      </c>
      <c r="J920" t="s">
        <v>900</v>
      </c>
      <c r="K920">
        <v>780</v>
      </c>
      <c r="L920">
        <v>83</v>
      </c>
      <c r="M920">
        <v>137.80000000000001</v>
      </c>
    </row>
    <row r="921" spans="2:13" x14ac:dyDescent="0.25">
      <c r="B921" s="50" t="s">
        <v>1103</v>
      </c>
      <c r="C921">
        <v>35</v>
      </c>
      <c r="D921">
        <v>35</v>
      </c>
      <c r="E921">
        <v>1.4</v>
      </c>
      <c r="F921" s="16">
        <v>1.4</v>
      </c>
      <c r="G921">
        <v>77</v>
      </c>
      <c r="H921">
        <v>0</v>
      </c>
      <c r="I921" t="s">
        <v>8</v>
      </c>
      <c r="J921" t="s">
        <v>910</v>
      </c>
      <c r="K921">
        <v>660</v>
      </c>
      <c r="L921">
        <v>83</v>
      </c>
      <c r="M921">
        <v>111</v>
      </c>
    </row>
    <row r="922" spans="2:13" x14ac:dyDescent="0.25">
      <c r="B922" s="50" t="s">
        <v>1107</v>
      </c>
      <c r="C922">
        <v>35</v>
      </c>
      <c r="D922">
        <v>35</v>
      </c>
      <c r="E922">
        <v>1.4</v>
      </c>
      <c r="F922" s="16">
        <v>1.4</v>
      </c>
      <c r="G922">
        <v>77</v>
      </c>
      <c r="H922">
        <v>0</v>
      </c>
      <c r="I922" t="s">
        <v>1331</v>
      </c>
      <c r="J922" t="s">
        <v>910</v>
      </c>
      <c r="K922">
        <v>660</v>
      </c>
      <c r="L922">
        <v>83</v>
      </c>
      <c r="M922">
        <v>111</v>
      </c>
    </row>
    <row r="923" spans="2:13" x14ac:dyDescent="0.25">
      <c r="B923" s="50" t="s">
        <v>1147</v>
      </c>
      <c r="C923">
        <v>35</v>
      </c>
      <c r="D923">
        <v>35</v>
      </c>
      <c r="E923">
        <v>1.4</v>
      </c>
      <c r="F923" s="16">
        <v>1.4</v>
      </c>
      <c r="G923">
        <v>77</v>
      </c>
      <c r="H923">
        <v>0</v>
      </c>
      <c r="I923" t="s">
        <v>1333</v>
      </c>
      <c r="J923" t="s">
        <v>900</v>
      </c>
      <c r="K923">
        <v>660</v>
      </c>
      <c r="L923">
        <v>83</v>
      </c>
      <c r="M923">
        <v>111</v>
      </c>
    </row>
    <row r="924" spans="2:13" x14ac:dyDescent="0.25">
      <c r="B924" s="50" t="s">
        <v>1106</v>
      </c>
      <c r="C924">
        <v>35</v>
      </c>
      <c r="D924">
        <v>35</v>
      </c>
      <c r="E924">
        <v>1.4</v>
      </c>
      <c r="F924" s="16">
        <v>1.4</v>
      </c>
      <c r="G924">
        <v>77</v>
      </c>
      <c r="H924">
        <v>0</v>
      </c>
      <c r="I924" t="s">
        <v>1293</v>
      </c>
      <c r="J924" t="s">
        <v>910</v>
      </c>
      <c r="K924">
        <v>660</v>
      </c>
      <c r="L924">
        <v>83</v>
      </c>
      <c r="M924">
        <v>111</v>
      </c>
    </row>
    <row r="925" spans="2:13" x14ac:dyDescent="0.25">
      <c r="B925" s="50" t="s">
        <v>1151</v>
      </c>
      <c r="C925">
        <v>35</v>
      </c>
      <c r="D925">
        <v>35</v>
      </c>
      <c r="E925">
        <v>1.4</v>
      </c>
      <c r="F925" s="16">
        <v>1.4</v>
      </c>
      <c r="G925">
        <v>77</v>
      </c>
      <c r="H925">
        <v>0</v>
      </c>
      <c r="I925" t="s">
        <v>1221</v>
      </c>
      <c r="J925" t="s">
        <v>900</v>
      </c>
      <c r="K925">
        <v>660</v>
      </c>
      <c r="L925">
        <v>83</v>
      </c>
      <c r="M925">
        <v>111</v>
      </c>
    </row>
    <row r="926" spans="2:13" x14ac:dyDescent="0.25">
      <c r="B926" s="50" t="s">
        <v>1065</v>
      </c>
      <c r="C926">
        <v>35</v>
      </c>
      <c r="D926">
        <v>35</v>
      </c>
      <c r="E926">
        <v>1.5</v>
      </c>
      <c r="F926" s="16">
        <v>1.5</v>
      </c>
      <c r="G926">
        <v>77</v>
      </c>
      <c r="H926">
        <v>0</v>
      </c>
      <c r="I926" t="s">
        <v>8</v>
      </c>
      <c r="J926" t="s">
        <v>910</v>
      </c>
      <c r="K926">
        <v>660</v>
      </c>
      <c r="L926">
        <v>83</v>
      </c>
      <c r="M926">
        <v>111</v>
      </c>
    </row>
    <row r="927" spans="2:13" x14ac:dyDescent="0.25">
      <c r="B927" s="50" t="s">
        <v>3877</v>
      </c>
      <c r="C927">
        <v>35</v>
      </c>
      <c r="D927">
        <v>35</v>
      </c>
      <c r="E927">
        <v>1.3</v>
      </c>
      <c r="F927" s="16">
        <v>1.3</v>
      </c>
      <c r="G927">
        <v>62</v>
      </c>
      <c r="H927">
        <v>0</v>
      </c>
      <c r="I927" t="s">
        <v>1298</v>
      </c>
      <c r="J927" t="s">
        <v>900</v>
      </c>
      <c r="K927">
        <v>430</v>
      </c>
      <c r="L927">
        <v>73.599999999999994</v>
      </c>
      <c r="M927">
        <v>74.099999999999994</v>
      </c>
    </row>
    <row r="928" spans="2:13" x14ac:dyDescent="0.25">
      <c r="B928" s="50" t="s">
        <v>1082</v>
      </c>
      <c r="C928">
        <v>35</v>
      </c>
      <c r="D928">
        <v>35</v>
      </c>
      <c r="E928">
        <v>1.3</v>
      </c>
      <c r="F928" s="16">
        <v>1.3</v>
      </c>
      <c r="G928">
        <v>62</v>
      </c>
      <c r="H928">
        <v>0</v>
      </c>
      <c r="I928" t="s">
        <v>1286</v>
      </c>
      <c r="J928" t="s">
        <v>900</v>
      </c>
      <c r="K928">
        <v>443</v>
      </c>
      <c r="L928">
        <v>73.599999999999994</v>
      </c>
      <c r="M928">
        <v>74.5</v>
      </c>
    </row>
    <row r="929" spans="2:13" x14ac:dyDescent="0.25">
      <c r="B929" s="50" t="s">
        <v>1083</v>
      </c>
      <c r="C929">
        <v>35</v>
      </c>
      <c r="D929">
        <v>35</v>
      </c>
      <c r="E929">
        <v>1.3</v>
      </c>
      <c r="F929" s="16">
        <v>1.3</v>
      </c>
      <c r="G929">
        <v>62</v>
      </c>
      <c r="H929">
        <v>0</v>
      </c>
      <c r="I929" t="s">
        <v>1227</v>
      </c>
      <c r="J929" t="s">
        <v>1228</v>
      </c>
      <c r="K929">
        <v>436</v>
      </c>
      <c r="L929">
        <v>73.599999999999994</v>
      </c>
      <c r="M929">
        <v>73</v>
      </c>
    </row>
    <row r="930" spans="2:13" x14ac:dyDescent="0.25">
      <c r="B930" s="50" t="s">
        <v>3876</v>
      </c>
      <c r="C930">
        <v>35</v>
      </c>
      <c r="D930">
        <v>35</v>
      </c>
      <c r="E930">
        <v>1.3</v>
      </c>
      <c r="F930" s="16">
        <v>1.3</v>
      </c>
      <c r="G930">
        <v>62</v>
      </c>
      <c r="H930">
        <v>0</v>
      </c>
      <c r="I930" t="s">
        <v>1221</v>
      </c>
      <c r="J930" t="s">
        <v>900</v>
      </c>
      <c r="K930">
        <v>430</v>
      </c>
      <c r="L930">
        <v>73.599999999999994</v>
      </c>
      <c r="M930">
        <v>74.2</v>
      </c>
    </row>
    <row r="931" spans="2:13" x14ac:dyDescent="0.25">
      <c r="B931" s="50" t="s">
        <v>1057</v>
      </c>
      <c r="C931">
        <v>35</v>
      </c>
      <c r="D931">
        <v>35</v>
      </c>
      <c r="E931">
        <v>1.5</v>
      </c>
      <c r="F931" s="16">
        <v>1.5</v>
      </c>
      <c r="G931">
        <v>77</v>
      </c>
      <c r="H931">
        <v>0</v>
      </c>
      <c r="I931" t="s">
        <v>1229</v>
      </c>
      <c r="J931" t="s">
        <v>910</v>
      </c>
      <c r="K931">
        <v>715</v>
      </c>
      <c r="L931">
        <v>83</v>
      </c>
      <c r="M931">
        <v>111.5</v>
      </c>
    </row>
    <row r="932" spans="2:13" x14ac:dyDescent="0.25">
      <c r="B932" s="50" t="s">
        <v>1058</v>
      </c>
      <c r="C932">
        <v>35</v>
      </c>
      <c r="D932">
        <v>35</v>
      </c>
      <c r="E932">
        <v>1.5</v>
      </c>
      <c r="F932" s="16">
        <v>1.5</v>
      </c>
      <c r="G932">
        <v>77</v>
      </c>
      <c r="H932">
        <v>0</v>
      </c>
      <c r="I932" t="s">
        <v>1298</v>
      </c>
      <c r="J932" t="s">
        <v>900</v>
      </c>
      <c r="K932">
        <v>730</v>
      </c>
      <c r="L932">
        <v>83</v>
      </c>
      <c r="M932">
        <v>137.4</v>
      </c>
    </row>
    <row r="933" spans="2:13" x14ac:dyDescent="0.25">
      <c r="B933" s="50" t="s">
        <v>3875</v>
      </c>
      <c r="C933">
        <v>35</v>
      </c>
      <c r="D933">
        <v>35</v>
      </c>
      <c r="E933">
        <v>1.5</v>
      </c>
      <c r="F933" s="16">
        <v>1.5</v>
      </c>
      <c r="G933">
        <v>77</v>
      </c>
      <c r="H933">
        <v>0</v>
      </c>
      <c r="I933" t="s">
        <v>1228</v>
      </c>
      <c r="J933" t="s">
        <v>1228</v>
      </c>
      <c r="K933">
        <v>720</v>
      </c>
      <c r="L933">
        <v>83</v>
      </c>
      <c r="M933">
        <v>116.8</v>
      </c>
    </row>
    <row r="934" spans="2:13" x14ac:dyDescent="0.25">
      <c r="B934" s="50" t="s">
        <v>3874</v>
      </c>
      <c r="C934">
        <v>35</v>
      </c>
      <c r="D934">
        <v>35</v>
      </c>
      <c r="E934">
        <v>1.5</v>
      </c>
      <c r="F934" s="16">
        <v>1.5</v>
      </c>
      <c r="G934">
        <v>77</v>
      </c>
      <c r="H934">
        <v>0</v>
      </c>
      <c r="I934" t="s">
        <v>1286</v>
      </c>
      <c r="J934" t="s">
        <v>900</v>
      </c>
      <c r="K934">
        <v>775</v>
      </c>
      <c r="L934">
        <v>83</v>
      </c>
      <c r="M934">
        <v>137.80000000000001</v>
      </c>
    </row>
    <row r="935" spans="2:13" x14ac:dyDescent="0.25">
      <c r="B935" s="50" t="s">
        <v>1060</v>
      </c>
      <c r="C935">
        <v>35</v>
      </c>
      <c r="D935">
        <v>35</v>
      </c>
      <c r="E935">
        <v>1.5</v>
      </c>
      <c r="F935" s="16">
        <v>1.5</v>
      </c>
      <c r="G935">
        <v>77</v>
      </c>
      <c r="H935">
        <v>0</v>
      </c>
      <c r="I935" t="s">
        <v>1227</v>
      </c>
      <c r="J935" t="s">
        <v>1228</v>
      </c>
      <c r="K935">
        <v>770</v>
      </c>
      <c r="L935">
        <v>83</v>
      </c>
      <c r="M935">
        <v>136.30000000000001</v>
      </c>
    </row>
    <row r="936" spans="2:13" x14ac:dyDescent="0.25">
      <c r="B936" s="50" t="s">
        <v>4137</v>
      </c>
      <c r="C936">
        <v>35</v>
      </c>
      <c r="D936">
        <v>35</v>
      </c>
      <c r="E936">
        <v>1.5</v>
      </c>
      <c r="F936" s="16">
        <v>1.5</v>
      </c>
      <c r="G936">
        <v>77</v>
      </c>
      <c r="H936">
        <v>0</v>
      </c>
      <c r="I936" t="s">
        <v>8</v>
      </c>
      <c r="J936" t="s">
        <v>910</v>
      </c>
      <c r="K936">
        <v>685</v>
      </c>
      <c r="L936">
        <v>83</v>
      </c>
      <c r="M936">
        <v>109</v>
      </c>
    </row>
    <row r="937" spans="2:13" x14ac:dyDescent="0.25">
      <c r="B937" s="50" t="s">
        <v>3873</v>
      </c>
      <c r="C937">
        <v>35</v>
      </c>
      <c r="D937">
        <v>35</v>
      </c>
      <c r="E937">
        <v>1.5</v>
      </c>
      <c r="F937" s="16">
        <v>1.5</v>
      </c>
      <c r="G937">
        <v>77</v>
      </c>
      <c r="H937">
        <v>0</v>
      </c>
      <c r="I937" t="s">
        <v>1331</v>
      </c>
      <c r="J937" t="s">
        <v>910</v>
      </c>
      <c r="K937">
        <v>670</v>
      </c>
      <c r="L937">
        <v>83</v>
      </c>
      <c r="M937">
        <v>110</v>
      </c>
    </row>
    <row r="938" spans="2:13" x14ac:dyDescent="0.25">
      <c r="B938" s="50" t="s">
        <v>3872</v>
      </c>
      <c r="C938">
        <v>35</v>
      </c>
      <c r="D938">
        <v>35</v>
      </c>
      <c r="E938">
        <v>1.5</v>
      </c>
      <c r="F938" s="16">
        <v>1.5</v>
      </c>
      <c r="G938">
        <v>77</v>
      </c>
      <c r="H938">
        <v>0</v>
      </c>
      <c r="I938" t="s">
        <v>1333</v>
      </c>
      <c r="J938" t="s">
        <v>900</v>
      </c>
      <c r="K938">
        <v>720</v>
      </c>
      <c r="L938">
        <v>83</v>
      </c>
      <c r="M938">
        <v>130</v>
      </c>
    </row>
    <row r="939" spans="2:13" x14ac:dyDescent="0.25">
      <c r="B939" s="50" t="s">
        <v>3871</v>
      </c>
      <c r="C939">
        <v>35</v>
      </c>
      <c r="D939">
        <v>35</v>
      </c>
      <c r="E939">
        <v>1.5</v>
      </c>
      <c r="F939" s="16">
        <v>1.5</v>
      </c>
      <c r="G939">
        <v>77</v>
      </c>
      <c r="H939">
        <v>0</v>
      </c>
      <c r="I939" t="s">
        <v>1293</v>
      </c>
      <c r="J939" t="s">
        <v>910</v>
      </c>
      <c r="K939">
        <v>695</v>
      </c>
      <c r="L939">
        <v>83</v>
      </c>
      <c r="M939">
        <v>111</v>
      </c>
    </row>
    <row r="940" spans="2:13" x14ac:dyDescent="0.25">
      <c r="B940" s="50" t="s">
        <v>1059</v>
      </c>
      <c r="C940">
        <v>35</v>
      </c>
      <c r="D940">
        <v>35</v>
      </c>
      <c r="E940">
        <v>1.5</v>
      </c>
      <c r="F940" s="16">
        <v>1.5</v>
      </c>
      <c r="G940">
        <v>77</v>
      </c>
      <c r="H940">
        <v>0</v>
      </c>
      <c r="I940" t="s">
        <v>1221</v>
      </c>
      <c r="J940" t="s">
        <v>910</v>
      </c>
      <c r="K940">
        <v>720</v>
      </c>
      <c r="L940">
        <v>83</v>
      </c>
      <c r="M940">
        <v>137.5</v>
      </c>
    </row>
    <row r="941" spans="2:13" x14ac:dyDescent="0.25">
      <c r="B941" s="50" t="s">
        <v>4130</v>
      </c>
      <c r="C941">
        <v>500</v>
      </c>
      <c r="D941">
        <v>500</v>
      </c>
      <c r="E941">
        <v>8</v>
      </c>
      <c r="F941" s="16">
        <v>8</v>
      </c>
      <c r="G941">
        <v>30.5</v>
      </c>
      <c r="H941">
        <v>0</v>
      </c>
      <c r="I941">
        <v>0</v>
      </c>
      <c r="J941" t="s">
        <v>910</v>
      </c>
      <c r="K941">
        <v>320</v>
      </c>
      <c r="L941">
        <v>77</v>
      </c>
      <c r="M941">
        <v>87.7</v>
      </c>
    </row>
    <row r="942" spans="2:13" x14ac:dyDescent="0.25">
      <c r="B942" s="50" t="s">
        <v>3320</v>
      </c>
      <c r="C942">
        <v>500</v>
      </c>
      <c r="D942">
        <v>500</v>
      </c>
      <c r="E942">
        <v>8</v>
      </c>
      <c r="F942" s="16">
        <v>8</v>
      </c>
      <c r="G942">
        <v>67</v>
      </c>
      <c r="H942">
        <v>0</v>
      </c>
      <c r="I942">
        <v>0</v>
      </c>
      <c r="J942" t="s">
        <v>910</v>
      </c>
      <c r="K942">
        <v>640</v>
      </c>
      <c r="L942">
        <v>70</v>
      </c>
      <c r="M942">
        <v>298</v>
      </c>
    </row>
    <row r="943" spans="2:13" x14ac:dyDescent="0.25">
      <c r="B943" s="50" t="s">
        <v>4136</v>
      </c>
      <c r="C943">
        <v>50</v>
      </c>
      <c r="D943">
        <v>50</v>
      </c>
      <c r="E943">
        <v>1.2</v>
      </c>
      <c r="F943" s="16">
        <v>1.2</v>
      </c>
      <c r="G943">
        <v>62</v>
      </c>
      <c r="H943">
        <v>0</v>
      </c>
      <c r="I943" t="s">
        <v>1298</v>
      </c>
      <c r="J943" t="s">
        <v>900</v>
      </c>
      <c r="K943">
        <v>385</v>
      </c>
      <c r="L943">
        <v>67.5</v>
      </c>
      <c r="M943">
        <v>74.099999999999994</v>
      </c>
    </row>
    <row r="944" spans="2:13" x14ac:dyDescent="0.25">
      <c r="B944" s="50" t="s">
        <v>3870</v>
      </c>
      <c r="C944">
        <v>50</v>
      </c>
      <c r="D944">
        <v>50</v>
      </c>
      <c r="E944">
        <v>1.2</v>
      </c>
      <c r="F944" s="16">
        <v>1.2</v>
      </c>
      <c r="G944">
        <v>62</v>
      </c>
      <c r="H944">
        <v>0</v>
      </c>
      <c r="I944" t="s">
        <v>1298</v>
      </c>
      <c r="J944" t="s">
        <v>900</v>
      </c>
      <c r="K944">
        <v>385</v>
      </c>
      <c r="L944">
        <v>67.5</v>
      </c>
      <c r="M944">
        <v>74.099999999999994</v>
      </c>
    </row>
    <row r="945" spans="2:13" x14ac:dyDescent="0.25">
      <c r="B945" s="50" t="s">
        <v>4135</v>
      </c>
      <c r="C945">
        <v>50</v>
      </c>
      <c r="D945">
        <v>50</v>
      </c>
      <c r="E945">
        <v>1.2</v>
      </c>
      <c r="F945" s="16">
        <v>1.2</v>
      </c>
      <c r="G945">
        <v>62</v>
      </c>
      <c r="H945">
        <v>0</v>
      </c>
      <c r="I945" t="s">
        <v>1286</v>
      </c>
      <c r="J945" t="s">
        <v>900</v>
      </c>
      <c r="K945">
        <v>380</v>
      </c>
      <c r="L945">
        <v>67.5</v>
      </c>
      <c r="M945">
        <v>74.5</v>
      </c>
    </row>
    <row r="946" spans="2:13" x14ac:dyDescent="0.25">
      <c r="B946" s="50" t="s">
        <v>3302</v>
      </c>
      <c r="C946">
        <v>50</v>
      </c>
      <c r="D946">
        <v>50</v>
      </c>
      <c r="E946">
        <v>1.2</v>
      </c>
      <c r="F946" s="16">
        <v>1.2</v>
      </c>
      <c r="G946">
        <v>62</v>
      </c>
      <c r="H946">
        <v>0</v>
      </c>
      <c r="I946" t="s">
        <v>1286</v>
      </c>
      <c r="J946" t="s">
        <v>900</v>
      </c>
      <c r="K946">
        <v>380</v>
      </c>
      <c r="L946">
        <v>67.5</v>
      </c>
      <c r="M946">
        <v>74.5</v>
      </c>
    </row>
    <row r="947" spans="2:13" x14ac:dyDescent="0.25">
      <c r="B947" s="50" t="s">
        <v>2752</v>
      </c>
      <c r="C947">
        <v>50</v>
      </c>
      <c r="D947">
        <v>50</v>
      </c>
      <c r="E947">
        <v>1.2</v>
      </c>
      <c r="F947" s="16">
        <v>1.2</v>
      </c>
      <c r="G947">
        <v>62</v>
      </c>
      <c r="H947">
        <v>0</v>
      </c>
      <c r="I947" t="s">
        <v>1227</v>
      </c>
      <c r="J947" t="s">
        <v>1228</v>
      </c>
      <c r="K947">
        <v>375</v>
      </c>
      <c r="L947">
        <v>67.5</v>
      </c>
      <c r="M947">
        <v>73</v>
      </c>
    </row>
    <row r="948" spans="2:13" x14ac:dyDescent="0.25">
      <c r="B948" s="50" t="s">
        <v>4134</v>
      </c>
      <c r="C948">
        <v>50</v>
      </c>
      <c r="D948">
        <v>50</v>
      </c>
      <c r="E948">
        <v>1.2</v>
      </c>
      <c r="F948" s="16">
        <v>1.2</v>
      </c>
      <c r="G948">
        <v>62</v>
      </c>
      <c r="H948">
        <v>0</v>
      </c>
      <c r="I948" t="s">
        <v>1227</v>
      </c>
      <c r="J948" t="s">
        <v>1228</v>
      </c>
      <c r="K948">
        <v>375</v>
      </c>
      <c r="L948">
        <v>67.5</v>
      </c>
      <c r="M948">
        <v>73</v>
      </c>
    </row>
    <row r="949" spans="2:13" x14ac:dyDescent="0.25">
      <c r="B949" s="50" t="s">
        <v>2988</v>
      </c>
      <c r="C949">
        <v>50</v>
      </c>
      <c r="D949">
        <v>50</v>
      </c>
      <c r="E949">
        <v>1.2</v>
      </c>
      <c r="F949" s="16">
        <v>1.2</v>
      </c>
      <c r="G949">
        <v>62</v>
      </c>
      <c r="H949">
        <v>0</v>
      </c>
      <c r="I949" t="s">
        <v>1221</v>
      </c>
      <c r="J949" t="s">
        <v>900</v>
      </c>
      <c r="K949">
        <v>385</v>
      </c>
      <c r="L949">
        <v>67.5</v>
      </c>
      <c r="M949">
        <v>74.2</v>
      </c>
    </row>
    <row r="950" spans="2:13" x14ac:dyDescent="0.25">
      <c r="B950" s="50" t="s">
        <v>2987</v>
      </c>
      <c r="C950">
        <v>50</v>
      </c>
      <c r="D950">
        <v>50</v>
      </c>
      <c r="E950">
        <v>1.2</v>
      </c>
      <c r="F950" s="16">
        <v>1.2</v>
      </c>
      <c r="G950">
        <v>62</v>
      </c>
      <c r="H950">
        <v>0</v>
      </c>
      <c r="I950" t="s">
        <v>1221</v>
      </c>
      <c r="J950" t="s">
        <v>900</v>
      </c>
      <c r="K950">
        <v>385</v>
      </c>
      <c r="L950">
        <v>67.5</v>
      </c>
      <c r="M950">
        <v>74.2</v>
      </c>
    </row>
    <row r="951" spans="2:13" x14ac:dyDescent="0.25">
      <c r="B951" s="50" t="s">
        <v>2986</v>
      </c>
      <c r="C951">
        <v>50</v>
      </c>
      <c r="D951">
        <v>50</v>
      </c>
      <c r="E951">
        <v>1.4</v>
      </c>
      <c r="F951" s="16">
        <v>1.4</v>
      </c>
      <c r="G951">
        <v>77</v>
      </c>
      <c r="H951">
        <v>0</v>
      </c>
      <c r="I951" t="s">
        <v>1229</v>
      </c>
      <c r="J951" t="s">
        <v>910</v>
      </c>
      <c r="K951">
        <v>535</v>
      </c>
      <c r="L951">
        <v>81.599999999999994</v>
      </c>
      <c r="M951">
        <v>74.7</v>
      </c>
    </row>
    <row r="952" spans="2:13" x14ac:dyDescent="0.25">
      <c r="B952" s="50" t="s">
        <v>3301</v>
      </c>
      <c r="C952">
        <v>50</v>
      </c>
      <c r="D952">
        <v>50</v>
      </c>
      <c r="E952">
        <v>1.4</v>
      </c>
      <c r="F952" s="16">
        <v>1.4</v>
      </c>
      <c r="G952">
        <v>77</v>
      </c>
      <c r="H952">
        <v>0</v>
      </c>
      <c r="I952" t="s">
        <v>1298</v>
      </c>
      <c r="J952" t="s">
        <v>900</v>
      </c>
      <c r="K952">
        <v>600</v>
      </c>
      <c r="L952">
        <v>81.599999999999994</v>
      </c>
      <c r="M952">
        <v>100.6</v>
      </c>
    </row>
    <row r="953" spans="2:13" x14ac:dyDescent="0.25">
      <c r="B953" s="50" t="s">
        <v>3300</v>
      </c>
      <c r="C953">
        <v>50</v>
      </c>
      <c r="D953">
        <v>50</v>
      </c>
      <c r="E953">
        <v>1.4</v>
      </c>
      <c r="F953" s="16">
        <v>1.4</v>
      </c>
      <c r="G953">
        <v>77</v>
      </c>
      <c r="H953">
        <v>0</v>
      </c>
      <c r="I953" t="s">
        <v>1228</v>
      </c>
      <c r="J953" t="s">
        <v>1228</v>
      </c>
      <c r="K953">
        <v>545</v>
      </c>
      <c r="L953">
        <v>81.599999999999994</v>
      </c>
      <c r="M953">
        <v>80</v>
      </c>
    </row>
    <row r="954" spans="2:13" x14ac:dyDescent="0.25">
      <c r="B954" s="50" t="s">
        <v>3299</v>
      </c>
      <c r="C954">
        <v>50</v>
      </c>
      <c r="D954">
        <v>50</v>
      </c>
      <c r="E954">
        <v>1.4</v>
      </c>
      <c r="F954" s="16">
        <v>1.4</v>
      </c>
      <c r="G954">
        <v>77</v>
      </c>
      <c r="H954">
        <v>0</v>
      </c>
      <c r="I954" t="s">
        <v>1286</v>
      </c>
      <c r="J954" t="s">
        <v>900</v>
      </c>
      <c r="K954">
        <v>605</v>
      </c>
      <c r="L954">
        <v>81.599999999999994</v>
      </c>
      <c r="M954">
        <v>101</v>
      </c>
    </row>
    <row r="955" spans="2:13" x14ac:dyDescent="0.25">
      <c r="B955" s="50" t="s">
        <v>3298</v>
      </c>
      <c r="C955">
        <v>50</v>
      </c>
      <c r="D955">
        <v>50</v>
      </c>
      <c r="E955">
        <v>1.4</v>
      </c>
      <c r="F955" s="16">
        <v>1.4</v>
      </c>
      <c r="G955">
        <v>77</v>
      </c>
      <c r="H955">
        <v>0</v>
      </c>
      <c r="I955" t="s">
        <v>1227</v>
      </c>
      <c r="J955" t="s">
        <v>1228</v>
      </c>
      <c r="K955">
        <v>555</v>
      </c>
      <c r="L955">
        <v>81.599999999999994</v>
      </c>
      <c r="M955">
        <v>99.5</v>
      </c>
    </row>
    <row r="956" spans="2:13" x14ac:dyDescent="0.25">
      <c r="B956" s="50" t="s">
        <v>3297</v>
      </c>
      <c r="C956">
        <v>50</v>
      </c>
      <c r="D956">
        <v>50</v>
      </c>
      <c r="E956">
        <v>1.4</v>
      </c>
      <c r="F956" s="16">
        <v>1.4</v>
      </c>
      <c r="G956">
        <v>77</v>
      </c>
      <c r="H956">
        <v>0</v>
      </c>
      <c r="I956" t="s">
        <v>8</v>
      </c>
      <c r="J956" t="s">
        <v>910</v>
      </c>
      <c r="K956">
        <v>520</v>
      </c>
      <c r="L956">
        <v>81.599999999999994</v>
      </c>
      <c r="M956">
        <v>72.2</v>
      </c>
    </row>
    <row r="957" spans="2:13" x14ac:dyDescent="0.25">
      <c r="B957" s="50" t="s">
        <v>3296</v>
      </c>
      <c r="C957">
        <v>50</v>
      </c>
      <c r="D957">
        <v>50</v>
      </c>
      <c r="E957">
        <v>1.4</v>
      </c>
      <c r="F957" s="16">
        <v>1.4</v>
      </c>
      <c r="G957">
        <v>77</v>
      </c>
      <c r="H957">
        <v>0</v>
      </c>
      <c r="I957" t="s">
        <v>1331</v>
      </c>
      <c r="J957" t="s">
        <v>910</v>
      </c>
      <c r="K957">
        <v>510</v>
      </c>
      <c r="L957">
        <v>81.599999999999994</v>
      </c>
      <c r="M957">
        <v>73.2</v>
      </c>
    </row>
    <row r="958" spans="2:13" x14ac:dyDescent="0.25">
      <c r="B958" s="50" t="s">
        <v>2985</v>
      </c>
      <c r="C958">
        <v>50</v>
      </c>
      <c r="D958">
        <v>50</v>
      </c>
      <c r="E958">
        <v>1.4</v>
      </c>
      <c r="F958" s="16">
        <v>1.4</v>
      </c>
      <c r="G958">
        <v>77</v>
      </c>
      <c r="H958">
        <v>0</v>
      </c>
      <c r="I958" t="s">
        <v>1333</v>
      </c>
      <c r="J958" t="s">
        <v>900</v>
      </c>
      <c r="K958">
        <v>555</v>
      </c>
      <c r="L958">
        <v>81.599999999999994</v>
      </c>
      <c r="M958">
        <v>93.2</v>
      </c>
    </row>
    <row r="959" spans="2:13" x14ac:dyDescent="0.25">
      <c r="B959" s="50" t="s">
        <v>3295</v>
      </c>
      <c r="C959">
        <v>50</v>
      </c>
      <c r="D959">
        <v>50</v>
      </c>
      <c r="E959">
        <v>1.4</v>
      </c>
      <c r="F959" s="16">
        <v>1.4</v>
      </c>
      <c r="G959">
        <v>77</v>
      </c>
      <c r="H959">
        <v>0</v>
      </c>
      <c r="I959" t="s">
        <v>1293</v>
      </c>
      <c r="J959" t="s">
        <v>910</v>
      </c>
      <c r="K959">
        <v>530</v>
      </c>
      <c r="L959">
        <v>81.599999999999994</v>
      </c>
      <c r="M959">
        <v>74.2</v>
      </c>
    </row>
    <row r="960" spans="2:13" x14ac:dyDescent="0.25">
      <c r="B960" s="50" t="s">
        <v>4258</v>
      </c>
      <c r="C960">
        <v>50</v>
      </c>
      <c r="D960">
        <v>50</v>
      </c>
      <c r="E960">
        <v>1.4</v>
      </c>
      <c r="F960" s="16">
        <v>1.4</v>
      </c>
      <c r="G960">
        <v>77</v>
      </c>
      <c r="H960">
        <v>0</v>
      </c>
      <c r="I960" t="s">
        <v>1221</v>
      </c>
      <c r="J960" t="s">
        <v>910</v>
      </c>
      <c r="K960">
        <v>565</v>
      </c>
      <c r="L960">
        <v>81.599999999999994</v>
      </c>
      <c r="M960">
        <v>100.7</v>
      </c>
    </row>
    <row r="961" spans="2:13" x14ac:dyDescent="0.25">
      <c r="B961" s="50" t="s">
        <v>983</v>
      </c>
      <c r="C961">
        <v>50</v>
      </c>
      <c r="D961">
        <v>50</v>
      </c>
      <c r="E961">
        <v>1.3</v>
      </c>
      <c r="F961" s="16">
        <v>1.3</v>
      </c>
      <c r="G961">
        <v>62</v>
      </c>
      <c r="H961">
        <v>0</v>
      </c>
      <c r="I961" t="s">
        <v>1298</v>
      </c>
      <c r="J961" t="s">
        <v>900</v>
      </c>
      <c r="K961">
        <v>400</v>
      </c>
      <c r="L961">
        <v>73.599999999999994</v>
      </c>
      <c r="M961">
        <v>74.099999999999994</v>
      </c>
    </row>
    <row r="962" spans="2:13" x14ac:dyDescent="0.25">
      <c r="B962" s="50" t="s">
        <v>984</v>
      </c>
      <c r="C962">
        <v>50</v>
      </c>
      <c r="D962">
        <v>50</v>
      </c>
      <c r="E962">
        <v>1.3</v>
      </c>
      <c r="F962" s="16">
        <v>1.3</v>
      </c>
      <c r="G962">
        <v>62</v>
      </c>
      <c r="H962">
        <v>0</v>
      </c>
      <c r="I962" t="s">
        <v>1286</v>
      </c>
      <c r="J962" t="s">
        <v>900</v>
      </c>
      <c r="K962">
        <v>390</v>
      </c>
      <c r="L962">
        <v>73.599999999999994</v>
      </c>
      <c r="M962">
        <v>74.5</v>
      </c>
    </row>
    <row r="963" spans="2:13" x14ac:dyDescent="0.25">
      <c r="B963" s="50" t="s">
        <v>986</v>
      </c>
      <c r="C963">
        <v>50</v>
      </c>
      <c r="D963">
        <v>50</v>
      </c>
      <c r="E963">
        <v>1.3</v>
      </c>
      <c r="F963" s="16">
        <v>1.3</v>
      </c>
      <c r="G963">
        <v>62</v>
      </c>
      <c r="H963">
        <v>0</v>
      </c>
      <c r="I963" t="s">
        <v>1227</v>
      </c>
      <c r="J963" t="s">
        <v>1228</v>
      </c>
      <c r="K963">
        <v>385</v>
      </c>
      <c r="L963">
        <v>73.599999999999994</v>
      </c>
      <c r="M963">
        <v>73</v>
      </c>
    </row>
    <row r="964" spans="2:13" x14ac:dyDescent="0.25">
      <c r="B964" s="50" t="s">
        <v>985</v>
      </c>
      <c r="C964">
        <v>50</v>
      </c>
      <c r="D964">
        <v>50</v>
      </c>
      <c r="E964">
        <v>1.3</v>
      </c>
      <c r="F964" s="16">
        <v>1.3</v>
      </c>
      <c r="G964">
        <v>62</v>
      </c>
      <c r="H964">
        <v>0</v>
      </c>
      <c r="I964" t="s">
        <v>1221</v>
      </c>
      <c r="J964" t="s">
        <v>900</v>
      </c>
      <c r="K964">
        <v>400</v>
      </c>
      <c r="L964">
        <v>73.599999999999994</v>
      </c>
      <c r="M964">
        <v>74.2</v>
      </c>
    </row>
    <row r="965" spans="2:13" x14ac:dyDescent="0.25">
      <c r="B965" s="50" t="s">
        <v>1037</v>
      </c>
      <c r="C965">
        <v>50</v>
      </c>
      <c r="D965">
        <v>50</v>
      </c>
      <c r="E965">
        <v>1.5</v>
      </c>
      <c r="F965" s="16">
        <v>1.5</v>
      </c>
      <c r="G965">
        <v>77</v>
      </c>
      <c r="H965">
        <v>0</v>
      </c>
      <c r="I965" t="s">
        <v>1229</v>
      </c>
      <c r="J965" t="s">
        <v>910</v>
      </c>
      <c r="K965">
        <v>575</v>
      </c>
      <c r="L965">
        <v>81.599999999999994</v>
      </c>
      <c r="M965">
        <v>74.7</v>
      </c>
    </row>
    <row r="966" spans="2:13" x14ac:dyDescent="0.25">
      <c r="B966" s="50" t="s">
        <v>1039</v>
      </c>
      <c r="C966">
        <v>50</v>
      </c>
      <c r="D966">
        <v>50</v>
      </c>
      <c r="E966">
        <v>1.5</v>
      </c>
      <c r="F966" s="16">
        <v>1.5</v>
      </c>
      <c r="G966">
        <v>77</v>
      </c>
      <c r="H966">
        <v>0</v>
      </c>
      <c r="I966" t="s">
        <v>1228</v>
      </c>
      <c r="J966" t="s">
        <v>1228</v>
      </c>
      <c r="K966">
        <v>580</v>
      </c>
      <c r="L966">
        <v>81.599999999999994</v>
      </c>
      <c r="M966">
        <v>80</v>
      </c>
    </row>
    <row r="967" spans="2:13" x14ac:dyDescent="0.25">
      <c r="B967" s="50" t="s">
        <v>1038</v>
      </c>
      <c r="C967">
        <v>50</v>
      </c>
      <c r="D967">
        <v>50</v>
      </c>
      <c r="E967">
        <v>1.5</v>
      </c>
      <c r="F967" s="16">
        <v>1.5</v>
      </c>
      <c r="G967">
        <v>77</v>
      </c>
      <c r="H967">
        <v>0</v>
      </c>
      <c r="I967" t="s">
        <v>1286</v>
      </c>
      <c r="J967" t="s">
        <v>900</v>
      </c>
      <c r="K967">
        <v>640</v>
      </c>
      <c r="L967">
        <v>81.599999999999994</v>
      </c>
      <c r="M967">
        <v>101</v>
      </c>
    </row>
    <row r="968" spans="2:13" x14ac:dyDescent="0.25">
      <c r="B968" s="50" t="s">
        <v>1040</v>
      </c>
      <c r="C968">
        <v>50</v>
      </c>
      <c r="D968">
        <v>50</v>
      </c>
      <c r="E968">
        <v>1.5</v>
      </c>
      <c r="F968" s="16">
        <v>1.5</v>
      </c>
      <c r="G968">
        <v>77</v>
      </c>
      <c r="H968">
        <v>0</v>
      </c>
      <c r="I968" t="s">
        <v>1227</v>
      </c>
      <c r="J968" t="s">
        <v>1228</v>
      </c>
      <c r="K968">
        <v>590</v>
      </c>
      <c r="L968">
        <v>81.599999999999994</v>
      </c>
      <c r="M968">
        <v>99.5</v>
      </c>
    </row>
    <row r="969" spans="2:13" x14ac:dyDescent="0.25">
      <c r="B969" s="50" t="s">
        <v>1041</v>
      </c>
      <c r="C969">
        <v>50</v>
      </c>
      <c r="D969">
        <v>50</v>
      </c>
      <c r="E969">
        <v>1.5</v>
      </c>
      <c r="F969" s="16">
        <v>1.5</v>
      </c>
      <c r="G969">
        <v>77</v>
      </c>
      <c r="H969">
        <v>0</v>
      </c>
      <c r="I969" t="s">
        <v>8</v>
      </c>
      <c r="J969" t="s">
        <v>910</v>
      </c>
      <c r="K969">
        <v>555</v>
      </c>
      <c r="L969">
        <v>81.599999999999994</v>
      </c>
      <c r="M969">
        <v>72.2</v>
      </c>
    </row>
    <row r="970" spans="2:13" x14ac:dyDescent="0.25">
      <c r="B970" s="50" t="s">
        <v>1042</v>
      </c>
      <c r="C970">
        <v>50</v>
      </c>
      <c r="D970">
        <v>50</v>
      </c>
      <c r="E970">
        <v>1.5</v>
      </c>
      <c r="F970" s="16">
        <v>1.5</v>
      </c>
      <c r="G970">
        <v>77</v>
      </c>
      <c r="H970">
        <v>0</v>
      </c>
      <c r="I970" t="s">
        <v>1331</v>
      </c>
      <c r="J970" t="s">
        <v>910</v>
      </c>
      <c r="K970">
        <v>545</v>
      </c>
      <c r="L970">
        <v>81.599999999999994</v>
      </c>
      <c r="M970">
        <v>73.2</v>
      </c>
    </row>
    <row r="971" spans="2:13" x14ac:dyDescent="0.25">
      <c r="B971" s="50" t="s">
        <v>1044</v>
      </c>
      <c r="C971">
        <v>50</v>
      </c>
      <c r="D971">
        <v>50</v>
      </c>
      <c r="E971">
        <v>1.5</v>
      </c>
      <c r="F971" s="16">
        <v>1.5</v>
      </c>
      <c r="G971">
        <v>77</v>
      </c>
      <c r="H971">
        <v>0</v>
      </c>
      <c r="I971" t="s">
        <v>1293</v>
      </c>
      <c r="J971" t="s">
        <v>910</v>
      </c>
      <c r="K971">
        <v>565</v>
      </c>
      <c r="L971">
        <v>81.599999999999994</v>
      </c>
      <c r="M971">
        <v>74.2</v>
      </c>
    </row>
    <row r="972" spans="2:13" x14ac:dyDescent="0.25">
      <c r="B972" s="50" t="s">
        <v>1043</v>
      </c>
      <c r="C972">
        <v>50</v>
      </c>
      <c r="D972">
        <v>50</v>
      </c>
      <c r="E972">
        <v>1.5</v>
      </c>
      <c r="F972" s="16">
        <v>1.5</v>
      </c>
      <c r="G972">
        <v>77</v>
      </c>
      <c r="H972">
        <v>0</v>
      </c>
      <c r="I972" t="s">
        <v>1221</v>
      </c>
      <c r="J972" t="s">
        <v>910</v>
      </c>
      <c r="K972">
        <v>600</v>
      </c>
      <c r="L972">
        <v>81.599999999999994</v>
      </c>
      <c r="M972">
        <v>100.7</v>
      </c>
    </row>
    <row r="973" spans="2:13" x14ac:dyDescent="0.25">
      <c r="B973" s="50" t="s">
        <v>3318</v>
      </c>
      <c r="C973">
        <v>650</v>
      </c>
      <c r="D973">
        <v>1300</v>
      </c>
      <c r="E973">
        <v>8</v>
      </c>
      <c r="F973" s="16">
        <v>8</v>
      </c>
      <c r="G973">
        <v>95</v>
      </c>
      <c r="H973">
        <v>0</v>
      </c>
      <c r="I973">
        <v>0</v>
      </c>
      <c r="J973" t="s">
        <v>910</v>
      </c>
      <c r="K973">
        <v>2000</v>
      </c>
      <c r="L973">
        <v>105</v>
      </c>
      <c r="M973">
        <v>462.9</v>
      </c>
    </row>
    <row r="974" spans="2:13" x14ac:dyDescent="0.25">
      <c r="B974" s="50" t="s">
        <v>2815</v>
      </c>
      <c r="C974">
        <v>7.5</v>
      </c>
      <c r="D974">
        <v>7.5</v>
      </c>
      <c r="E974">
        <v>3.5</v>
      </c>
      <c r="F974" s="16">
        <v>3.5</v>
      </c>
      <c r="G974">
        <v>0</v>
      </c>
      <c r="H974">
        <v>0</v>
      </c>
      <c r="I974" t="s">
        <v>1227</v>
      </c>
      <c r="J974" t="s">
        <v>1228</v>
      </c>
      <c r="K974">
        <v>197</v>
      </c>
      <c r="L974">
        <v>60</v>
      </c>
      <c r="M974">
        <v>48.3</v>
      </c>
    </row>
    <row r="975" spans="2:13" x14ac:dyDescent="0.25">
      <c r="B975" s="50" t="s">
        <v>3917</v>
      </c>
      <c r="C975">
        <v>7.5</v>
      </c>
      <c r="D975">
        <v>7.5</v>
      </c>
      <c r="E975">
        <v>3.5</v>
      </c>
      <c r="F975" s="16">
        <v>3.5</v>
      </c>
      <c r="G975">
        <v>0</v>
      </c>
      <c r="H975">
        <v>0</v>
      </c>
      <c r="I975" t="s">
        <v>1227</v>
      </c>
      <c r="J975" t="s">
        <v>1228</v>
      </c>
      <c r="K975">
        <v>197</v>
      </c>
      <c r="L975">
        <v>60</v>
      </c>
      <c r="M975">
        <v>48.3</v>
      </c>
    </row>
    <row r="976" spans="2:13" x14ac:dyDescent="0.25">
      <c r="B976" s="50" t="s">
        <v>2954</v>
      </c>
      <c r="C976">
        <v>7.5</v>
      </c>
      <c r="D976">
        <v>7.5</v>
      </c>
      <c r="E976">
        <v>3.8</v>
      </c>
      <c r="F976" s="16">
        <v>3.8</v>
      </c>
      <c r="G976">
        <v>0</v>
      </c>
      <c r="H976">
        <v>0</v>
      </c>
      <c r="I976" t="s">
        <v>1227</v>
      </c>
      <c r="J976" t="s">
        <v>1228</v>
      </c>
      <c r="K976">
        <v>195</v>
      </c>
      <c r="L976">
        <v>60</v>
      </c>
      <c r="M976">
        <v>48.3</v>
      </c>
    </row>
    <row r="977" spans="2:13" x14ac:dyDescent="0.25">
      <c r="B977" s="50" t="s">
        <v>3316</v>
      </c>
      <c r="C977">
        <v>800</v>
      </c>
      <c r="D977">
        <v>800</v>
      </c>
      <c r="E977">
        <v>8</v>
      </c>
      <c r="F977" s="16">
        <v>8</v>
      </c>
      <c r="G977">
        <v>30</v>
      </c>
      <c r="H977">
        <v>0</v>
      </c>
      <c r="I977">
        <v>0</v>
      </c>
      <c r="J977" t="s">
        <v>910</v>
      </c>
      <c r="K977">
        <v>946</v>
      </c>
      <c r="L977">
        <v>111</v>
      </c>
      <c r="M977">
        <v>114.5</v>
      </c>
    </row>
    <row r="978" spans="2:13" x14ac:dyDescent="0.25">
      <c r="B978" s="50" t="s">
        <v>957</v>
      </c>
      <c r="C978">
        <v>85</v>
      </c>
      <c r="D978">
        <v>85</v>
      </c>
      <c r="E978">
        <v>1.4</v>
      </c>
      <c r="F978" s="16">
        <v>1.4</v>
      </c>
      <c r="G978">
        <v>72</v>
      </c>
      <c r="H978">
        <v>0</v>
      </c>
      <c r="I978" t="s">
        <v>1229</v>
      </c>
      <c r="J978" t="s">
        <v>910</v>
      </c>
      <c r="K978">
        <v>516</v>
      </c>
      <c r="L978">
        <v>78</v>
      </c>
      <c r="M978">
        <v>72.2</v>
      </c>
    </row>
    <row r="979" spans="2:13" x14ac:dyDescent="0.25">
      <c r="B979" s="50" t="s">
        <v>3869</v>
      </c>
      <c r="C979">
        <v>85</v>
      </c>
      <c r="D979">
        <v>85</v>
      </c>
      <c r="E979">
        <v>1.4</v>
      </c>
      <c r="F979" s="16">
        <v>1.4</v>
      </c>
      <c r="G979">
        <v>72</v>
      </c>
      <c r="H979">
        <v>0</v>
      </c>
      <c r="I979" t="s">
        <v>1228</v>
      </c>
      <c r="J979" t="s">
        <v>1228</v>
      </c>
      <c r="K979">
        <v>516</v>
      </c>
      <c r="L979">
        <v>78</v>
      </c>
      <c r="M979">
        <v>72.2</v>
      </c>
    </row>
    <row r="980" spans="2:13" x14ac:dyDescent="0.25">
      <c r="B980" s="50" t="s">
        <v>1100</v>
      </c>
      <c r="C980">
        <v>85</v>
      </c>
      <c r="D980">
        <v>85</v>
      </c>
      <c r="E980">
        <v>1.4</v>
      </c>
      <c r="F980" s="16">
        <v>1.4</v>
      </c>
      <c r="G980">
        <v>72</v>
      </c>
      <c r="H980">
        <v>0</v>
      </c>
      <c r="I980" t="s">
        <v>1331</v>
      </c>
      <c r="J980" t="s">
        <v>910</v>
      </c>
      <c r="K980">
        <v>516</v>
      </c>
      <c r="L980">
        <v>78</v>
      </c>
      <c r="M980">
        <v>72.2</v>
      </c>
    </row>
    <row r="981" spans="2:13" x14ac:dyDescent="0.25">
      <c r="B981" s="50" t="s">
        <v>1014</v>
      </c>
      <c r="C981">
        <v>85</v>
      </c>
      <c r="D981">
        <v>85</v>
      </c>
      <c r="E981">
        <v>1.4</v>
      </c>
      <c r="F981" s="16">
        <v>1.4</v>
      </c>
      <c r="G981">
        <v>72</v>
      </c>
      <c r="H981">
        <v>0</v>
      </c>
      <c r="I981" t="s">
        <v>1333</v>
      </c>
      <c r="J981" t="s">
        <v>900</v>
      </c>
      <c r="K981">
        <v>516</v>
      </c>
      <c r="L981">
        <v>78</v>
      </c>
      <c r="M981">
        <v>72.2</v>
      </c>
    </row>
    <row r="982" spans="2:13" x14ac:dyDescent="0.25">
      <c r="B982" s="50" t="s">
        <v>1101</v>
      </c>
      <c r="C982">
        <v>85</v>
      </c>
      <c r="D982">
        <v>85</v>
      </c>
      <c r="E982">
        <v>1.4</v>
      </c>
      <c r="F982" s="16">
        <v>1.4</v>
      </c>
      <c r="G982">
        <v>72</v>
      </c>
      <c r="H982">
        <v>0</v>
      </c>
      <c r="I982" t="s">
        <v>1293</v>
      </c>
      <c r="J982" t="s">
        <v>910</v>
      </c>
      <c r="K982">
        <v>516</v>
      </c>
      <c r="L982">
        <v>78</v>
      </c>
      <c r="M982">
        <v>72.2</v>
      </c>
    </row>
    <row r="983" spans="2:13" x14ac:dyDescent="0.25">
      <c r="B983" s="50" t="s">
        <v>938</v>
      </c>
      <c r="C983">
        <v>85</v>
      </c>
      <c r="D983">
        <v>85</v>
      </c>
      <c r="E983">
        <v>1.4</v>
      </c>
      <c r="F983" s="16">
        <v>1.4</v>
      </c>
      <c r="G983">
        <v>72</v>
      </c>
      <c r="H983">
        <v>0</v>
      </c>
      <c r="I983" t="s">
        <v>1229</v>
      </c>
      <c r="J983" t="s">
        <v>910</v>
      </c>
      <c r="K983">
        <v>539</v>
      </c>
      <c r="L983">
        <v>78</v>
      </c>
      <c r="M983">
        <v>75</v>
      </c>
    </row>
    <row r="984" spans="2:13" x14ac:dyDescent="0.25">
      <c r="B984" s="50" t="s">
        <v>3868</v>
      </c>
      <c r="C984">
        <v>85</v>
      </c>
      <c r="D984">
        <v>85</v>
      </c>
      <c r="E984">
        <v>1.4</v>
      </c>
      <c r="F984" s="16">
        <v>1.4</v>
      </c>
      <c r="G984">
        <v>72</v>
      </c>
      <c r="H984">
        <v>0</v>
      </c>
      <c r="I984" t="s">
        <v>1298</v>
      </c>
      <c r="J984" t="s">
        <v>900</v>
      </c>
      <c r="K984">
        <v>570</v>
      </c>
      <c r="L984">
        <v>78</v>
      </c>
      <c r="M984">
        <v>100.6</v>
      </c>
    </row>
    <row r="985" spans="2:13" x14ac:dyDescent="0.25">
      <c r="B985" s="50" t="s">
        <v>1088</v>
      </c>
      <c r="C985">
        <v>85</v>
      </c>
      <c r="D985">
        <v>85</v>
      </c>
      <c r="E985">
        <v>1.4</v>
      </c>
      <c r="F985" s="16">
        <v>1.4</v>
      </c>
      <c r="G985">
        <v>72</v>
      </c>
      <c r="H985">
        <v>0</v>
      </c>
      <c r="I985" t="s">
        <v>1228</v>
      </c>
      <c r="J985" t="s">
        <v>1228</v>
      </c>
      <c r="K985">
        <v>539</v>
      </c>
      <c r="L985">
        <v>78</v>
      </c>
      <c r="M985">
        <v>75</v>
      </c>
    </row>
    <row r="986" spans="2:13" x14ac:dyDescent="0.25">
      <c r="B986" s="50" t="s">
        <v>2751</v>
      </c>
      <c r="C986">
        <v>85</v>
      </c>
      <c r="D986">
        <v>85</v>
      </c>
      <c r="E986">
        <v>1.4</v>
      </c>
      <c r="F986" s="16">
        <v>1.4</v>
      </c>
      <c r="G986">
        <v>72</v>
      </c>
      <c r="H986">
        <v>0</v>
      </c>
      <c r="I986" t="s">
        <v>1286</v>
      </c>
      <c r="J986" t="s">
        <v>900</v>
      </c>
      <c r="K986">
        <v>610</v>
      </c>
      <c r="L986">
        <v>78</v>
      </c>
      <c r="M986">
        <v>101</v>
      </c>
    </row>
    <row r="987" spans="2:13" x14ac:dyDescent="0.25">
      <c r="B987" s="50" t="s">
        <v>4257</v>
      </c>
      <c r="C987">
        <v>85</v>
      </c>
      <c r="D987">
        <v>85</v>
      </c>
      <c r="E987">
        <v>1.4</v>
      </c>
      <c r="F987" s="16">
        <v>1.4</v>
      </c>
      <c r="G987">
        <v>72</v>
      </c>
      <c r="H987">
        <v>0</v>
      </c>
      <c r="I987" t="s">
        <v>1227</v>
      </c>
      <c r="J987" t="s">
        <v>1228</v>
      </c>
      <c r="K987">
        <v>565</v>
      </c>
      <c r="L987">
        <v>78</v>
      </c>
      <c r="M987">
        <v>99.5</v>
      </c>
    </row>
    <row r="988" spans="2:13" x14ac:dyDescent="0.25">
      <c r="B988" s="50" t="s">
        <v>1085</v>
      </c>
      <c r="C988">
        <v>85</v>
      </c>
      <c r="D988">
        <v>85</v>
      </c>
      <c r="E988">
        <v>1.4</v>
      </c>
      <c r="F988" s="16">
        <v>1.4</v>
      </c>
      <c r="G988">
        <v>72</v>
      </c>
      <c r="H988">
        <v>0</v>
      </c>
      <c r="I988" t="s">
        <v>8</v>
      </c>
      <c r="J988" t="s">
        <v>910</v>
      </c>
      <c r="K988">
        <v>539</v>
      </c>
      <c r="L988">
        <v>78</v>
      </c>
      <c r="M988">
        <v>75</v>
      </c>
    </row>
    <row r="989" spans="2:13" x14ac:dyDescent="0.25">
      <c r="B989" s="50" t="s">
        <v>937</v>
      </c>
      <c r="C989">
        <v>85</v>
      </c>
      <c r="D989">
        <v>85</v>
      </c>
      <c r="E989">
        <v>1.4</v>
      </c>
      <c r="F989" s="16">
        <v>1.4</v>
      </c>
      <c r="G989">
        <v>72</v>
      </c>
      <c r="H989">
        <v>0</v>
      </c>
      <c r="I989" t="s">
        <v>1331</v>
      </c>
      <c r="J989" t="s">
        <v>910</v>
      </c>
      <c r="K989">
        <v>539</v>
      </c>
      <c r="L989">
        <v>78</v>
      </c>
      <c r="M989">
        <v>75</v>
      </c>
    </row>
    <row r="990" spans="2:13" x14ac:dyDescent="0.25">
      <c r="B990" s="50" t="s">
        <v>1084</v>
      </c>
      <c r="C990">
        <v>85</v>
      </c>
      <c r="D990">
        <v>85</v>
      </c>
      <c r="E990">
        <v>1.4</v>
      </c>
      <c r="F990" s="16">
        <v>1.4</v>
      </c>
      <c r="G990">
        <v>72</v>
      </c>
      <c r="H990">
        <v>0</v>
      </c>
      <c r="I990" t="s">
        <v>1293</v>
      </c>
      <c r="J990" t="s">
        <v>910</v>
      </c>
      <c r="K990">
        <v>539</v>
      </c>
      <c r="L990">
        <v>78</v>
      </c>
      <c r="M990">
        <v>75</v>
      </c>
    </row>
    <row r="991" spans="2:13" x14ac:dyDescent="0.25">
      <c r="B991" s="50" t="s">
        <v>1152</v>
      </c>
      <c r="C991">
        <v>85</v>
      </c>
      <c r="D991">
        <v>85</v>
      </c>
      <c r="E991">
        <v>1.4</v>
      </c>
      <c r="F991" s="16">
        <v>1.4</v>
      </c>
      <c r="G991">
        <v>72</v>
      </c>
      <c r="H991">
        <v>0</v>
      </c>
      <c r="I991" t="s">
        <v>1221</v>
      </c>
      <c r="J991" t="s">
        <v>900</v>
      </c>
      <c r="K991">
        <v>539</v>
      </c>
      <c r="L991">
        <v>78</v>
      </c>
      <c r="M991">
        <v>75</v>
      </c>
    </row>
    <row r="992" spans="2:13" x14ac:dyDescent="0.25">
      <c r="B992" s="50" t="s">
        <v>3867</v>
      </c>
      <c r="C992">
        <v>85</v>
      </c>
      <c r="D992">
        <v>85</v>
      </c>
      <c r="E992">
        <v>1.5</v>
      </c>
      <c r="F992" s="16">
        <v>1.5</v>
      </c>
      <c r="G992">
        <v>72</v>
      </c>
      <c r="H992">
        <v>0</v>
      </c>
      <c r="I992" t="s">
        <v>1229</v>
      </c>
      <c r="J992" t="s">
        <v>910</v>
      </c>
      <c r="K992">
        <v>580</v>
      </c>
      <c r="L992">
        <v>78</v>
      </c>
      <c r="M992">
        <v>74.7</v>
      </c>
    </row>
    <row r="993" spans="2:13" x14ac:dyDescent="0.25">
      <c r="B993" s="50" t="s">
        <v>3866</v>
      </c>
      <c r="C993">
        <v>85</v>
      </c>
      <c r="D993">
        <v>85</v>
      </c>
      <c r="E993">
        <v>1.5</v>
      </c>
      <c r="F993" s="16">
        <v>1.5</v>
      </c>
      <c r="G993">
        <v>72</v>
      </c>
      <c r="H993">
        <v>0</v>
      </c>
      <c r="I993" t="s">
        <v>1298</v>
      </c>
      <c r="J993" t="s">
        <v>900</v>
      </c>
      <c r="K993">
        <v>640</v>
      </c>
      <c r="L993">
        <v>78</v>
      </c>
      <c r="M993">
        <v>100.6</v>
      </c>
    </row>
    <row r="994" spans="2:13" x14ac:dyDescent="0.25">
      <c r="B994" s="50" t="s">
        <v>3865</v>
      </c>
      <c r="C994">
        <v>85</v>
      </c>
      <c r="D994">
        <v>85</v>
      </c>
      <c r="E994">
        <v>1.5</v>
      </c>
      <c r="F994" s="16">
        <v>1.5</v>
      </c>
      <c r="G994">
        <v>72</v>
      </c>
      <c r="H994">
        <v>0</v>
      </c>
      <c r="I994" t="s">
        <v>1228</v>
      </c>
      <c r="J994" t="s">
        <v>1228</v>
      </c>
      <c r="K994">
        <v>585</v>
      </c>
      <c r="L994">
        <v>78</v>
      </c>
      <c r="M994">
        <v>80</v>
      </c>
    </row>
    <row r="995" spans="2:13" x14ac:dyDescent="0.25">
      <c r="B995" s="50" t="s">
        <v>3864</v>
      </c>
      <c r="C995">
        <v>85</v>
      </c>
      <c r="D995">
        <v>85</v>
      </c>
      <c r="E995">
        <v>1.5</v>
      </c>
      <c r="F995" s="16">
        <v>1.5</v>
      </c>
      <c r="G995">
        <v>72</v>
      </c>
      <c r="H995">
        <v>0</v>
      </c>
      <c r="I995" t="s">
        <v>1286</v>
      </c>
      <c r="J995" t="s">
        <v>900</v>
      </c>
      <c r="K995">
        <v>645</v>
      </c>
      <c r="L995">
        <v>78</v>
      </c>
      <c r="M995">
        <v>101</v>
      </c>
    </row>
    <row r="996" spans="2:13" x14ac:dyDescent="0.25">
      <c r="B996" s="50" t="s">
        <v>1178</v>
      </c>
      <c r="C996">
        <v>85</v>
      </c>
      <c r="D996">
        <v>85</v>
      </c>
      <c r="E996">
        <v>1.5</v>
      </c>
      <c r="F996" s="16">
        <v>1.5</v>
      </c>
      <c r="G996">
        <v>72</v>
      </c>
      <c r="H996">
        <v>0</v>
      </c>
      <c r="I996" t="s">
        <v>1227</v>
      </c>
      <c r="J996" t="s">
        <v>1228</v>
      </c>
      <c r="K996">
        <v>595</v>
      </c>
      <c r="L996">
        <v>78</v>
      </c>
      <c r="M996">
        <v>99.5</v>
      </c>
    </row>
    <row r="997" spans="2:13" x14ac:dyDescent="0.25">
      <c r="B997" s="50" t="s">
        <v>1036</v>
      </c>
      <c r="C997">
        <v>85</v>
      </c>
      <c r="D997">
        <v>85</v>
      </c>
      <c r="E997">
        <v>1.5</v>
      </c>
      <c r="F997" s="16">
        <v>1.5</v>
      </c>
      <c r="G997">
        <v>72</v>
      </c>
      <c r="H997">
        <v>0</v>
      </c>
      <c r="I997" t="s">
        <v>8</v>
      </c>
      <c r="J997" t="s">
        <v>910</v>
      </c>
      <c r="K997">
        <v>560</v>
      </c>
      <c r="L997">
        <v>78</v>
      </c>
      <c r="M997">
        <v>72.2</v>
      </c>
    </row>
    <row r="998" spans="2:13" x14ac:dyDescent="0.25">
      <c r="B998" s="50" t="s">
        <v>3863</v>
      </c>
      <c r="C998">
        <v>85</v>
      </c>
      <c r="D998">
        <v>85</v>
      </c>
      <c r="E998">
        <v>1.5</v>
      </c>
      <c r="F998" s="16">
        <v>1.5</v>
      </c>
      <c r="G998">
        <v>72</v>
      </c>
      <c r="H998">
        <v>0</v>
      </c>
      <c r="I998" t="s">
        <v>1331</v>
      </c>
      <c r="J998" t="s">
        <v>910</v>
      </c>
      <c r="K998">
        <v>550</v>
      </c>
      <c r="L998">
        <v>78</v>
      </c>
      <c r="M998">
        <v>73.2</v>
      </c>
    </row>
    <row r="999" spans="2:13" x14ac:dyDescent="0.25">
      <c r="B999" s="50" t="s">
        <v>3314</v>
      </c>
      <c r="C999">
        <v>85</v>
      </c>
      <c r="D999">
        <v>85</v>
      </c>
      <c r="E999">
        <v>1.5</v>
      </c>
      <c r="F999" s="16">
        <v>1.5</v>
      </c>
      <c r="G999">
        <v>72</v>
      </c>
      <c r="H999">
        <v>0</v>
      </c>
      <c r="I999" t="s">
        <v>1333</v>
      </c>
      <c r="J999" t="s">
        <v>900</v>
      </c>
      <c r="K999">
        <v>595</v>
      </c>
      <c r="L999">
        <v>78</v>
      </c>
      <c r="M999">
        <v>93.2</v>
      </c>
    </row>
    <row r="1000" spans="2:13" x14ac:dyDescent="0.25">
      <c r="B1000" s="50" t="s">
        <v>3313</v>
      </c>
      <c r="C1000">
        <v>85</v>
      </c>
      <c r="D1000">
        <v>85</v>
      </c>
      <c r="E1000">
        <v>1.5</v>
      </c>
      <c r="F1000" s="16">
        <v>1.5</v>
      </c>
      <c r="G1000">
        <v>72</v>
      </c>
      <c r="H1000">
        <v>0</v>
      </c>
      <c r="I1000" t="s">
        <v>1293</v>
      </c>
      <c r="J1000" t="s">
        <v>910</v>
      </c>
      <c r="K1000">
        <v>570</v>
      </c>
      <c r="L1000">
        <v>78</v>
      </c>
      <c r="M1000">
        <v>74.2</v>
      </c>
    </row>
    <row r="1001" spans="2:13" x14ac:dyDescent="0.25">
      <c r="B1001" s="50" t="s">
        <v>4256</v>
      </c>
      <c r="C1001">
        <v>85</v>
      </c>
      <c r="D1001">
        <v>85</v>
      </c>
      <c r="E1001">
        <v>1.5</v>
      </c>
      <c r="F1001" s="16">
        <v>1.5</v>
      </c>
      <c r="G1001">
        <v>72</v>
      </c>
      <c r="H1001">
        <v>0</v>
      </c>
      <c r="I1001" t="s">
        <v>1221</v>
      </c>
      <c r="J1001" t="s">
        <v>910</v>
      </c>
      <c r="K1001">
        <v>605</v>
      </c>
      <c r="L1001">
        <v>78</v>
      </c>
      <c r="M1001">
        <v>100.7</v>
      </c>
    </row>
    <row r="1002" spans="2:13" x14ac:dyDescent="0.25">
      <c r="B1002" s="50" t="s">
        <v>1089</v>
      </c>
      <c r="C1002">
        <v>85</v>
      </c>
      <c r="D1002">
        <v>85</v>
      </c>
      <c r="E1002">
        <v>1.5</v>
      </c>
      <c r="F1002" s="16">
        <v>1.5</v>
      </c>
      <c r="G1002">
        <v>0</v>
      </c>
      <c r="H1002">
        <v>0</v>
      </c>
      <c r="I1002" t="s">
        <v>1229</v>
      </c>
      <c r="J1002" t="s">
        <v>910</v>
      </c>
      <c r="K1002">
        <v>577</v>
      </c>
      <c r="L1002">
        <v>78</v>
      </c>
      <c r="M1002">
        <v>75</v>
      </c>
    </row>
    <row r="1003" spans="2:13" x14ac:dyDescent="0.25">
      <c r="B1003" s="50" t="s">
        <v>1090</v>
      </c>
      <c r="C1003">
        <v>85</v>
      </c>
      <c r="D1003">
        <v>85</v>
      </c>
      <c r="E1003">
        <v>1.5</v>
      </c>
      <c r="F1003" s="16">
        <v>1.5</v>
      </c>
      <c r="G1003">
        <v>0</v>
      </c>
      <c r="H1003">
        <v>0</v>
      </c>
      <c r="I1003" t="s">
        <v>8</v>
      </c>
      <c r="J1003" t="s">
        <v>910</v>
      </c>
      <c r="K1003">
        <v>577</v>
      </c>
      <c r="L1003">
        <v>78</v>
      </c>
      <c r="M1003">
        <v>75</v>
      </c>
    </row>
    <row r="1004" spans="2:13" x14ac:dyDescent="0.25">
      <c r="B1004" s="50" t="s">
        <v>3312</v>
      </c>
      <c r="C1004">
        <v>85</v>
      </c>
      <c r="D1004">
        <v>85</v>
      </c>
      <c r="E1004">
        <v>1.5</v>
      </c>
      <c r="F1004" s="16">
        <v>1.5</v>
      </c>
      <c r="G1004">
        <v>0</v>
      </c>
      <c r="H1004">
        <v>0</v>
      </c>
      <c r="I1004" t="s">
        <v>1293</v>
      </c>
      <c r="J1004" t="s">
        <v>910</v>
      </c>
      <c r="K1004">
        <v>577</v>
      </c>
      <c r="L1004">
        <v>78</v>
      </c>
      <c r="M1004">
        <v>75</v>
      </c>
    </row>
    <row r="1005" spans="2:13" x14ac:dyDescent="0.25">
      <c r="B1005" s="50" t="s">
        <v>3311</v>
      </c>
      <c r="C1005">
        <v>85</v>
      </c>
      <c r="D1005">
        <v>85</v>
      </c>
      <c r="E1005">
        <v>1.5</v>
      </c>
      <c r="F1005" s="16">
        <v>1.5</v>
      </c>
      <c r="G1005">
        <v>0</v>
      </c>
      <c r="H1005">
        <v>0</v>
      </c>
      <c r="I1005" t="s">
        <v>1221</v>
      </c>
      <c r="J1005" t="s">
        <v>900</v>
      </c>
      <c r="K1005">
        <v>577</v>
      </c>
      <c r="L1005">
        <v>78</v>
      </c>
      <c r="M1005">
        <v>75</v>
      </c>
    </row>
    <row r="1006" spans="2:13" x14ac:dyDescent="0.25">
      <c r="B1006" s="50" t="s">
        <v>1108</v>
      </c>
      <c r="C1006">
        <v>8</v>
      </c>
      <c r="D1006">
        <v>8</v>
      </c>
      <c r="E1006">
        <v>2.8</v>
      </c>
      <c r="F1006" s="16">
        <v>2.8</v>
      </c>
      <c r="G1006">
        <v>0</v>
      </c>
      <c r="H1006">
        <v>0</v>
      </c>
      <c r="I1006" t="s">
        <v>1333</v>
      </c>
      <c r="J1006" t="s">
        <v>900</v>
      </c>
      <c r="K1006">
        <v>203</v>
      </c>
      <c r="L1006">
        <v>60</v>
      </c>
      <c r="M1006">
        <v>48.3</v>
      </c>
    </row>
    <row r="1007" spans="2:13" x14ac:dyDescent="0.25">
      <c r="B1007" s="50" t="s">
        <v>2953</v>
      </c>
      <c r="C1007">
        <v>8</v>
      </c>
      <c r="D1007">
        <v>8</v>
      </c>
      <c r="E1007">
        <v>2.8</v>
      </c>
      <c r="F1007" s="16">
        <v>2.8</v>
      </c>
      <c r="G1007">
        <v>0</v>
      </c>
      <c r="H1007">
        <v>0</v>
      </c>
      <c r="I1007" t="s">
        <v>1298</v>
      </c>
      <c r="J1007" t="s">
        <v>900</v>
      </c>
      <c r="K1007">
        <v>260</v>
      </c>
      <c r="L1007">
        <v>60</v>
      </c>
      <c r="M1007">
        <v>64.400000000000006</v>
      </c>
    </row>
    <row r="1008" spans="2:13" x14ac:dyDescent="0.25">
      <c r="B1008" s="50" t="s">
        <v>2952</v>
      </c>
      <c r="C1008">
        <v>8</v>
      </c>
      <c r="D1008">
        <v>8</v>
      </c>
      <c r="E1008">
        <v>2.8</v>
      </c>
      <c r="F1008" s="16">
        <v>2.8</v>
      </c>
      <c r="G1008">
        <v>0</v>
      </c>
      <c r="H1008">
        <v>0</v>
      </c>
      <c r="I1008" t="s">
        <v>1298</v>
      </c>
      <c r="J1008" t="s">
        <v>900</v>
      </c>
      <c r="K1008">
        <v>260</v>
      </c>
      <c r="L1008">
        <v>60</v>
      </c>
      <c r="M1008">
        <v>64.400000000000006</v>
      </c>
    </row>
    <row r="1009" spans="2:13" x14ac:dyDescent="0.25">
      <c r="B1009" s="50" t="s">
        <v>2756</v>
      </c>
      <c r="C1009">
        <v>8</v>
      </c>
      <c r="D1009">
        <v>8</v>
      </c>
      <c r="E1009">
        <v>2.8</v>
      </c>
      <c r="F1009" s="16">
        <v>2.8</v>
      </c>
      <c r="G1009">
        <v>0</v>
      </c>
      <c r="H1009">
        <v>0</v>
      </c>
      <c r="I1009" t="s">
        <v>1286</v>
      </c>
      <c r="J1009" t="s">
        <v>900</v>
      </c>
      <c r="K1009">
        <v>275</v>
      </c>
      <c r="L1009">
        <v>60</v>
      </c>
      <c r="M1009">
        <v>64.8</v>
      </c>
    </row>
    <row r="1010" spans="2:13" x14ac:dyDescent="0.25">
      <c r="B1010" s="50" t="s">
        <v>3916</v>
      </c>
      <c r="C1010">
        <v>8</v>
      </c>
      <c r="D1010">
        <v>8</v>
      </c>
      <c r="E1010">
        <v>2.8</v>
      </c>
      <c r="F1010" s="16">
        <v>2.8</v>
      </c>
      <c r="G1010">
        <v>0</v>
      </c>
      <c r="H1010">
        <v>0</v>
      </c>
      <c r="I1010" t="s">
        <v>1286</v>
      </c>
      <c r="J1010" t="s">
        <v>900</v>
      </c>
      <c r="K1010">
        <v>275</v>
      </c>
      <c r="L1010">
        <v>60</v>
      </c>
      <c r="M1010">
        <v>64.8</v>
      </c>
    </row>
    <row r="1011" spans="2:13" x14ac:dyDescent="0.25">
      <c r="B1011" s="50" t="s">
        <v>3915</v>
      </c>
      <c r="C1011">
        <v>8</v>
      </c>
      <c r="D1011">
        <v>8</v>
      </c>
      <c r="E1011">
        <v>2.8</v>
      </c>
      <c r="F1011" s="16">
        <v>2.8</v>
      </c>
      <c r="G1011">
        <v>0</v>
      </c>
      <c r="H1011">
        <v>0</v>
      </c>
      <c r="I1011" t="s">
        <v>1333</v>
      </c>
      <c r="J1011" t="s">
        <v>900</v>
      </c>
      <c r="K1011">
        <v>250</v>
      </c>
      <c r="L1011">
        <v>60</v>
      </c>
      <c r="M1011">
        <v>57</v>
      </c>
    </row>
    <row r="1012" spans="2:13" x14ac:dyDescent="0.25">
      <c r="B1012" s="50" t="s">
        <v>3914</v>
      </c>
      <c r="C1012">
        <v>8</v>
      </c>
      <c r="D1012">
        <v>8</v>
      </c>
      <c r="E1012">
        <v>2.8</v>
      </c>
      <c r="F1012" s="16">
        <v>2.8</v>
      </c>
      <c r="G1012">
        <v>0</v>
      </c>
      <c r="H1012">
        <v>0</v>
      </c>
      <c r="I1012" t="s">
        <v>1333</v>
      </c>
      <c r="J1012" t="s">
        <v>900</v>
      </c>
      <c r="K1012">
        <v>250</v>
      </c>
      <c r="L1012">
        <v>60</v>
      </c>
      <c r="M1012">
        <v>57</v>
      </c>
    </row>
    <row r="1013" spans="2:13" x14ac:dyDescent="0.25">
      <c r="B1013" s="50" t="s">
        <v>4264</v>
      </c>
      <c r="C1013">
        <v>8</v>
      </c>
      <c r="D1013">
        <v>8</v>
      </c>
      <c r="E1013">
        <v>2.8</v>
      </c>
      <c r="F1013" s="16">
        <v>2.8</v>
      </c>
      <c r="G1013">
        <v>0</v>
      </c>
      <c r="H1013">
        <v>0</v>
      </c>
      <c r="I1013" t="s">
        <v>1221</v>
      </c>
      <c r="J1013" t="s">
        <v>900</v>
      </c>
      <c r="K1013">
        <v>265</v>
      </c>
      <c r="L1013">
        <v>60</v>
      </c>
      <c r="M1013">
        <v>64.5</v>
      </c>
    </row>
    <row r="1014" spans="2:13" x14ac:dyDescent="0.25">
      <c r="B1014" s="50" t="s">
        <v>2951</v>
      </c>
      <c r="C1014">
        <v>8</v>
      </c>
      <c r="D1014">
        <v>8</v>
      </c>
      <c r="E1014">
        <v>2.8</v>
      </c>
      <c r="F1014" s="16">
        <v>2.8</v>
      </c>
      <c r="G1014">
        <v>0</v>
      </c>
      <c r="H1014">
        <v>0</v>
      </c>
      <c r="I1014" t="s">
        <v>1221</v>
      </c>
      <c r="J1014" t="s">
        <v>900</v>
      </c>
      <c r="K1014">
        <v>265</v>
      </c>
      <c r="L1014">
        <v>60</v>
      </c>
      <c r="M1014">
        <v>64.5</v>
      </c>
    </row>
    <row r="1015" spans="2:13" x14ac:dyDescent="0.25">
      <c r="B1015" s="50" t="s">
        <v>956</v>
      </c>
      <c r="C1015">
        <v>8</v>
      </c>
      <c r="D1015">
        <v>8</v>
      </c>
      <c r="E1015">
        <v>3.5</v>
      </c>
      <c r="F1015" s="16">
        <v>3.5</v>
      </c>
      <c r="G1015">
        <v>0</v>
      </c>
      <c r="H1015">
        <v>0</v>
      </c>
      <c r="I1015" t="s">
        <v>1229</v>
      </c>
      <c r="J1015" t="s">
        <v>900</v>
      </c>
      <c r="K1015">
        <v>435</v>
      </c>
      <c r="L1015">
        <v>75</v>
      </c>
      <c r="M1015">
        <v>74.8</v>
      </c>
    </row>
    <row r="1016" spans="2:13" x14ac:dyDescent="0.25">
      <c r="B1016" s="50" t="s">
        <v>1148</v>
      </c>
      <c r="C1016">
        <v>8</v>
      </c>
      <c r="D1016">
        <v>8</v>
      </c>
      <c r="E1016">
        <v>3.5</v>
      </c>
      <c r="F1016" s="16">
        <v>3.5</v>
      </c>
      <c r="G1016">
        <v>0</v>
      </c>
      <c r="H1016">
        <v>0</v>
      </c>
      <c r="I1016" t="s">
        <v>1228</v>
      </c>
      <c r="J1016" t="s">
        <v>900</v>
      </c>
      <c r="K1016">
        <v>435</v>
      </c>
      <c r="L1016">
        <v>75</v>
      </c>
      <c r="M1016">
        <v>74.8</v>
      </c>
    </row>
    <row r="1017" spans="2:13" x14ac:dyDescent="0.25">
      <c r="B1017" s="50" t="s">
        <v>1095</v>
      </c>
      <c r="C1017">
        <v>8</v>
      </c>
      <c r="D1017">
        <v>8</v>
      </c>
      <c r="E1017">
        <v>3.5</v>
      </c>
      <c r="F1017" s="16">
        <v>3.5</v>
      </c>
      <c r="G1017">
        <v>0</v>
      </c>
      <c r="H1017">
        <v>0</v>
      </c>
      <c r="I1017" t="s">
        <v>1293</v>
      </c>
      <c r="J1017" t="s">
        <v>900</v>
      </c>
      <c r="K1017">
        <v>435</v>
      </c>
      <c r="L1017">
        <v>75</v>
      </c>
      <c r="M1017">
        <v>74.8</v>
      </c>
    </row>
    <row r="1018" spans="2:13" x14ac:dyDescent="0.25">
      <c r="B1018" s="50" t="s">
        <v>1067</v>
      </c>
      <c r="C1018">
        <v>8</v>
      </c>
      <c r="D1018">
        <v>8</v>
      </c>
      <c r="E1018">
        <v>3.5</v>
      </c>
      <c r="F1018" s="16">
        <v>3.5</v>
      </c>
      <c r="G1018">
        <v>0</v>
      </c>
      <c r="H1018">
        <v>0</v>
      </c>
      <c r="I1018" t="s">
        <v>1221</v>
      </c>
      <c r="J1018" t="s">
        <v>900</v>
      </c>
      <c r="K1018">
        <v>435</v>
      </c>
      <c r="L1018">
        <v>75</v>
      </c>
      <c r="M1018">
        <v>74.8</v>
      </c>
    </row>
    <row r="1019" spans="2:13" x14ac:dyDescent="0.25">
      <c r="B1019" s="50" t="s">
        <v>4147</v>
      </c>
      <c r="C1019">
        <v>8</v>
      </c>
      <c r="D1019">
        <v>8</v>
      </c>
      <c r="E1019">
        <v>3.5</v>
      </c>
      <c r="F1019" s="16">
        <v>3.5</v>
      </c>
      <c r="G1019">
        <v>0</v>
      </c>
      <c r="H1019">
        <v>0</v>
      </c>
      <c r="I1019" t="s">
        <v>1229</v>
      </c>
      <c r="J1019" t="s">
        <v>900</v>
      </c>
      <c r="K1019">
        <v>440</v>
      </c>
      <c r="L1019">
        <v>77.8</v>
      </c>
      <c r="M1019">
        <v>75.099999999999994</v>
      </c>
    </row>
    <row r="1020" spans="2:13" x14ac:dyDescent="0.25">
      <c r="B1020" s="50" t="s">
        <v>3913</v>
      </c>
      <c r="C1020">
        <v>8</v>
      </c>
      <c r="D1020">
        <v>8</v>
      </c>
      <c r="E1020">
        <v>3.5</v>
      </c>
      <c r="F1020" s="16">
        <v>3.5</v>
      </c>
      <c r="G1020">
        <v>0</v>
      </c>
      <c r="H1020">
        <v>0</v>
      </c>
      <c r="I1020" t="s">
        <v>1298</v>
      </c>
      <c r="J1020" t="s">
        <v>900</v>
      </c>
      <c r="K1020">
        <v>460</v>
      </c>
      <c r="L1020">
        <v>77.8</v>
      </c>
      <c r="M1020">
        <v>101</v>
      </c>
    </row>
    <row r="1021" spans="2:13" x14ac:dyDescent="0.25">
      <c r="B1021" s="50" t="s">
        <v>3912</v>
      </c>
      <c r="C1021">
        <v>8</v>
      </c>
      <c r="D1021">
        <v>8</v>
      </c>
      <c r="E1021">
        <v>3.5</v>
      </c>
      <c r="F1021" s="16">
        <v>3.5</v>
      </c>
      <c r="G1021">
        <v>0</v>
      </c>
      <c r="H1021">
        <v>0</v>
      </c>
      <c r="I1021" t="s">
        <v>1228</v>
      </c>
      <c r="J1021" t="s">
        <v>1228</v>
      </c>
      <c r="K1021">
        <v>430</v>
      </c>
      <c r="L1021">
        <v>77.8</v>
      </c>
      <c r="M1021">
        <v>80.400000000000006</v>
      </c>
    </row>
    <row r="1022" spans="2:13" x14ac:dyDescent="0.25">
      <c r="B1022" s="50" t="s">
        <v>3264</v>
      </c>
      <c r="C1022">
        <v>8</v>
      </c>
      <c r="D1022">
        <v>8</v>
      </c>
      <c r="E1022">
        <v>3.5</v>
      </c>
      <c r="F1022" s="16">
        <v>3.5</v>
      </c>
      <c r="G1022">
        <v>0</v>
      </c>
      <c r="H1022">
        <v>0</v>
      </c>
      <c r="I1022" t="s">
        <v>1286</v>
      </c>
      <c r="J1022" t="s">
        <v>900</v>
      </c>
      <c r="K1022">
        <v>515</v>
      </c>
      <c r="L1022">
        <v>77.8</v>
      </c>
      <c r="M1022">
        <v>101.4</v>
      </c>
    </row>
    <row r="1023" spans="2:13" x14ac:dyDescent="0.25">
      <c r="B1023" s="50" t="s">
        <v>3263</v>
      </c>
      <c r="C1023">
        <v>8</v>
      </c>
      <c r="D1023">
        <v>8</v>
      </c>
      <c r="E1023">
        <v>3.5</v>
      </c>
      <c r="F1023" s="16">
        <v>3.5</v>
      </c>
      <c r="G1023">
        <v>0</v>
      </c>
      <c r="H1023">
        <v>0</v>
      </c>
      <c r="I1023" t="s">
        <v>1227</v>
      </c>
      <c r="J1023" t="s">
        <v>1228</v>
      </c>
      <c r="K1023">
        <v>440</v>
      </c>
      <c r="L1023">
        <v>77.8</v>
      </c>
      <c r="M1023">
        <v>99.9</v>
      </c>
    </row>
    <row r="1024" spans="2:13" x14ac:dyDescent="0.25">
      <c r="B1024" s="50" t="s">
        <v>3262</v>
      </c>
      <c r="C1024">
        <v>8</v>
      </c>
      <c r="D1024">
        <v>8</v>
      </c>
      <c r="E1024">
        <v>3.5</v>
      </c>
      <c r="F1024" s="16">
        <v>3.5</v>
      </c>
      <c r="G1024">
        <v>0</v>
      </c>
      <c r="H1024">
        <v>0</v>
      </c>
      <c r="I1024" t="s">
        <v>8</v>
      </c>
      <c r="J1024" t="s">
        <v>900</v>
      </c>
      <c r="K1024">
        <v>410</v>
      </c>
      <c r="L1024">
        <v>77.8</v>
      </c>
      <c r="M1024">
        <v>72.599999999999994</v>
      </c>
    </row>
    <row r="1025" spans="2:13" x14ac:dyDescent="0.25">
      <c r="B1025" s="50" t="s">
        <v>3261</v>
      </c>
      <c r="C1025">
        <v>8</v>
      </c>
      <c r="D1025">
        <v>8</v>
      </c>
      <c r="E1025">
        <v>3.5</v>
      </c>
      <c r="F1025" s="16">
        <v>3.5</v>
      </c>
      <c r="G1025">
        <v>0</v>
      </c>
      <c r="H1025">
        <v>0</v>
      </c>
      <c r="I1025" t="s">
        <v>1331</v>
      </c>
      <c r="J1025" t="s">
        <v>900</v>
      </c>
      <c r="K1025">
        <v>415</v>
      </c>
      <c r="L1025">
        <v>77.8</v>
      </c>
      <c r="M1025">
        <v>73.599999999999994</v>
      </c>
    </row>
    <row r="1026" spans="2:13" x14ac:dyDescent="0.25">
      <c r="B1026" s="50" t="s">
        <v>3260</v>
      </c>
      <c r="C1026">
        <v>8</v>
      </c>
      <c r="D1026">
        <v>8</v>
      </c>
      <c r="E1026">
        <v>3.5</v>
      </c>
      <c r="F1026" s="16">
        <v>3.5</v>
      </c>
      <c r="G1026">
        <v>0</v>
      </c>
      <c r="H1026">
        <v>0</v>
      </c>
      <c r="I1026" t="s">
        <v>1333</v>
      </c>
      <c r="J1026" t="s">
        <v>900</v>
      </c>
      <c r="K1026">
        <v>465</v>
      </c>
      <c r="L1026">
        <v>77.8</v>
      </c>
      <c r="M1026">
        <v>93.6</v>
      </c>
    </row>
    <row r="1027" spans="2:13" x14ac:dyDescent="0.25">
      <c r="B1027" s="50" t="s">
        <v>3259</v>
      </c>
      <c r="C1027">
        <v>8</v>
      </c>
      <c r="D1027">
        <v>8</v>
      </c>
      <c r="E1027">
        <v>3.5</v>
      </c>
      <c r="F1027" s="16">
        <v>3.5</v>
      </c>
      <c r="G1027">
        <v>0</v>
      </c>
      <c r="H1027">
        <v>0</v>
      </c>
      <c r="I1027" t="s">
        <v>1293</v>
      </c>
      <c r="J1027" t="s">
        <v>900</v>
      </c>
      <c r="K1027">
        <v>425</v>
      </c>
      <c r="L1027">
        <v>77.8</v>
      </c>
      <c r="M1027">
        <v>74.599999999999994</v>
      </c>
    </row>
    <row r="1028" spans="2:13" x14ac:dyDescent="0.25">
      <c r="B1028" s="50" t="s">
        <v>3258</v>
      </c>
      <c r="C1028">
        <v>8</v>
      </c>
      <c r="D1028">
        <v>8</v>
      </c>
      <c r="E1028">
        <v>3.5</v>
      </c>
      <c r="F1028" s="16">
        <v>3.5</v>
      </c>
      <c r="G1028">
        <v>0</v>
      </c>
      <c r="H1028">
        <v>0</v>
      </c>
      <c r="I1028" t="s">
        <v>1221</v>
      </c>
      <c r="J1028" t="s">
        <v>900</v>
      </c>
      <c r="K1028">
        <v>450</v>
      </c>
      <c r="L1028">
        <v>77.8</v>
      </c>
      <c r="M1028">
        <v>101.1</v>
      </c>
    </row>
    <row r="1029" spans="2:13" x14ac:dyDescent="0.25">
      <c r="B1029" s="50" t="s">
        <v>1061</v>
      </c>
      <c r="C1029">
        <v>8</v>
      </c>
      <c r="D1029">
        <v>8</v>
      </c>
      <c r="E1029">
        <v>3.8</v>
      </c>
      <c r="F1029" s="16">
        <v>3.8</v>
      </c>
      <c r="G1029">
        <v>0</v>
      </c>
      <c r="H1029">
        <v>0</v>
      </c>
      <c r="I1029" t="s">
        <v>8</v>
      </c>
      <c r="J1029" t="s">
        <v>900</v>
      </c>
      <c r="K1029">
        <v>435</v>
      </c>
      <c r="L1029">
        <v>75</v>
      </c>
      <c r="M1029">
        <v>74.8</v>
      </c>
    </row>
    <row r="1030" spans="2:13" x14ac:dyDescent="0.25">
      <c r="B1030" s="50" t="s">
        <v>1033</v>
      </c>
      <c r="C1030">
        <v>8</v>
      </c>
      <c r="D1030">
        <v>8</v>
      </c>
      <c r="E1030">
        <v>3.1</v>
      </c>
      <c r="F1030" s="16">
        <v>3.1</v>
      </c>
      <c r="G1030">
        <v>0</v>
      </c>
      <c r="H1030">
        <v>0</v>
      </c>
      <c r="I1030" t="s">
        <v>1298</v>
      </c>
      <c r="J1030" t="s">
        <v>900</v>
      </c>
      <c r="K1030">
        <v>265</v>
      </c>
      <c r="L1030">
        <v>73.599999999999994</v>
      </c>
      <c r="M1030">
        <v>64.400000000000006</v>
      </c>
    </row>
    <row r="1031" spans="2:13" x14ac:dyDescent="0.25">
      <c r="B1031" s="50" t="s">
        <v>3257</v>
      </c>
      <c r="C1031">
        <v>8</v>
      </c>
      <c r="D1031">
        <v>8</v>
      </c>
      <c r="E1031">
        <v>3.1</v>
      </c>
      <c r="F1031" s="16">
        <v>3.1</v>
      </c>
      <c r="G1031">
        <v>0</v>
      </c>
      <c r="H1031">
        <v>0</v>
      </c>
      <c r="I1031" t="s">
        <v>1286</v>
      </c>
      <c r="J1031" t="s">
        <v>900</v>
      </c>
      <c r="K1031">
        <v>280</v>
      </c>
      <c r="L1031">
        <v>73.599999999999994</v>
      </c>
      <c r="M1031">
        <v>64.8</v>
      </c>
    </row>
    <row r="1032" spans="2:13" x14ac:dyDescent="0.25">
      <c r="B1032" s="50" t="s">
        <v>1034</v>
      </c>
      <c r="C1032">
        <v>8</v>
      </c>
      <c r="D1032">
        <v>8</v>
      </c>
      <c r="E1032">
        <v>3.1</v>
      </c>
      <c r="F1032" s="16">
        <v>3.1</v>
      </c>
      <c r="G1032">
        <v>0</v>
      </c>
      <c r="H1032">
        <v>0</v>
      </c>
      <c r="I1032" t="s">
        <v>1333</v>
      </c>
      <c r="J1032" t="s">
        <v>900</v>
      </c>
      <c r="K1032">
        <v>255</v>
      </c>
      <c r="L1032">
        <v>73.599999999999994</v>
      </c>
      <c r="M1032">
        <v>57</v>
      </c>
    </row>
    <row r="1033" spans="2:13" x14ac:dyDescent="0.25">
      <c r="B1033" s="50" t="s">
        <v>1035</v>
      </c>
      <c r="C1033">
        <v>8</v>
      </c>
      <c r="D1033">
        <v>8</v>
      </c>
      <c r="E1033">
        <v>3.1</v>
      </c>
      <c r="F1033" s="16">
        <v>3.1</v>
      </c>
      <c r="G1033">
        <v>0</v>
      </c>
      <c r="H1033">
        <v>0</v>
      </c>
      <c r="I1033" t="s">
        <v>1221</v>
      </c>
      <c r="J1033" t="s">
        <v>900</v>
      </c>
      <c r="K1033">
        <v>270</v>
      </c>
      <c r="L1033">
        <v>73.599999999999994</v>
      </c>
      <c r="M1033">
        <v>64.5</v>
      </c>
    </row>
    <row r="1034" spans="2:13" x14ac:dyDescent="0.25">
      <c r="B1034" s="50" t="s">
        <v>3256</v>
      </c>
      <c r="C1034">
        <v>8</v>
      </c>
      <c r="D1034">
        <v>8</v>
      </c>
      <c r="E1034">
        <v>3.8</v>
      </c>
      <c r="F1034" s="16">
        <v>3.8</v>
      </c>
      <c r="G1034">
        <v>0</v>
      </c>
      <c r="H1034">
        <v>0</v>
      </c>
      <c r="I1034" t="s">
        <v>1229</v>
      </c>
      <c r="J1034" t="s">
        <v>900</v>
      </c>
      <c r="K1034">
        <v>455</v>
      </c>
      <c r="L1034">
        <v>77.8</v>
      </c>
      <c r="M1034">
        <v>75.099999999999994</v>
      </c>
    </row>
    <row r="1035" spans="2:13" x14ac:dyDescent="0.25">
      <c r="B1035" s="50" t="s">
        <v>974</v>
      </c>
      <c r="C1035">
        <v>8</v>
      </c>
      <c r="D1035">
        <v>8</v>
      </c>
      <c r="E1035">
        <v>3.8</v>
      </c>
      <c r="F1035" s="16">
        <v>3.8</v>
      </c>
      <c r="G1035">
        <v>0</v>
      </c>
      <c r="H1035">
        <v>0</v>
      </c>
      <c r="I1035" t="s">
        <v>1298</v>
      </c>
      <c r="J1035" t="s">
        <v>900</v>
      </c>
      <c r="K1035">
        <v>470</v>
      </c>
      <c r="L1035">
        <v>77.8</v>
      </c>
      <c r="M1035">
        <v>101</v>
      </c>
    </row>
    <row r="1036" spans="2:13" x14ac:dyDescent="0.25">
      <c r="B1036" s="50" t="s">
        <v>3255</v>
      </c>
      <c r="C1036">
        <v>8</v>
      </c>
      <c r="D1036">
        <v>8</v>
      </c>
      <c r="E1036">
        <v>3.8</v>
      </c>
      <c r="F1036" s="16">
        <v>3.8</v>
      </c>
      <c r="G1036">
        <v>0</v>
      </c>
      <c r="H1036">
        <v>0</v>
      </c>
      <c r="I1036" t="s">
        <v>1228</v>
      </c>
      <c r="J1036" t="s">
        <v>1228</v>
      </c>
      <c r="K1036">
        <v>440</v>
      </c>
      <c r="L1036">
        <v>77.8</v>
      </c>
      <c r="M1036">
        <v>80.400000000000006</v>
      </c>
    </row>
    <row r="1037" spans="2:13" x14ac:dyDescent="0.25">
      <c r="B1037" s="50" t="s">
        <v>975</v>
      </c>
      <c r="C1037">
        <v>8</v>
      </c>
      <c r="D1037">
        <v>8</v>
      </c>
      <c r="E1037">
        <v>3.8</v>
      </c>
      <c r="F1037" s="16">
        <v>3.8</v>
      </c>
      <c r="G1037">
        <v>0</v>
      </c>
      <c r="H1037">
        <v>0</v>
      </c>
      <c r="I1037" t="s">
        <v>1286</v>
      </c>
      <c r="J1037" t="s">
        <v>900</v>
      </c>
      <c r="K1037">
        <v>530</v>
      </c>
      <c r="L1037">
        <v>77.8</v>
      </c>
      <c r="M1037">
        <v>101.4</v>
      </c>
    </row>
    <row r="1038" spans="2:13" x14ac:dyDescent="0.25">
      <c r="B1038" s="50" t="s">
        <v>3254</v>
      </c>
      <c r="C1038">
        <v>8</v>
      </c>
      <c r="D1038">
        <v>8</v>
      </c>
      <c r="E1038">
        <v>3.8</v>
      </c>
      <c r="F1038" s="16">
        <v>3.8</v>
      </c>
      <c r="G1038">
        <v>0</v>
      </c>
      <c r="H1038">
        <v>0</v>
      </c>
      <c r="I1038" t="s">
        <v>1227</v>
      </c>
      <c r="J1038" t="s">
        <v>1228</v>
      </c>
      <c r="K1038">
        <v>450</v>
      </c>
      <c r="L1038">
        <v>77.8</v>
      </c>
      <c r="M1038">
        <v>99.9</v>
      </c>
    </row>
    <row r="1039" spans="2:13" x14ac:dyDescent="0.25">
      <c r="B1039" s="50" t="s">
        <v>3911</v>
      </c>
      <c r="C1039">
        <v>8</v>
      </c>
      <c r="D1039">
        <v>8</v>
      </c>
      <c r="E1039">
        <v>3.8</v>
      </c>
      <c r="F1039" s="16">
        <v>3.8</v>
      </c>
      <c r="G1039">
        <v>0</v>
      </c>
      <c r="H1039">
        <v>0</v>
      </c>
      <c r="I1039" t="s">
        <v>8</v>
      </c>
      <c r="J1039" t="s">
        <v>900</v>
      </c>
      <c r="K1039">
        <v>430</v>
      </c>
      <c r="L1039">
        <v>77.8</v>
      </c>
      <c r="M1039">
        <v>72.599999999999994</v>
      </c>
    </row>
    <row r="1040" spans="2:13" x14ac:dyDescent="0.25">
      <c r="B1040" s="50" t="s">
        <v>3910</v>
      </c>
      <c r="C1040">
        <v>8</v>
      </c>
      <c r="D1040">
        <v>8</v>
      </c>
      <c r="E1040">
        <v>3.8</v>
      </c>
      <c r="F1040" s="16">
        <v>3.8</v>
      </c>
      <c r="G1040">
        <v>0</v>
      </c>
      <c r="H1040">
        <v>0</v>
      </c>
      <c r="I1040" t="s">
        <v>1331</v>
      </c>
      <c r="J1040" t="s">
        <v>900</v>
      </c>
      <c r="K1040">
        <v>415</v>
      </c>
      <c r="L1040">
        <v>77.8</v>
      </c>
      <c r="M1040">
        <v>73.599999999999994</v>
      </c>
    </row>
    <row r="1041" spans="2:13" x14ac:dyDescent="0.25">
      <c r="B1041" s="50" t="s">
        <v>976</v>
      </c>
      <c r="C1041">
        <v>8</v>
      </c>
      <c r="D1041">
        <v>8</v>
      </c>
      <c r="E1041">
        <v>3.8</v>
      </c>
      <c r="F1041" s="16">
        <v>3.8</v>
      </c>
      <c r="G1041">
        <v>0</v>
      </c>
      <c r="H1041">
        <v>0</v>
      </c>
      <c r="I1041" t="s">
        <v>1333</v>
      </c>
      <c r="J1041" t="s">
        <v>900</v>
      </c>
      <c r="K1041">
        <v>475</v>
      </c>
      <c r="L1041">
        <v>77.8</v>
      </c>
      <c r="M1041">
        <v>93.6</v>
      </c>
    </row>
    <row r="1042" spans="2:13" x14ac:dyDescent="0.25">
      <c r="B1042" s="50" t="s">
        <v>3909</v>
      </c>
      <c r="C1042">
        <v>8</v>
      </c>
      <c r="D1042">
        <v>8</v>
      </c>
      <c r="E1042">
        <v>3.8</v>
      </c>
      <c r="F1042" s="16">
        <v>3.8</v>
      </c>
      <c r="G1042">
        <v>0</v>
      </c>
      <c r="H1042">
        <v>0</v>
      </c>
      <c r="I1042" t="s">
        <v>1293</v>
      </c>
      <c r="J1042" t="s">
        <v>900</v>
      </c>
      <c r="K1042">
        <v>435</v>
      </c>
      <c r="L1042">
        <v>77.8</v>
      </c>
      <c r="M1042">
        <v>74.599999999999994</v>
      </c>
    </row>
    <row r="1043" spans="2:13" x14ac:dyDescent="0.25">
      <c r="B1043" s="50" t="s">
        <v>3908</v>
      </c>
      <c r="C1043">
        <v>8</v>
      </c>
      <c r="D1043">
        <v>8</v>
      </c>
      <c r="E1043">
        <v>3.8</v>
      </c>
      <c r="F1043" s="16">
        <v>3.8</v>
      </c>
      <c r="G1043">
        <v>0</v>
      </c>
      <c r="H1043">
        <v>0</v>
      </c>
      <c r="I1043" t="s">
        <v>1221</v>
      </c>
      <c r="J1043" t="s">
        <v>900</v>
      </c>
      <c r="K1043">
        <v>465</v>
      </c>
      <c r="L1043">
        <v>77.8</v>
      </c>
      <c r="M1043">
        <v>101.1</v>
      </c>
    </row>
    <row r="1044" spans="2:13" x14ac:dyDescent="0.25">
      <c r="B1044" s="50" t="s">
        <v>1002</v>
      </c>
      <c r="C1044">
        <v>16</v>
      </c>
      <c r="D1044">
        <v>16</v>
      </c>
      <c r="E1044">
        <v>2</v>
      </c>
      <c r="F1044" s="16">
        <v>2</v>
      </c>
      <c r="G1044">
        <v>77</v>
      </c>
      <c r="H1044">
        <v>0</v>
      </c>
      <c r="I1044" t="s">
        <v>8</v>
      </c>
      <c r="J1044" t="s">
        <v>900</v>
      </c>
      <c r="K1044">
        <v>583</v>
      </c>
      <c r="L1044">
        <v>83</v>
      </c>
      <c r="M1044">
        <v>89.4</v>
      </c>
    </row>
    <row r="1045" spans="2:13" x14ac:dyDescent="0.25">
      <c r="B1045" s="50" t="s">
        <v>1121</v>
      </c>
      <c r="C1045">
        <v>35</v>
      </c>
      <c r="D1045">
        <v>35</v>
      </c>
      <c r="E1045">
        <v>1.4</v>
      </c>
      <c r="F1045" s="16">
        <v>1.4</v>
      </c>
      <c r="G1045">
        <v>77</v>
      </c>
      <c r="H1045">
        <v>0</v>
      </c>
      <c r="I1045" t="s">
        <v>1229</v>
      </c>
      <c r="J1045" t="s">
        <v>910</v>
      </c>
      <c r="K1045">
        <v>660</v>
      </c>
      <c r="L1045">
        <v>83</v>
      </c>
      <c r="M1045">
        <v>111</v>
      </c>
    </row>
    <row r="1046" spans="2:13" x14ac:dyDescent="0.25">
      <c r="B1046" s="50" t="s">
        <v>1104</v>
      </c>
      <c r="C1046">
        <v>35</v>
      </c>
      <c r="D1046">
        <v>35</v>
      </c>
      <c r="E1046">
        <v>1.4</v>
      </c>
      <c r="F1046" s="16">
        <v>1.4</v>
      </c>
      <c r="G1046">
        <v>77</v>
      </c>
      <c r="H1046">
        <v>0</v>
      </c>
      <c r="I1046" t="s">
        <v>8</v>
      </c>
      <c r="J1046" t="s">
        <v>910</v>
      </c>
      <c r="K1046">
        <v>660</v>
      </c>
      <c r="L1046">
        <v>83</v>
      </c>
      <c r="M1046">
        <v>111</v>
      </c>
    </row>
    <row r="1047" spans="2:13" x14ac:dyDescent="0.25">
      <c r="B1047" s="50" t="s">
        <v>939</v>
      </c>
      <c r="C1047">
        <v>85</v>
      </c>
      <c r="D1047">
        <v>85</v>
      </c>
      <c r="E1047">
        <v>1.4</v>
      </c>
      <c r="F1047" s="16">
        <v>1.4</v>
      </c>
      <c r="G1047">
        <v>72</v>
      </c>
      <c r="H1047">
        <v>0</v>
      </c>
      <c r="I1047" t="s">
        <v>8</v>
      </c>
      <c r="J1047" t="s">
        <v>910</v>
      </c>
      <c r="K1047">
        <v>513</v>
      </c>
      <c r="L1047">
        <v>78</v>
      </c>
      <c r="M1047">
        <v>72.2</v>
      </c>
    </row>
    <row r="1048" spans="2:13" x14ac:dyDescent="0.25">
      <c r="B1048" s="50" t="s">
        <v>4433</v>
      </c>
      <c r="C1048">
        <v>14</v>
      </c>
      <c r="D1048">
        <v>14</v>
      </c>
      <c r="E1048">
        <v>2.8</v>
      </c>
      <c r="F1048" s="16">
        <v>2.8</v>
      </c>
      <c r="G1048">
        <v>0</v>
      </c>
      <c r="H1048">
        <v>8.33</v>
      </c>
      <c r="I1048" t="s">
        <v>1221</v>
      </c>
      <c r="J1048" t="s">
        <v>910</v>
      </c>
      <c r="K1048">
        <v>505</v>
      </c>
      <c r="L1048">
        <v>85.5</v>
      </c>
      <c r="M1048">
        <v>97.5</v>
      </c>
    </row>
    <row r="1049" spans="2:13" x14ac:dyDescent="0.25">
      <c r="B1049" s="50" t="s">
        <v>2601</v>
      </c>
      <c r="C1049">
        <v>35</v>
      </c>
      <c r="D1049">
        <v>35</v>
      </c>
      <c r="E1049">
        <v>1.4</v>
      </c>
      <c r="F1049" s="16">
        <v>1.4</v>
      </c>
      <c r="G1049">
        <v>67</v>
      </c>
      <c r="H1049">
        <v>5.88</v>
      </c>
      <c r="I1049" t="s">
        <v>1221</v>
      </c>
      <c r="J1049" t="s">
        <v>910</v>
      </c>
      <c r="K1049">
        <v>645</v>
      </c>
      <c r="L1049">
        <v>75.900000000000006</v>
      </c>
      <c r="M1049">
        <v>115</v>
      </c>
    </row>
    <row r="1050" spans="2:13" x14ac:dyDescent="0.25">
      <c r="B1050" s="50" t="s">
        <v>916</v>
      </c>
      <c r="C1050">
        <v>35</v>
      </c>
      <c r="D1050">
        <v>35</v>
      </c>
      <c r="E1050">
        <v>2.8</v>
      </c>
      <c r="F1050" s="16">
        <v>2.8</v>
      </c>
      <c r="G1050">
        <v>49</v>
      </c>
      <c r="H1050">
        <v>8.33</v>
      </c>
      <c r="I1050" t="s">
        <v>1221</v>
      </c>
      <c r="J1050" t="s">
        <v>910</v>
      </c>
      <c r="K1050">
        <v>85.6</v>
      </c>
      <c r="L1050">
        <v>61.8</v>
      </c>
      <c r="M1050">
        <v>33</v>
      </c>
    </row>
    <row r="1051" spans="2:13" x14ac:dyDescent="0.25">
      <c r="B1051" s="50" t="s">
        <v>2583</v>
      </c>
      <c r="C1051">
        <v>50</v>
      </c>
      <c r="D1051">
        <v>50</v>
      </c>
      <c r="E1051">
        <v>1.4</v>
      </c>
      <c r="F1051" s="16">
        <v>1.4</v>
      </c>
      <c r="G1051">
        <v>67</v>
      </c>
      <c r="H1051">
        <v>6.67</v>
      </c>
      <c r="I1051" t="s">
        <v>1221</v>
      </c>
      <c r="J1051" t="s">
        <v>910</v>
      </c>
      <c r="K1051">
        <v>585</v>
      </c>
      <c r="L1051">
        <v>73.5</v>
      </c>
      <c r="M1051">
        <v>97.7</v>
      </c>
    </row>
    <row r="1052" spans="2:13" x14ac:dyDescent="0.25">
      <c r="B1052" s="50" t="s">
        <v>1138</v>
      </c>
      <c r="C1052">
        <v>24</v>
      </c>
      <c r="D1052">
        <v>24</v>
      </c>
      <c r="E1052">
        <v>3.5</v>
      </c>
      <c r="F1052" s="16">
        <v>3.5</v>
      </c>
      <c r="G1052">
        <v>82</v>
      </c>
      <c r="H1052">
        <v>0</v>
      </c>
      <c r="I1052" t="s">
        <v>1229</v>
      </c>
      <c r="J1052" t="s">
        <v>910</v>
      </c>
      <c r="K1052">
        <v>680</v>
      </c>
      <c r="L1052">
        <v>86</v>
      </c>
      <c r="M1052">
        <v>112</v>
      </c>
    </row>
    <row r="1053" spans="2:13" x14ac:dyDescent="0.25">
      <c r="B1053" s="50" t="s">
        <v>3315</v>
      </c>
      <c r="C1053">
        <v>24</v>
      </c>
      <c r="D1053">
        <v>24</v>
      </c>
      <c r="E1053">
        <v>3.5</v>
      </c>
      <c r="F1053" s="16">
        <v>3.5</v>
      </c>
      <c r="G1053">
        <v>82</v>
      </c>
      <c r="H1053">
        <v>0</v>
      </c>
      <c r="I1053" t="s">
        <v>1286</v>
      </c>
      <c r="J1053" t="s">
        <v>900</v>
      </c>
      <c r="K1053">
        <v>745</v>
      </c>
      <c r="L1053">
        <v>86</v>
      </c>
      <c r="M1053">
        <v>136</v>
      </c>
    </row>
    <row r="1054" spans="2:13" x14ac:dyDescent="0.25">
      <c r="B1054" s="50" t="s">
        <v>1139</v>
      </c>
      <c r="C1054">
        <v>24</v>
      </c>
      <c r="D1054">
        <v>24</v>
      </c>
      <c r="E1054">
        <v>3.5</v>
      </c>
      <c r="F1054" s="16">
        <v>3.5</v>
      </c>
      <c r="G1054">
        <v>82</v>
      </c>
      <c r="H1054">
        <v>0</v>
      </c>
      <c r="I1054" t="s">
        <v>8</v>
      </c>
      <c r="J1054" t="s">
        <v>910</v>
      </c>
      <c r="K1054">
        <v>680</v>
      </c>
      <c r="L1054">
        <v>86</v>
      </c>
      <c r="M1054">
        <v>112</v>
      </c>
    </row>
    <row r="1055" spans="2:13" x14ac:dyDescent="0.25">
      <c r="B1055" s="50" t="s">
        <v>1140</v>
      </c>
      <c r="C1055">
        <v>24</v>
      </c>
      <c r="D1055">
        <v>24</v>
      </c>
      <c r="E1055">
        <v>3.5</v>
      </c>
      <c r="F1055" s="16">
        <v>3.5</v>
      </c>
      <c r="G1055">
        <v>82</v>
      </c>
      <c r="H1055">
        <v>0</v>
      </c>
      <c r="I1055" t="s">
        <v>1331</v>
      </c>
      <c r="J1055" t="s">
        <v>910</v>
      </c>
      <c r="K1055">
        <v>680</v>
      </c>
      <c r="L1055">
        <v>86</v>
      </c>
      <c r="M1055">
        <v>112</v>
      </c>
    </row>
    <row r="1056" spans="2:13" x14ac:dyDescent="0.25">
      <c r="B1056" s="50" t="s">
        <v>1141</v>
      </c>
      <c r="C1056">
        <v>24</v>
      </c>
      <c r="D1056">
        <v>24</v>
      </c>
      <c r="E1056">
        <v>3.5</v>
      </c>
      <c r="F1056" s="16">
        <v>3.5</v>
      </c>
      <c r="G1056">
        <v>82</v>
      </c>
      <c r="H1056">
        <v>0</v>
      </c>
      <c r="I1056" t="s">
        <v>1293</v>
      </c>
      <c r="J1056" t="s">
        <v>910</v>
      </c>
      <c r="K1056">
        <v>680</v>
      </c>
      <c r="L1056">
        <v>86</v>
      </c>
      <c r="M1056">
        <v>112</v>
      </c>
    </row>
    <row r="1057" spans="2:13" x14ac:dyDescent="0.25">
      <c r="B1057" s="50" t="s">
        <v>1150</v>
      </c>
      <c r="C1057">
        <v>24</v>
      </c>
      <c r="D1057">
        <v>24</v>
      </c>
      <c r="E1057">
        <v>3.5</v>
      </c>
      <c r="F1057" s="16">
        <v>3.5</v>
      </c>
      <c r="G1057">
        <v>82</v>
      </c>
      <c r="H1057">
        <v>0</v>
      </c>
      <c r="I1057" t="s">
        <v>1221</v>
      </c>
      <c r="J1057" t="s">
        <v>900</v>
      </c>
      <c r="K1057">
        <v>680</v>
      </c>
      <c r="L1057">
        <v>86</v>
      </c>
      <c r="M1057">
        <v>112</v>
      </c>
    </row>
    <row r="1058" spans="2:13" x14ac:dyDescent="0.25">
      <c r="B1058" s="50" t="s">
        <v>3843</v>
      </c>
      <c r="C1058">
        <v>135</v>
      </c>
      <c r="D1058">
        <v>135</v>
      </c>
      <c r="E1058">
        <v>2.2000000000000002</v>
      </c>
      <c r="F1058" s="16">
        <v>2.2000000000000002</v>
      </c>
      <c r="G1058">
        <v>0</v>
      </c>
      <c r="H1058">
        <v>0</v>
      </c>
      <c r="I1058" t="s">
        <v>1229</v>
      </c>
      <c r="J1058" t="s">
        <v>910</v>
      </c>
      <c r="K1058">
        <v>1390</v>
      </c>
      <c r="L1058">
        <v>117.6</v>
      </c>
      <c r="M1058">
        <v>121.7</v>
      </c>
    </row>
    <row r="1059" spans="2:13" x14ac:dyDescent="0.25">
      <c r="B1059" s="50" t="s">
        <v>3842</v>
      </c>
      <c r="C1059">
        <v>135</v>
      </c>
      <c r="D1059">
        <v>135</v>
      </c>
      <c r="E1059">
        <v>2.2000000000000002</v>
      </c>
      <c r="F1059" s="16">
        <v>2.2000000000000002</v>
      </c>
      <c r="G1059">
        <v>0</v>
      </c>
      <c r="H1059">
        <v>0</v>
      </c>
      <c r="I1059" t="s">
        <v>1227</v>
      </c>
      <c r="J1059" t="s">
        <v>1227</v>
      </c>
      <c r="K1059">
        <v>1410</v>
      </c>
      <c r="L1059">
        <v>117.6</v>
      </c>
      <c r="M1059">
        <v>146.5</v>
      </c>
    </row>
    <row r="1060" spans="2:13" x14ac:dyDescent="0.25">
      <c r="B1060" s="50" t="s">
        <v>3841</v>
      </c>
      <c r="C1060">
        <v>135</v>
      </c>
      <c r="D1060">
        <v>135</v>
      </c>
      <c r="E1060">
        <v>2.2000000000000002</v>
      </c>
      <c r="F1060" s="16">
        <v>2.2000000000000002</v>
      </c>
      <c r="G1060">
        <v>0</v>
      </c>
      <c r="H1060">
        <v>0</v>
      </c>
      <c r="I1060" t="s">
        <v>8</v>
      </c>
      <c r="J1060" t="s">
        <v>910</v>
      </c>
      <c r="K1060">
        <v>1350</v>
      </c>
      <c r="L1060">
        <v>117.6</v>
      </c>
      <c r="M1060">
        <v>119.2</v>
      </c>
    </row>
    <row r="1061" spans="2:13" x14ac:dyDescent="0.25">
      <c r="B1061" s="50" t="s">
        <v>992</v>
      </c>
      <c r="C1061">
        <v>135</v>
      </c>
      <c r="D1061">
        <v>135</v>
      </c>
      <c r="E1061">
        <v>2.2000000000000002</v>
      </c>
      <c r="F1061" s="16">
        <v>2.2000000000000002</v>
      </c>
      <c r="G1061">
        <v>0</v>
      </c>
      <c r="H1061">
        <v>0</v>
      </c>
      <c r="I1061" t="s">
        <v>1488</v>
      </c>
      <c r="J1061" t="s">
        <v>910</v>
      </c>
      <c r="K1061">
        <v>1380</v>
      </c>
      <c r="L1061">
        <v>117.6</v>
      </c>
      <c r="M1061">
        <v>113.7</v>
      </c>
    </row>
    <row r="1062" spans="2:13" x14ac:dyDescent="0.25">
      <c r="B1062" s="50" t="s">
        <v>3001</v>
      </c>
      <c r="C1062">
        <v>135</v>
      </c>
      <c r="D1062">
        <v>135</v>
      </c>
      <c r="E1062">
        <v>2.2000000000000002</v>
      </c>
      <c r="F1062" s="16">
        <v>2.2000000000000002</v>
      </c>
      <c r="G1062">
        <v>0</v>
      </c>
      <c r="H1062">
        <v>0</v>
      </c>
      <c r="I1062" t="s">
        <v>1221</v>
      </c>
      <c r="J1062" t="s">
        <v>910</v>
      </c>
      <c r="K1062">
        <v>1410</v>
      </c>
      <c r="L1062">
        <v>117.6</v>
      </c>
      <c r="M1062">
        <v>147.69999999999999</v>
      </c>
    </row>
    <row r="1063" spans="2:13" x14ac:dyDescent="0.25">
      <c r="B1063" s="50" t="s">
        <v>3855</v>
      </c>
      <c r="C1063">
        <v>14</v>
      </c>
      <c r="D1063">
        <v>14</v>
      </c>
      <c r="E1063">
        <v>3.1</v>
      </c>
      <c r="F1063" s="16">
        <v>3.1</v>
      </c>
      <c r="G1063">
        <v>0</v>
      </c>
      <c r="H1063">
        <v>0</v>
      </c>
      <c r="I1063" t="s">
        <v>1229</v>
      </c>
      <c r="J1063" t="s">
        <v>910</v>
      </c>
      <c r="K1063">
        <v>1170</v>
      </c>
      <c r="L1063">
        <v>117.6</v>
      </c>
      <c r="M1063">
        <v>88.3</v>
      </c>
    </row>
    <row r="1064" spans="2:13" x14ac:dyDescent="0.25">
      <c r="B1064" s="50" t="s">
        <v>3854</v>
      </c>
      <c r="C1064">
        <v>14</v>
      </c>
      <c r="D1064">
        <v>14</v>
      </c>
      <c r="E1064">
        <v>3.1</v>
      </c>
      <c r="F1064" s="16">
        <v>3.1</v>
      </c>
      <c r="G1064">
        <v>0</v>
      </c>
      <c r="H1064">
        <v>0</v>
      </c>
      <c r="I1064" t="s">
        <v>1227</v>
      </c>
      <c r="J1064" t="s">
        <v>1227</v>
      </c>
      <c r="K1064">
        <v>1180</v>
      </c>
      <c r="L1064">
        <v>117.6</v>
      </c>
      <c r="M1064">
        <v>113.1</v>
      </c>
    </row>
    <row r="1065" spans="2:13" x14ac:dyDescent="0.25">
      <c r="B1065" s="50" t="s">
        <v>3853</v>
      </c>
      <c r="C1065">
        <v>14</v>
      </c>
      <c r="D1065">
        <v>14</v>
      </c>
      <c r="E1065">
        <v>3.1</v>
      </c>
      <c r="F1065" s="16">
        <v>3.1</v>
      </c>
      <c r="G1065">
        <v>0</v>
      </c>
      <c r="H1065">
        <v>0</v>
      </c>
      <c r="I1065" t="s">
        <v>8</v>
      </c>
      <c r="J1065" t="s">
        <v>910</v>
      </c>
      <c r="K1065">
        <v>1130</v>
      </c>
      <c r="L1065">
        <v>117.6</v>
      </c>
      <c r="M1065">
        <v>85.8</v>
      </c>
    </row>
    <row r="1066" spans="2:13" x14ac:dyDescent="0.25">
      <c r="B1066" s="50" t="s">
        <v>3852</v>
      </c>
      <c r="C1066">
        <v>14</v>
      </c>
      <c r="D1066">
        <v>14</v>
      </c>
      <c r="E1066">
        <v>3.1</v>
      </c>
      <c r="F1066" s="16">
        <v>3.1</v>
      </c>
      <c r="G1066">
        <v>0</v>
      </c>
      <c r="H1066">
        <v>0</v>
      </c>
      <c r="I1066" t="s">
        <v>1488</v>
      </c>
      <c r="J1066" t="s">
        <v>910</v>
      </c>
      <c r="K1066">
        <v>1170</v>
      </c>
      <c r="L1066">
        <v>117.6</v>
      </c>
      <c r="M1066">
        <v>80.3</v>
      </c>
    </row>
    <row r="1067" spans="2:13" x14ac:dyDescent="0.25">
      <c r="B1067" s="50" t="s">
        <v>4129</v>
      </c>
      <c r="C1067">
        <v>14</v>
      </c>
      <c r="D1067">
        <v>14</v>
      </c>
      <c r="E1067">
        <v>3.1</v>
      </c>
      <c r="F1067" s="16">
        <v>3.1</v>
      </c>
      <c r="G1067">
        <v>0</v>
      </c>
      <c r="H1067">
        <v>0</v>
      </c>
      <c r="I1067" t="s">
        <v>1221</v>
      </c>
      <c r="J1067" t="s">
        <v>910</v>
      </c>
      <c r="K1067">
        <v>1180</v>
      </c>
      <c r="L1067">
        <v>117.6</v>
      </c>
      <c r="M1067">
        <v>114.3</v>
      </c>
    </row>
    <row r="1068" spans="2:13" x14ac:dyDescent="0.25">
      <c r="B1068" s="50" t="s">
        <v>3851</v>
      </c>
      <c r="C1068">
        <v>16</v>
      </c>
      <c r="D1068">
        <v>16</v>
      </c>
      <c r="E1068">
        <v>2.6</v>
      </c>
      <c r="F1068" s="16">
        <v>2.6</v>
      </c>
      <c r="G1068">
        <v>0</v>
      </c>
      <c r="H1068">
        <v>0</v>
      </c>
      <c r="I1068" t="s">
        <v>1229</v>
      </c>
      <c r="J1068" t="s">
        <v>910</v>
      </c>
      <c r="K1068">
        <v>1180</v>
      </c>
      <c r="L1068">
        <v>117.6</v>
      </c>
      <c r="M1068">
        <v>95.3</v>
      </c>
    </row>
    <row r="1069" spans="2:13" x14ac:dyDescent="0.25">
      <c r="B1069" s="50" t="s">
        <v>4128</v>
      </c>
      <c r="C1069">
        <v>16</v>
      </c>
      <c r="D1069">
        <v>16</v>
      </c>
      <c r="E1069">
        <v>2.6</v>
      </c>
      <c r="F1069" s="16">
        <v>2.6</v>
      </c>
      <c r="G1069">
        <v>0</v>
      </c>
      <c r="H1069">
        <v>0</v>
      </c>
      <c r="I1069" t="s">
        <v>1227</v>
      </c>
      <c r="J1069" t="s">
        <v>910</v>
      </c>
      <c r="K1069">
        <v>1180</v>
      </c>
      <c r="L1069">
        <v>117.6</v>
      </c>
      <c r="M1069">
        <v>120.1</v>
      </c>
    </row>
    <row r="1070" spans="2:13" x14ac:dyDescent="0.25">
      <c r="B1070" s="50" t="s">
        <v>3850</v>
      </c>
      <c r="C1070">
        <v>16</v>
      </c>
      <c r="D1070">
        <v>16</v>
      </c>
      <c r="E1070">
        <v>2.6</v>
      </c>
      <c r="F1070" s="16">
        <v>2.6</v>
      </c>
      <c r="G1070">
        <v>0</v>
      </c>
      <c r="H1070">
        <v>0</v>
      </c>
      <c r="I1070" t="s">
        <v>8</v>
      </c>
      <c r="J1070" t="s">
        <v>910</v>
      </c>
      <c r="K1070">
        <v>1130</v>
      </c>
      <c r="L1070">
        <v>117.6</v>
      </c>
      <c r="M1070">
        <v>92.8</v>
      </c>
    </row>
    <row r="1071" spans="2:13" x14ac:dyDescent="0.25">
      <c r="B1071" s="50" t="s">
        <v>3849</v>
      </c>
      <c r="C1071">
        <v>16</v>
      </c>
      <c r="D1071">
        <v>16</v>
      </c>
      <c r="E1071">
        <v>2.6</v>
      </c>
      <c r="F1071" s="16">
        <v>2.6</v>
      </c>
      <c r="G1071">
        <v>0</v>
      </c>
      <c r="H1071">
        <v>0</v>
      </c>
      <c r="I1071" t="s">
        <v>1488</v>
      </c>
      <c r="J1071" t="s">
        <v>910</v>
      </c>
      <c r="K1071">
        <v>1180</v>
      </c>
      <c r="L1071">
        <v>117.6</v>
      </c>
      <c r="M1071">
        <v>87.3</v>
      </c>
    </row>
    <row r="1072" spans="2:13" x14ac:dyDescent="0.25">
      <c r="B1072" s="50" t="s">
        <v>3848</v>
      </c>
      <c r="C1072">
        <v>16</v>
      </c>
      <c r="D1072">
        <v>16</v>
      </c>
      <c r="E1072">
        <v>2.6</v>
      </c>
      <c r="F1072" s="16">
        <v>2.6</v>
      </c>
      <c r="G1072">
        <v>0</v>
      </c>
      <c r="H1072">
        <v>0</v>
      </c>
      <c r="I1072" t="s">
        <v>1221</v>
      </c>
      <c r="J1072" t="s">
        <v>910</v>
      </c>
      <c r="K1072">
        <v>1180</v>
      </c>
      <c r="L1072">
        <v>117.6</v>
      </c>
      <c r="M1072">
        <v>121.3</v>
      </c>
    </row>
    <row r="1073" spans="2:13" x14ac:dyDescent="0.25">
      <c r="B1073" s="50" t="s">
        <v>3847</v>
      </c>
      <c r="C1073">
        <v>24</v>
      </c>
      <c r="D1073">
        <v>24</v>
      </c>
      <c r="E1073">
        <v>1.5</v>
      </c>
      <c r="F1073" s="16">
        <v>1.5</v>
      </c>
      <c r="G1073">
        <v>0</v>
      </c>
      <c r="H1073">
        <v>0</v>
      </c>
      <c r="I1073" t="s">
        <v>1229</v>
      </c>
      <c r="J1073" t="s">
        <v>910</v>
      </c>
      <c r="K1073">
        <v>1010</v>
      </c>
      <c r="L1073">
        <v>117.6</v>
      </c>
      <c r="M1073">
        <v>95.3</v>
      </c>
    </row>
    <row r="1074" spans="2:13" x14ac:dyDescent="0.25">
      <c r="B1074" s="50" t="s">
        <v>4127</v>
      </c>
      <c r="C1074">
        <v>24</v>
      </c>
      <c r="D1074">
        <v>24</v>
      </c>
      <c r="E1074">
        <v>1.5</v>
      </c>
      <c r="F1074" s="16">
        <v>1.5</v>
      </c>
      <c r="G1074">
        <v>0</v>
      </c>
      <c r="H1074">
        <v>0</v>
      </c>
      <c r="I1074" t="s">
        <v>1227</v>
      </c>
      <c r="J1074" t="s">
        <v>1227</v>
      </c>
      <c r="K1074">
        <v>1000</v>
      </c>
      <c r="L1074">
        <v>117.6</v>
      </c>
      <c r="M1074">
        <v>120.1</v>
      </c>
    </row>
    <row r="1075" spans="2:13" x14ac:dyDescent="0.25">
      <c r="B1075" s="50" t="s">
        <v>3846</v>
      </c>
      <c r="C1075">
        <v>24</v>
      </c>
      <c r="D1075">
        <v>24</v>
      </c>
      <c r="E1075">
        <v>1.5</v>
      </c>
      <c r="F1075" s="16">
        <v>1.5</v>
      </c>
      <c r="G1075">
        <v>0</v>
      </c>
      <c r="H1075">
        <v>0</v>
      </c>
      <c r="I1075" t="s">
        <v>8</v>
      </c>
      <c r="J1075" t="s">
        <v>910</v>
      </c>
      <c r="K1075">
        <v>935</v>
      </c>
      <c r="L1075">
        <v>117.6</v>
      </c>
      <c r="M1075">
        <v>92.8</v>
      </c>
    </row>
    <row r="1076" spans="2:13" x14ac:dyDescent="0.25">
      <c r="B1076" s="50" t="s">
        <v>3845</v>
      </c>
      <c r="C1076">
        <v>24</v>
      </c>
      <c r="D1076">
        <v>24</v>
      </c>
      <c r="E1076">
        <v>1.5</v>
      </c>
      <c r="F1076" s="16">
        <v>1.5</v>
      </c>
      <c r="G1076">
        <v>0</v>
      </c>
      <c r="H1076">
        <v>0</v>
      </c>
      <c r="I1076" t="s">
        <v>1488</v>
      </c>
      <c r="J1076" t="s">
        <v>910</v>
      </c>
      <c r="K1076">
        <v>970</v>
      </c>
      <c r="L1076">
        <v>117.6</v>
      </c>
      <c r="M1076">
        <v>87.3</v>
      </c>
    </row>
    <row r="1077" spans="2:13" x14ac:dyDescent="0.25">
      <c r="B1077" s="50" t="s">
        <v>3844</v>
      </c>
      <c r="C1077">
        <v>24</v>
      </c>
      <c r="D1077">
        <v>24</v>
      </c>
      <c r="E1077">
        <v>1.5</v>
      </c>
      <c r="F1077" s="16">
        <v>1.5</v>
      </c>
      <c r="G1077">
        <v>0</v>
      </c>
      <c r="H1077">
        <v>0</v>
      </c>
      <c r="I1077" t="s">
        <v>1229</v>
      </c>
      <c r="J1077" t="s">
        <v>910</v>
      </c>
      <c r="K1077">
        <v>1180</v>
      </c>
      <c r="L1077">
        <v>117.6</v>
      </c>
      <c r="M1077">
        <v>121.7</v>
      </c>
    </row>
    <row r="1078" spans="2:13" x14ac:dyDescent="0.25">
      <c r="B1078" s="50" t="s">
        <v>3339</v>
      </c>
      <c r="C1078">
        <v>24</v>
      </c>
      <c r="D1078">
        <v>24</v>
      </c>
      <c r="E1078">
        <v>1.5</v>
      </c>
      <c r="F1078" s="16">
        <v>1.5</v>
      </c>
      <c r="G1078">
        <v>0</v>
      </c>
      <c r="H1078">
        <v>0</v>
      </c>
      <c r="I1078" t="s">
        <v>1227</v>
      </c>
      <c r="J1078" t="s">
        <v>1227</v>
      </c>
      <c r="K1078">
        <v>1190</v>
      </c>
      <c r="L1078">
        <v>117.6</v>
      </c>
      <c r="M1078">
        <v>146.5</v>
      </c>
    </row>
    <row r="1079" spans="2:13" x14ac:dyDescent="0.25">
      <c r="B1079" s="50" t="s">
        <v>3338</v>
      </c>
      <c r="C1079">
        <v>24</v>
      </c>
      <c r="D1079">
        <v>24</v>
      </c>
      <c r="E1079">
        <v>1.5</v>
      </c>
      <c r="F1079" s="16">
        <v>1.5</v>
      </c>
      <c r="G1079">
        <v>0</v>
      </c>
      <c r="H1079">
        <v>0</v>
      </c>
      <c r="I1079" t="s">
        <v>8</v>
      </c>
      <c r="J1079" t="s">
        <v>910</v>
      </c>
      <c r="K1079">
        <v>1140</v>
      </c>
      <c r="L1079">
        <v>117.6</v>
      </c>
      <c r="M1079">
        <v>119.2</v>
      </c>
    </row>
    <row r="1080" spans="2:13" x14ac:dyDescent="0.25">
      <c r="B1080" s="50" t="s">
        <v>3337</v>
      </c>
      <c r="C1080">
        <v>24</v>
      </c>
      <c r="D1080">
        <v>24</v>
      </c>
      <c r="E1080">
        <v>1.5</v>
      </c>
      <c r="F1080" s="16">
        <v>1.5</v>
      </c>
      <c r="G1080">
        <v>0</v>
      </c>
      <c r="H1080">
        <v>0</v>
      </c>
      <c r="I1080" t="s">
        <v>1488</v>
      </c>
      <c r="J1080" t="s">
        <v>910</v>
      </c>
      <c r="K1080">
        <v>1180</v>
      </c>
      <c r="L1080">
        <v>117.6</v>
      </c>
      <c r="M1080">
        <v>113.7</v>
      </c>
    </row>
    <row r="1081" spans="2:13" x14ac:dyDescent="0.25">
      <c r="B1081" s="50" t="s">
        <v>3336</v>
      </c>
      <c r="C1081">
        <v>24</v>
      </c>
      <c r="D1081">
        <v>24</v>
      </c>
      <c r="E1081">
        <v>1.5</v>
      </c>
      <c r="F1081" s="16">
        <v>1.5</v>
      </c>
      <c r="G1081">
        <v>0</v>
      </c>
      <c r="H1081">
        <v>0</v>
      </c>
      <c r="I1081" t="s">
        <v>1221</v>
      </c>
      <c r="J1081" t="s">
        <v>910</v>
      </c>
      <c r="K1081">
        <v>1190</v>
      </c>
      <c r="L1081">
        <v>117.6</v>
      </c>
      <c r="M1081">
        <v>147.69999999999999</v>
      </c>
    </row>
    <row r="1082" spans="2:13" x14ac:dyDescent="0.25">
      <c r="B1082" s="50" t="s">
        <v>3335</v>
      </c>
      <c r="C1082">
        <v>35</v>
      </c>
      <c r="D1082">
        <v>35</v>
      </c>
      <c r="E1082">
        <v>1.5</v>
      </c>
      <c r="F1082" s="16">
        <v>1.5</v>
      </c>
      <c r="G1082">
        <v>0</v>
      </c>
      <c r="H1082">
        <v>0</v>
      </c>
      <c r="I1082" t="s">
        <v>1229</v>
      </c>
      <c r="J1082" t="s">
        <v>910</v>
      </c>
      <c r="K1082">
        <v>1380</v>
      </c>
      <c r="L1082">
        <v>117.6</v>
      </c>
      <c r="M1082">
        <v>121.7</v>
      </c>
    </row>
    <row r="1083" spans="2:13" x14ac:dyDescent="0.25">
      <c r="B1083" s="50" t="s">
        <v>4126</v>
      </c>
      <c r="C1083">
        <v>35</v>
      </c>
      <c r="D1083">
        <v>35</v>
      </c>
      <c r="E1083">
        <v>1.5</v>
      </c>
      <c r="F1083" s="16">
        <v>1.5</v>
      </c>
      <c r="G1083">
        <v>0</v>
      </c>
      <c r="H1083">
        <v>0</v>
      </c>
      <c r="I1083" t="s">
        <v>1227</v>
      </c>
      <c r="J1083" t="s">
        <v>1227</v>
      </c>
      <c r="K1083">
        <v>1380</v>
      </c>
      <c r="L1083">
        <v>117.6</v>
      </c>
      <c r="M1083">
        <v>146.5</v>
      </c>
    </row>
    <row r="1084" spans="2:13" x14ac:dyDescent="0.25">
      <c r="B1084" s="50" t="s">
        <v>3005</v>
      </c>
      <c r="C1084">
        <v>35</v>
      </c>
      <c r="D1084">
        <v>35</v>
      </c>
      <c r="E1084">
        <v>1.5</v>
      </c>
      <c r="F1084" s="16">
        <v>1.5</v>
      </c>
      <c r="G1084">
        <v>0</v>
      </c>
      <c r="H1084">
        <v>0</v>
      </c>
      <c r="I1084" t="s">
        <v>8</v>
      </c>
      <c r="J1084" t="s">
        <v>910</v>
      </c>
      <c r="K1084">
        <v>1320</v>
      </c>
      <c r="L1084">
        <v>117.6</v>
      </c>
      <c r="M1084">
        <v>119.2</v>
      </c>
    </row>
    <row r="1085" spans="2:13" x14ac:dyDescent="0.25">
      <c r="B1085" s="50" t="s">
        <v>3334</v>
      </c>
      <c r="C1085">
        <v>35</v>
      </c>
      <c r="D1085">
        <v>35</v>
      </c>
      <c r="E1085">
        <v>1.5</v>
      </c>
      <c r="F1085" s="16">
        <v>1.5</v>
      </c>
      <c r="G1085">
        <v>0</v>
      </c>
      <c r="H1085">
        <v>0</v>
      </c>
      <c r="I1085" t="s">
        <v>1488</v>
      </c>
      <c r="J1085" t="s">
        <v>910</v>
      </c>
      <c r="K1085">
        <v>1360</v>
      </c>
      <c r="L1085">
        <v>117.6</v>
      </c>
      <c r="M1085">
        <v>113.7</v>
      </c>
    </row>
    <row r="1086" spans="2:13" x14ac:dyDescent="0.25">
      <c r="B1086" s="50" t="s">
        <v>3333</v>
      </c>
      <c r="C1086">
        <v>35</v>
      </c>
      <c r="D1086">
        <v>35</v>
      </c>
      <c r="E1086">
        <v>1.5</v>
      </c>
      <c r="F1086" s="16">
        <v>1.5</v>
      </c>
      <c r="G1086">
        <v>0</v>
      </c>
      <c r="H1086">
        <v>0</v>
      </c>
      <c r="I1086" t="s">
        <v>1221</v>
      </c>
      <c r="J1086" t="s">
        <v>910</v>
      </c>
      <c r="K1086">
        <v>1380</v>
      </c>
      <c r="L1086">
        <v>117.6</v>
      </c>
      <c r="M1086">
        <v>147.69999999999999</v>
      </c>
    </row>
    <row r="1087" spans="2:13" x14ac:dyDescent="0.25">
      <c r="B1087" s="50" t="s">
        <v>3332</v>
      </c>
      <c r="C1087">
        <v>50</v>
      </c>
      <c r="D1087">
        <v>50</v>
      </c>
      <c r="E1087">
        <v>1.5</v>
      </c>
      <c r="F1087" s="16">
        <v>1.5</v>
      </c>
      <c r="G1087">
        <v>0</v>
      </c>
      <c r="H1087">
        <v>0</v>
      </c>
      <c r="I1087" t="s">
        <v>1229</v>
      </c>
      <c r="J1087" t="s">
        <v>910</v>
      </c>
      <c r="K1087">
        <v>1160</v>
      </c>
      <c r="L1087">
        <v>117.6</v>
      </c>
      <c r="M1087">
        <v>121.7</v>
      </c>
    </row>
    <row r="1088" spans="2:13" x14ac:dyDescent="0.25">
      <c r="B1088" s="50" t="s">
        <v>3331</v>
      </c>
      <c r="C1088">
        <v>50</v>
      </c>
      <c r="D1088">
        <v>50</v>
      </c>
      <c r="E1088">
        <v>1.5</v>
      </c>
      <c r="F1088" s="16">
        <v>1.5</v>
      </c>
      <c r="G1088">
        <v>0</v>
      </c>
      <c r="H1088">
        <v>0</v>
      </c>
      <c r="I1088" t="s">
        <v>1227</v>
      </c>
      <c r="J1088" t="s">
        <v>1227</v>
      </c>
      <c r="K1088">
        <v>1170</v>
      </c>
      <c r="L1088">
        <v>117.6</v>
      </c>
      <c r="M1088">
        <v>146.5</v>
      </c>
    </row>
    <row r="1089" spans="2:13" x14ac:dyDescent="0.25">
      <c r="B1089" s="50" t="s">
        <v>3330</v>
      </c>
      <c r="C1089">
        <v>50</v>
      </c>
      <c r="D1089">
        <v>50</v>
      </c>
      <c r="E1089">
        <v>1.5</v>
      </c>
      <c r="F1089" s="16">
        <v>1.5</v>
      </c>
      <c r="G1089">
        <v>0</v>
      </c>
      <c r="H1089">
        <v>0</v>
      </c>
      <c r="I1089" t="s">
        <v>8</v>
      </c>
      <c r="J1089" t="s">
        <v>910</v>
      </c>
      <c r="K1089">
        <v>1120</v>
      </c>
      <c r="L1089">
        <v>117.6</v>
      </c>
      <c r="M1089">
        <v>119.2</v>
      </c>
    </row>
    <row r="1090" spans="2:13" x14ac:dyDescent="0.25">
      <c r="B1090" s="50" t="s">
        <v>3329</v>
      </c>
      <c r="C1090">
        <v>50</v>
      </c>
      <c r="D1090">
        <v>50</v>
      </c>
      <c r="E1090">
        <v>1.5</v>
      </c>
      <c r="F1090" s="16">
        <v>1.5</v>
      </c>
      <c r="G1090">
        <v>0</v>
      </c>
      <c r="H1090">
        <v>0</v>
      </c>
      <c r="I1090" t="s">
        <v>1488</v>
      </c>
      <c r="J1090" t="s">
        <v>910</v>
      </c>
      <c r="K1090">
        <v>1160</v>
      </c>
      <c r="L1090">
        <v>117.6</v>
      </c>
      <c r="M1090">
        <v>113.7</v>
      </c>
    </row>
    <row r="1091" spans="2:13" x14ac:dyDescent="0.25">
      <c r="B1091" s="50" t="s">
        <v>3328</v>
      </c>
      <c r="C1091">
        <v>50</v>
      </c>
      <c r="D1091">
        <v>50</v>
      </c>
      <c r="E1091">
        <v>1.5</v>
      </c>
      <c r="F1091" s="16">
        <v>1.5</v>
      </c>
      <c r="G1091">
        <v>0</v>
      </c>
      <c r="H1091">
        <v>0</v>
      </c>
      <c r="I1091" t="s">
        <v>1221</v>
      </c>
      <c r="J1091" t="s">
        <v>910</v>
      </c>
      <c r="K1091">
        <v>1170</v>
      </c>
      <c r="L1091">
        <v>117.6</v>
      </c>
      <c r="M1091">
        <v>147.69999999999999</v>
      </c>
    </row>
    <row r="1092" spans="2:13" x14ac:dyDescent="0.25">
      <c r="B1092" s="50" t="s">
        <v>3327</v>
      </c>
      <c r="C1092">
        <v>85</v>
      </c>
      <c r="D1092">
        <v>85</v>
      </c>
      <c r="E1092">
        <v>1.5</v>
      </c>
      <c r="F1092" s="16">
        <v>1.5</v>
      </c>
      <c r="G1092">
        <v>0</v>
      </c>
      <c r="H1092">
        <v>0</v>
      </c>
      <c r="I1092" t="s">
        <v>1229</v>
      </c>
      <c r="J1092" t="s">
        <v>910</v>
      </c>
      <c r="K1092">
        <v>1250</v>
      </c>
      <c r="L1092">
        <v>117.6</v>
      </c>
      <c r="M1092">
        <v>121.7</v>
      </c>
    </row>
    <row r="1093" spans="2:13" x14ac:dyDescent="0.25">
      <c r="B1093" s="50" t="s">
        <v>3003</v>
      </c>
      <c r="C1093">
        <v>85</v>
      </c>
      <c r="D1093">
        <v>85</v>
      </c>
      <c r="E1093">
        <v>1.5</v>
      </c>
      <c r="F1093" s="16">
        <v>1.5</v>
      </c>
      <c r="G1093">
        <v>0</v>
      </c>
      <c r="H1093">
        <v>0</v>
      </c>
      <c r="I1093" t="s">
        <v>1227</v>
      </c>
      <c r="J1093" t="s">
        <v>1227</v>
      </c>
      <c r="K1093">
        <v>1250</v>
      </c>
      <c r="L1093">
        <v>117.6</v>
      </c>
      <c r="M1093">
        <v>146.5</v>
      </c>
    </row>
    <row r="1094" spans="2:13" x14ac:dyDescent="0.25">
      <c r="B1094" s="50" t="s">
        <v>3326</v>
      </c>
      <c r="C1094">
        <v>85</v>
      </c>
      <c r="D1094">
        <v>85</v>
      </c>
      <c r="E1094">
        <v>1.5</v>
      </c>
      <c r="F1094" s="16">
        <v>1.5</v>
      </c>
      <c r="G1094">
        <v>0</v>
      </c>
      <c r="H1094">
        <v>0</v>
      </c>
      <c r="I1094" t="s">
        <v>8</v>
      </c>
      <c r="J1094" t="s">
        <v>910</v>
      </c>
      <c r="K1094">
        <v>1200</v>
      </c>
      <c r="L1094">
        <v>117.6</v>
      </c>
      <c r="M1094">
        <v>119.2</v>
      </c>
    </row>
    <row r="1095" spans="2:13" x14ac:dyDescent="0.25">
      <c r="B1095" s="50" t="s">
        <v>3325</v>
      </c>
      <c r="C1095">
        <v>85</v>
      </c>
      <c r="D1095">
        <v>85</v>
      </c>
      <c r="E1095">
        <v>1.5</v>
      </c>
      <c r="F1095" s="16">
        <v>1.5</v>
      </c>
      <c r="G1095">
        <v>0</v>
      </c>
      <c r="H1095">
        <v>0</v>
      </c>
      <c r="I1095" t="s">
        <v>1488</v>
      </c>
      <c r="J1095" t="s">
        <v>910</v>
      </c>
      <c r="K1095">
        <v>1250</v>
      </c>
      <c r="L1095">
        <v>117.6</v>
      </c>
      <c r="M1095">
        <v>113.7</v>
      </c>
    </row>
    <row r="1096" spans="2:13" x14ac:dyDescent="0.25">
      <c r="B1096" s="50" t="s">
        <v>3324</v>
      </c>
      <c r="C1096">
        <v>85</v>
      </c>
      <c r="D1096">
        <v>85</v>
      </c>
      <c r="E1096">
        <v>1.5</v>
      </c>
      <c r="F1096" s="16">
        <v>1.5</v>
      </c>
      <c r="G1096">
        <v>0</v>
      </c>
      <c r="H1096">
        <v>0</v>
      </c>
      <c r="I1096" t="s">
        <v>1221</v>
      </c>
      <c r="J1096" t="s">
        <v>910</v>
      </c>
      <c r="K1096">
        <v>1250</v>
      </c>
      <c r="L1096">
        <v>117.6</v>
      </c>
      <c r="M1096">
        <v>147.69999999999999</v>
      </c>
    </row>
    <row r="1097" spans="2:13" x14ac:dyDescent="0.25">
      <c r="B1097" s="50" t="s">
        <v>3840</v>
      </c>
      <c r="C1097">
        <v>14</v>
      </c>
      <c r="D1097">
        <v>14</v>
      </c>
      <c r="E1097">
        <v>2.4</v>
      </c>
      <c r="F1097" s="16">
        <v>2.4</v>
      </c>
      <c r="G1097">
        <v>0</v>
      </c>
      <c r="H1097">
        <v>12.5</v>
      </c>
      <c r="I1097" t="s">
        <v>1229</v>
      </c>
      <c r="J1097" t="s">
        <v>910</v>
      </c>
      <c r="K1097">
        <v>791</v>
      </c>
      <c r="L1097">
        <v>95</v>
      </c>
      <c r="M1097">
        <v>109.4</v>
      </c>
    </row>
    <row r="1098" spans="2:13" x14ac:dyDescent="0.25">
      <c r="B1098" s="50" t="s">
        <v>1118</v>
      </c>
      <c r="C1098">
        <v>14</v>
      </c>
      <c r="D1098">
        <v>14</v>
      </c>
      <c r="E1098">
        <v>2.4</v>
      </c>
      <c r="F1098" s="16">
        <v>2.4</v>
      </c>
      <c r="G1098">
        <v>0</v>
      </c>
      <c r="H1098">
        <v>12.5</v>
      </c>
      <c r="I1098" t="s">
        <v>8</v>
      </c>
      <c r="J1098" t="s">
        <v>910</v>
      </c>
      <c r="K1098">
        <v>791</v>
      </c>
      <c r="L1098">
        <v>95</v>
      </c>
      <c r="M1098">
        <v>109.4</v>
      </c>
    </row>
    <row r="1099" spans="2:13" x14ac:dyDescent="0.25">
      <c r="B1099" s="50" t="s">
        <v>3839</v>
      </c>
      <c r="C1099">
        <v>85</v>
      </c>
      <c r="D1099">
        <v>85</v>
      </c>
      <c r="E1099">
        <v>1.2</v>
      </c>
      <c r="F1099" s="16">
        <v>1.2</v>
      </c>
      <c r="G1099">
        <v>86</v>
      </c>
      <c r="H1099">
        <v>7.69</v>
      </c>
      <c r="I1099" t="s">
        <v>1229</v>
      </c>
      <c r="J1099" t="s">
        <v>910</v>
      </c>
      <c r="K1099">
        <v>1050</v>
      </c>
      <c r="L1099">
        <v>93</v>
      </c>
      <c r="M1099">
        <v>98.4</v>
      </c>
    </row>
    <row r="1100" spans="2:13" x14ac:dyDescent="0.25">
      <c r="B1100" s="50" t="s">
        <v>2750</v>
      </c>
      <c r="C1100">
        <v>10</v>
      </c>
      <c r="D1100">
        <v>20</v>
      </c>
      <c r="E1100">
        <v>3.5</v>
      </c>
      <c r="F1100" s="16">
        <v>3.5</v>
      </c>
      <c r="G1100">
        <v>82</v>
      </c>
      <c r="H1100">
        <v>6.6</v>
      </c>
      <c r="I1100" t="s">
        <v>1251</v>
      </c>
      <c r="J1100" t="s">
        <v>900</v>
      </c>
      <c r="K1100">
        <v>520</v>
      </c>
      <c r="L1100">
        <v>87.3</v>
      </c>
      <c r="M1100">
        <v>88.2</v>
      </c>
    </row>
    <row r="1101" spans="2:13" x14ac:dyDescent="0.25">
      <c r="B1101" s="50" t="s">
        <v>2569</v>
      </c>
      <c r="C1101">
        <v>10</v>
      </c>
      <c r="D1101">
        <v>20</v>
      </c>
      <c r="E1101">
        <v>3.5</v>
      </c>
      <c r="F1101" s="16">
        <v>3.5</v>
      </c>
      <c r="G1101">
        <v>82</v>
      </c>
      <c r="H1101">
        <v>6.6</v>
      </c>
      <c r="I1101" t="s">
        <v>8</v>
      </c>
      <c r="J1101" t="s">
        <v>900</v>
      </c>
      <c r="K1101">
        <v>520</v>
      </c>
      <c r="L1101">
        <v>87.3</v>
      </c>
      <c r="M1101">
        <v>88.2</v>
      </c>
    </row>
    <row r="1102" spans="2:13" x14ac:dyDescent="0.25">
      <c r="B1102" s="50" t="s">
        <v>2732</v>
      </c>
      <c r="C1102">
        <v>10</v>
      </c>
      <c r="D1102">
        <v>20</v>
      </c>
      <c r="E1102">
        <v>3.5</v>
      </c>
      <c r="F1102" s="16">
        <v>3.5</v>
      </c>
      <c r="G1102">
        <v>82</v>
      </c>
      <c r="H1102">
        <v>6.6</v>
      </c>
      <c r="I1102" t="s">
        <v>1331</v>
      </c>
      <c r="J1102" t="s">
        <v>900</v>
      </c>
      <c r="K1102">
        <v>520</v>
      </c>
      <c r="L1102">
        <v>87.3</v>
      </c>
      <c r="M1102">
        <v>88.2</v>
      </c>
    </row>
    <row r="1103" spans="2:13" x14ac:dyDescent="0.25">
      <c r="B1103" s="50" t="s">
        <v>2998</v>
      </c>
      <c r="C1103">
        <v>10</v>
      </c>
      <c r="D1103">
        <v>20</v>
      </c>
      <c r="E1103">
        <v>3.5</v>
      </c>
      <c r="F1103" s="16">
        <v>3.5</v>
      </c>
      <c r="G1103">
        <v>82</v>
      </c>
      <c r="H1103">
        <v>6.6</v>
      </c>
      <c r="I1103" t="s">
        <v>1323</v>
      </c>
      <c r="J1103" t="s">
        <v>900</v>
      </c>
      <c r="K1103">
        <v>520</v>
      </c>
      <c r="L1103">
        <v>87.3</v>
      </c>
      <c r="M1103">
        <v>88.2</v>
      </c>
    </row>
    <row r="1104" spans="2:13" x14ac:dyDescent="0.25">
      <c r="B1104" s="50" t="s">
        <v>2691</v>
      </c>
      <c r="C1104">
        <v>10</v>
      </c>
      <c r="D1104">
        <v>20</v>
      </c>
      <c r="E1104">
        <v>3.5</v>
      </c>
      <c r="F1104" s="16">
        <v>3.5</v>
      </c>
      <c r="G1104">
        <v>82</v>
      </c>
      <c r="H1104">
        <v>6.6</v>
      </c>
      <c r="I1104" t="s">
        <v>1293</v>
      </c>
      <c r="J1104" t="s">
        <v>900</v>
      </c>
      <c r="K1104">
        <v>520</v>
      </c>
      <c r="L1104">
        <v>87.3</v>
      </c>
      <c r="M1104">
        <v>88.2</v>
      </c>
    </row>
    <row r="1105" spans="2:13" x14ac:dyDescent="0.25">
      <c r="B1105" s="50" t="s">
        <v>3355</v>
      </c>
      <c r="C1105">
        <v>10</v>
      </c>
      <c r="D1105">
        <v>20</v>
      </c>
      <c r="E1105">
        <v>4</v>
      </c>
      <c r="F1105" s="16">
        <v>4</v>
      </c>
      <c r="G1105">
        <v>77</v>
      </c>
      <c r="H1105">
        <v>6.7</v>
      </c>
      <c r="I1105" t="s">
        <v>1293</v>
      </c>
      <c r="J1105" t="s">
        <v>900</v>
      </c>
      <c r="K1105">
        <v>470</v>
      </c>
      <c r="L1105">
        <v>83.5</v>
      </c>
      <c r="M1105">
        <v>81</v>
      </c>
    </row>
    <row r="1106" spans="2:13" x14ac:dyDescent="0.25">
      <c r="B1106" s="50" t="s">
        <v>2749</v>
      </c>
      <c r="C1106">
        <v>10</v>
      </c>
      <c r="D1106">
        <v>20</v>
      </c>
      <c r="E1106">
        <v>4</v>
      </c>
      <c r="F1106" s="16">
        <v>4</v>
      </c>
      <c r="G1106">
        <v>77</v>
      </c>
      <c r="H1106">
        <v>6.7</v>
      </c>
      <c r="I1106" t="s">
        <v>1251</v>
      </c>
      <c r="J1106" t="s">
        <v>900</v>
      </c>
      <c r="K1106">
        <v>470</v>
      </c>
      <c r="L1106">
        <v>83.5</v>
      </c>
      <c r="M1106">
        <v>81</v>
      </c>
    </row>
    <row r="1107" spans="2:13" x14ac:dyDescent="0.25">
      <c r="B1107" s="50" t="s">
        <v>2847</v>
      </c>
      <c r="C1107">
        <v>10</v>
      </c>
      <c r="D1107">
        <v>20</v>
      </c>
      <c r="E1107">
        <v>4</v>
      </c>
      <c r="F1107" s="16">
        <v>4</v>
      </c>
      <c r="G1107">
        <v>77</v>
      </c>
      <c r="H1107">
        <v>6.7</v>
      </c>
      <c r="I1107" t="s">
        <v>8</v>
      </c>
      <c r="J1107" t="s">
        <v>900</v>
      </c>
      <c r="K1107">
        <v>470</v>
      </c>
      <c r="L1107">
        <v>83.5</v>
      </c>
      <c r="M1107">
        <v>81</v>
      </c>
    </row>
    <row r="1108" spans="2:13" x14ac:dyDescent="0.25">
      <c r="B1108" s="50" t="s">
        <v>2688</v>
      </c>
      <c r="C1108">
        <v>105</v>
      </c>
      <c r="D1108">
        <v>105</v>
      </c>
      <c r="E1108">
        <v>2.8</v>
      </c>
      <c r="F1108" s="16">
        <v>2.8</v>
      </c>
      <c r="G1108">
        <v>62</v>
      </c>
      <c r="H1108">
        <v>1</v>
      </c>
      <c r="I1108" t="s">
        <v>1229</v>
      </c>
      <c r="J1108" t="s">
        <v>910</v>
      </c>
      <c r="K1108">
        <v>725</v>
      </c>
      <c r="L1108">
        <v>78.3</v>
      </c>
      <c r="M1108">
        <v>126.4</v>
      </c>
    </row>
    <row r="1109" spans="2:13" x14ac:dyDescent="0.25">
      <c r="B1109" s="50" t="s">
        <v>2637</v>
      </c>
      <c r="C1109">
        <v>105</v>
      </c>
      <c r="D1109">
        <v>105</v>
      </c>
      <c r="E1109">
        <v>2.8</v>
      </c>
      <c r="F1109" s="16">
        <v>2.8</v>
      </c>
      <c r="G1109">
        <v>62</v>
      </c>
      <c r="H1109">
        <v>1</v>
      </c>
      <c r="I1109" t="s">
        <v>8</v>
      </c>
      <c r="J1109" t="s">
        <v>910</v>
      </c>
      <c r="K1109">
        <v>725</v>
      </c>
      <c r="L1109">
        <v>78.3</v>
      </c>
      <c r="M1109">
        <v>126.4</v>
      </c>
    </row>
    <row r="1110" spans="2:13" x14ac:dyDescent="0.25">
      <c r="B1110" s="50" t="s">
        <v>3017</v>
      </c>
      <c r="C1110">
        <v>105</v>
      </c>
      <c r="D1110">
        <v>105</v>
      </c>
      <c r="E1110">
        <v>2.8</v>
      </c>
      <c r="F1110" s="16">
        <v>2.8</v>
      </c>
      <c r="G1110">
        <v>62</v>
      </c>
      <c r="H1110">
        <v>1</v>
      </c>
      <c r="I1110" t="s">
        <v>1323</v>
      </c>
      <c r="J1110" t="s">
        <v>900</v>
      </c>
      <c r="K1110">
        <v>725</v>
      </c>
      <c r="L1110">
        <v>78.3</v>
      </c>
      <c r="M1110">
        <v>126.4</v>
      </c>
    </row>
    <row r="1111" spans="2:13" x14ac:dyDescent="0.25">
      <c r="B1111" s="50" t="s">
        <v>3359</v>
      </c>
      <c r="C1111">
        <v>105</v>
      </c>
      <c r="D1111">
        <v>105</v>
      </c>
      <c r="E1111">
        <v>2.8</v>
      </c>
      <c r="F1111" s="16">
        <v>2.8</v>
      </c>
      <c r="G1111">
        <v>62</v>
      </c>
      <c r="H1111">
        <v>1</v>
      </c>
      <c r="I1111" t="s">
        <v>1293</v>
      </c>
      <c r="J1111" t="s">
        <v>910</v>
      </c>
      <c r="K1111">
        <v>725</v>
      </c>
      <c r="L1111">
        <v>78.3</v>
      </c>
      <c r="M1111">
        <v>126.4</v>
      </c>
    </row>
    <row r="1112" spans="2:13" x14ac:dyDescent="0.25">
      <c r="B1112" s="50" t="s">
        <v>3354</v>
      </c>
      <c r="C1112">
        <v>10</v>
      </c>
      <c r="D1112">
        <v>10</v>
      </c>
      <c r="E1112">
        <v>2.8</v>
      </c>
      <c r="F1112" s="16">
        <v>2.8</v>
      </c>
      <c r="G1112">
        <v>0</v>
      </c>
      <c r="H1112">
        <v>3.3</v>
      </c>
      <c r="I1112" t="s">
        <v>1331</v>
      </c>
      <c r="J1112" t="s">
        <v>900</v>
      </c>
      <c r="K1112">
        <v>0</v>
      </c>
      <c r="L1112">
        <v>75.8</v>
      </c>
      <c r="M1112">
        <v>83.1</v>
      </c>
    </row>
    <row r="1113" spans="2:13" x14ac:dyDescent="0.25">
      <c r="B1113" s="50" t="s">
        <v>2997</v>
      </c>
      <c r="C1113">
        <v>10</v>
      </c>
      <c r="D1113">
        <v>10</v>
      </c>
      <c r="E1113">
        <v>2.8</v>
      </c>
      <c r="F1113" s="16">
        <v>2.8</v>
      </c>
      <c r="G1113">
        <v>0</v>
      </c>
      <c r="H1113">
        <v>3.3</v>
      </c>
      <c r="I1113" t="s">
        <v>1293</v>
      </c>
      <c r="J1113" t="s">
        <v>900</v>
      </c>
      <c r="K1113">
        <v>0</v>
      </c>
      <c r="L1113">
        <v>75.8</v>
      </c>
      <c r="M1113">
        <v>83.1</v>
      </c>
    </row>
    <row r="1114" spans="2:13" x14ac:dyDescent="0.25">
      <c r="B1114" s="50" t="s">
        <v>2996</v>
      </c>
      <c r="C1114">
        <v>10</v>
      </c>
      <c r="D1114">
        <v>10</v>
      </c>
      <c r="E1114">
        <v>2.8</v>
      </c>
      <c r="F1114" s="16">
        <v>2.8</v>
      </c>
      <c r="G1114">
        <v>0</v>
      </c>
      <c r="H1114">
        <v>3.3</v>
      </c>
      <c r="I1114" t="s">
        <v>1251</v>
      </c>
      <c r="J1114" t="s">
        <v>900</v>
      </c>
      <c r="K1114">
        <v>0</v>
      </c>
      <c r="L1114">
        <v>75.8</v>
      </c>
      <c r="M1114">
        <v>83.1</v>
      </c>
    </row>
    <row r="1115" spans="2:13" x14ac:dyDescent="0.25">
      <c r="B1115" s="50" t="s">
        <v>3353</v>
      </c>
      <c r="C1115">
        <v>10</v>
      </c>
      <c r="D1115">
        <v>10</v>
      </c>
      <c r="E1115">
        <v>2.8</v>
      </c>
      <c r="F1115" s="16">
        <v>2.8</v>
      </c>
      <c r="G1115">
        <v>0</v>
      </c>
      <c r="H1115">
        <v>3.3</v>
      </c>
      <c r="I1115" t="s">
        <v>8</v>
      </c>
      <c r="J1115" t="s">
        <v>900</v>
      </c>
      <c r="K1115">
        <v>0</v>
      </c>
      <c r="L1115">
        <v>75.8</v>
      </c>
      <c r="M1115">
        <v>83.1</v>
      </c>
    </row>
    <row r="1116" spans="2:13" x14ac:dyDescent="0.25">
      <c r="B1116" s="50" t="s">
        <v>3352</v>
      </c>
      <c r="C1116">
        <v>10</v>
      </c>
      <c r="D1116">
        <v>10</v>
      </c>
      <c r="E1116">
        <v>2.8</v>
      </c>
      <c r="F1116" s="16">
        <v>2.8</v>
      </c>
      <c r="G1116">
        <v>0</v>
      </c>
      <c r="H1116">
        <v>3.3</v>
      </c>
      <c r="I1116" t="s">
        <v>1323</v>
      </c>
      <c r="J1116" t="s">
        <v>900</v>
      </c>
      <c r="K1116">
        <v>0</v>
      </c>
      <c r="L1116">
        <v>75.8</v>
      </c>
      <c r="M1116">
        <v>83.1</v>
      </c>
    </row>
    <row r="1117" spans="2:13" x14ac:dyDescent="0.25">
      <c r="B1117" s="50" t="s">
        <v>2730</v>
      </c>
      <c r="C1117">
        <v>120</v>
      </c>
      <c r="D1117">
        <v>300</v>
      </c>
      <c r="E1117">
        <v>2.8</v>
      </c>
      <c r="F1117" s="16">
        <v>2.8</v>
      </c>
      <c r="G1117">
        <v>105</v>
      </c>
      <c r="H1117">
        <v>8.1</v>
      </c>
      <c r="I1117" t="s">
        <v>1229</v>
      </c>
      <c r="J1117" t="s">
        <v>910</v>
      </c>
      <c r="K1117">
        <v>2980</v>
      </c>
      <c r="L1117">
        <v>114.4</v>
      </c>
      <c r="M1117">
        <v>289.2</v>
      </c>
    </row>
    <row r="1118" spans="2:13" x14ac:dyDescent="0.25">
      <c r="B1118" s="50" t="s">
        <v>3016</v>
      </c>
      <c r="C1118">
        <v>120</v>
      </c>
      <c r="D1118">
        <v>400</v>
      </c>
      <c r="E1118">
        <v>4.5</v>
      </c>
      <c r="F1118" s="16">
        <v>4.5</v>
      </c>
      <c r="G1118">
        <v>77</v>
      </c>
      <c r="H1118">
        <v>4.2</v>
      </c>
      <c r="I1118" t="s">
        <v>1323</v>
      </c>
      <c r="J1118" t="s">
        <v>900</v>
      </c>
      <c r="K1118">
        <v>1750</v>
      </c>
      <c r="L1118">
        <v>92</v>
      </c>
      <c r="M1118">
        <v>203.5</v>
      </c>
    </row>
    <row r="1119" spans="2:13" x14ac:dyDescent="0.25">
      <c r="B1119" s="50" t="s">
        <v>3015</v>
      </c>
      <c r="C1119">
        <v>120</v>
      </c>
      <c r="D1119">
        <v>400</v>
      </c>
      <c r="E1119">
        <v>4.5</v>
      </c>
      <c r="F1119" s="16">
        <v>4.5</v>
      </c>
      <c r="G1119">
        <v>77</v>
      </c>
      <c r="H1119">
        <v>4.2</v>
      </c>
      <c r="I1119" t="s">
        <v>1293</v>
      </c>
      <c r="J1119" t="s">
        <v>910</v>
      </c>
      <c r="K1119">
        <v>1750</v>
      </c>
      <c r="L1119">
        <v>92</v>
      </c>
      <c r="M1119">
        <v>203.5</v>
      </c>
    </row>
    <row r="1120" spans="2:13" x14ac:dyDescent="0.25">
      <c r="B1120" s="50" t="s">
        <v>2995</v>
      </c>
      <c r="C1120">
        <v>12</v>
      </c>
      <c r="D1120">
        <v>24</v>
      </c>
      <c r="E1120">
        <v>4.5</v>
      </c>
      <c r="F1120" s="16">
        <v>4.5</v>
      </c>
      <c r="G1120">
        <v>0</v>
      </c>
      <c r="H1120">
        <v>7.14</v>
      </c>
      <c r="I1120" t="s">
        <v>1229</v>
      </c>
      <c r="J1120" t="s">
        <v>910</v>
      </c>
      <c r="K1120">
        <v>615</v>
      </c>
      <c r="L1120">
        <v>87</v>
      </c>
      <c r="M1120">
        <v>100</v>
      </c>
    </row>
    <row r="1121" spans="2:13" x14ac:dyDescent="0.25">
      <c r="B1121" s="50" t="s">
        <v>2846</v>
      </c>
      <c r="C1121">
        <v>12</v>
      </c>
      <c r="D1121">
        <v>24</v>
      </c>
      <c r="E1121">
        <v>4.5</v>
      </c>
      <c r="F1121" s="16">
        <v>4.5</v>
      </c>
      <c r="G1121">
        <v>0</v>
      </c>
      <c r="H1121">
        <v>6.4</v>
      </c>
      <c r="I1121" t="s">
        <v>1229</v>
      </c>
      <c r="J1121" t="s">
        <v>910</v>
      </c>
      <c r="K1121">
        <v>670</v>
      </c>
      <c r="L1121">
        <v>87</v>
      </c>
      <c r="M1121">
        <v>120.2</v>
      </c>
    </row>
    <row r="1122" spans="2:13" x14ac:dyDescent="0.25">
      <c r="B1122" s="50" t="s">
        <v>2994</v>
      </c>
      <c r="C1122">
        <v>12</v>
      </c>
      <c r="D1122">
        <v>24</v>
      </c>
      <c r="E1122">
        <v>4.5</v>
      </c>
      <c r="F1122" s="16">
        <v>4.5</v>
      </c>
      <c r="G1122">
        <v>0</v>
      </c>
      <c r="H1122">
        <v>6.4</v>
      </c>
      <c r="I1122" t="s">
        <v>8</v>
      </c>
      <c r="J1122" t="s">
        <v>910</v>
      </c>
      <c r="K1122">
        <v>670</v>
      </c>
      <c r="L1122">
        <v>87</v>
      </c>
      <c r="M1122">
        <v>120.2</v>
      </c>
    </row>
    <row r="1123" spans="2:13" x14ac:dyDescent="0.25">
      <c r="B1123" s="50" t="s">
        <v>3351</v>
      </c>
      <c r="C1123">
        <v>12</v>
      </c>
      <c r="D1123">
        <v>24</v>
      </c>
      <c r="E1123">
        <v>4.5</v>
      </c>
      <c r="F1123" s="16">
        <v>4.5</v>
      </c>
      <c r="G1123">
        <v>0</v>
      </c>
      <c r="H1123">
        <v>6.4</v>
      </c>
      <c r="I1123" t="s">
        <v>1323</v>
      </c>
      <c r="J1123" t="s">
        <v>900</v>
      </c>
      <c r="K1123">
        <v>670</v>
      </c>
      <c r="L1123">
        <v>87</v>
      </c>
      <c r="M1123">
        <v>120.2</v>
      </c>
    </row>
    <row r="1124" spans="2:13" x14ac:dyDescent="0.25">
      <c r="B1124" s="50" t="s">
        <v>3350</v>
      </c>
      <c r="C1124">
        <v>12</v>
      </c>
      <c r="D1124">
        <v>24</v>
      </c>
      <c r="E1124">
        <v>4.5</v>
      </c>
      <c r="F1124" s="16">
        <v>4.5</v>
      </c>
      <c r="G1124">
        <v>0</v>
      </c>
      <c r="H1124">
        <v>6.4</v>
      </c>
      <c r="I1124" t="s">
        <v>1293</v>
      </c>
      <c r="J1124" t="s">
        <v>910</v>
      </c>
      <c r="K1124">
        <v>670</v>
      </c>
      <c r="L1124">
        <v>87</v>
      </c>
      <c r="M1124">
        <v>120.2</v>
      </c>
    </row>
    <row r="1125" spans="2:13" x14ac:dyDescent="0.25">
      <c r="B1125" s="50" t="s">
        <v>4402</v>
      </c>
      <c r="C1125">
        <v>150</v>
      </c>
      <c r="D1125">
        <v>500</v>
      </c>
      <c r="E1125">
        <v>5</v>
      </c>
      <c r="F1125" s="16">
        <v>5</v>
      </c>
      <c r="G1125">
        <v>86</v>
      </c>
      <c r="H1125">
        <v>5.2</v>
      </c>
      <c r="I1125" t="s">
        <v>1229</v>
      </c>
      <c r="J1125" t="s">
        <v>910</v>
      </c>
      <c r="K1125">
        <v>1910</v>
      </c>
      <c r="L1125">
        <v>94.7</v>
      </c>
      <c r="M1125">
        <v>252</v>
      </c>
    </row>
    <row r="1126" spans="2:13" x14ac:dyDescent="0.25">
      <c r="B1126" s="50" t="s">
        <v>3358</v>
      </c>
      <c r="C1126">
        <v>150</v>
      </c>
      <c r="D1126">
        <v>500</v>
      </c>
      <c r="E1126">
        <v>5</v>
      </c>
      <c r="F1126" s="16">
        <v>5</v>
      </c>
      <c r="G1126">
        <v>86</v>
      </c>
      <c r="H1126">
        <v>5.2</v>
      </c>
      <c r="I1126" t="s">
        <v>8</v>
      </c>
      <c r="J1126" t="s">
        <v>910</v>
      </c>
      <c r="K1126">
        <v>1910</v>
      </c>
      <c r="L1126">
        <v>94.7</v>
      </c>
      <c r="M1126">
        <v>252</v>
      </c>
    </row>
    <row r="1127" spans="2:13" x14ac:dyDescent="0.25">
      <c r="B1127" s="50" t="s">
        <v>3357</v>
      </c>
      <c r="C1127">
        <v>150</v>
      </c>
      <c r="D1127">
        <v>500</v>
      </c>
      <c r="E1127">
        <v>5</v>
      </c>
      <c r="F1127" s="16">
        <v>5</v>
      </c>
      <c r="G1127">
        <v>86</v>
      </c>
      <c r="H1127">
        <v>5.2</v>
      </c>
      <c r="I1127" t="s">
        <v>1323</v>
      </c>
      <c r="J1127" t="s">
        <v>900</v>
      </c>
      <c r="K1127">
        <v>1910</v>
      </c>
      <c r="L1127">
        <v>94.7</v>
      </c>
      <c r="M1127">
        <v>252</v>
      </c>
    </row>
    <row r="1128" spans="2:13" x14ac:dyDescent="0.25">
      <c r="B1128" s="50" t="s">
        <v>3815</v>
      </c>
      <c r="C1128">
        <v>150</v>
      </c>
      <c r="D1128">
        <v>150</v>
      </c>
      <c r="E1128">
        <v>2.8</v>
      </c>
      <c r="F1128" s="16">
        <v>2.8</v>
      </c>
      <c r="G1128">
        <v>72</v>
      </c>
      <c r="H1128">
        <v>1</v>
      </c>
      <c r="I1128" t="s">
        <v>1323</v>
      </c>
      <c r="J1128" t="s">
        <v>900</v>
      </c>
      <c r="K1128">
        <v>0</v>
      </c>
      <c r="L1128">
        <v>79.599999999999994</v>
      </c>
      <c r="M1128">
        <v>150</v>
      </c>
    </row>
    <row r="1129" spans="2:13" x14ac:dyDescent="0.25">
      <c r="B1129" s="50" t="s">
        <v>3814</v>
      </c>
      <c r="C1129">
        <v>150</v>
      </c>
      <c r="D1129">
        <v>150</v>
      </c>
      <c r="E1129">
        <v>2.8</v>
      </c>
      <c r="F1129" s="16">
        <v>2.8</v>
      </c>
      <c r="G1129">
        <v>72</v>
      </c>
      <c r="H1129">
        <v>1</v>
      </c>
      <c r="I1129" t="s">
        <v>1293</v>
      </c>
      <c r="J1129" t="s">
        <v>910</v>
      </c>
      <c r="K1129">
        <v>0</v>
      </c>
      <c r="L1129">
        <v>79.599999999999994</v>
      </c>
      <c r="M1129">
        <v>150</v>
      </c>
    </row>
    <row r="1130" spans="2:13" x14ac:dyDescent="0.25">
      <c r="B1130" s="50" t="s">
        <v>1029</v>
      </c>
      <c r="C1130">
        <v>150</v>
      </c>
      <c r="D1130">
        <v>150</v>
      </c>
      <c r="E1130">
        <v>2.8</v>
      </c>
      <c r="F1130" s="16">
        <v>2.8</v>
      </c>
      <c r="G1130">
        <v>72</v>
      </c>
      <c r="H1130">
        <v>1</v>
      </c>
      <c r="I1130" t="s">
        <v>1229</v>
      </c>
      <c r="J1130" t="s">
        <v>910</v>
      </c>
      <c r="K1130">
        <v>1180</v>
      </c>
      <c r="L1130">
        <v>79.599999999999994</v>
      </c>
      <c r="M1130">
        <v>150</v>
      </c>
    </row>
    <row r="1131" spans="2:13" x14ac:dyDescent="0.25">
      <c r="B1131" s="50" t="s">
        <v>4251</v>
      </c>
      <c r="C1131">
        <v>150</v>
      </c>
      <c r="D1131">
        <v>150</v>
      </c>
      <c r="E1131">
        <v>2.8</v>
      </c>
      <c r="F1131" s="16">
        <v>2.8</v>
      </c>
      <c r="G1131">
        <v>72</v>
      </c>
      <c r="H1131">
        <v>1</v>
      </c>
      <c r="I1131" t="s">
        <v>8</v>
      </c>
      <c r="J1131" t="s">
        <v>910</v>
      </c>
      <c r="K1131">
        <v>1180</v>
      </c>
      <c r="L1131">
        <v>79.599999999999994</v>
      </c>
      <c r="M1131">
        <v>150</v>
      </c>
    </row>
    <row r="1132" spans="2:13" x14ac:dyDescent="0.25">
      <c r="B1132" s="50" t="s">
        <v>2993</v>
      </c>
      <c r="C1132">
        <v>15</v>
      </c>
      <c r="D1132">
        <v>15</v>
      </c>
      <c r="E1132">
        <v>2.8</v>
      </c>
      <c r="F1132" s="16">
        <v>2.8</v>
      </c>
      <c r="G1132">
        <v>0</v>
      </c>
      <c r="H1132">
        <v>3.8</v>
      </c>
      <c r="I1132" t="s">
        <v>1229</v>
      </c>
      <c r="J1132" t="s">
        <v>910</v>
      </c>
      <c r="K1132">
        <v>370</v>
      </c>
      <c r="L1132">
        <v>73.5</v>
      </c>
      <c r="M1132">
        <v>65</v>
      </c>
    </row>
    <row r="1133" spans="2:13" x14ac:dyDescent="0.25">
      <c r="B1133" s="50" t="s">
        <v>2992</v>
      </c>
      <c r="C1133">
        <v>15</v>
      </c>
      <c r="D1133">
        <v>15</v>
      </c>
      <c r="E1133">
        <v>2.8</v>
      </c>
      <c r="F1133" s="16">
        <v>2.8</v>
      </c>
      <c r="G1133">
        <v>0</v>
      </c>
      <c r="H1133">
        <v>3.8</v>
      </c>
      <c r="I1133" t="s">
        <v>8</v>
      </c>
      <c r="J1133" t="s">
        <v>910</v>
      </c>
      <c r="K1133">
        <v>370</v>
      </c>
      <c r="L1133">
        <v>73.5</v>
      </c>
      <c r="M1133">
        <v>65</v>
      </c>
    </row>
    <row r="1134" spans="2:13" x14ac:dyDescent="0.25">
      <c r="B1134" s="50" t="s">
        <v>3349</v>
      </c>
      <c r="C1134">
        <v>15</v>
      </c>
      <c r="D1134">
        <v>15</v>
      </c>
      <c r="E1134">
        <v>2.8</v>
      </c>
      <c r="F1134" s="16">
        <v>2.8</v>
      </c>
      <c r="G1134">
        <v>0</v>
      </c>
      <c r="H1134">
        <v>3.8</v>
      </c>
      <c r="I1134" t="s">
        <v>1331</v>
      </c>
      <c r="J1134" t="s">
        <v>910</v>
      </c>
      <c r="K1134">
        <v>370</v>
      </c>
      <c r="L1134">
        <v>73.5</v>
      </c>
      <c r="M1134">
        <v>65</v>
      </c>
    </row>
    <row r="1135" spans="2:13" x14ac:dyDescent="0.25">
      <c r="B1135" s="50" t="s">
        <v>3348</v>
      </c>
      <c r="C1135">
        <v>15</v>
      </c>
      <c r="D1135">
        <v>15</v>
      </c>
      <c r="E1135">
        <v>2.8</v>
      </c>
      <c r="F1135" s="16">
        <v>2.8</v>
      </c>
      <c r="G1135">
        <v>0</v>
      </c>
      <c r="H1135">
        <v>3.8</v>
      </c>
      <c r="I1135" t="s">
        <v>1323</v>
      </c>
      <c r="J1135" t="s">
        <v>900</v>
      </c>
      <c r="K1135">
        <v>370</v>
      </c>
      <c r="L1135">
        <v>73.5</v>
      </c>
      <c r="M1135">
        <v>65</v>
      </c>
    </row>
    <row r="1136" spans="2:13" x14ac:dyDescent="0.25">
      <c r="B1136" s="50" t="s">
        <v>3347</v>
      </c>
      <c r="C1136">
        <v>15</v>
      </c>
      <c r="D1136">
        <v>15</v>
      </c>
      <c r="E1136">
        <v>2.8</v>
      </c>
      <c r="F1136" s="16">
        <v>2.8</v>
      </c>
      <c r="G1136">
        <v>0</v>
      </c>
      <c r="H1136">
        <v>3.8</v>
      </c>
      <c r="I1136" t="s">
        <v>1293</v>
      </c>
      <c r="J1136" t="s">
        <v>910</v>
      </c>
      <c r="K1136">
        <v>370</v>
      </c>
      <c r="L1136">
        <v>73.5</v>
      </c>
      <c r="M1136">
        <v>65</v>
      </c>
    </row>
    <row r="1137" spans="2:13" x14ac:dyDescent="0.25">
      <c r="B1137" s="50" t="s">
        <v>4432</v>
      </c>
      <c r="C1137">
        <v>17</v>
      </c>
      <c r="D1137">
        <v>50</v>
      </c>
      <c r="E1137">
        <v>2.8</v>
      </c>
      <c r="F1137" s="16">
        <v>2.8</v>
      </c>
      <c r="G1137">
        <v>77</v>
      </c>
      <c r="H1137">
        <v>5</v>
      </c>
      <c r="I1137" t="s">
        <v>1251</v>
      </c>
      <c r="J1137" t="s">
        <v>900</v>
      </c>
      <c r="K1137">
        <v>565</v>
      </c>
      <c r="L1137">
        <v>83.5</v>
      </c>
      <c r="M1137">
        <v>91.8</v>
      </c>
    </row>
    <row r="1138" spans="2:13" x14ac:dyDescent="0.25">
      <c r="B1138" s="50" t="s">
        <v>2561</v>
      </c>
      <c r="C1138">
        <v>17</v>
      </c>
      <c r="D1138">
        <v>50</v>
      </c>
      <c r="E1138">
        <v>2.8</v>
      </c>
      <c r="F1138" s="16">
        <v>2.8</v>
      </c>
      <c r="G1138">
        <v>77</v>
      </c>
      <c r="H1138">
        <v>5</v>
      </c>
      <c r="I1138" t="s">
        <v>8</v>
      </c>
      <c r="J1138" t="s">
        <v>900</v>
      </c>
      <c r="K1138">
        <v>565</v>
      </c>
      <c r="L1138">
        <v>83.5</v>
      </c>
      <c r="M1138">
        <v>91.8</v>
      </c>
    </row>
    <row r="1139" spans="2:13" x14ac:dyDescent="0.25">
      <c r="B1139" s="50" t="s">
        <v>2845</v>
      </c>
      <c r="C1139">
        <v>17</v>
      </c>
      <c r="D1139">
        <v>50</v>
      </c>
      <c r="E1139">
        <v>2.8</v>
      </c>
      <c r="F1139" s="16">
        <v>2.8</v>
      </c>
      <c r="G1139">
        <v>77</v>
      </c>
      <c r="H1139">
        <v>5</v>
      </c>
      <c r="I1139" t="s">
        <v>1331</v>
      </c>
      <c r="J1139" t="s">
        <v>900</v>
      </c>
      <c r="K1139">
        <v>565</v>
      </c>
      <c r="L1139">
        <v>83.5</v>
      </c>
      <c r="M1139">
        <v>91.8</v>
      </c>
    </row>
    <row r="1140" spans="2:13" x14ac:dyDescent="0.25">
      <c r="B1140" s="50" t="s">
        <v>2844</v>
      </c>
      <c r="C1140">
        <v>17</v>
      </c>
      <c r="D1140">
        <v>50</v>
      </c>
      <c r="E1140">
        <v>2.8</v>
      </c>
      <c r="F1140" s="16">
        <v>2.8</v>
      </c>
      <c r="G1140">
        <v>77</v>
      </c>
      <c r="H1140">
        <v>5</v>
      </c>
      <c r="I1140" t="s">
        <v>1323</v>
      </c>
      <c r="J1140" t="s">
        <v>900</v>
      </c>
      <c r="K1140">
        <v>565</v>
      </c>
      <c r="L1140">
        <v>83.5</v>
      </c>
      <c r="M1140">
        <v>91.8</v>
      </c>
    </row>
    <row r="1141" spans="2:13" x14ac:dyDescent="0.25">
      <c r="B1141" s="50" t="s">
        <v>2843</v>
      </c>
      <c r="C1141">
        <v>17</v>
      </c>
      <c r="D1141">
        <v>50</v>
      </c>
      <c r="E1141">
        <v>2.8</v>
      </c>
      <c r="F1141" s="16">
        <v>2.8</v>
      </c>
      <c r="G1141">
        <v>77</v>
      </c>
      <c r="H1141">
        <v>5</v>
      </c>
      <c r="I1141" t="s">
        <v>1293</v>
      </c>
      <c r="J1141" t="s">
        <v>900</v>
      </c>
      <c r="K1141">
        <v>565</v>
      </c>
      <c r="L1141">
        <v>83.5</v>
      </c>
      <c r="M1141">
        <v>91.8</v>
      </c>
    </row>
    <row r="1142" spans="2:13" x14ac:dyDescent="0.25">
      <c r="B1142" s="50" t="s">
        <v>2991</v>
      </c>
      <c r="C1142">
        <v>17</v>
      </c>
      <c r="D1142">
        <v>70</v>
      </c>
      <c r="E1142">
        <v>2.8</v>
      </c>
      <c r="F1142" s="16">
        <v>2.8</v>
      </c>
      <c r="G1142">
        <v>72</v>
      </c>
      <c r="H1142">
        <v>2.7</v>
      </c>
      <c r="I1142" t="s">
        <v>1293</v>
      </c>
      <c r="J1142" t="s">
        <v>900</v>
      </c>
      <c r="K1142">
        <v>535</v>
      </c>
      <c r="L1142">
        <v>79</v>
      </c>
      <c r="M1142">
        <v>88.9</v>
      </c>
    </row>
    <row r="1143" spans="2:13" x14ac:dyDescent="0.25">
      <c r="B1143" s="50" t="s">
        <v>2842</v>
      </c>
      <c r="C1143">
        <v>17</v>
      </c>
      <c r="D1143">
        <v>70</v>
      </c>
      <c r="E1143">
        <v>2.8</v>
      </c>
      <c r="F1143" s="16">
        <v>2.8</v>
      </c>
      <c r="G1143">
        <v>72</v>
      </c>
      <c r="H1143">
        <v>2.7</v>
      </c>
      <c r="I1143" t="s">
        <v>1251</v>
      </c>
      <c r="J1143" t="s">
        <v>900</v>
      </c>
      <c r="K1143">
        <v>535</v>
      </c>
      <c r="L1143">
        <v>79</v>
      </c>
      <c r="M1143">
        <v>88.9</v>
      </c>
    </row>
    <row r="1144" spans="2:13" x14ac:dyDescent="0.25">
      <c r="B1144" s="50" t="s">
        <v>2841</v>
      </c>
      <c r="C1144">
        <v>17</v>
      </c>
      <c r="D1144">
        <v>70</v>
      </c>
      <c r="E1144">
        <v>2.8</v>
      </c>
      <c r="F1144" s="16">
        <v>2.8</v>
      </c>
      <c r="G1144">
        <v>72</v>
      </c>
      <c r="H1144">
        <v>2.7</v>
      </c>
      <c r="I1144" t="s">
        <v>8</v>
      </c>
      <c r="J1144" t="s">
        <v>900</v>
      </c>
      <c r="K1144">
        <v>535</v>
      </c>
      <c r="L1144">
        <v>79</v>
      </c>
      <c r="M1144">
        <v>88.9</v>
      </c>
    </row>
    <row r="1145" spans="2:13" x14ac:dyDescent="0.25">
      <c r="B1145" s="50" t="s">
        <v>3346</v>
      </c>
      <c r="C1145">
        <v>17</v>
      </c>
      <c r="D1145">
        <v>70</v>
      </c>
      <c r="E1145">
        <v>2.8</v>
      </c>
      <c r="F1145" s="16">
        <v>2.8</v>
      </c>
      <c r="G1145">
        <v>72</v>
      </c>
      <c r="H1145">
        <v>2.33</v>
      </c>
      <c r="I1145" t="s">
        <v>1293</v>
      </c>
      <c r="J1145" t="s">
        <v>900</v>
      </c>
      <c r="K1145">
        <v>455</v>
      </c>
      <c r="L1145">
        <v>77</v>
      </c>
      <c r="M1145">
        <v>82.5</v>
      </c>
    </row>
    <row r="1146" spans="2:13" x14ac:dyDescent="0.25">
      <c r="B1146" s="50" t="s">
        <v>3014</v>
      </c>
      <c r="C1146">
        <v>180</v>
      </c>
      <c r="D1146">
        <v>180</v>
      </c>
      <c r="E1146">
        <v>2.8</v>
      </c>
      <c r="F1146" s="16">
        <v>2.8</v>
      </c>
      <c r="G1146">
        <v>86</v>
      </c>
      <c r="H1146">
        <v>1</v>
      </c>
      <c r="I1146" t="s">
        <v>1229</v>
      </c>
      <c r="J1146" t="s">
        <v>910</v>
      </c>
      <c r="K1146">
        <v>1640</v>
      </c>
      <c r="L1146">
        <v>95</v>
      </c>
      <c r="M1146">
        <v>203.9</v>
      </c>
    </row>
    <row r="1147" spans="2:13" x14ac:dyDescent="0.25">
      <c r="B1147" s="50" t="s">
        <v>3012</v>
      </c>
      <c r="C1147">
        <v>180</v>
      </c>
      <c r="D1147">
        <v>180</v>
      </c>
      <c r="E1147">
        <v>2.8</v>
      </c>
      <c r="F1147" s="16">
        <v>2.8</v>
      </c>
      <c r="G1147">
        <v>86</v>
      </c>
      <c r="H1147">
        <v>1</v>
      </c>
      <c r="I1147" t="s">
        <v>8</v>
      </c>
      <c r="J1147" t="s">
        <v>910</v>
      </c>
      <c r="K1147">
        <v>1640</v>
      </c>
      <c r="L1147">
        <v>95</v>
      </c>
      <c r="M1147">
        <v>203.9</v>
      </c>
    </row>
    <row r="1148" spans="2:13" x14ac:dyDescent="0.25">
      <c r="B1148" s="50" t="s">
        <v>3813</v>
      </c>
      <c r="C1148">
        <v>180</v>
      </c>
      <c r="D1148">
        <v>180</v>
      </c>
      <c r="E1148">
        <v>2.8</v>
      </c>
      <c r="F1148" s="16">
        <v>2.8</v>
      </c>
      <c r="G1148">
        <v>86</v>
      </c>
      <c r="H1148">
        <v>1</v>
      </c>
      <c r="I1148" t="s">
        <v>1323</v>
      </c>
      <c r="J1148" t="s">
        <v>900</v>
      </c>
      <c r="K1148">
        <v>1640</v>
      </c>
      <c r="L1148">
        <v>95</v>
      </c>
      <c r="M1148">
        <v>203.9</v>
      </c>
    </row>
    <row r="1149" spans="2:13" x14ac:dyDescent="0.25">
      <c r="B1149" s="50" t="s">
        <v>3812</v>
      </c>
      <c r="C1149">
        <v>180</v>
      </c>
      <c r="D1149">
        <v>180</v>
      </c>
      <c r="E1149">
        <v>2.8</v>
      </c>
      <c r="F1149" s="16">
        <v>2.8</v>
      </c>
      <c r="G1149">
        <v>86</v>
      </c>
      <c r="H1149">
        <v>1</v>
      </c>
      <c r="I1149" t="s">
        <v>1293</v>
      </c>
      <c r="J1149" t="s">
        <v>910</v>
      </c>
      <c r="K1149">
        <v>1640</v>
      </c>
      <c r="L1149">
        <v>95</v>
      </c>
      <c r="M1149">
        <v>203.9</v>
      </c>
    </row>
    <row r="1150" spans="2:13" x14ac:dyDescent="0.25">
      <c r="B1150" s="50" t="s">
        <v>2990</v>
      </c>
      <c r="C1150">
        <v>18</v>
      </c>
      <c r="D1150">
        <v>125</v>
      </c>
      <c r="E1150">
        <v>3.8</v>
      </c>
      <c r="F1150" s="16">
        <v>3.8</v>
      </c>
      <c r="G1150">
        <v>67</v>
      </c>
      <c r="H1150">
        <v>3.8</v>
      </c>
      <c r="I1150" t="s">
        <v>8</v>
      </c>
      <c r="J1150" t="s">
        <v>900</v>
      </c>
      <c r="K1150">
        <v>505</v>
      </c>
      <c r="L1150">
        <v>74</v>
      </c>
      <c r="M1150">
        <v>88.5</v>
      </c>
    </row>
    <row r="1151" spans="2:13" x14ac:dyDescent="0.25">
      <c r="B1151" s="50" t="s">
        <v>2989</v>
      </c>
      <c r="C1151">
        <v>18</v>
      </c>
      <c r="D1151">
        <v>125</v>
      </c>
      <c r="E1151">
        <v>3.8</v>
      </c>
      <c r="F1151" s="16">
        <v>3.8</v>
      </c>
      <c r="G1151">
        <v>67</v>
      </c>
      <c r="H1151">
        <v>3.8</v>
      </c>
      <c r="I1151" t="s">
        <v>1293</v>
      </c>
      <c r="J1151" t="s">
        <v>900</v>
      </c>
      <c r="K1151">
        <v>505</v>
      </c>
      <c r="L1151">
        <v>74</v>
      </c>
      <c r="M1151">
        <v>88.5</v>
      </c>
    </row>
    <row r="1152" spans="2:13" x14ac:dyDescent="0.25">
      <c r="B1152" s="50" t="s">
        <v>2840</v>
      </c>
      <c r="C1152">
        <v>18</v>
      </c>
      <c r="D1152">
        <v>200</v>
      </c>
      <c r="E1152">
        <v>3.5</v>
      </c>
      <c r="F1152" s="16">
        <v>3.5</v>
      </c>
      <c r="G1152">
        <v>72</v>
      </c>
      <c r="H1152">
        <v>0</v>
      </c>
      <c r="I1152" t="s">
        <v>8</v>
      </c>
      <c r="J1152" t="s">
        <v>900</v>
      </c>
      <c r="K1152">
        <v>610</v>
      </c>
      <c r="L1152">
        <v>79</v>
      </c>
      <c r="M1152">
        <v>100</v>
      </c>
    </row>
    <row r="1153" spans="2:13" x14ac:dyDescent="0.25">
      <c r="B1153" s="50" t="s">
        <v>4125</v>
      </c>
      <c r="C1153">
        <v>18</v>
      </c>
      <c r="D1153">
        <v>200</v>
      </c>
      <c r="E1153">
        <v>3.5</v>
      </c>
      <c r="F1153" s="16">
        <v>3.5</v>
      </c>
      <c r="G1153">
        <v>62</v>
      </c>
      <c r="H1153">
        <v>3.8</v>
      </c>
      <c r="I1153" t="s">
        <v>8</v>
      </c>
      <c r="J1153" t="s">
        <v>900</v>
      </c>
      <c r="K1153">
        <v>490</v>
      </c>
      <c r="L1153">
        <v>75.3</v>
      </c>
      <c r="M1153">
        <v>87.7</v>
      </c>
    </row>
    <row r="1154" spans="2:13" x14ac:dyDescent="0.25">
      <c r="B1154" s="50" t="s">
        <v>2839</v>
      </c>
      <c r="C1154">
        <v>18</v>
      </c>
      <c r="D1154">
        <v>200</v>
      </c>
      <c r="E1154">
        <v>3.5</v>
      </c>
      <c r="F1154" s="16">
        <v>3.5</v>
      </c>
      <c r="G1154">
        <v>62</v>
      </c>
      <c r="H1154">
        <v>3.8</v>
      </c>
      <c r="I1154" t="s">
        <v>1331</v>
      </c>
      <c r="J1154" t="s">
        <v>900</v>
      </c>
      <c r="K1154">
        <v>490</v>
      </c>
      <c r="L1154">
        <v>75.3</v>
      </c>
      <c r="M1154">
        <v>87.7</v>
      </c>
    </row>
    <row r="1155" spans="2:13" x14ac:dyDescent="0.25">
      <c r="B1155" s="50" t="s">
        <v>4124</v>
      </c>
      <c r="C1155">
        <v>18</v>
      </c>
      <c r="D1155">
        <v>250</v>
      </c>
      <c r="E1155">
        <v>3.5</v>
      </c>
      <c r="F1155" s="16">
        <v>3.5</v>
      </c>
      <c r="G1155">
        <v>62</v>
      </c>
      <c r="H1155">
        <v>2.9</v>
      </c>
      <c r="I1155" t="s">
        <v>1331</v>
      </c>
      <c r="J1155" t="s">
        <v>900</v>
      </c>
      <c r="K1155">
        <v>470</v>
      </c>
      <c r="L1155">
        <v>73.5</v>
      </c>
      <c r="M1155">
        <v>88.6</v>
      </c>
    </row>
    <row r="1156" spans="2:13" x14ac:dyDescent="0.25">
      <c r="B1156" s="50" t="s">
        <v>4123</v>
      </c>
      <c r="C1156">
        <v>18</v>
      </c>
      <c r="D1156">
        <v>250</v>
      </c>
      <c r="E1156">
        <v>3.5</v>
      </c>
      <c r="F1156" s="16">
        <v>3.5</v>
      </c>
      <c r="G1156">
        <v>62</v>
      </c>
      <c r="H1156">
        <v>2.9</v>
      </c>
      <c r="I1156" t="s">
        <v>1293</v>
      </c>
      <c r="J1156" t="s">
        <v>900</v>
      </c>
      <c r="K1156">
        <v>470</v>
      </c>
      <c r="L1156">
        <v>73.5</v>
      </c>
      <c r="M1156">
        <v>88.6</v>
      </c>
    </row>
    <row r="1157" spans="2:13" x14ac:dyDescent="0.25">
      <c r="B1157" s="50" t="s">
        <v>2690</v>
      </c>
      <c r="C1157">
        <v>18</v>
      </c>
      <c r="D1157">
        <v>250</v>
      </c>
      <c r="E1157">
        <v>3.5</v>
      </c>
      <c r="F1157" s="16">
        <v>3.5</v>
      </c>
      <c r="G1157">
        <v>62</v>
      </c>
      <c r="H1157">
        <v>2.9</v>
      </c>
      <c r="I1157" t="s">
        <v>1251</v>
      </c>
      <c r="J1157" t="s">
        <v>900</v>
      </c>
      <c r="K1157">
        <v>470</v>
      </c>
      <c r="L1157">
        <v>73.5</v>
      </c>
      <c r="M1157">
        <v>88.6</v>
      </c>
    </row>
    <row r="1158" spans="2:13" x14ac:dyDescent="0.25">
      <c r="B1158" s="50" t="s">
        <v>2530</v>
      </c>
      <c r="C1158">
        <v>18</v>
      </c>
      <c r="D1158">
        <v>250</v>
      </c>
      <c r="E1158">
        <v>3.5</v>
      </c>
      <c r="F1158" s="16">
        <v>3.5</v>
      </c>
      <c r="G1158">
        <v>62</v>
      </c>
      <c r="H1158">
        <v>2.9</v>
      </c>
      <c r="I1158" t="s">
        <v>8</v>
      </c>
      <c r="J1158" t="s">
        <v>900</v>
      </c>
      <c r="K1158">
        <v>470</v>
      </c>
      <c r="L1158">
        <v>73.5</v>
      </c>
      <c r="M1158">
        <v>88.6</v>
      </c>
    </row>
    <row r="1159" spans="2:13" x14ac:dyDescent="0.25">
      <c r="B1159" s="50" t="s">
        <v>3345</v>
      </c>
      <c r="C1159">
        <v>18</v>
      </c>
      <c r="D1159">
        <v>250</v>
      </c>
      <c r="E1159">
        <v>3.5</v>
      </c>
      <c r="F1159" s="16">
        <v>3.5</v>
      </c>
      <c r="G1159">
        <v>62</v>
      </c>
      <c r="H1159">
        <v>2.9</v>
      </c>
      <c r="I1159" t="s">
        <v>1323</v>
      </c>
      <c r="J1159" t="s">
        <v>900</v>
      </c>
      <c r="K1159">
        <v>470</v>
      </c>
      <c r="L1159">
        <v>73.5</v>
      </c>
      <c r="M1159">
        <v>88.6</v>
      </c>
    </row>
    <row r="1160" spans="2:13" x14ac:dyDescent="0.25">
      <c r="B1160" s="50" t="s">
        <v>2838</v>
      </c>
      <c r="C1160">
        <v>18</v>
      </c>
      <c r="D1160">
        <v>250</v>
      </c>
      <c r="E1160">
        <v>3.5</v>
      </c>
      <c r="F1160" s="16">
        <v>3.5</v>
      </c>
      <c r="G1160">
        <v>72</v>
      </c>
      <c r="H1160">
        <v>3.4</v>
      </c>
      <c r="I1160" t="s">
        <v>1251</v>
      </c>
      <c r="J1160" t="s">
        <v>900</v>
      </c>
      <c r="K1160">
        <v>630</v>
      </c>
      <c r="L1160">
        <v>79</v>
      </c>
      <c r="M1160">
        <v>101</v>
      </c>
    </row>
    <row r="1161" spans="2:13" x14ac:dyDescent="0.25">
      <c r="B1161" s="50" t="s">
        <v>2837</v>
      </c>
      <c r="C1161">
        <v>18</v>
      </c>
      <c r="D1161">
        <v>250</v>
      </c>
      <c r="E1161">
        <v>3.5</v>
      </c>
      <c r="F1161" s="16">
        <v>3.5</v>
      </c>
      <c r="G1161">
        <v>72</v>
      </c>
      <c r="H1161">
        <v>3.4</v>
      </c>
      <c r="I1161" t="s">
        <v>8</v>
      </c>
      <c r="J1161" t="s">
        <v>900</v>
      </c>
      <c r="K1161">
        <v>630</v>
      </c>
      <c r="L1161">
        <v>79</v>
      </c>
      <c r="M1161">
        <v>101</v>
      </c>
    </row>
    <row r="1162" spans="2:13" x14ac:dyDescent="0.25">
      <c r="B1162" s="50" t="s">
        <v>3344</v>
      </c>
      <c r="C1162">
        <v>18</v>
      </c>
      <c r="D1162">
        <v>250</v>
      </c>
      <c r="E1162">
        <v>3.5</v>
      </c>
      <c r="F1162" s="16">
        <v>3.5</v>
      </c>
      <c r="G1162">
        <v>72</v>
      </c>
      <c r="H1162">
        <v>3.4</v>
      </c>
      <c r="I1162" t="s">
        <v>1323</v>
      </c>
      <c r="J1162" t="s">
        <v>900</v>
      </c>
      <c r="K1162">
        <v>630</v>
      </c>
      <c r="L1162">
        <v>79</v>
      </c>
      <c r="M1162">
        <v>101</v>
      </c>
    </row>
    <row r="1163" spans="2:13" x14ac:dyDescent="0.25">
      <c r="B1163" s="50" t="s">
        <v>4122</v>
      </c>
      <c r="C1163">
        <v>19</v>
      </c>
      <c r="D1163">
        <v>19</v>
      </c>
      <c r="E1163">
        <v>2.8</v>
      </c>
      <c r="F1163" s="16">
        <v>2.8</v>
      </c>
      <c r="G1163">
        <v>46</v>
      </c>
      <c r="H1163">
        <v>7.4</v>
      </c>
      <c r="I1163" t="s">
        <v>1227</v>
      </c>
      <c r="J1163" t="s">
        <v>1228</v>
      </c>
      <c r="K1163">
        <v>140</v>
      </c>
      <c r="L1163">
        <v>60.6</v>
      </c>
      <c r="M1163">
        <v>45.7</v>
      </c>
    </row>
    <row r="1164" spans="2:13" x14ac:dyDescent="0.25">
      <c r="B1164" s="50" t="s">
        <v>3011</v>
      </c>
      <c r="C1164">
        <v>200</v>
      </c>
      <c r="D1164">
        <v>500</v>
      </c>
      <c r="E1164">
        <v>2.8</v>
      </c>
      <c r="F1164" s="16">
        <v>2.8</v>
      </c>
      <c r="G1164">
        <v>72</v>
      </c>
      <c r="H1164">
        <v>7.7</v>
      </c>
      <c r="I1164" t="s">
        <v>1229</v>
      </c>
      <c r="J1164" t="s">
        <v>910</v>
      </c>
      <c r="K1164">
        <v>15700</v>
      </c>
      <c r="L1164">
        <v>236.5</v>
      </c>
      <c r="M1164">
        <v>726</v>
      </c>
    </row>
    <row r="1165" spans="2:13" x14ac:dyDescent="0.25">
      <c r="B1165" s="50" t="s">
        <v>3010</v>
      </c>
      <c r="C1165">
        <v>200</v>
      </c>
      <c r="D1165">
        <v>500</v>
      </c>
      <c r="E1165">
        <v>2.8</v>
      </c>
      <c r="F1165" s="16">
        <v>2.8</v>
      </c>
      <c r="G1165">
        <v>72</v>
      </c>
      <c r="H1165">
        <v>7.7</v>
      </c>
      <c r="I1165" t="s">
        <v>8</v>
      </c>
      <c r="J1165" t="s">
        <v>910</v>
      </c>
      <c r="K1165">
        <v>15700</v>
      </c>
      <c r="L1165">
        <v>236.5</v>
      </c>
      <c r="M1165">
        <v>726</v>
      </c>
    </row>
    <row r="1166" spans="2:13" x14ac:dyDescent="0.25">
      <c r="B1166" s="50" t="s">
        <v>3811</v>
      </c>
      <c r="C1166">
        <v>200</v>
      </c>
      <c r="D1166">
        <v>500</v>
      </c>
      <c r="E1166">
        <v>2.8</v>
      </c>
      <c r="F1166" s="16">
        <v>2.8</v>
      </c>
      <c r="G1166">
        <v>72</v>
      </c>
      <c r="H1166">
        <v>7.7</v>
      </c>
      <c r="I1166" t="s">
        <v>1323</v>
      </c>
      <c r="J1166" t="s">
        <v>900</v>
      </c>
      <c r="K1166">
        <v>15700</v>
      </c>
      <c r="L1166">
        <v>236.5</v>
      </c>
      <c r="M1166">
        <v>726</v>
      </c>
    </row>
    <row r="1167" spans="2:13" x14ac:dyDescent="0.25">
      <c r="B1167" s="50" t="s">
        <v>3342</v>
      </c>
      <c r="C1167">
        <v>20</v>
      </c>
      <c r="D1167">
        <v>40</v>
      </c>
      <c r="E1167">
        <v>2.8</v>
      </c>
      <c r="F1167" s="16">
        <v>2.8</v>
      </c>
      <c r="G1167">
        <v>82</v>
      </c>
      <c r="H1167">
        <v>4.76</v>
      </c>
      <c r="I1167" t="s">
        <v>1229</v>
      </c>
      <c r="J1167" t="s">
        <v>910</v>
      </c>
      <c r="K1167">
        <v>595</v>
      </c>
      <c r="L1167">
        <v>89</v>
      </c>
      <c r="M1167">
        <v>107.8</v>
      </c>
    </row>
    <row r="1168" spans="2:13" x14ac:dyDescent="0.25">
      <c r="B1168" s="50" t="s">
        <v>3341</v>
      </c>
      <c r="C1168">
        <v>20</v>
      </c>
      <c r="D1168">
        <v>20</v>
      </c>
      <c r="E1168">
        <v>1.8</v>
      </c>
      <c r="F1168" s="16">
        <v>1.8</v>
      </c>
      <c r="G1168">
        <v>82</v>
      </c>
      <c r="H1168">
        <v>4</v>
      </c>
      <c r="I1168" t="s">
        <v>1229</v>
      </c>
      <c r="J1168" t="s">
        <v>910</v>
      </c>
      <c r="K1168">
        <v>500</v>
      </c>
      <c r="L1168">
        <v>88.6</v>
      </c>
      <c r="M1168">
        <v>87</v>
      </c>
    </row>
    <row r="1169" spans="2:13" x14ac:dyDescent="0.25">
      <c r="B1169" s="50" t="s">
        <v>4121</v>
      </c>
      <c r="C1169">
        <v>20</v>
      </c>
      <c r="D1169">
        <v>20</v>
      </c>
      <c r="E1169">
        <v>1.8</v>
      </c>
      <c r="F1169" s="16">
        <v>1.8</v>
      </c>
      <c r="G1169">
        <v>82</v>
      </c>
      <c r="H1169">
        <v>4</v>
      </c>
      <c r="I1169" t="s">
        <v>8</v>
      </c>
      <c r="J1169" t="s">
        <v>910</v>
      </c>
      <c r="K1169">
        <v>500</v>
      </c>
      <c r="L1169">
        <v>88.6</v>
      </c>
      <c r="M1169">
        <v>87</v>
      </c>
    </row>
    <row r="1170" spans="2:13" x14ac:dyDescent="0.25">
      <c r="B1170" s="50" t="s">
        <v>3340</v>
      </c>
      <c r="C1170">
        <v>20</v>
      </c>
      <c r="D1170">
        <v>20</v>
      </c>
      <c r="E1170">
        <v>1.8</v>
      </c>
      <c r="F1170" s="16">
        <v>1.8</v>
      </c>
      <c r="G1170">
        <v>82</v>
      </c>
      <c r="H1170">
        <v>4</v>
      </c>
      <c r="I1170" t="s">
        <v>1293</v>
      </c>
      <c r="J1170" t="s">
        <v>910</v>
      </c>
      <c r="K1170">
        <v>500</v>
      </c>
      <c r="L1170">
        <v>88.6</v>
      </c>
      <c r="M1170">
        <v>87</v>
      </c>
    </row>
    <row r="1171" spans="2:13" x14ac:dyDescent="0.25">
      <c r="B1171" s="50" t="s">
        <v>4317</v>
      </c>
      <c r="C1171">
        <v>24</v>
      </c>
      <c r="D1171">
        <v>70</v>
      </c>
      <c r="E1171">
        <v>2.8</v>
      </c>
      <c r="F1171" s="16">
        <v>2.8</v>
      </c>
      <c r="G1171">
        <v>82</v>
      </c>
      <c r="H1171">
        <v>5.3</v>
      </c>
      <c r="I1171" t="s">
        <v>8</v>
      </c>
      <c r="J1171" t="s">
        <v>910</v>
      </c>
      <c r="K1171">
        <v>790</v>
      </c>
      <c r="L1171">
        <v>88.6</v>
      </c>
      <c r="M1171">
        <v>94.7</v>
      </c>
    </row>
    <row r="1172" spans="2:13" x14ac:dyDescent="0.25">
      <c r="B1172" s="50" t="s">
        <v>4403</v>
      </c>
      <c r="C1172">
        <v>24</v>
      </c>
      <c r="D1172">
        <v>70</v>
      </c>
      <c r="E1172">
        <v>2.8</v>
      </c>
      <c r="F1172" s="16">
        <v>2.8</v>
      </c>
      <c r="G1172">
        <v>82</v>
      </c>
      <c r="H1172">
        <v>5.3</v>
      </c>
      <c r="I1172" t="s">
        <v>1293</v>
      </c>
      <c r="J1172" t="s">
        <v>910</v>
      </c>
      <c r="K1172">
        <v>790</v>
      </c>
      <c r="L1172">
        <v>88.6</v>
      </c>
      <c r="M1172">
        <v>94.7</v>
      </c>
    </row>
    <row r="1173" spans="2:13" x14ac:dyDescent="0.25">
      <c r="B1173" s="50" t="s">
        <v>3830</v>
      </c>
      <c r="C1173">
        <v>24</v>
      </c>
      <c r="D1173">
        <v>24</v>
      </c>
      <c r="E1173">
        <v>1.8</v>
      </c>
      <c r="F1173" s="16">
        <v>1.8</v>
      </c>
      <c r="G1173">
        <v>77</v>
      </c>
      <c r="H1173">
        <v>2.7</v>
      </c>
      <c r="I1173" t="s">
        <v>1323</v>
      </c>
      <c r="J1173" t="s">
        <v>900</v>
      </c>
      <c r="K1173">
        <v>485</v>
      </c>
      <c r="L1173">
        <v>83.6</v>
      </c>
      <c r="M1173">
        <v>80</v>
      </c>
    </row>
    <row r="1174" spans="2:13" x14ac:dyDescent="0.25">
      <c r="B1174" s="50" t="s">
        <v>4119</v>
      </c>
      <c r="C1174">
        <v>28</v>
      </c>
      <c r="D1174">
        <v>105</v>
      </c>
      <c r="E1174">
        <v>2.8</v>
      </c>
      <c r="F1174" s="16">
        <v>2.8</v>
      </c>
      <c r="G1174">
        <v>72</v>
      </c>
      <c r="H1174">
        <v>0</v>
      </c>
      <c r="I1174" t="s">
        <v>1293</v>
      </c>
      <c r="J1174" t="s">
        <v>900</v>
      </c>
      <c r="K1174">
        <v>405</v>
      </c>
      <c r="L1174">
        <v>79.5</v>
      </c>
      <c r="M1174">
        <v>77</v>
      </c>
    </row>
    <row r="1175" spans="2:13" x14ac:dyDescent="0.25">
      <c r="B1175" s="50" t="s">
        <v>4118</v>
      </c>
      <c r="C1175">
        <v>28</v>
      </c>
      <c r="D1175">
        <v>28</v>
      </c>
      <c r="E1175">
        <v>1.8</v>
      </c>
      <c r="F1175" s="16">
        <v>1.8</v>
      </c>
      <c r="G1175">
        <v>77</v>
      </c>
      <c r="H1175">
        <v>2.9</v>
      </c>
      <c r="I1175" t="s">
        <v>1293</v>
      </c>
      <c r="J1175" t="s">
        <v>910</v>
      </c>
      <c r="K1175">
        <v>485</v>
      </c>
      <c r="L1175">
        <v>83.6</v>
      </c>
      <c r="M1175">
        <v>80</v>
      </c>
    </row>
    <row r="1176" spans="2:13" x14ac:dyDescent="0.25">
      <c r="B1176" s="50" t="s">
        <v>3810</v>
      </c>
      <c r="C1176">
        <v>300</v>
      </c>
      <c r="D1176">
        <v>800</v>
      </c>
      <c r="E1176">
        <v>5.6</v>
      </c>
      <c r="F1176" s="16">
        <v>5.6</v>
      </c>
      <c r="G1176">
        <v>46</v>
      </c>
      <c r="H1176">
        <v>6.9</v>
      </c>
      <c r="I1176" t="s">
        <v>1229</v>
      </c>
      <c r="J1176" t="s">
        <v>910</v>
      </c>
      <c r="K1176">
        <v>5880</v>
      </c>
      <c r="L1176">
        <v>156.5</v>
      </c>
      <c r="M1176">
        <v>544</v>
      </c>
    </row>
    <row r="1177" spans="2:13" x14ac:dyDescent="0.25">
      <c r="B1177" s="50" t="s">
        <v>3809</v>
      </c>
      <c r="C1177">
        <v>300</v>
      </c>
      <c r="D1177">
        <v>800</v>
      </c>
      <c r="E1177">
        <v>5.6</v>
      </c>
      <c r="F1177" s="16">
        <v>5.6</v>
      </c>
      <c r="G1177">
        <v>46</v>
      </c>
      <c r="H1177">
        <v>6.9</v>
      </c>
      <c r="I1177" t="s">
        <v>8</v>
      </c>
      <c r="J1177" t="s">
        <v>910</v>
      </c>
      <c r="K1177">
        <v>5880</v>
      </c>
      <c r="L1177">
        <v>156.5</v>
      </c>
      <c r="M1177">
        <v>544</v>
      </c>
    </row>
    <row r="1178" spans="2:13" x14ac:dyDescent="0.25">
      <c r="B1178" s="50" t="s">
        <v>3008</v>
      </c>
      <c r="C1178">
        <v>300</v>
      </c>
      <c r="D1178">
        <v>800</v>
      </c>
      <c r="E1178">
        <v>5.6</v>
      </c>
      <c r="F1178" s="16">
        <v>5.6</v>
      </c>
      <c r="G1178">
        <v>46</v>
      </c>
      <c r="H1178">
        <v>6.9</v>
      </c>
      <c r="I1178" t="s">
        <v>1323</v>
      </c>
      <c r="J1178" t="s">
        <v>900</v>
      </c>
      <c r="K1178">
        <v>5880</v>
      </c>
      <c r="L1178">
        <v>156.5</v>
      </c>
      <c r="M1178">
        <v>544</v>
      </c>
    </row>
    <row r="1179" spans="2:13" x14ac:dyDescent="0.25">
      <c r="B1179" s="50" t="s">
        <v>3808</v>
      </c>
      <c r="C1179">
        <v>300</v>
      </c>
      <c r="D1179">
        <v>300</v>
      </c>
      <c r="E1179">
        <v>2.8</v>
      </c>
      <c r="F1179" s="16">
        <v>2.8</v>
      </c>
      <c r="G1179">
        <v>46</v>
      </c>
      <c r="H1179">
        <v>7.5</v>
      </c>
      <c r="I1179" t="s">
        <v>1229</v>
      </c>
      <c r="J1179" t="s">
        <v>910</v>
      </c>
      <c r="K1179">
        <v>2400</v>
      </c>
      <c r="L1179">
        <v>119</v>
      </c>
      <c r="M1179">
        <v>214.5</v>
      </c>
    </row>
    <row r="1180" spans="2:13" x14ac:dyDescent="0.25">
      <c r="B1180" s="50" t="s">
        <v>3807</v>
      </c>
      <c r="C1180">
        <v>300</v>
      </c>
      <c r="D1180">
        <v>300</v>
      </c>
      <c r="E1180">
        <v>2.8</v>
      </c>
      <c r="F1180" s="16">
        <v>2.8</v>
      </c>
      <c r="G1180">
        <v>46</v>
      </c>
      <c r="H1180">
        <v>7.5</v>
      </c>
      <c r="I1180" t="s">
        <v>8</v>
      </c>
      <c r="J1180" t="s">
        <v>910</v>
      </c>
      <c r="K1180">
        <v>2400</v>
      </c>
      <c r="L1180">
        <v>119</v>
      </c>
      <c r="M1180">
        <v>214.5</v>
      </c>
    </row>
    <row r="1181" spans="2:13" x14ac:dyDescent="0.25">
      <c r="B1181" s="50" t="s">
        <v>3806</v>
      </c>
      <c r="C1181">
        <v>300</v>
      </c>
      <c r="D1181">
        <v>300</v>
      </c>
      <c r="E1181">
        <v>2.8</v>
      </c>
      <c r="F1181" s="16">
        <v>2.8</v>
      </c>
      <c r="G1181">
        <v>46</v>
      </c>
      <c r="H1181">
        <v>7.5</v>
      </c>
      <c r="I1181" t="s">
        <v>1323</v>
      </c>
      <c r="J1181" t="s">
        <v>900</v>
      </c>
      <c r="K1181">
        <v>2400</v>
      </c>
      <c r="L1181">
        <v>119</v>
      </c>
      <c r="M1181">
        <v>214.5</v>
      </c>
    </row>
    <row r="1182" spans="2:13" x14ac:dyDescent="0.25">
      <c r="B1182" s="50" t="s">
        <v>3007</v>
      </c>
      <c r="C1182">
        <v>300</v>
      </c>
      <c r="D1182">
        <v>300</v>
      </c>
      <c r="E1182">
        <v>2.8</v>
      </c>
      <c r="F1182" s="16">
        <v>2.8</v>
      </c>
      <c r="G1182">
        <v>46</v>
      </c>
      <c r="H1182">
        <v>7.5</v>
      </c>
      <c r="I1182" t="s">
        <v>1331</v>
      </c>
      <c r="J1182" t="s">
        <v>910</v>
      </c>
      <c r="K1182">
        <v>2400</v>
      </c>
      <c r="L1182">
        <v>119</v>
      </c>
      <c r="M1182">
        <v>214.5</v>
      </c>
    </row>
    <row r="1183" spans="2:13" x14ac:dyDescent="0.25">
      <c r="B1183" s="50" t="s">
        <v>4250</v>
      </c>
      <c r="C1183">
        <v>300</v>
      </c>
      <c r="D1183">
        <v>300</v>
      </c>
      <c r="E1183">
        <v>2.8</v>
      </c>
      <c r="F1183" s="16">
        <v>2.8</v>
      </c>
      <c r="G1183">
        <v>46</v>
      </c>
      <c r="H1183">
        <v>7.5</v>
      </c>
      <c r="I1183" t="s">
        <v>1293</v>
      </c>
      <c r="J1183" t="s">
        <v>910</v>
      </c>
      <c r="K1183">
        <v>2400</v>
      </c>
      <c r="L1183">
        <v>119</v>
      </c>
      <c r="M1183">
        <v>214.5</v>
      </c>
    </row>
    <row r="1184" spans="2:13" x14ac:dyDescent="0.25">
      <c r="B1184" s="50" t="s">
        <v>4117</v>
      </c>
      <c r="C1184">
        <v>30</v>
      </c>
      <c r="D1184">
        <v>30</v>
      </c>
      <c r="E1184">
        <v>1.4</v>
      </c>
      <c r="F1184" s="16">
        <v>1.4</v>
      </c>
      <c r="G1184">
        <v>62</v>
      </c>
      <c r="H1184">
        <v>10.4</v>
      </c>
      <c r="I1184" t="s">
        <v>1293</v>
      </c>
      <c r="J1184" t="s">
        <v>900</v>
      </c>
      <c r="K1184">
        <v>430</v>
      </c>
      <c r="L1184">
        <v>76.599999999999994</v>
      </c>
      <c r="M1184">
        <v>59</v>
      </c>
    </row>
    <row r="1185" spans="2:13" x14ac:dyDescent="0.25">
      <c r="B1185" s="50" t="s">
        <v>4316</v>
      </c>
      <c r="C1185">
        <v>30</v>
      </c>
      <c r="D1185">
        <v>30</v>
      </c>
      <c r="E1185">
        <v>1.4</v>
      </c>
      <c r="F1185" s="16">
        <v>1.4</v>
      </c>
      <c r="G1185">
        <v>62</v>
      </c>
      <c r="H1185">
        <v>10.4</v>
      </c>
      <c r="I1185" t="s">
        <v>8</v>
      </c>
      <c r="J1185" t="s">
        <v>900</v>
      </c>
      <c r="K1185">
        <v>430</v>
      </c>
      <c r="L1185">
        <v>76.599999999999994</v>
      </c>
      <c r="M1185">
        <v>59</v>
      </c>
    </row>
    <row r="1186" spans="2:13" x14ac:dyDescent="0.25">
      <c r="B1186" s="50" t="s">
        <v>3829</v>
      </c>
      <c r="C1186">
        <v>30</v>
      </c>
      <c r="D1186">
        <v>30</v>
      </c>
      <c r="E1186">
        <v>2.8</v>
      </c>
      <c r="F1186" s="16">
        <v>2.8</v>
      </c>
      <c r="G1186">
        <v>46</v>
      </c>
      <c r="H1186">
        <v>11.11</v>
      </c>
      <c r="I1186" t="s">
        <v>1227</v>
      </c>
      <c r="J1186" t="s">
        <v>1228</v>
      </c>
      <c r="K1186">
        <v>135</v>
      </c>
      <c r="L1186">
        <v>60.6</v>
      </c>
      <c r="M1186">
        <v>38.6</v>
      </c>
    </row>
    <row r="1187" spans="2:13" x14ac:dyDescent="0.25">
      <c r="B1187" s="50" t="s">
        <v>3838</v>
      </c>
      <c r="C1187">
        <v>4.5</v>
      </c>
      <c r="D1187">
        <v>4.5</v>
      </c>
      <c r="E1187">
        <v>2.8</v>
      </c>
      <c r="F1187" s="16">
        <v>2.8</v>
      </c>
      <c r="G1187">
        <v>0</v>
      </c>
      <c r="H1187">
        <v>6</v>
      </c>
      <c r="I1187" t="s">
        <v>1251</v>
      </c>
      <c r="J1187" t="s">
        <v>900</v>
      </c>
      <c r="K1187">
        <v>470</v>
      </c>
      <c r="L1187">
        <v>76.2</v>
      </c>
      <c r="M1187">
        <v>77.8</v>
      </c>
    </row>
    <row r="1188" spans="2:13" x14ac:dyDescent="0.25">
      <c r="B1188" s="50" t="s">
        <v>3837</v>
      </c>
      <c r="C1188">
        <v>4.5</v>
      </c>
      <c r="D1188">
        <v>4.5</v>
      </c>
      <c r="E1188">
        <v>2.8</v>
      </c>
      <c r="F1188" s="16">
        <v>2.8</v>
      </c>
      <c r="G1188">
        <v>0</v>
      </c>
      <c r="H1188">
        <v>6</v>
      </c>
      <c r="I1188" t="s">
        <v>8</v>
      </c>
      <c r="J1188" t="s">
        <v>900</v>
      </c>
      <c r="K1188">
        <v>470</v>
      </c>
      <c r="L1188">
        <v>76.2</v>
      </c>
      <c r="M1188">
        <v>77.8</v>
      </c>
    </row>
    <row r="1189" spans="2:13" x14ac:dyDescent="0.25">
      <c r="B1189" s="50" t="s">
        <v>3836</v>
      </c>
      <c r="C1189">
        <v>4.5</v>
      </c>
      <c r="D1189">
        <v>4.5</v>
      </c>
      <c r="E1189">
        <v>2.8</v>
      </c>
      <c r="F1189" s="16">
        <v>2.8</v>
      </c>
      <c r="G1189">
        <v>0</v>
      </c>
      <c r="H1189">
        <v>6</v>
      </c>
      <c r="I1189" t="s">
        <v>1323</v>
      </c>
      <c r="J1189" t="s">
        <v>900</v>
      </c>
      <c r="K1189">
        <v>470</v>
      </c>
      <c r="L1189">
        <v>76.2</v>
      </c>
      <c r="M1189">
        <v>77.8</v>
      </c>
    </row>
    <row r="1190" spans="2:13" x14ac:dyDescent="0.25">
      <c r="B1190" s="50" t="s">
        <v>3835</v>
      </c>
      <c r="C1190">
        <v>4.5</v>
      </c>
      <c r="D1190">
        <v>4.5</v>
      </c>
      <c r="E1190">
        <v>2.8</v>
      </c>
      <c r="F1190" s="16">
        <v>2.8</v>
      </c>
      <c r="G1190">
        <v>0</v>
      </c>
      <c r="H1190">
        <v>6</v>
      </c>
      <c r="I1190" t="s">
        <v>1331</v>
      </c>
      <c r="J1190" t="s">
        <v>900</v>
      </c>
      <c r="K1190">
        <v>470</v>
      </c>
      <c r="L1190">
        <v>76.2</v>
      </c>
      <c r="M1190">
        <v>77.8</v>
      </c>
    </row>
    <row r="1191" spans="2:13" x14ac:dyDescent="0.25">
      <c r="B1191" s="50" t="s">
        <v>3000</v>
      </c>
      <c r="C1191">
        <v>4.5</v>
      </c>
      <c r="D1191">
        <v>4.5</v>
      </c>
      <c r="E1191">
        <v>2.8</v>
      </c>
      <c r="F1191" s="16">
        <v>2.8</v>
      </c>
      <c r="G1191">
        <v>0</v>
      </c>
      <c r="H1191">
        <v>6</v>
      </c>
      <c r="I1191" t="s">
        <v>1293</v>
      </c>
      <c r="J1191" t="s">
        <v>900</v>
      </c>
      <c r="K1191">
        <v>470</v>
      </c>
      <c r="L1191">
        <v>76.2</v>
      </c>
      <c r="M1191">
        <v>77.8</v>
      </c>
    </row>
    <row r="1192" spans="2:13" x14ac:dyDescent="0.25">
      <c r="B1192" s="50" t="s">
        <v>4110</v>
      </c>
      <c r="C1192">
        <v>500</v>
      </c>
      <c r="D1192">
        <v>500</v>
      </c>
      <c r="E1192">
        <v>4.5</v>
      </c>
      <c r="F1192" s="16">
        <v>4.5</v>
      </c>
      <c r="G1192">
        <v>46</v>
      </c>
      <c r="H1192">
        <v>7.7</v>
      </c>
      <c r="I1192" t="s">
        <v>1229</v>
      </c>
      <c r="J1192" t="s">
        <v>910</v>
      </c>
      <c r="K1192">
        <v>3150</v>
      </c>
      <c r="L1192">
        <v>123</v>
      </c>
      <c r="M1192">
        <v>350</v>
      </c>
    </row>
    <row r="1193" spans="2:13" x14ac:dyDescent="0.25">
      <c r="B1193" s="50" t="s">
        <v>3388</v>
      </c>
      <c r="C1193">
        <v>500</v>
      </c>
      <c r="D1193">
        <v>500</v>
      </c>
      <c r="E1193">
        <v>4.5</v>
      </c>
      <c r="F1193" s="16">
        <v>4.5</v>
      </c>
      <c r="G1193">
        <v>46</v>
      </c>
      <c r="H1193">
        <v>7.7</v>
      </c>
      <c r="I1193" t="s">
        <v>8</v>
      </c>
      <c r="J1193" t="s">
        <v>910</v>
      </c>
      <c r="K1193">
        <v>3150</v>
      </c>
      <c r="L1193">
        <v>123</v>
      </c>
      <c r="M1193">
        <v>350</v>
      </c>
    </row>
    <row r="1194" spans="2:13" x14ac:dyDescent="0.25">
      <c r="B1194" s="50" t="s">
        <v>3805</v>
      </c>
      <c r="C1194">
        <v>500</v>
      </c>
      <c r="D1194">
        <v>500</v>
      </c>
      <c r="E1194">
        <v>4.5</v>
      </c>
      <c r="F1194" s="16">
        <v>4.5</v>
      </c>
      <c r="G1194">
        <v>46</v>
      </c>
      <c r="H1194">
        <v>7.7</v>
      </c>
      <c r="I1194" t="s">
        <v>1323</v>
      </c>
      <c r="J1194" t="s">
        <v>900</v>
      </c>
      <c r="K1194">
        <v>3150</v>
      </c>
      <c r="L1194">
        <v>123</v>
      </c>
      <c r="M1194">
        <v>350</v>
      </c>
    </row>
    <row r="1195" spans="2:13" x14ac:dyDescent="0.25">
      <c r="B1195" s="50" t="s">
        <v>3386</v>
      </c>
      <c r="C1195">
        <v>500</v>
      </c>
      <c r="D1195">
        <v>500</v>
      </c>
      <c r="E1195">
        <v>4.5</v>
      </c>
      <c r="F1195" s="16">
        <v>4.5</v>
      </c>
      <c r="G1195">
        <v>46</v>
      </c>
      <c r="H1195">
        <v>7.7</v>
      </c>
      <c r="I1195" t="s">
        <v>1293</v>
      </c>
      <c r="J1195" t="s">
        <v>910</v>
      </c>
      <c r="K1195">
        <v>3150</v>
      </c>
      <c r="L1195">
        <v>123</v>
      </c>
      <c r="M1195">
        <v>350</v>
      </c>
    </row>
    <row r="1196" spans="2:13" x14ac:dyDescent="0.25">
      <c r="B1196" s="50" t="s">
        <v>3828</v>
      </c>
      <c r="C1196">
        <v>50</v>
      </c>
      <c r="D1196">
        <v>200</v>
      </c>
      <c r="E1196">
        <v>4</v>
      </c>
      <c r="F1196" s="16">
        <v>4</v>
      </c>
      <c r="G1196">
        <v>55</v>
      </c>
      <c r="H1196">
        <v>4.5</v>
      </c>
      <c r="I1196" t="s">
        <v>8</v>
      </c>
      <c r="J1196" t="s">
        <v>900</v>
      </c>
      <c r="K1196">
        <v>420</v>
      </c>
      <c r="L1196">
        <v>74</v>
      </c>
      <c r="M1196">
        <v>101.9</v>
      </c>
    </row>
    <row r="1197" spans="2:13" x14ac:dyDescent="0.25">
      <c r="B1197" s="50" t="s">
        <v>4116</v>
      </c>
      <c r="C1197">
        <v>50</v>
      </c>
      <c r="D1197">
        <v>200</v>
      </c>
      <c r="E1197">
        <v>4</v>
      </c>
      <c r="F1197" s="16">
        <v>4</v>
      </c>
      <c r="G1197">
        <v>55</v>
      </c>
      <c r="H1197">
        <v>4.5</v>
      </c>
      <c r="I1197" t="s">
        <v>1331</v>
      </c>
      <c r="J1197" t="s">
        <v>900</v>
      </c>
      <c r="K1197">
        <v>420</v>
      </c>
      <c r="L1197">
        <v>74</v>
      </c>
      <c r="M1197">
        <v>101.9</v>
      </c>
    </row>
    <row r="1198" spans="2:13" x14ac:dyDescent="0.25">
      <c r="B1198" s="50" t="s">
        <v>3827</v>
      </c>
      <c r="C1198">
        <v>50</v>
      </c>
      <c r="D1198">
        <v>200</v>
      </c>
      <c r="E1198">
        <v>4</v>
      </c>
      <c r="F1198" s="16">
        <v>4</v>
      </c>
      <c r="G1198">
        <v>55</v>
      </c>
      <c r="H1198">
        <v>4.5</v>
      </c>
      <c r="I1198" t="s">
        <v>1293</v>
      </c>
      <c r="J1198" t="s">
        <v>900</v>
      </c>
      <c r="K1198">
        <v>420</v>
      </c>
      <c r="L1198">
        <v>74</v>
      </c>
      <c r="M1198">
        <v>101.9</v>
      </c>
    </row>
    <row r="1199" spans="2:13" x14ac:dyDescent="0.25">
      <c r="B1199" s="50" t="s">
        <v>3826</v>
      </c>
      <c r="C1199">
        <v>50</v>
      </c>
      <c r="D1199">
        <v>500</v>
      </c>
      <c r="E1199">
        <v>4</v>
      </c>
      <c r="F1199" s="16">
        <v>4</v>
      </c>
      <c r="G1199">
        <v>86</v>
      </c>
      <c r="H1199">
        <v>3.13</v>
      </c>
      <c r="I1199" t="s">
        <v>1229</v>
      </c>
      <c r="J1199" t="s">
        <v>910</v>
      </c>
      <c r="K1199">
        <v>1840</v>
      </c>
      <c r="L1199">
        <v>95</v>
      </c>
      <c r="M1199">
        <v>218.5</v>
      </c>
    </row>
    <row r="1200" spans="2:13" x14ac:dyDescent="0.25">
      <c r="B1200" s="50" t="s">
        <v>3824</v>
      </c>
      <c r="C1200">
        <v>50</v>
      </c>
      <c r="D1200">
        <v>500</v>
      </c>
      <c r="E1200">
        <v>4</v>
      </c>
      <c r="F1200" s="16">
        <v>4</v>
      </c>
      <c r="G1200">
        <v>86</v>
      </c>
      <c r="H1200">
        <v>3.13</v>
      </c>
      <c r="I1200" t="s">
        <v>8</v>
      </c>
      <c r="J1200" t="s">
        <v>910</v>
      </c>
      <c r="K1200">
        <v>1840</v>
      </c>
      <c r="L1200">
        <v>95</v>
      </c>
      <c r="M1200">
        <v>218.5</v>
      </c>
    </row>
    <row r="1201" spans="2:13" x14ac:dyDescent="0.25">
      <c r="B1201" s="50" t="s">
        <v>4115</v>
      </c>
      <c r="C1201">
        <v>50</v>
      </c>
      <c r="D1201">
        <v>500</v>
      </c>
      <c r="E1201">
        <v>4.5</v>
      </c>
      <c r="F1201" s="16">
        <v>4.5</v>
      </c>
      <c r="G1201">
        <v>95</v>
      </c>
      <c r="H1201">
        <v>3.1</v>
      </c>
      <c r="I1201" t="s">
        <v>1229</v>
      </c>
      <c r="J1201" t="s">
        <v>910</v>
      </c>
      <c r="K1201">
        <v>1970</v>
      </c>
      <c r="L1201">
        <v>104.4</v>
      </c>
      <c r="M1201">
        <v>219</v>
      </c>
    </row>
    <row r="1202" spans="2:13" x14ac:dyDescent="0.25">
      <c r="B1202" s="50" t="s">
        <v>2836</v>
      </c>
      <c r="C1202">
        <v>50</v>
      </c>
      <c r="D1202">
        <v>500</v>
      </c>
      <c r="E1202">
        <v>4.5</v>
      </c>
      <c r="F1202" s="16">
        <v>4.5</v>
      </c>
      <c r="G1202">
        <v>95</v>
      </c>
      <c r="H1202">
        <v>3.1</v>
      </c>
      <c r="I1202" t="s">
        <v>8</v>
      </c>
      <c r="J1202" t="s">
        <v>910</v>
      </c>
      <c r="K1202">
        <v>1970</v>
      </c>
      <c r="L1202">
        <v>104.4</v>
      </c>
      <c r="M1202">
        <v>219</v>
      </c>
    </row>
    <row r="1203" spans="2:13" x14ac:dyDescent="0.25">
      <c r="B1203" s="50" t="s">
        <v>4315</v>
      </c>
      <c r="C1203">
        <v>50</v>
      </c>
      <c r="D1203">
        <v>500</v>
      </c>
      <c r="E1203">
        <v>4.5</v>
      </c>
      <c r="F1203" s="16">
        <v>4.5</v>
      </c>
      <c r="G1203">
        <v>95</v>
      </c>
      <c r="H1203">
        <v>3.1</v>
      </c>
      <c r="I1203" t="s">
        <v>1331</v>
      </c>
      <c r="J1203" t="s">
        <v>910</v>
      </c>
      <c r="K1203">
        <v>1970</v>
      </c>
      <c r="L1203">
        <v>104.4</v>
      </c>
      <c r="M1203">
        <v>219</v>
      </c>
    </row>
    <row r="1204" spans="2:13" x14ac:dyDescent="0.25">
      <c r="B1204" s="50" t="s">
        <v>3823</v>
      </c>
      <c r="C1204">
        <v>50</v>
      </c>
      <c r="D1204">
        <v>500</v>
      </c>
      <c r="E1204">
        <v>4.5</v>
      </c>
      <c r="F1204" s="16">
        <v>4.5</v>
      </c>
      <c r="G1204">
        <v>95</v>
      </c>
      <c r="H1204">
        <v>3.1</v>
      </c>
      <c r="I1204" t="s">
        <v>1323</v>
      </c>
      <c r="J1204" t="s">
        <v>900</v>
      </c>
      <c r="K1204">
        <v>1970</v>
      </c>
      <c r="L1204">
        <v>104.4</v>
      </c>
      <c r="M1204">
        <v>219</v>
      </c>
    </row>
    <row r="1205" spans="2:13" x14ac:dyDescent="0.25">
      <c r="B1205" s="50" t="s">
        <v>4114</v>
      </c>
      <c r="C1205">
        <v>50</v>
      </c>
      <c r="D1205">
        <v>500</v>
      </c>
      <c r="E1205">
        <v>4.5</v>
      </c>
      <c r="F1205" s="16">
        <v>4.5</v>
      </c>
      <c r="G1205">
        <v>95</v>
      </c>
      <c r="H1205">
        <v>3.1</v>
      </c>
      <c r="I1205" t="s">
        <v>1293</v>
      </c>
      <c r="J1205" t="s">
        <v>910</v>
      </c>
      <c r="K1205">
        <v>1970</v>
      </c>
      <c r="L1205">
        <v>104.4</v>
      </c>
      <c r="M1205">
        <v>219</v>
      </c>
    </row>
    <row r="1206" spans="2:13" x14ac:dyDescent="0.25">
      <c r="B1206" s="50" t="s">
        <v>3822</v>
      </c>
      <c r="C1206">
        <v>50</v>
      </c>
      <c r="D1206">
        <v>50</v>
      </c>
      <c r="E1206">
        <v>1.4</v>
      </c>
      <c r="F1206" s="16">
        <v>1.4</v>
      </c>
      <c r="G1206">
        <v>77</v>
      </c>
      <c r="H1206">
        <v>7.4</v>
      </c>
      <c r="I1206" t="s">
        <v>1229</v>
      </c>
      <c r="J1206" t="s">
        <v>910</v>
      </c>
      <c r="K1206">
        <v>505</v>
      </c>
      <c r="L1206">
        <v>84.5</v>
      </c>
      <c r="M1206">
        <v>68.2</v>
      </c>
    </row>
    <row r="1207" spans="2:13" x14ac:dyDescent="0.25">
      <c r="B1207" s="50" t="s">
        <v>2835</v>
      </c>
      <c r="C1207">
        <v>50</v>
      </c>
      <c r="D1207">
        <v>50</v>
      </c>
      <c r="E1207">
        <v>1.4</v>
      </c>
      <c r="F1207" s="16">
        <v>1.4</v>
      </c>
      <c r="G1207">
        <v>77</v>
      </c>
      <c r="H1207">
        <v>7.4</v>
      </c>
      <c r="I1207" t="s">
        <v>8</v>
      </c>
      <c r="J1207" t="s">
        <v>910</v>
      </c>
      <c r="K1207">
        <v>505</v>
      </c>
      <c r="L1207">
        <v>84.5</v>
      </c>
      <c r="M1207">
        <v>68.2</v>
      </c>
    </row>
    <row r="1208" spans="2:13" x14ac:dyDescent="0.25">
      <c r="B1208" s="50" t="s">
        <v>3821</v>
      </c>
      <c r="C1208">
        <v>50</v>
      </c>
      <c r="D1208">
        <v>50</v>
      </c>
      <c r="E1208">
        <v>1.4</v>
      </c>
      <c r="F1208" s="16">
        <v>1.4</v>
      </c>
      <c r="G1208">
        <v>77</v>
      </c>
      <c r="H1208">
        <v>7.4</v>
      </c>
      <c r="I1208" t="s">
        <v>1293</v>
      </c>
      <c r="J1208" t="s">
        <v>910</v>
      </c>
      <c r="K1208">
        <v>505</v>
      </c>
      <c r="L1208">
        <v>84.5</v>
      </c>
      <c r="M1208">
        <v>68.2</v>
      </c>
    </row>
    <row r="1209" spans="2:13" x14ac:dyDescent="0.25">
      <c r="B1209" s="50" t="s">
        <v>4113</v>
      </c>
      <c r="C1209">
        <v>50</v>
      </c>
      <c r="D1209">
        <v>50</v>
      </c>
      <c r="E1209">
        <v>2.8</v>
      </c>
      <c r="F1209" s="16">
        <v>2.8</v>
      </c>
      <c r="G1209">
        <v>55</v>
      </c>
      <c r="H1209">
        <v>1</v>
      </c>
      <c r="I1209" t="s">
        <v>8</v>
      </c>
      <c r="J1209" t="s">
        <v>910</v>
      </c>
      <c r="K1209">
        <v>315</v>
      </c>
      <c r="L1209">
        <v>71.400000000000006</v>
      </c>
      <c r="M1209">
        <v>64</v>
      </c>
    </row>
    <row r="1210" spans="2:13" x14ac:dyDescent="0.25">
      <c r="B1210" s="50" t="s">
        <v>3820</v>
      </c>
      <c r="C1210">
        <v>50</v>
      </c>
      <c r="D1210">
        <v>50</v>
      </c>
      <c r="E1210">
        <v>2.8</v>
      </c>
      <c r="F1210" s="16">
        <v>2.8</v>
      </c>
      <c r="G1210">
        <v>55</v>
      </c>
      <c r="H1210">
        <v>1</v>
      </c>
      <c r="I1210" t="s">
        <v>1323</v>
      </c>
      <c r="J1210" t="s">
        <v>900</v>
      </c>
      <c r="K1210">
        <v>315</v>
      </c>
      <c r="L1210">
        <v>71.400000000000006</v>
      </c>
      <c r="M1210">
        <v>64</v>
      </c>
    </row>
    <row r="1211" spans="2:13" x14ac:dyDescent="0.25">
      <c r="B1211" s="50" t="s">
        <v>4112</v>
      </c>
      <c r="C1211">
        <v>50</v>
      </c>
      <c r="D1211">
        <v>50</v>
      </c>
      <c r="E1211">
        <v>2.8</v>
      </c>
      <c r="F1211" s="16">
        <v>2.8</v>
      </c>
      <c r="G1211">
        <v>55</v>
      </c>
      <c r="H1211">
        <v>1</v>
      </c>
      <c r="I1211" t="s">
        <v>1293</v>
      </c>
      <c r="J1211" t="s">
        <v>910</v>
      </c>
      <c r="K1211">
        <v>315</v>
      </c>
      <c r="L1211">
        <v>71.400000000000006</v>
      </c>
      <c r="M1211">
        <v>64</v>
      </c>
    </row>
    <row r="1212" spans="2:13" x14ac:dyDescent="0.25">
      <c r="B1212" s="50" t="s">
        <v>3819</v>
      </c>
      <c r="C1212">
        <v>55</v>
      </c>
      <c r="D1212">
        <v>200</v>
      </c>
      <c r="E1212">
        <v>4</v>
      </c>
      <c r="F1212" s="16">
        <v>4</v>
      </c>
      <c r="G1212">
        <v>55</v>
      </c>
      <c r="H1212">
        <v>5.56</v>
      </c>
      <c r="I1212" t="s">
        <v>1323</v>
      </c>
      <c r="J1212" t="s">
        <v>900</v>
      </c>
      <c r="K1212">
        <v>310</v>
      </c>
      <c r="L1212">
        <v>71</v>
      </c>
      <c r="M1212">
        <v>84.6</v>
      </c>
    </row>
    <row r="1213" spans="2:13" x14ac:dyDescent="0.25">
      <c r="B1213" s="50" t="s">
        <v>2582</v>
      </c>
      <c r="C1213">
        <v>70</v>
      </c>
      <c r="D1213">
        <v>200</v>
      </c>
      <c r="E1213">
        <v>2.8</v>
      </c>
      <c r="F1213" s="16">
        <v>2.8</v>
      </c>
      <c r="G1213">
        <v>77</v>
      </c>
      <c r="H1213">
        <v>8</v>
      </c>
      <c r="I1213" t="s">
        <v>1229</v>
      </c>
      <c r="J1213" t="s">
        <v>910</v>
      </c>
      <c r="K1213">
        <v>1430</v>
      </c>
      <c r="L1213">
        <v>86.4</v>
      </c>
      <c r="M1213">
        <v>197.6</v>
      </c>
    </row>
    <row r="1214" spans="2:13" x14ac:dyDescent="0.25">
      <c r="B1214" s="50" t="s">
        <v>2689</v>
      </c>
      <c r="C1214">
        <v>70</v>
      </c>
      <c r="D1214">
        <v>200</v>
      </c>
      <c r="E1214">
        <v>2.8</v>
      </c>
      <c r="F1214" s="16">
        <v>2.8</v>
      </c>
      <c r="G1214">
        <v>77</v>
      </c>
      <c r="H1214">
        <v>8</v>
      </c>
      <c r="I1214" t="s">
        <v>8</v>
      </c>
      <c r="J1214" t="s">
        <v>910</v>
      </c>
      <c r="K1214">
        <v>1430</v>
      </c>
      <c r="L1214">
        <v>86.4</v>
      </c>
      <c r="M1214">
        <v>197.6</v>
      </c>
    </row>
    <row r="1215" spans="2:13" x14ac:dyDescent="0.25">
      <c r="B1215" s="50" t="s">
        <v>3818</v>
      </c>
      <c r="C1215">
        <v>70</v>
      </c>
      <c r="D1215">
        <v>200</v>
      </c>
      <c r="E1215">
        <v>2.8</v>
      </c>
      <c r="F1215" s="16">
        <v>2.8</v>
      </c>
      <c r="G1215">
        <v>77</v>
      </c>
      <c r="H1215">
        <v>8</v>
      </c>
      <c r="I1215" t="s">
        <v>1323</v>
      </c>
      <c r="J1215" t="s">
        <v>900</v>
      </c>
      <c r="K1215">
        <v>1430</v>
      </c>
      <c r="L1215">
        <v>86.4</v>
      </c>
      <c r="M1215">
        <v>197.6</v>
      </c>
    </row>
    <row r="1216" spans="2:13" x14ac:dyDescent="0.25">
      <c r="B1216" s="50" t="s">
        <v>2834</v>
      </c>
      <c r="C1216">
        <v>70</v>
      </c>
      <c r="D1216">
        <v>200</v>
      </c>
      <c r="E1216">
        <v>2.8</v>
      </c>
      <c r="F1216" s="16">
        <v>2.8</v>
      </c>
      <c r="G1216">
        <v>77</v>
      </c>
      <c r="H1216">
        <v>8</v>
      </c>
      <c r="I1216" t="s">
        <v>1293</v>
      </c>
      <c r="J1216" t="s">
        <v>910</v>
      </c>
      <c r="K1216">
        <v>1430</v>
      </c>
      <c r="L1216">
        <v>86.4</v>
      </c>
      <c r="M1216">
        <v>197.6</v>
      </c>
    </row>
    <row r="1217" spans="2:13" x14ac:dyDescent="0.25">
      <c r="B1217" s="50" t="s">
        <v>2833</v>
      </c>
      <c r="C1217">
        <v>70</v>
      </c>
      <c r="D1217">
        <v>300</v>
      </c>
      <c r="E1217">
        <v>4</v>
      </c>
      <c r="F1217" s="16">
        <v>4</v>
      </c>
      <c r="G1217">
        <v>58</v>
      </c>
      <c r="H1217">
        <v>4.0999999999999996</v>
      </c>
      <c r="I1217" t="s">
        <v>1229</v>
      </c>
      <c r="J1217" t="s">
        <v>910</v>
      </c>
      <c r="K1217">
        <v>550</v>
      </c>
      <c r="L1217">
        <v>76.599999999999994</v>
      </c>
      <c r="M1217">
        <v>122</v>
      </c>
    </row>
    <row r="1218" spans="2:13" x14ac:dyDescent="0.25">
      <c r="B1218" s="50" t="s">
        <v>3817</v>
      </c>
      <c r="C1218">
        <v>70</v>
      </c>
      <c r="D1218">
        <v>300</v>
      </c>
      <c r="E1218">
        <v>4</v>
      </c>
      <c r="F1218" s="16">
        <v>4</v>
      </c>
      <c r="G1218">
        <v>58</v>
      </c>
      <c r="H1218">
        <v>4.0999999999999996</v>
      </c>
      <c r="I1218" t="s">
        <v>8</v>
      </c>
      <c r="J1218" t="s">
        <v>910</v>
      </c>
      <c r="K1218">
        <v>550</v>
      </c>
      <c r="L1218">
        <v>76.599999999999994</v>
      </c>
      <c r="M1218">
        <v>122</v>
      </c>
    </row>
    <row r="1219" spans="2:13" x14ac:dyDescent="0.25">
      <c r="B1219" s="50" t="s">
        <v>4111</v>
      </c>
      <c r="C1219">
        <v>70</v>
      </c>
      <c r="D1219">
        <v>300</v>
      </c>
      <c r="E1219">
        <v>4</v>
      </c>
      <c r="F1219" s="16">
        <v>4</v>
      </c>
      <c r="G1219">
        <v>58</v>
      </c>
      <c r="H1219">
        <v>4.0999999999999996</v>
      </c>
      <c r="I1219" t="s">
        <v>1331</v>
      </c>
      <c r="J1219" t="s">
        <v>910</v>
      </c>
      <c r="K1219">
        <v>550</v>
      </c>
      <c r="L1219">
        <v>76.599999999999994</v>
      </c>
      <c r="M1219">
        <v>122</v>
      </c>
    </row>
    <row r="1220" spans="2:13" x14ac:dyDescent="0.25">
      <c r="B1220" s="50" t="s">
        <v>3816</v>
      </c>
      <c r="C1220">
        <v>70</v>
      </c>
      <c r="D1220">
        <v>300</v>
      </c>
      <c r="E1220">
        <v>4</v>
      </c>
      <c r="F1220" s="16">
        <v>4</v>
      </c>
      <c r="G1220">
        <v>58</v>
      </c>
      <c r="H1220">
        <v>4.0999999999999996</v>
      </c>
      <c r="I1220" t="s">
        <v>1323</v>
      </c>
      <c r="J1220" t="s">
        <v>900</v>
      </c>
      <c r="K1220">
        <v>550</v>
      </c>
      <c r="L1220">
        <v>76.599999999999994</v>
      </c>
      <c r="M1220">
        <v>122</v>
      </c>
    </row>
    <row r="1221" spans="2:13" x14ac:dyDescent="0.25">
      <c r="B1221" s="50" t="s">
        <v>3372</v>
      </c>
      <c r="C1221">
        <v>70</v>
      </c>
      <c r="D1221">
        <v>300</v>
      </c>
      <c r="E1221">
        <v>4</v>
      </c>
      <c r="F1221" s="16">
        <v>4</v>
      </c>
      <c r="G1221">
        <v>58</v>
      </c>
      <c r="H1221">
        <v>4.0999999999999996</v>
      </c>
      <c r="I1221" t="s">
        <v>1293</v>
      </c>
      <c r="J1221" t="s">
        <v>910</v>
      </c>
      <c r="K1221">
        <v>550</v>
      </c>
      <c r="L1221">
        <v>76.599999999999994</v>
      </c>
      <c r="M1221">
        <v>122</v>
      </c>
    </row>
    <row r="1222" spans="2:13" x14ac:dyDescent="0.25">
      <c r="B1222" s="50" t="s">
        <v>3371</v>
      </c>
      <c r="C1222">
        <v>70</v>
      </c>
      <c r="D1222">
        <v>300</v>
      </c>
      <c r="E1222">
        <v>4</v>
      </c>
      <c r="F1222" s="16">
        <v>4</v>
      </c>
      <c r="G1222">
        <v>58</v>
      </c>
      <c r="H1222">
        <v>4.0999999999999996</v>
      </c>
      <c r="I1222" t="s">
        <v>8</v>
      </c>
      <c r="J1222" t="s">
        <v>910</v>
      </c>
      <c r="K1222">
        <v>550</v>
      </c>
      <c r="L1222">
        <v>76.599999999999994</v>
      </c>
      <c r="M1222">
        <v>122</v>
      </c>
    </row>
    <row r="1223" spans="2:13" x14ac:dyDescent="0.25">
      <c r="B1223" s="50" t="s">
        <v>2832</v>
      </c>
      <c r="C1223">
        <v>70</v>
      </c>
      <c r="D1223">
        <v>300</v>
      </c>
      <c r="E1223">
        <v>4</v>
      </c>
      <c r="F1223" s="16">
        <v>4</v>
      </c>
      <c r="G1223">
        <v>58</v>
      </c>
      <c r="H1223">
        <v>4.0999999999999996</v>
      </c>
      <c r="I1223" t="s">
        <v>1229</v>
      </c>
      <c r="J1223" t="s">
        <v>910</v>
      </c>
      <c r="K1223">
        <v>530</v>
      </c>
      <c r="L1223">
        <v>76.599999999999994</v>
      </c>
      <c r="M1223">
        <v>119.5</v>
      </c>
    </row>
    <row r="1224" spans="2:13" x14ac:dyDescent="0.25">
      <c r="B1224" s="50" t="s">
        <v>3370</v>
      </c>
      <c r="C1224">
        <v>70</v>
      </c>
      <c r="D1224">
        <v>300</v>
      </c>
      <c r="E1224">
        <v>4</v>
      </c>
      <c r="F1224" s="16">
        <v>4</v>
      </c>
      <c r="G1224">
        <v>58</v>
      </c>
      <c r="H1224">
        <v>4.0999999999999996</v>
      </c>
      <c r="I1224" t="s">
        <v>8</v>
      </c>
      <c r="J1224" t="s">
        <v>910</v>
      </c>
      <c r="K1224">
        <v>530</v>
      </c>
      <c r="L1224">
        <v>76.599999999999994</v>
      </c>
      <c r="M1224">
        <v>119.5</v>
      </c>
    </row>
    <row r="1225" spans="2:13" x14ac:dyDescent="0.25">
      <c r="B1225" s="50" t="s">
        <v>4252</v>
      </c>
      <c r="C1225">
        <v>70</v>
      </c>
      <c r="D1225">
        <v>300</v>
      </c>
      <c r="E1225">
        <v>4</v>
      </c>
      <c r="F1225" s="16">
        <v>4</v>
      </c>
      <c r="G1225">
        <v>58</v>
      </c>
      <c r="H1225">
        <v>4.0999999999999996</v>
      </c>
      <c r="I1225" t="s">
        <v>1331</v>
      </c>
      <c r="J1225" t="s">
        <v>910</v>
      </c>
      <c r="K1225">
        <v>530</v>
      </c>
      <c r="L1225">
        <v>76.599999999999994</v>
      </c>
      <c r="M1225">
        <v>119.5</v>
      </c>
    </row>
    <row r="1226" spans="2:13" x14ac:dyDescent="0.25">
      <c r="B1226" s="50" t="s">
        <v>3024</v>
      </c>
      <c r="C1226">
        <v>70</v>
      </c>
      <c r="D1226">
        <v>300</v>
      </c>
      <c r="E1226">
        <v>4</v>
      </c>
      <c r="F1226" s="16">
        <v>4</v>
      </c>
      <c r="G1226">
        <v>58</v>
      </c>
      <c r="H1226">
        <v>4.0999999999999996</v>
      </c>
      <c r="I1226" t="s">
        <v>1323</v>
      </c>
      <c r="J1226" t="s">
        <v>900</v>
      </c>
      <c r="K1226">
        <v>530</v>
      </c>
      <c r="L1226">
        <v>76.599999999999994</v>
      </c>
      <c r="M1226">
        <v>119.5</v>
      </c>
    </row>
    <row r="1227" spans="2:13" x14ac:dyDescent="0.25">
      <c r="B1227" s="50" t="s">
        <v>3369</v>
      </c>
      <c r="C1227">
        <v>70</v>
      </c>
      <c r="D1227">
        <v>300</v>
      </c>
      <c r="E1227">
        <v>4</v>
      </c>
      <c r="F1227" s="16">
        <v>4</v>
      </c>
      <c r="G1227">
        <v>58</v>
      </c>
      <c r="H1227">
        <v>4.0999999999999996</v>
      </c>
      <c r="I1227" t="s">
        <v>1293</v>
      </c>
      <c r="J1227" t="s">
        <v>910</v>
      </c>
      <c r="K1227">
        <v>530</v>
      </c>
      <c r="L1227">
        <v>76.599999999999994</v>
      </c>
      <c r="M1227">
        <v>119.5</v>
      </c>
    </row>
    <row r="1228" spans="2:13" x14ac:dyDescent="0.25">
      <c r="B1228" s="50" t="s">
        <v>3368</v>
      </c>
      <c r="C1228">
        <v>70</v>
      </c>
      <c r="D1228">
        <v>300</v>
      </c>
      <c r="E1228">
        <v>4</v>
      </c>
      <c r="F1228" s="16">
        <v>4</v>
      </c>
      <c r="G1228">
        <v>58</v>
      </c>
      <c r="H1228">
        <v>4.0999999999999996</v>
      </c>
      <c r="I1228" t="s">
        <v>8</v>
      </c>
      <c r="J1228" t="s">
        <v>910</v>
      </c>
      <c r="K1228">
        <v>540</v>
      </c>
      <c r="L1228">
        <v>76.599999999999994</v>
      </c>
      <c r="M1228">
        <v>119.5</v>
      </c>
    </row>
    <row r="1229" spans="2:13" x14ac:dyDescent="0.25">
      <c r="B1229" s="50" t="s">
        <v>3023</v>
      </c>
      <c r="C1229">
        <v>70</v>
      </c>
      <c r="D1229">
        <v>300</v>
      </c>
      <c r="E1229">
        <v>4</v>
      </c>
      <c r="F1229" s="16">
        <v>4</v>
      </c>
      <c r="G1229">
        <v>62</v>
      </c>
      <c r="H1229">
        <v>3.9</v>
      </c>
      <c r="I1229" t="s">
        <v>1229</v>
      </c>
      <c r="J1229" t="s">
        <v>910</v>
      </c>
      <c r="K1229">
        <v>610</v>
      </c>
      <c r="L1229">
        <v>76.5</v>
      </c>
      <c r="M1229">
        <v>126.5</v>
      </c>
    </row>
    <row r="1230" spans="2:13" x14ac:dyDescent="0.25">
      <c r="B1230" s="50" t="s">
        <v>3367</v>
      </c>
      <c r="C1230">
        <v>70</v>
      </c>
      <c r="D1230">
        <v>300</v>
      </c>
      <c r="E1230">
        <v>4</v>
      </c>
      <c r="F1230" s="16">
        <v>4</v>
      </c>
      <c r="G1230">
        <v>62</v>
      </c>
      <c r="H1230">
        <v>3.9</v>
      </c>
      <c r="I1230" t="s">
        <v>8</v>
      </c>
      <c r="J1230" t="s">
        <v>910</v>
      </c>
      <c r="K1230">
        <v>610</v>
      </c>
      <c r="L1230">
        <v>76.5</v>
      </c>
      <c r="M1230">
        <v>126.5</v>
      </c>
    </row>
    <row r="1231" spans="2:13" x14ac:dyDescent="0.25">
      <c r="B1231" s="50" t="s">
        <v>3366</v>
      </c>
      <c r="C1231">
        <v>70</v>
      </c>
      <c r="D1231">
        <v>300</v>
      </c>
      <c r="E1231">
        <v>4</v>
      </c>
      <c r="F1231" s="16">
        <v>4</v>
      </c>
      <c r="G1231">
        <v>62</v>
      </c>
      <c r="H1231">
        <v>3.9</v>
      </c>
      <c r="I1231" t="s">
        <v>1331</v>
      </c>
      <c r="J1231" t="s">
        <v>910</v>
      </c>
      <c r="K1231">
        <v>610</v>
      </c>
      <c r="L1231">
        <v>76.5</v>
      </c>
      <c r="M1231">
        <v>126.5</v>
      </c>
    </row>
    <row r="1232" spans="2:13" x14ac:dyDescent="0.25">
      <c r="B1232" s="50" t="s">
        <v>3365</v>
      </c>
      <c r="C1232">
        <v>70</v>
      </c>
      <c r="D1232">
        <v>300</v>
      </c>
      <c r="E1232">
        <v>4</v>
      </c>
      <c r="F1232" s="16">
        <v>4</v>
      </c>
      <c r="G1232">
        <v>62</v>
      </c>
      <c r="H1232">
        <v>3.9</v>
      </c>
      <c r="I1232" t="s">
        <v>1323</v>
      </c>
      <c r="J1232" t="s">
        <v>900</v>
      </c>
      <c r="K1232">
        <v>610</v>
      </c>
      <c r="L1232">
        <v>76.5</v>
      </c>
      <c r="M1232">
        <v>126.5</v>
      </c>
    </row>
    <row r="1233" spans="2:13" x14ac:dyDescent="0.25">
      <c r="B1233" s="50" t="s">
        <v>3364</v>
      </c>
      <c r="C1233">
        <v>70</v>
      </c>
      <c r="D1233">
        <v>300</v>
      </c>
      <c r="E1233">
        <v>4</v>
      </c>
      <c r="F1233" s="16">
        <v>4</v>
      </c>
      <c r="G1233">
        <v>62</v>
      </c>
      <c r="H1233">
        <v>3.9</v>
      </c>
      <c r="I1233" t="s">
        <v>1293</v>
      </c>
      <c r="J1233" t="s">
        <v>910</v>
      </c>
      <c r="K1233">
        <v>610</v>
      </c>
      <c r="L1233">
        <v>76.5</v>
      </c>
      <c r="M1233">
        <v>126.5</v>
      </c>
    </row>
    <row r="1234" spans="2:13" x14ac:dyDescent="0.25">
      <c r="B1234" s="50" t="s">
        <v>3022</v>
      </c>
      <c r="C1234">
        <v>70</v>
      </c>
      <c r="D1234">
        <v>70</v>
      </c>
      <c r="E1234">
        <v>2.8</v>
      </c>
      <c r="F1234" s="16">
        <v>2.8</v>
      </c>
      <c r="G1234">
        <v>62</v>
      </c>
      <c r="H1234">
        <v>1</v>
      </c>
      <c r="I1234" t="s">
        <v>1229</v>
      </c>
      <c r="J1234" t="s">
        <v>910</v>
      </c>
      <c r="K1234">
        <v>527</v>
      </c>
      <c r="L1234">
        <v>76</v>
      </c>
      <c r="M1234">
        <v>95</v>
      </c>
    </row>
    <row r="1235" spans="2:13" x14ac:dyDescent="0.25">
      <c r="B1235" s="50" t="s">
        <v>3363</v>
      </c>
      <c r="C1235">
        <v>70</v>
      </c>
      <c r="D1235">
        <v>70</v>
      </c>
      <c r="E1235">
        <v>2.8</v>
      </c>
      <c r="F1235" s="16">
        <v>2.8</v>
      </c>
      <c r="G1235">
        <v>62</v>
      </c>
      <c r="H1235">
        <v>1</v>
      </c>
      <c r="I1235" t="s">
        <v>8</v>
      </c>
      <c r="J1235" t="s">
        <v>910</v>
      </c>
      <c r="K1235">
        <v>527</v>
      </c>
      <c r="L1235">
        <v>76</v>
      </c>
      <c r="M1235">
        <v>95</v>
      </c>
    </row>
    <row r="1236" spans="2:13" x14ac:dyDescent="0.25">
      <c r="B1236" s="50" t="s">
        <v>3362</v>
      </c>
      <c r="C1236">
        <v>70</v>
      </c>
      <c r="D1236">
        <v>70</v>
      </c>
      <c r="E1236">
        <v>2.8</v>
      </c>
      <c r="F1236" s="16">
        <v>2.8</v>
      </c>
      <c r="G1236">
        <v>62</v>
      </c>
      <c r="H1236">
        <v>1</v>
      </c>
      <c r="I1236" t="s">
        <v>1323</v>
      </c>
      <c r="J1236" t="s">
        <v>900</v>
      </c>
      <c r="K1236">
        <v>527</v>
      </c>
      <c r="L1236">
        <v>76</v>
      </c>
      <c r="M1236">
        <v>95</v>
      </c>
    </row>
    <row r="1237" spans="2:13" x14ac:dyDescent="0.25">
      <c r="B1237" s="50" t="s">
        <v>3021</v>
      </c>
      <c r="C1237">
        <v>70</v>
      </c>
      <c r="D1237">
        <v>70</v>
      </c>
      <c r="E1237">
        <v>2.8</v>
      </c>
      <c r="F1237" s="16">
        <v>2.8</v>
      </c>
      <c r="G1237">
        <v>62</v>
      </c>
      <c r="H1237">
        <v>1</v>
      </c>
      <c r="I1237" t="s">
        <v>1293</v>
      </c>
      <c r="J1237" t="s">
        <v>910</v>
      </c>
      <c r="K1237">
        <v>527</v>
      </c>
      <c r="L1237">
        <v>76</v>
      </c>
      <c r="M1237">
        <v>95</v>
      </c>
    </row>
    <row r="1238" spans="2:13" x14ac:dyDescent="0.25">
      <c r="B1238" s="50" t="s">
        <v>3804</v>
      </c>
      <c r="C1238">
        <v>800</v>
      </c>
      <c r="D1238">
        <v>800</v>
      </c>
      <c r="E1238">
        <v>5.6</v>
      </c>
      <c r="F1238" s="16">
        <v>5.6</v>
      </c>
      <c r="G1238">
        <v>46</v>
      </c>
      <c r="H1238">
        <v>8.8000000000000007</v>
      </c>
      <c r="I1238" t="s">
        <v>1229</v>
      </c>
      <c r="J1238" t="s">
        <v>910</v>
      </c>
      <c r="K1238">
        <v>4900</v>
      </c>
      <c r="L1238">
        <v>156.5</v>
      </c>
      <c r="M1238">
        <v>521</v>
      </c>
    </row>
    <row r="1239" spans="2:13" x14ac:dyDescent="0.25">
      <c r="B1239" s="50" t="s">
        <v>3384</v>
      </c>
      <c r="C1239">
        <v>800</v>
      </c>
      <c r="D1239">
        <v>800</v>
      </c>
      <c r="E1239">
        <v>5.6</v>
      </c>
      <c r="F1239" s="16">
        <v>5.6</v>
      </c>
      <c r="G1239">
        <v>46</v>
      </c>
      <c r="H1239">
        <v>8.8000000000000007</v>
      </c>
      <c r="I1239" t="s">
        <v>8</v>
      </c>
      <c r="J1239" t="s">
        <v>910</v>
      </c>
      <c r="K1239">
        <v>4900</v>
      </c>
      <c r="L1239">
        <v>156.5</v>
      </c>
      <c r="M1239">
        <v>521</v>
      </c>
    </row>
    <row r="1240" spans="2:13" x14ac:dyDescent="0.25">
      <c r="B1240" s="50" t="s">
        <v>3803</v>
      </c>
      <c r="C1240">
        <v>800</v>
      </c>
      <c r="D1240">
        <v>800</v>
      </c>
      <c r="E1240">
        <v>5.6</v>
      </c>
      <c r="F1240" s="16">
        <v>5.6</v>
      </c>
      <c r="G1240">
        <v>46</v>
      </c>
      <c r="H1240">
        <v>8.8000000000000007</v>
      </c>
      <c r="I1240" t="s">
        <v>1323</v>
      </c>
      <c r="J1240" t="s">
        <v>900</v>
      </c>
      <c r="K1240">
        <v>4900</v>
      </c>
      <c r="L1240">
        <v>156.5</v>
      </c>
      <c r="M1240">
        <v>521</v>
      </c>
    </row>
    <row r="1241" spans="2:13" x14ac:dyDescent="0.25">
      <c r="B1241" s="50" t="s">
        <v>4404</v>
      </c>
      <c r="C1241">
        <v>8</v>
      </c>
      <c r="D1241">
        <v>16</v>
      </c>
      <c r="E1241">
        <v>4.5</v>
      </c>
      <c r="F1241" s="16">
        <v>4.5</v>
      </c>
      <c r="G1241">
        <v>0</v>
      </c>
      <c r="H1241">
        <v>7.8</v>
      </c>
      <c r="I1241" t="s">
        <v>1251</v>
      </c>
      <c r="J1241" t="s">
        <v>900</v>
      </c>
      <c r="K1241">
        <v>545</v>
      </c>
      <c r="L1241">
        <v>75</v>
      </c>
      <c r="M1241">
        <v>105.7</v>
      </c>
    </row>
    <row r="1242" spans="2:13" x14ac:dyDescent="0.25">
      <c r="B1242" s="50" t="s">
        <v>2999</v>
      </c>
      <c r="C1242">
        <v>8</v>
      </c>
      <c r="D1242">
        <v>16</v>
      </c>
      <c r="E1242">
        <v>4.5</v>
      </c>
      <c r="F1242" s="16">
        <v>4.5</v>
      </c>
      <c r="G1242">
        <v>0</v>
      </c>
      <c r="H1242">
        <v>7.8</v>
      </c>
      <c r="I1242" t="s">
        <v>8</v>
      </c>
      <c r="J1242" t="s">
        <v>900</v>
      </c>
      <c r="K1242">
        <v>545</v>
      </c>
      <c r="L1242">
        <v>75</v>
      </c>
      <c r="M1242">
        <v>105.7</v>
      </c>
    </row>
    <row r="1243" spans="2:13" x14ac:dyDescent="0.25">
      <c r="B1243" s="50" t="s">
        <v>4253</v>
      </c>
      <c r="C1243">
        <v>8</v>
      </c>
      <c r="D1243">
        <v>16</v>
      </c>
      <c r="E1243">
        <v>4.5</v>
      </c>
      <c r="F1243" s="16">
        <v>4.5</v>
      </c>
      <c r="G1243">
        <v>0</v>
      </c>
      <c r="H1243">
        <v>7.8</v>
      </c>
      <c r="I1243" t="s">
        <v>1331</v>
      </c>
      <c r="J1243" t="s">
        <v>900</v>
      </c>
      <c r="K1243">
        <v>545</v>
      </c>
      <c r="L1243">
        <v>75</v>
      </c>
      <c r="M1243">
        <v>105.7</v>
      </c>
    </row>
    <row r="1244" spans="2:13" x14ac:dyDescent="0.25">
      <c r="B1244" s="50" t="s">
        <v>3834</v>
      </c>
      <c r="C1244">
        <v>8</v>
      </c>
      <c r="D1244">
        <v>16</v>
      </c>
      <c r="E1244">
        <v>4.5</v>
      </c>
      <c r="F1244" s="16">
        <v>4.5</v>
      </c>
      <c r="G1244">
        <v>0</v>
      </c>
      <c r="H1244">
        <v>7.8</v>
      </c>
      <c r="I1244" t="s">
        <v>1323</v>
      </c>
      <c r="J1244" t="s">
        <v>900</v>
      </c>
      <c r="K1244">
        <v>545</v>
      </c>
      <c r="L1244">
        <v>75</v>
      </c>
      <c r="M1244">
        <v>105.7</v>
      </c>
    </row>
    <row r="1245" spans="2:13" x14ac:dyDescent="0.25">
      <c r="B1245" s="50" t="s">
        <v>3833</v>
      </c>
      <c r="C1245">
        <v>8</v>
      </c>
      <c r="D1245">
        <v>16</v>
      </c>
      <c r="E1245">
        <v>4.5</v>
      </c>
      <c r="F1245" s="16">
        <v>4.5</v>
      </c>
      <c r="G1245">
        <v>0</v>
      </c>
      <c r="H1245">
        <v>7.8</v>
      </c>
      <c r="I1245" t="s">
        <v>1293</v>
      </c>
      <c r="J1245" t="s">
        <v>900</v>
      </c>
      <c r="K1245">
        <v>545</v>
      </c>
      <c r="L1245">
        <v>75</v>
      </c>
      <c r="M1245">
        <v>105.7</v>
      </c>
    </row>
    <row r="1246" spans="2:13" x14ac:dyDescent="0.25">
      <c r="B1246" s="50" t="s">
        <v>3020</v>
      </c>
      <c r="C1246">
        <v>85</v>
      </c>
      <c r="D1246">
        <v>85</v>
      </c>
      <c r="E1246">
        <v>1.4</v>
      </c>
      <c r="F1246" s="16">
        <v>1.4</v>
      </c>
      <c r="G1246">
        <v>77</v>
      </c>
      <c r="H1246">
        <v>8.6</v>
      </c>
      <c r="I1246" t="s">
        <v>1229</v>
      </c>
      <c r="J1246" t="s">
        <v>910</v>
      </c>
      <c r="K1246">
        <v>719</v>
      </c>
      <c r="L1246">
        <v>84.7</v>
      </c>
      <c r="M1246">
        <v>87.6</v>
      </c>
    </row>
    <row r="1247" spans="2:13" x14ac:dyDescent="0.25">
      <c r="B1247" s="50" t="s">
        <v>3361</v>
      </c>
      <c r="C1247">
        <v>85</v>
      </c>
      <c r="D1247">
        <v>85</v>
      </c>
      <c r="E1247">
        <v>1.4</v>
      </c>
      <c r="F1247" s="16">
        <v>1.4</v>
      </c>
      <c r="G1247">
        <v>77</v>
      </c>
      <c r="H1247">
        <v>8.6</v>
      </c>
      <c r="I1247" t="s">
        <v>8</v>
      </c>
      <c r="J1247" t="s">
        <v>910</v>
      </c>
      <c r="K1247">
        <v>719</v>
      </c>
      <c r="L1247">
        <v>84.7</v>
      </c>
      <c r="M1247">
        <v>87.6</v>
      </c>
    </row>
    <row r="1248" spans="2:13" x14ac:dyDescent="0.25">
      <c r="B1248" s="50" t="s">
        <v>3019</v>
      </c>
      <c r="C1248">
        <v>85</v>
      </c>
      <c r="D1248">
        <v>85</v>
      </c>
      <c r="E1248">
        <v>1.4</v>
      </c>
      <c r="F1248" s="16">
        <v>1.4</v>
      </c>
      <c r="G1248">
        <v>77</v>
      </c>
      <c r="H1248">
        <v>8.6</v>
      </c>
      <c r="I1248" t="s">
        <v>1331</v>
      </c>
      <c r="J1248" t="s">
        <v>910</v>
      </c>
      <c r="K1248">
        <v>719</v>
      </c>
      <c r="L1248">
        <v>84.7</v>
      </c>
      <c r="M1248">
        <v>87.6</v>
      </c>
    </row>
    <row r="1249" spans="2:13" x14ac:dyDescent="0.25">
      <c r="B1249" s="50" t="s">
        <v>3018</v>
      </c>
      <c r="C1249">
        <v>85</v>
      </c>
      <c r="D1249">
        <v>85</v>
      </c>
      <c r="E1249">
        <v>1.4</v>
      </c>
      <c r="F1249" s="16">
        <v>1.4</v>
      </c>
      <c r="G1249">
        <v>77</v>
      </c>
      <c r="H1249">
        <v>8.6</v>
      </c>
      <c r="I1249" t="s">
        <v>1323</v>
      </c>
      <c r="J1249" t="s">
        <v>900</v>
      </c>
      <c r="K1249">
        <v>719</v>
      </c>
      <c r="L1249">
        <v>84.7</v>
      </c>
      <c r="M1249">
        <v>87.6</v>
      </c>
    </row>
    <row r="1250" spans="2:13" x14ac:dyDescent="0.25">
      <c r="B1250" s="50" t="s">
        <v>3360</v>
      </c>
      <c r="C1250">
        <v>85</v>
      </c>
      <c r="D1250">
        <v>85</v>
      </c>
      <c r="E1250">
        <v>1.4</v>
      </c>
      <c r="F1250" s="16">
        <v>1.4</v>
      </c>
      <c r="G1250">
        <v>77</v>
      </c>
      <c r="H1250">
        <v>8.6</v>
      </c>
      <c r="I1250" t="s">
        <v>1293</v>
      </c>
      <c r="J1250" t="s">
        <v>910</v>
      </c>
      <c r="K1250">
        <v>719</v>
      </c>
      <c r="L1250">
        <v>84.7</v>
      </c>
      <c r="M1250">
        <v>87.6</v>
      </c>
    </row>
    <row r="1251" spans="2:13" x14ac:dyDescent="0.25">
      <c r="B1251" s="50" t="s">
        <v>3832</v>
      </c>
      <c r="C1251">
        <v>8</v>
      </c>
      <c r="D1251">
        <v>8</v>
      </c>
      <c r="E1251">
        <v>3.5</v>
      </c>
      <c r="F1251" s="16">
        <v>3.5</v>
      </c>
      <c r="G1251">
        <v>0</v>
      </c>
      <c r="H1251">
        <v>4.5999999999999996</v>
      </c>
      <c r="I1251" t="s">
        <v>1229</v>
      </c>
      <c r="J1251" t="s">
        <v>910</v>
      </c>
      <c r="K1251">
        <v>400</v>
      </c>
      <c r="L1251">
        <v>73.5</v>
      </c>
      <c r="M1251">
        <v>68.599999999999994</v>
      </c>
    </row>
    <row r="1252" spans="2:13" x14ac:dyDescent="0.25">
      <c r="B1252" s="50" t="s">
        <v>3831</v>
      </c>
      <c r="C1252">
        <v>8</v>
      </c>
      <c r="D1252">
        <v>8</v>
      </c>
      <c r="E1252">
        <v>3.5</v>
      </c>
      <c r="F1252" s="16">
        <v>3.5</v>
      </c>
      <c r="G1252">
        <v>0</v>
      </c>
      <c r="H1252">
        <v>4.5999999999999996</v>
      </c>
      <c r="I1252" t="s">
        <v>8</v>
      </c>
      <c r="J1252" t="s">
        <v>910</v>
      </c>
      <c r="K1252">
        <v>400</v>
      </c>
      <c r="L1252">
        <v>73.5</v>
      </c>
      <c r="M1252">
        <v>68.599999999999994</v>
      </c>
    </row>
    <row r="1253" spans="2:13" x14ac:dyDescent="0.25">
      <c r="B1253" s="50" t="s">
        <v>3356</v>
      </c>
      <c r="C1253">
        <v>8</v>
      </c>
      <c r="D1253">
        <v>8</v>
      </c>
      <c r="E1253">
        <v>3.5</v>
      </c>
      <c r="F1253" s="16">
        <v>3.5</v>
      </c>
      <c r="G1253">
        <v>0</v>
      </c>
      <c r="H1253">
        <v>4.5999999999999996</v>
      </c>
      <c r="I1253" t="s">
        <v>1323</v>
      </c>
      <c r="J1253" t="s">
        <v>900</v>
      </c>
      <c r="K1253">
        <v>400</v>
      </c>
      <c r="L1253">
        <v>73.5</v>
      </c>
      <c r="M1253">
        <v>68.599999999999994</v>
      </c>
    </row>
    <row r="1254" spans="2:13" x14ac:dyDescent="0.25">
      <c r="B1254" s="50" t="s">
        <v>4314</v>
      </c>
      <c r="C1254">
        <v>12</v>
      </c>
      <c r="D1254">
        <v>24</v>
      </c>
      <c r="E1254">
        <v>4</v>
      </c>
      <c r="F1254" s="16">
        <v>4</v>
      </c>
      <c r="G1254">
        <v>0</v>
      </c>
      <c r="H1254">
        <v>4.9000000000000004</v>
      </c>
      <c r="I1254" t="s">
        <v>1229</v>
      </c>
      <c r="J1254" t="s">
        <v>910</v>
      </c>
      <c r="K1254">
        <v>1150</v>
      </c>
      <c r="L1254">
        <v>102</v>
      </c>
      <c r="M1254">
        <v>131.5</v>
      </c>
    </row>
    <row r="1255" spans="2:13" x14ac:dyDescent="0.25">
      <c r="B1255" s="50" t="s">
        <v>2729</v>
      </c>
      <c r="C1255">
        <v>12</v>
      </c>
      <c r="D1255">
        <v>24</v>
      </c>
      <c r="E1255">
        <v>4</v>
      </c>
      <c r="F1255" s="16">
        <v>4</v>
      </c>
      <c r="G1255">
        <v>0</v>
      </c>
      <c r="H1255">
        <v>4.9000000000000004</v>
      </c>
      <c r="I1255" t="s">
        <v>8</v>
      </c>
      <c r="J1255" t="s">
        <v>910</v>
      </c>
      <c r="K1255">
        <v>1150</v>
      </c>
      <c r="L1255">
        <v>102</v>
      </c>
      <c r="M1255">
        <v>131.5</v>
      </c>
    </row>
    <row r="1256" spans="2:13" x14ac:dyDescent="0.25">
      <c r="B1256" s="50" t="s">
        <v>3383</v>
      </c>
      <c r="C1256">
        <v>12</v>
      </c>
      <c r="D1256">
        <v>24</v>
      </c>
      <c r="E1256">
        <v>4</v>
      </c>
      <c r="F1256" s="16">
        <v>4</v>
      </c>
      <c r="G1256">
        <v>0</v>
      </c>
      <c r="H1256">
        <v>4.9000000000000004</v>
      </c>
      <c r="I1256" t="s">
        <v>1323</v>
      </c>
      <c r="J1256" t="s">
        <v>910</v>
      </c>
      <c r="K1256">
        <v>1150</v>
      </c>
      <c r="L1256">
        <v>102</v>
      </c>
      <c r="M1256">
        <v>131.5</v>
      </c>
    </row>
    <row r="1257" spans="2:13" x14ac:dyDescent="0.25">
      <c r="B1257" s="50" t="s">
        <v>2634</v>
      </c>
      <c r="C1257">
        <v>135</v>
      </c>
      <c r="D1257">
        <v>135</v>
      </c>
      <c r="E1257">
        <v>1.8</v>
      </c>
      <c r="F1257" s="16">
        <v>1.8</v>
      </c>
      <c r="G1257">
        <v>82</v>
      </c>
      <c r="H1257">
        <v>5</v>
      </c>
      <c r="I1257" t="s">
        <v>1229</v>
      </c>
      <c r="J1257" t="s">
        <v>910</v>
      </c>
      <c r="K1257">
        <v>1130</v>
      </c>
      <c r="L1257">
        <v>91.4</v>
      </c>
      <c r="M1257">
        <v>114.9</v>
      </c>
    </row>
    <row r="1258" spans="2:13" x14ac:dyDescent="0.25">
      <c r="B1258" s="50" t="s">
        <v>2619</v>
      </c>
      <c r="C1258">
        <v>135</v>
      </c>
      <c r="D1258">
        <v>135</v>
      </c>
      <c r="E1258">
        <v>1.8</v>
      </c>
      <c r="F1258" s="16">
        <v>1.8</v>
      </c>
      <c r="G1258">
        <v>82</v>
      </c>
      <c r="H1258">
        <v>5</v>
      </c>
      <c r="I1258" t="s">
        <v>8</v>
      </c>
      <c r="J1258" t="s">
        <v>910</v>
      </c>
      <c r="K1258">
        <v>1130</v>
      </c>
      <c r="L1258">
        <v>91.4</v>
      </c>
      <c r="M1258">
        <v>114.9</v>
      </c>
    </row>
    <row r="1259" spans="2:13" x14ac:dyDescent="0.25">
      <c r="B1259" s="50" t="s">
        <v>3801</v>
      </c>
      <c r="C1259">
        <v>135</v>
      </c>
      <c r="D1259">
        <v>135</v>
      </c>
      <c r="E1259">
        <v>1.8</v>
      </c>
      <c r="F1259" s="16">
        <v>1.8</v>
      </c>
      <c r="G1259">
        <v>82</v>
      </c>
      <c r="H1259">
        <v>5</v>
      </c>
      <c r="I1259" t="s">
        <v>1323</v>
      </c>
      <c r="J1259" t="s">
        <v>910</v>
      </c>
      <c r="K1259">
        <v>1130</v>
      </c>
      <c r="L1259">
        <v>91.4</v>
      </c>
      <c r="M1259">
        <v>114.9</v>
      </c>
    </row>
    <row r="1260" spans="2:13" x14ac:dyDescent="0.25">
      <c r="B1260" s="50" t="s">
        <v>2524</v>
      </c>
      <c r="C1260">
        <v>14</v>
      </c>
      <c r="D1260">
        <v>14</v>
      </c>
      <c r="E1260">
        <v>1.8</v>
      </c>
      <c r="F1260" s="16">
        <v>1.8</v>
      </c>
      <c r="G1260">
        <v>0</v>
      </c>
      <c r="H1260">
        <v>9.8000000000000007</v>
      </c>
      <c r="I1260" t="s">
        <v>1229</v>
      </c>
      <c r="J1260" t="s">
        <v>910</v>
      </c>
      <c r="K1260">
        <v>1170</v>
      </c>
      <c r="L1260">
        <v>95.4</v>
      </c>
      <c r="M1260">
        <v>126</v>
      </c>
    </row>
    <row r="1261" spans="2:13" x14ac:dyDescent="0.25">
      <c r="B1261" s="50" t="s">
        <v>2728</v>
      </c>
      <c r="C1261">
        <v>14</v>
      </c>
      <c r="D1261">
        <v>14</v>
      </c>
      <c r="E1261">
        <v>1.8</v>
      </c>
      <c r="F1261" s="16">
        <v>1.8</v>
      </c>
      <c r="G1261">
        <v>0</v>
      </c>
      <c r="H1261">
        <v>9.8000000000000007</v>
      </c>
      <c r="I1261" t="s">
        <v>8</v>
      </c>
      <c r="J1261" t="s">
        <v>910</v>
      </c>
      <c r="K1261">
        <v>1170</v>
      </c>
      <c r="L1261">
        <v>95.4</v>
      </c>
      <c r="M1261">
        <v>126</v>
      </c>
    </row>
    <row r="1262" spans="2:13" x14ac:dyDescent="0.25">
      <c r="B1262" s="50" t="s">
        <v>4109</v>
      </c>
      <c r="C1262">
        <v>14</v>
      </c>
      <c r="D1262">
        <v>14</v>
      </c>
      <c r="E1262">
        <v>1.8</v>
      </c>
      <c r="F1262" s="16">
        <v>1.8</v>
      </c>
      <c r="G1262">
        <v>0</v>
      </c>
      <c r="H1262">
        <v>9.8000000000000007</v>
      </c>
      <c r="I1262" t="s">
        <v>1323</v>
      </c>
      <c r="J1262" t="s">
        <v>910</v>
      </c>
      <c r="K1262">
        <v>1170</v>
      </c>
      <c r="L1262">
        <v>95.4</v>
      </c>
      <c r="M1262">
        <v>126</v>
      </c>
    </row>
    <row r="1263" spans="2:13" x14ac:dyDescent="0.25">
      <c r="B1263" s="50" t="s">
        <v>4484</v>
      </c>
      <c r="C1263">
        <v>18</v>
      </c>
      <c r="D1263">
        <v>35</v>
      </c>
      <c r="E1263">
        <v>1.8</v>
      </c>
      <c r="F1263" s="16">
        <v>1.8</v>
      </c>
      <c r="G1263">
        <v>72</v>
      </c>
      <c r="H1263">
        <v>4.3</v>
      </c>
      <c r="I1263" t="s">
        <v>1251</v>
      </c>
      <c r="J1263" t="s">
        <v>900</v>
      </c>
      <c r="K1263">
        <v>810</v>
      </c>
      <c r="L1263">
        <v>78</v>
      </c>
      <c r="M1263">
        <v>121</v>
      </c>
    </row>
    <row r="1264" spans="2:13" x14ac:dyDescent="0.25">
      <c r="B1264" s="50" t="s">
        <v>4483</v>
      </c>
      <c r="C1264">
        <v>18</v>
      </c>
      <c r="D1264">
        <v>35</v>
      </c>
      <c r="E1264">
        <v>1.8</v>
      </c>
      <c r="F1264" s="16">
        <v>1.8</v>
      </c>
      <c r="G1264">
        <v>72</v>
      </c>
      <c r="H1264">
        <v>4.3</v>
      </c>
      <c r="I1264" t="s">
        <v>8</v>
      </c>
      <c r="J1264" t="s">
        <v>900</v>
      </c>
      <c r="K1264">
        <v>810</v>
      </c>
      <c r="L1264">
        <v>78</v>
      </c>
      <c r="M1264">
        <v>121</v>
      </c>
    </row>
    <row r="1265" spans="2:13" x14ac:dyDescent="0.25">
      <c r="B1265" s="50" t="s">
        <v>3382</v>
      </c>
      <c r="C1265">
        <v>18</v>
      </c>
      <c r="D1265">
        <v>35</v>
      </c>
      <c r="E1265">
        <v>1.8</v>
      </c>
      <c r="F1265" s="16">
        <v>1.8</v>
      </c>
      <c r="G1265">
        <v>72</v>
      </c>
      <c r="H1265">
        <v>4.3</v>
      </c>
      <c r="I1265" t="s">
        <v>1331</v>
      </c>
      <c r="J1265" t="s">
        <v>900</v>
      </c>
      <c r="K1265">
        <v>810</v>
      </c>
      <c r="L1265">
        <v>78</v>
      </c>
      <c r="M1265">
        <v>121</v>
      </c>
    </row>
    <row r="1266" spans="2:13" x14ac:dyDescent="0.25">
      <c r="B1266" s="50" t="s">
        <v>4249</v>
      </c>
      <c r="C1266">
        <v>18</v>
      </c>
      <c r="D1266">
        <v>35</v>
      </c>
      <c r="E1266">
        <v>1.8</v>
      </c>
      <c r="F1266" s="16">
        <v>1.8</v>
      </c>
      <c r="G1266">
        <v>72</v>
      </c>
      <c r="H1266">
        <v>4.3</v>
      </c>
      <c r="I1266" t="s">
        <v>1323</v>
      </c>
      <c r="J1266" t="s">
        <v>900</v>
      </c>
      <c r="K1266">
        <v>810</v>
      </c>
      <c r="L1266">
        <v>78</v>
      </c>
      <c r="M1266">
        <v>121</v>
      </c>
    </row>
    <row r="1267" spans="2:13" x14ac:dyDescent="0.25">
      <c r="B1267" s="50" t="s">
        <v>3381</v>
      </c>
      <c r="C1267">
        <v>18</v>
      </c>
      <c r="D1267">
        <v>35</v>
      </c>
      <c r="E1267">
        <v>1.8</v>
      </c>
      <c r="F1267" s="16">
        <v>1.8</v>
      </c>
      <c r="G1267">
        <v>72</v>
      </c>
      <c r="H1267">
        <v>4.3</v>
      </c>
      <c r="I1267" t="s">
        <v>1293</v>
      </c>
      <c r="J1267" t="s">
        <v>900</v>
      </c>
      <c r="K1267">
        <v>810</v>
      </c>
      <c r="L1267">
        <v>78</v>
      </c>
      <c r="M1267">
        <v>121</v>
      </c>
    </row>
    <row r="1268" spans="2:13" x14ac:dyDescent="0.25">
      <c r="B1268" s="50" t="s">
        <v>4248</v>
      </c>
      <c r="C1268">
        <v>19</v>
      </c>
      <c r="D1268">
        <v>19</v>
      </c>
      <c r="E1268">
        <v>2.8</v>
      </c>
      <c r="F1268" s="16">
        <v>2.8</v>
      </c>
      <c r="G1268">
        <v>46</v>
      </c>
      <c r="H1268">
        <v>7.4</v>
      </c>
      <c r="I1268" t="s">
        <v>1227</v>
      </c>
      <c r="J1268" t="s">
        <v>1228</v>
      </c>
      <c r="K1268">
        <v>0</v>
      </c>
      <c r="L1268">
        <v>60.8</v>
      </c>
      <c r="M1268">
        <v>45.7</v>
      </c>
    </row>
    <row r="1269" spans="2:13" x14ac:dyDescent="0.25">
      <c r="B1269" s="50" t="s">
        <v>4108</v>
      </c>
      <c r="C1269">
        <v>19</v>
      </c>
      <c r="D1269">
        <v>19</v>
      </c>
      <c r="E1269">
        <v>2.8</v>
      </c>
      <c r="F1269" s="16">
        <v>2.8</v>
      </c>
      <c r="G1269">
        <v>46</v>
      </c>
      <c r="H1269">
        <v>7.4</v>
      </c>
      <c r="I1269" t="s">
        <v>1227</v>
      </c>
      <c r="J1269" t="s">
        <v>1228</v>
      </c>
      <c r="K1269">
        <v>0</v>
      </c>
      <c r="L1269">
        <v>60.8</v>
      </c>
      <c r="M1269">
        <v>45.7</v>
      </c>
    </row>
    <row r="1270" spans="2:13" x14ac:dyDescent="0.25">
      <c r="B1270" s="50" t="s">
        <v>4401</v>
      </c>
      <c r="C1270">
        <v>19</v>
      </c>
      <c r="D1270">
        <v>19</v>
      </c>
      <c r="E1270">
        <v>2.8</v>
      </c>
      <c r="F1270" s="16">
        <v>2.8</v>
      </c>
      <c r="G1270">
        <v>46</v>
      </c>
      <c r="H1270">
        <v>7.4</v>
      </c>
      <c r="I1270" t="s">
        <v>1221</v>
      </c>
      <c r="J1270" t="s">
        <v>900</v>
      </c>
      <c r="K1270">
        <v>0</v>
      </c>
      <c r="L1270">
        <v>60.8</v>
      </c>
      <c r="M1270">
        <v>45.7</v>
      </c>
    </row>
    <row r="1271" spans="2:13" x14ac:dyDescent="0.25">
      <c r="B1271" s="50" t="s">
        <v>4313</v>
      </c>
      <c r="C1271">
        <v>19</v>
      </c>
      <c r="D1271">
        <v>19</v>
      </c>
      <c r="E1271">
        <v>2.8</v>
      </c>
      <c r="F1271" s="16">
        <v>2.8</v>
      </c>
      <c r="G1271">
        <v>46</v>
      </c>
      <c r="H1271">
        <v>7.4</v>
      </c>
      <c r="I1271" t="s">
        <v>1221</v>
      </c>
      <c r="J1271" t="s">
        <v>900</v>
      </c>
      <c r="K1271">
        <v>0</v>
      </c>
      <c r="L1271">
        <v>60.8</v>
      </c>
      <c r="M1271">
        <v>45.7</v>
      </c>
    </row>
    <row r="1272" spans="2:13" x14ac:dyDescent="0.25">
      <c r="B1272" s="50" t="s">
        <v>4312</v>
      </c>
      <c r="C1272">
        <v>20</v>
      </c>
      <c r="D1272">
        <v>20</v>
      </c>
      <c r="E1272">
        <v>1.4</v>
      </c>
      <c r="F1272" s="16">
        <v>1.4</v>
      </c>
      <c r="G1272">
        <v>0</v>
      </c>
      <c r="H1272">
        <v>7.1</v>
      </c>
      <c r="I1272" t="s">
        <v>1229</v>
      </c>
      <c r="J1272" t="s">
        <v>910</v>
      </c>
      <c r="K1272">
        <v>950</v>
      </c>
      <c r="L1272">
        <v>90.7</v>
      </c>
      <c r="M1272">
        <v>129.80000000000001</v>
      </c>
    </row>
    <row r="1273" spans="2:13" x14ac:dyDescent="0.25">
      <c r="B1273" s="50" t="s">
        <v>2636</v>
      </c>
      <c r="C1273">
        <v>20</v>
      </c>
      <c r="D1273">
        <v>20</v>
      </c>
      <c r="E1273">
        <v>1.4</v>
      </c>
      <c r="F1273" s="16">
        <v>1.4</v>
      </c>
      <c r="G1273">
        <v>0</v>
      </c>
      <c r="H1273">
        <v>7.1</v>
      </c>
      <c r="I1273" t="s">
        <v>8</v>
      </c>
      <c r="J1273" t="s">
        <v>910</v>
      </c>
      <c r="K1273">
        <v>950</v>
      </c>
      <c r="L1273">
        <v>90.7</v>
      </c>
      <c r="M1273">
        <v>129.80000000000001</v>
      </c>
    </row>
    <row r="1274" spans="2:13" x14ac:dyDescent="0.25">
      <c r="B1274" s="50" t="s">
        <v>979</v>
      </c>
      <c r="C1274">
        <v>20</v>
      </c>
      <c r="D1274">
        <v>20</v>
      </c>
      <c r="E1274">
        <v>1.4</v>
      </c>
      <c r="F1274" s="16">
        <v>1.4</v>
      </c>
      <c r="G1274">
        <v>0</v>
      </c>
      <c r="H1274">
        <v>7.1</v>
      </c>
      <c r="I1274" t="s">
        <v>1323</v>
      </c>
      <c r="J1274" t="s">
        <v>910</v>
      </c>
      <c r="K1274">
        <v>950</v>
      </c>
      <c r="L1274">
        <v>90.7</v>
      </c>
      <c r="M1274">
        <v>129.80000000000001</v>
      </c>
    </row>
    <row r="1275" spans="2:13" x14ac:dyDescent="0.25">
      <c r="B1275" s="50" t="s">
        <v>2727</v>
      </c>
      <c r="C1275">
        <v>24</v>
      </c>
      <c r="D1275">
        <v>105</v>
      </c>
      <c r="E1275">
        <v>4</v>
      </c>
      <c r="F1275" s="16">
        <v>4</v>
      </c>
      <c r="G1275">
        <v>82</v>
      </c>
      <c r="H1275">
        <v>4.5999999999999996</v>
      </c>
      <c r="I1275" t="s">
        <v>1293</v>
      </c>
      <c r="J1275" t="s">
        <v>910</v>
      </c>
      <c r="K1275">
        <v>885</v>
      </c>
      <c r="L1275">
        <v>88.6</v>
      </c>
      <c r="M1275">
        <v>109.4</v>
      </c>
    </row>
    <row r="1276" spans="2:13" x14ac:dyDescent="0.25">
      <c r="B1276" s="50" t="s">
        <v>2560</v>
      </c>
      <c r="C1276">
        <v>24</v>
      </c>
      <c r="D1276">
        <v>105</v>
      </c>
      <c r="E1276">
        <v>4</v>
      </c>
      <c r="F1276" s="16">
        <v>4</v>
      </c>
      <c r="G1276">
        <v>82</v>
      </c>
      <c r="H1276">
        <v>4.5999999999999996</v>
      </c>
      <c r="I1276" t="s">
        <v>1229</v>
      </c>
      <c r="J1276" t="s">
        <v>910</v>
      </c>
      <c r="K1276">
        <v>885</v>
      </c>
      <c r="L1276">
        <v>88.6</v>
      </c>
      <c r="M1276">
        <v>109.4</v>
      </c>
    </row>
    <row r="1277" spans="2:13" x14ac:dyDescent="0.25">
      <c r="B1277" s="50" t="s">
        <v>2687</v>
      </c>
      <c r="C1277">
        <v>24</v>
      </c>
      <c r="D1277">
        <v>105</v>
      </c>
      <c r="E1277">
        <v>4</v>
      </c>
      <c r="F1277" s="16">
        <v>4</v>
      </c>
      <c r="G1277">
        <v>82</v>
      </c>
      <c r="H1277">
        <v>4.5999999999999996</v>
      </c>
      <c r="I1277" t="s">
        <v>8</v>
      </c>
      <c r="J1277" t="s">
        <v>910</v>
      </c>
      <c r="K1277">
        <v>885</v>
      </c>
      <c r="L1277">
        <v>88.6</v>
      </c>
      <c r="M1277">
        <v>109.4</v>
      </c>
    </row>
    <row r="1278" spans="2:13" x14ac:dyDescent="0.25">
      <c r="B1278" s="50" t="s">
        <v>4107</v>
      </c>
      <c r="C1278">
        <v>24</v>
      </c>
      <c r="D1278">
        <v>105</v>
      </c>
      <c r="E1278">
        <v>4</v>
      </c>
      <c r="F1278" s="16">
        <v>4</v>
      </c>
      <c r="G1278">
        <v>82</v>
      </c>
      <c r="H1278">
        <v>4.5999999999999996</v>
      </c>
      <c r="I1278" t="s">
        <v>1323</v>
      </c>
      <c r="J1278" t="s">
        <v>910</v>
      </c>
      <c r="K1278">
        <v>885</v>
      </c>
      <c r="L1278">
        <v>88.6</v>
      </c>
      <c r="M1278">
        <v>109.4</v>
      </c>
    </row>
    <row r="1279" spans="2:13" x14ac:dyDescent="0.25">
      <c r="B1279" s="50" t="s">
        <v>1012</v>
      </c>
      <c r="C1279">
        <v>24</v>
      </c>
      <c r="D1279">
        <v>35</v>
      </c>
      <c r="E1279">
        <v>2</v>
      </c>
      <c r="F1279" s="16">
        <v>2</v>
      </c>
      <c r="G1279">
        <v>82</v>
      </c>
      <c r="H1279">
        <v>4.4000000000000004</v>
      </c>
      <c r="I1279" t="s">
        <v>1229</v>
      </c>
      <c r="J1279" t="s">
        <v>910</v>
      </c>
      <c r="K1279">
        <v>940</v>
      </c>
      <c r="L1279">
        <v>87.6</v>
      </c>
      <c r="M1279">
        <v>122.7</v>
      </c>
    </row>
    <row r="1280" spans="2:13" x14ac:dyDescent="0.25">
      <c r="B1280" s="50" t="s">
        <v>1176</v>
      </c>
      <c r="C1280">
        <v>24</v>
      </c>
      <c r="D1280">
        <v>35</v>
      </c>
      <c r="E1280">
        <v>2</v>
      </c>
      <c r="F1280" s="16">
        <v>2</v>
      </c>
      <c r="G1280">
        <v>82</v>
      </c>
      <c r="H1280">
        <v>4.4000000000000004</v>
      </c>
      <c r="I1280" t="s">
        <v>8</v>
      </c>
      <c r="J1280" t="s">
        <v>910</v>
      </c>
      <c r="K1280">
        <v>940</v>
      </c>
      <c r="L1280">
        <v>87.6</v>
      </c>
      <c r="M1280">
        <v>122.7</v>
      </c>
    </row>
    <row r="1281" spans="2:13" x14ac:dyDescent="0.25">
      <c r="B1281" s="50" t="s">
        <v>1013</v>
      </c>
      <c r="C1281">
        <v>24</v>
      </c>
      <c r="D1281">
        <v>35</v>
      </c>
      <c r="E1281">
        <v>2</v>
      </c>
      <c r="F1281" s="16">
        <v>2</v>
      </c>
      <c r="G1281">
        <v>82</v>
      </c>
      <c r="H1281">
        <v>4.4000000000000004</v>
      </c>
      <c r="I1281" t="s">
        <v>1323</v>
      </c>
      <c r="J1281" t="s">
        <v>910</v>
      </c>
      <c r="K1281">
        <v>940</v>
      </c>
      <c r="L1281">
        <v>87.6</v>
      </c>
      <c r="M1281">
        <v>122.7</v>
      </c>
    </row>
    <row r="1282" spans="2:13" x14ac:dyDescent="0.25">
      <c r="B1282" s="50" t="s">
        <v>4431</v>
      </c>
      <c r="C1282">
        <v>24</v>
      </c>
      <c r="D1282">
        <v>70</v>
      </c>
      <c r="E1282">
        <v>2.8</v>
      </c>
      <c r="F1282" s="16">
        <v>2.8</v>
      </c>
      <c r="G1282">
        <v>82</v>
      </c>
      <c r="H1282">
        <v>4.76</v>
      </c>
      <c r="I1282" t="s">
        <v>1229</v>
      </c>
      <c r="J1282" t="s">
        <v>910</v>
      </c>
      <c r="K1282">
        <v>1020</v>
      </c>
      <c r="L1282">
        <v>88</v>
      </c>
      <c r="M1282">
        <v>107.6</v>
      </c>
    </row>
    <row r="1283" spans="2:13" x14ac:dyDescent="0.25">
      <c r="B1283" s="50" t="s">
        <v>2600</v>
      </c>
      <c r="C1283">
        <v>24</v>
      </c>
      <c r="D1283">
        <v>70</v>
      </c>
      <c r="E1283">
        <v>2.8</v>
      </c>
      <c r="F1283" s="16">
        <v>2.8</v>
      </c>
      <c r="G1283">
        <v>82</v>
      </c>
      <c r="H1283">
        <v>4.76</v>
      </c>
      <c r="I1283" t="s">
        <v>8</v>
      </c>
      <c r="J1283" t="s">
        <v>910</v>
      </c>
      <c r="K1283">
        <v>1020</v>
      </c>
      <c r="L1283">
        <v>88</v>
      </c>
      <c r="M1283">
        <v>107.6</v>
      </c>
    </row>
    <row r="1284" spans="2:13" x14ac:dyDescent="0.25">
      <c r="B1284" s="50" t="s">
        <v>4311</v>
      </c>
      <c r="C1284">
        <v>24</v>
      </c>
      <c r="D1284">
        <v>70</v>
      </c>
      <c r="E1284">
        <v>2.8</v>
      </c>
      <c r="F1284" s="16">
        <v>2.8</v>
      </c>
      <c r="G1284">
        <v>82</v>
      </c>
      <c r="H1284">
        <v>4.76</v>
      </c>
      <c r="I1284" t="s">
        <v>1323</v>
      </c>
      <c r="J1284" t="s">
        <v>910</v>
      </c>
      <c r="K1284">
        <v>1020</v>
      </c>
      <c r="L1284">
        <v>88</v>
      </c>
      <c r="M1284">
        <v>107.6</v>
      </c>
    </row>
    <row r="1285" spans="2:13" x14ac:dyDescent="0.25">
      <c r="B1285" s="50" t="s">
        <v>4400</v>
      </c>
      <c r="C1285">
        <v>24</v>
      </c>
      <c r="D1285">
        <v>24</v>
      </c>
      <c r="E1285">
        <v>1.4</v>
      </c>
      <c r="F1285" s="16">
        <v>1.4</v>
      </c>
      <c r="G1285">
        <v>77</v>
      </c>
      <c r="H1285">
        <v>5.3</v>
      </c>
      <c r="I1285" t="s">
        <v>1229</v>
      </c>
      <c r="J1285" t="s">
        <v>910</v>
      </c>
      <c r="K1285">
        <v>665</v>
      </c>
      <c r="L1285">
        <v>85</v>
      </c>
      <c r="M1285">
        <v>90.2</v>
      </c>
    </row>
    <row r="1286" spans="2:13" x14ac:dyDescent="0.25">
      <c r="B1286" s="50" t="s">
        <v>4310</v>
      </c>
      <c r="C1286">
        <v>24</v>
      </c>
      <c r="D1286">
        <v>24</v>
      </c>
      <c r="E1286">
        <v>1.4</v>
      </c>
      <c r="F1286" s="16">
        <v>1.4</v>
      </c>
      <c r="G1286">
        <v>77</v>
      </c>
      <c r="H1286">
        <v>5.3</v>
      </c>
      <c r="I1286" t="s">
        <v>8</v>
      </c>
      <c r="J1286" t="s">
        <v>910</v>
      </c>
      <c r="K1286">
        <v>665</v>
      </c>
      <c r="L1286">
        <v>85</v>
      </c>
      <c r="M1286">
        <v>90.2</v>
      </c>
    </row>
    <row r="1287" spans="2:13" x14ac:dyDescent="0.25">
      <c r="B1287" s="50" t="s">
        <v>3380</v>
      </c>
      <c r="C1287">
        <v>24</v>
      </c>
      <c r="D1287">
        <v>24</v>
      </c>
      <c r="E1287">
        <v>1.4</v>
      </c>
      <c r="F1287" s="16">
        <v>1.4</v>
      </c>
      <c r="G1287">
        <v>77</v>
      </c>
      <c r="H1287">
        <v>5.3</v>
      </c>
      <c r="I1287" t="s">
        <v>1323</v>
      </c>
      <c r="J1287" t="s">
        <v>910</v>
      </c>
      <c r="K1287">
        <v>665</v>
      </c>
      <c r="L1287">
        <v>85</v>
      </c>
      <c r="M1287">
        <v>90.2</v>
      </c>
    </row>
    <row r="1288" spans="2:13" x14ac:dyDescent="0.25">
      <c r="B1288" s="50" t="s">
        <v>2686</v>
      </c>
      <c r="C1288">
        <v>30</v>
      </c>
      <c r="D1288">
        <v>30</v>
      </c>
      <c r="E1288">
        <v>1.4</v>
      </c>
      <c r="F1288" s="16">
        <v>1.4</v>
      </c>
      <c r="G1288">
        <v>62</v>
      </c>
      <c r="H1288">
        <v>6.8</v>
      </c>
      <c r="I1288" t="s">
        <v>1251</v>
      </c>
      <c r="J1288" t="s">
        <v>900</v>
      </c>
      <c r="K1288">
        <v>435</v>
      </c>
      <c r="L1288">
        <v>74.2</v>
      </c>
      <c r="M1288">
        <v>63.3</v>
      </c>
    </row>
    <row r="1289" spans="2:13" x14ac:dyDescent="0.25">
      <c r="B1289" s="50" t="s">
        <v>4309</v>
      </c>
      <c r="C1289">
        <v>30</v>
      </c>
      <c r="D1289">
        <v>30</v>
      </c>
      <c r="E1289">
        <v>1.4</v>
      </c>
      <c r="F1289" s="16">
        <v>1.4</v>
      </c>
      <c r="G1289">
        <v>62</v>
      </c>
      <c r="H1289">
        <v>6.8</v>
      </c>
      <c r="I1289" t="s">
        <v>8</v>
      </c>
      <c r="J1289" t="s">
        <v>900</v>
      </c>
      <c r="K1289">
        <v>435</v>
      </c>
      <c r="L1289">
        <v>74.2</v>
      </c>
      <c r="M1289">
        <v>63.3</v>
      </c>
    </row>
    <row r="1290" spans="2:13" x14ac:dyDescent="0.25">
      <c r="B1290" s="50" t="s">
        <v>4106</v>
      </c>
      <c r="C1290">
        <v>30</v>
      </c>
      <c r="D1290">
        <v>30</v>
      </c>
      <c r="E1290">
        <v>1.4</v>
      </c>
      <c r="F1290" s="16">
        <v>1.4</v>
      </c>
      <c r="G1290">
        <v>62</v>
      </c>
      <c r="H1290">
        <v>6.8</v>
      </c>
      <c r="I1290" t="s">
        <v>1331</v>
      </c>
      <c r="J1290" t="s">
        <v>900</v>
      </c>
      <c r="K1290">
        <v>435</v>
      </c>
      <c r="L1290">
        <v>74.2</v>
      </c>
      <c r="M1290">
        <v>63.3</v>
      </c>
    </row>
    <row r="1291" spans="2:13" x14ac:dyDescent="0.25">
      <c r="B1291" s="50" t="s">
        <v>3379</v>
      </c>
      <c r="C1291">
        <v>30</v>
      </c>
      <c r="D1291">
        <v>30</v>
      </c>
      <c r="E1291">
        <v>1.4</v>
      </c>
      <c r="F1291" s="16">
        <v>1.4</v>
      </c>
      <c r="G1291">
        <v>62</v>
      </c>
      <c r="H1291">
        <v>6.8</v>
      </c>
      <c r="I1291" t="s">
        <v>1323</v>
      </c>
      <c r="J1291" t="s">
        <v>900</v>
      </c>
      <c r="K1291">
        <v>435</v>
      </c>
      <c r="L1291">
        <v>74.2</v>
      </c>
      <c r="M1291">
        <v>63.3</v>
      </c>
    </row>
    <row r="1292" spans="2:13" x14ac:dyDescent="0.25">
      <c r="B1292" s="50" t="s">
        <v>4247</v>
      </c>
      <c r="C1292">
        <v>30</v>
      </c>
      <c r="D1292">
        <v>30</v>
      </c>
      <c r="E1292">
        <v>1.4</v>
      </c>
      <c r="F1292" s="16">
        <v>1.4</v>
      </c>
      <c r="G1292">
        <v>62</v>
      </c>
      <c r="H1292">
        <v>6.8</v>
      </c>
      <c r="I1292" t="s">
        <v>1293</v>
      </c>
      <c r="J1292" t="s">
        <v>900</v>
      </c>
      <c r="K1292">
        <v>435</v>
      </c>
      <c r="L1292">
        <v>74.2</v>
      </c>
      <c r="M1292">
        <v>63.3</v>
      </c>
    </row>
    <row r="1293" spans="2:13" x14ac:dyDescent="0.25">
      <c r="B1293" s="50" t="s">
        <v>4105</v>
      </c>
      <c r="C1293">
        <v>30</v>
      </c>
      <c r="D1293">
        <v>30</v>
      </c>
      <c r="E1293">
        <v>2.8</v>
      </c>
      <c r="F1293" s="16">
        <v>2.8</v>
      </c>
      <c r="G1293">
        <v>46</v>
      </c>
      <c r="H1293">
        <v>8.1</v>
      </c>
      <c r="I1293" t="s">
        <v>1227</v>
      </c>
      <c r="J1293" t="s">
        <v>1228</v>
      </c>
      <c r="K1293">
        <v>0</v>
      </c>
      <c r="L1293">
        <v>60.8</v>
      </c>
      <c r="M1293">
        <v>40.5</v>
      </c>
    </row>
    <row r="1294" spans="2:13" x14ac:dyDescent="0.25">
      <c r="B1294" s="50" t="s">
        <v>3378</v>
      </c>
      <c r="C1294">
        <v>30</v>
      </c>
      <c r="D1294">
        <v>30</v>
      </c>
      <c r="E1294">
        <v>2.8</v>
      </c>
      <c r="F1294" s="16">
        <v>2.8</v>
      </c>
      <c r="G1294">
        <v>46</v>
      </c>
      <c r="H1294">
        <v>8.1</v>
      </c>
      <c r="I1294" t="s">
        <v>1227</v>
      </c>
      <c r="J1294" t="s">
        <v>1228</v>
      </c>
      <c r="K1294">
        <v>0</v>
      </c>
      <c r="L1294">
        <v>60.8</v>
      </c>
      <c r="M1294">
        <v>40.5</v>
      </c>
    </row>
    <row r="1295" spans="2:13" x14ac:dyDescent="0.25">
      <c r="B1295" s="50" t="s">
        <v>2726</v>
      </c>
      <c r="C1295">
        <v>30</v>
      </c>
      <c r="D1295">
        <v>30</v>
      </c>
      <c r="E1295">
        <v>2.8</v>
      </c>
      <c r="F1295" s="16">
        <v>2.8</v>
      </c>
      <c r="G1295">
        <v>46</v>
      </c>
      <c r="H1295">
        <v>8.1</v>
      </c>
      <c r="I1295" t="s">
        <v>1221</v>
      </c>
      <c r="J1295" t="s">
        <v>900</v>
      </c>
      <c r="K1295">
        <v>0</v>
      </c>
      <c r="L1295">
        <v>60.8</v>
      </c>
      <c r="M1295">
        <v>40.5</v>
      </c>
    </row>
    <row r="1296" spans="2:13" x14ac:dyDescent="0.25">
      <c r="B1296" s="50" t="s">
        <v>3377</v>
      </c>
      <c r="C1296">
        <v>30</v>
      </c>
      <c r="D1296">
        <v>30</v>
      </c>
      <c r="E1296">
        <v>2.8</v>
      </c>
      <c r="F1296" s="16">
        <v>2.8</v>
      </c>
      <c r="G1296">
        <v>46</v>
      </c>
      <c r="H1296">
        <v>8.1</v>
      </c>
      <c r="I1296" t="s">
        <v>1221</v>
      </c>
      <c r="J1296" t="s">
        <v>900</v>
      </c>
      <c r="K1296">
        <v>0</v>
      </c>
      <c r="L1296">
        <v>60.8</v>
      </c>
      <c r="M1296">
        <v>40.5</v>
      </c>
    </row>
    <row r="1297" spans="2:13" x14ac:dyDescent="0.25">
      <c r="B1297" s="50" t="s">
        <v>2635</v>
      </c>
      <c r="C1297">
        <v>35</v>
      </c>
      <c r="D1297">
        <v>35</v>
      </c>
      <c r="E1297">
        <v>1.4</v>
      </c>
      <c r="F1297" s="16">
        <v>1.4</v>
      </c>
      <c r="G1297">
        <v>67</v>
      </c>
      <c r="H1297">
        <v>5.2</v>
      </c>
      <c r="I1297" t="s">
        <v>1229</v>
      </c>
      <c r="J1297" t="s">
        <v>910</v>
      </c>
      <c r="K1297">
        <v>665</v>
      </c>
      <c r="L1297">
        <v>77</v>
      </c>
      <c r="M1297">
        <v>94</v>
      </c>
    </row>
    <row r="1298" spans="2:13" x14ac:dyDescent="0.25">
      <c r="B1298" s="50" t="s">
        <v>2581</v>
      </c>
      <c r="C1298">
        <v>35</v>
      </c>
      <c r="D1298">
        <v>35</v>
      </c>
      <c r="E1298">
        <v>1.4</v>
      </c>
      <c r="F1298" s="16">
        <v>1.4</v>
      </c>
      <c r="G1298">
        <v>67</v>
      </c>
      <c r="H1298">
        <v>5.2</v>
      </c>
      <c r="I1298" t="s">
        <v>8</v>
      </c>
      <c r="J1298" t="s">
        <v>910</v>
      </c>
      <c r="K1298">
        <v>665</v>
      </c>
      <c r="L1298">
        <v>77</v>
      </c>
      <c r="M1298">
        <v>94</v>
      </c>
    </row>
    <row r="1299" spans="2:13" x14ac:dyDescent="0.25">
      <c r="B1299" s="50" t="s">
        <v>4308</v>
      </c>
      <c r="C1299">
        <v>35</v>
      </c>
      <c r="D1299">
        <v>35</v>
      </c>
      <c r="E1299">
        <v>1.4</v>
      </c>
      <c r="F1299" s="16">
        <v>1.4</v>
      </c>
      <c r="G1299">
        <v>67</v>
      </c>
      <c r="H1299">
        <v>5.2</v>
      </c>
      <c r="I1299" t="s">
        <v>1331</v>
      </c>
      <c r="J1299" t="s">
        <v>910</v>
      </c>
      <c r="K1299">
        <v>665</v>
      </c>
      <c r="L1299">
        <v>77</v>
      </c>
      <c r="M1299">
        <v>94</v>
      </c>
    </row>
    <row r="1300" spans="2:13" x14ac:dyDescent="0.25">
      <c r="B1300" s="50" t="s">
        <v>3376</v>
      </c>
      <c r="C1300">
        <v>35</v>
      </c>
      <c r="D1300">
        <v>35</v>
      </c>
      <c r="E1300">
        <v>1.4</v>
      </c>
      <c r="F1300" s="16">
        <v>1.4</v>
      </c>
      <c r="G1300">
        <v>67</v>
      </c>
      <c r="H1300">
        <v>5.2</v>
      </c>
      <c r="I1300" t="s">
        <v>1323</v>
      </c>
      <c r="J1300" t="s">
        <v>910</v>
      </c>
      <c r="K1300">
        <v>665</v>
      </c>
      <c r="L1300">
        <v>77</v>
      </c>
      <c r="M1300">
        <v>94</v>
      </c>
    </row>
    <row r="1301" spans="2:13" x14ac:dyDescent="0.25">
      <c r="B1301" s="50" t="s">
        <v>3375</v>
      </c>
      <c r="C1301">
        <v>35</v>
      </c>
      <c r="D1301">
        <v>35</v>
      </c>
      <c r="E1301">
        <v>1.4</v>
      </c>
      <c r="F1301" s="16">
        <v>1.4</v>
      </c>
      <c r="G1301">
        <v>67</v>
      </c>
      <c r="H1301">
        <v>5.2</v>
      </c>
      <c r="I1301" t="s">
        <v>1293</v>
      </c>
      <c r="J1301" t="s">
        <v>910</v>
      </c>
      <c r="K1301">
        <v>665</v>
      </c>
      <c r="L1301">
        <v>77</v>
      </c>
      <c r="M1301">
        <v>94</v>
      </c>
    </row>
    <row r="1302" spans="2:13" x14ac:dyDescent="0.25">
      <c r="B1302" s="50" t="s">
        <v>2624</v>
      </c>
      <c r="C1302">
        <v>50</v>
      </c>
      <c r="D1302">
        <v>100</v>
      </c>
      <c r="E1302">
        <v>1.8</v>
      </c>
      <c r="F1302" s="16">
        <v>1.8</v>
      </c>
      <c r="G1302">
        <v>82</v>
      </c>
      <c r="H1302">
        <v>6.7</v>
      </c>
      <c r="I1302" t="s">
        <v>1251</v>
      </c>
      <c r="J1302" t="s">
        <v>900</v>
      </c>
      <c r="K1302">
        <v>1490</v>
      </c>
      <c r="L1302">
        <v>93.5</v>
      </c>
      <c r="M1302">
        <v>170.7</v>
      </c>
    </row>
    <row r="1303" spans="2:13" x14ac:dyDescent="0.25">
      <c r="B1303" s="50" t="s">
        <v>2622</v>
      </c>
      <c r="C1303">
        <v>50</v>
      </c>
      <c r="D1303">
        <v>100</v>
      </c>
      <c r="E1303">
        <v>1.8</v>
      </c>
      <c r="F1303" s="16">
        <v>1.8</v>
      </c>
      <c r="G1303">
        <v>82</v>
      </c>
      <c r="H1303">
        <v>6.7</v>
      </c>
      <c r="I1303" t="s">
        <v>8</v>
      </c>
      <c r="J1303" t="s">
        <v>900</v>
      </c>
      <c r="K1303">
        <v>1490</v>
      </c>
      <c r="L1303">
        <v>93.5</v>
      </c>
      <c r="M1303">
        <v>170.7</v>
      </c>
    </row>
    <row r="1304" spans="2:13" x14ac:dyDescent="0.25">
      <c r="B1304" s="50" t="s">
        <v>4246</v>
      </c>
      <c r="C1304">
        <v>50</v>
      </c>
      <c r="D1304">
        <v>100</v>
      </c>
      <c r="E1304">
        <v>1.8</v>
      </c>
      <c r="F1304" s="16">
        <v>1.8</v>
      </c>
      <c r="G1304">
        <v>82</v>
      </c>
      <c r="H1304">
        <v>6.7</v>
      </c>
      <c r="I1304" t="s">
        <v>1323</v>
      </c>
      <c r="J1304" t="s">
        <v>900</v>
      </c>
      <c r="K1304">
        <v>1490</v>
      </c>
      <c r="L1304">
        <v>93.5</v>
      </c>
      <c r="M1304">
        <v>170.7</v>
      </c>
    </row>
    <row r="1305" spans="2:13" x14ac:dyDescent="0.25">
      <c r="B1305" s="50" t="s">
        <v>2551</v>
      </c>
      <c r="C1305">
        <v>50</v>
      </c>
      <c r="D1305">
        <v>50</v>
      </c>
      <c r="E1305">
        <v>1.4</v>
      </c>
      <c r="F1305" s="16">
        <v>1.4</v>
      </c>
      <c r="G1305">
        <v>77</v>
      </c>
      <c r="H1305">
        <v>5.6</v>
      </c>
      <c r="I1305" t="s">
        <v>1229</v>
      </c>
      <c r="J1305" t="s">
        <v>910</v>
      </c>
      <c r="K1305">
        <v>815</v>
      </c>
      <c r="L1305">
        <v>85</v>
      </c>
      <c r="M1305">
        <v>100</v>
      </c>
    </row>
    <row r="1306" spans="2:13" x14ac:dyDescent="0.25">
      <c r="B1306" s="50" t="s">
        <v>4399</v>
      </c>
      <c r="C1306">
        <v>50</v>
      </c>
      <c r="D1306">
        <v>50</v>
      </c>
      <c r="E1306">
        <v>1.4</v>
      </c>
      <c r="F1306" s="16">
        <v>1.4</v>
      </c>
      <c r="G1306">
        <v>77</v>
      </c>
      <c r="H1306">
        <v>5.6</v>
      </c>
      <c r="I1306" t="s">
        <v>8</v>
      </c>
      <c r="J1306" t="s">
        <v>910</v>
      </c>
      <c r="K1306">
        <v>815</v>
      </c>
      <c r="L1306">
        <v>85</v>
      </c>
      <c r="M1306">
        <v>100</v>
      </c>
    </row>
    <row r="1307" spans="2:13" x14ac:dyDescent="0.25">
      <c r="B1307" s="50" t="s">
        <v>4307</v>
      </c>
      <c r="C1307">
        <v>50</v>
      </c>
      <c r="D1307">
        <v>50</v>
      </c>
      <c r="E1307">
        <v>1.4</v>
      </c>
      <c r="F1307" s="16">
        <v>1.4</v>
      </c>
      <c r="G1307">
        <v>77</v>
      </c>
      <c r="H1307">
        <v>5.6</v>
      </c>
      <c r="I1307" t="s">
        <v>1323</v>
      </c>
      <c r="J1307" t="s">
        <v>910</v>
      </c>
      <c r="K1307">
        <v>815</v>
      </c>
      <c r="L1307">
        <v>85</v>
      </c>
      <c r="M1307">
        <v>100</v>
      </c>
    </row>
    <row r="1308" spans="2:13" x14ac:dyDescent="0.25">
      <c r="B1308" s="50" t="s">
        <v>4245</v>
      </c>
      <c r="C1308">
        <v>50</v>
      </c>
      <c r="D1308">
        <v>50</v>
      </c>
      <c r="E1308">
        <v>1.4</v>
      </c>
      <c r="F1308" s="16">
        <v>1.4</v>
      </c>
      <c r="G1308">
        <v>77</v>
      </c>
      <c r="H1308">
        <v>5.6</v>
      </c>
      <c r="I1308" t="s">
        <v>1293</v>
      </c>
      <c r="J1308" t="s">
        <v>910</v>
      </c>
      <c r="K1308">
        <v>815</v>
      </c>
      <c r="L1308">
        <v>85</v>
      </c>
      <c r="M1308">
        <v>100</v>
      </c>
    </row>
    <row r="1309" spans="2:13" x14ac:dyDescent="0.25">
      <c r="B1309" s="50" t="s">
        <v>2725</v>
      </c>
      <c r="C1309">
        <v>60</v>
      </c>
      <c r="D1309">
        <v>60</v>
      </c>
      <c r="E1309">
        <v>2.8</v>
      </c>
      <c r="F1309" s="16">
        <v>2.8</v>
      </c>
      <c r="G1309">
        <v>46</v>
      </c>
      <c r="H1309">
        <v>7.2</v>
      </c>
      <c r="I1309" t="s">
        <v>1227</v>
      </c>
      <c r="J1309" t="s">
        <v>1228</v>
      </c>
      <c r="K1309">
        <v>0</v>
      </c>
      <c r="L1309">
        <v>60.8</v>
      </c>
      <c r="M1309">
        <v>55.6</v>
      </c>
    </row>
    <row r="1310" spans="2:13" x14ac:dyDescent="0.25">
      <c r="B1310" s="50" t="s">
        <v>3374</v>
      </c>
      <c r="C1310">
        <v>60</v>
      </c>
      <c r="D1310">
        <v>60</v>
      </c>
      <c r="E1310">
        <v>2.8</v>
      </c>
      <c r="F1310" s="16">
        <v>2.8</v>
      </c>
      <c r="G1310">
        <v>46</v>
      </c>
      <c r="H1310">
        <v>7.2</v>
      </c>
      <c r="I1310" t="s">
        <v>1227</v>
      </c>
      <c r="J1310" t="s">
        <v>1228</v>
      </c>
      <c r="K1310">
        <v>0</v>
      </c>
      <c r="L1310">
        <v>60.8</v>
      </c>
      <c r="M1310">
        <v>55.6</v>
      </c>
    </row>
    <row r="1311" spans="2:13" x14ac:dyDescent="0.25">
      <c r="B1311" s="50" t="s">
        <v>2685</v>
      </c>
      <c r="C1311">
        <v>60</v>
      </c>
      <c r="D1311">
        <v>60</v>
      </c>
      <c r="E1311">
        <v>2.8</v>
      </c>
      <c r="F1311" s="16">
        <v>2.8</v>
      </c>
      <c r="G1311">
        <v>46</v>
      </c>
      <c r="H1311">
        <v>7.2</v>
      </c>
      <c r="I1311" t="s">
        <v>1221</v>
      </c>
      <c r="J1311" t="s">
        <v>900</v>
      </c>
      <c r="K1311">
        <v>0</v>
      </c>
      <c r="L1311">
        <v>60.8</v>
      </c>
      <c r="M1311">
        <v>55.6</v>
      </c>
    </row>
    <row r="1312" spans="2:13" x14ac:dyDescent="0.25">
      <c r="B1312" s="50" t="s">
        <v>3373</v>
      </c>
      <c r="C1312">
        <v>60</v>
      </c>
      <c r="D1312">
        <v>60</v>
      </c>
      <c r="E1312">
        <v>2.8</v>
      </c>
      <c r="F1312" s="16">
        <v>2.8</v>
      </c>
      <c r="G1312">
        <v>46</v>
      </c>
      <c r="H1312">
        <v>7.2</v>
      </c>
      <c r="I1312" t="s">
        <v>1221</v>
      </c>
      <c r="J1312" t="s">
        <v>900</v>
      </c>
      <c r="K1312">
        <v>0</v>
      </c>
      <c r="L1312">
        <v>60.8</v>
      </c>
      <c r="M1312">
        <v>55.6</v>
      </c>
    </row>
    <row r="1313" spans="2:13" x14ac:dyDescent="0.25">
      <c r="B1313" s="50" t="s">
        <v>2621</v>
      </c>
      <c r="C1313">
        <v>85</v>
      </c>
      <c r="D1313">
        <v>85</v>
      </c>
      <c r="E1313">
        <v>1.4</v>
      </c>
      <c r="F1313" s="16">
        <v>1.4</v>
      </c>
      <c r="G1313">
        <v>86</v>
      </c>
      <c r="H1313">
        <v>8.5</v>
      </c>
      <c r="I1313" t="s">
        <v>1229</v>
      </c>
      <c r="J1313" t="s">
        <v>910</v>
      </c>
      <c r="K1313">
        <v>1130</v>
      </c>
      <c r="L1313">
        <v>94.7</v>
      </c>
      <c r="M1313">
        <v>126.2</v>
      </c>
    </row>
    <row r="1314" spans="2:13" x14ac:dyDescent="0.25">
      <c r="B1314" s="50" t="s">
        <v>2620</v>
      </c>
      <c r="C1314">
        <v>85</v>
      </c>
      <c r="D1314">
        <v>85</v>
      </c>
      <c r="E1314">
        <v>1.4</v>
      </c>
      <c r="F1314" s="16">
        <v>1.4</v>
      </c>
      <c r="G1314">
        <v>86</v>
      </c>
      <c r="H1314">
        <v>8.5</v>
      </c>
      <c r="I1314" t="s">
        <v>8</v>
      </c>
      <c r="J1314" t="s">
        <v>910</v>
      </c>
      <c r="K1314">
        <v>1130</v>
      </c>
      <c r="L1314">
        <v>94.7</v>
      </c>
      <c r="M1314">
        <v>126.2</v>
      </c>
    </row>
    <row r="1315" spans="2:13" x14ac:dyDescent="0.25">
      <c r="B1315" s="50" t="s">
        <v>3802</v>
      </c>
      <c r="C1315">
        <v>85</v>
      </c>
      <c r="D1315">
        <v>85</v>
      </c>
      <c r="E1315">
        <v>1.4</v>
      </c>
      <c r="F1315" s="16">
        <v>1.4</v>
      </c>
      <c r="G1315">
        <v>86</v>
      </c>
      <c r="H1315">
        <v>8.5</v>
      </c>
      <c r="I1315" t="s">
        <v>1323</v>
      </c>
      <c r="J1315" t="s">
        <v>910</v>
      </c>
      <c r="K1315">
        <v>1130</v>
      </c>
      <c r="L1315">
        <v>94.7</v>
      </c>
      <c r="M1315">
        <v>126.2</v>
      </c>
    </row>
    <row r="1316" spans="2:13" x14ac:dyDescent="0.25">
      <c r="B1316" s="50" t="s">
        <v>920</v>
      </c>
      <c r="C1316">
        <v>100</v>
      </c>
      <c r="D1316">
        <v>400</v>
      </c>
      <c r="E1316">
        <v>5</v>
      </c>
      <c r="F1316" s="16">
        <v>5</v>
      </c>
      <c r="G1316">
        <v>67</v>
      </c>
      <c r="H1316">
        <v>3.85</v>
      </c>
      <c r="I1316" t="s">
        <v>1229</v>
      </c>
      <c r="J1316" t="s">
        <v>910</v>
      </c>
      <c r="K1316">
        <v>1160</v>
      </c>
      <c r="L1316">
        <v>86.4</v>
      </c>
      <c r="M1316">
        <v>182.3</v>
      </c>
    </row>
    <row r="1317" spans="2:13" x14ac:dyDescent="0.25">
      <c r="B1317" s="50" t="s">
        <v>1161</v>
      </c>
      <c r="C1317">
        <v>100</v>
      </c>
      <c r="D1317">
        <v>400</v>
      </c>
      <c r="E1317">
        <v>5</v>
      </c>
      <c r="F1317" s="16">
        <v>5</v>
      </c>
      <c r="G1317">
        <v>67</v>
      </c>
      <c r="H1317">
        <v>3.85</v>
      </c>
      <c r="I1317" t="s">
        <v>8</v>
      </c>
      <c r="J1317" t="s">
        <v>910</v>
      </c>
      <c r="K1317">
        <v>1160</v>
      </c>
      <c r="L1317">
        <v>86.4</v>
      </c>
      <c r="M1317">
        <v>182.3</v>
      </c>
    </row>
    <row r="1318" spans="2:13" x14ac:dyDescent="0.25">
      <c r="B1318" s="50" t="s">
        <v>977</v>
      </c>
      <c r="C1318">
        <v>100</v>
      </c>
      <c r="D1318">
        <v>400</v>
      </c>
      <c r="E1318">
        <v>5</v>
      </c>
      <c r="F1318" s="16">
        <v>5</v>
      </c>
      <c r="G1318">
        <v>67</v>
      </c>
      <c r="H1318">
        <v>3.85</v>
      </c>
      <c r="I1318" t="s">
        <v>1323</v>
      </c>
      <c r="J1318" t="s">
        <v>910</v>
      </c>
      <c r="K1318">
        <v>1160</v>
      </c>
      <c r="L1318">
        <v>86.4</v>
      </c>
      <c r="M1318">
        <v>182.3</v>
      </c>
    </row>
    <row r="1319" spans="2:13" x14ac:dyDescent="0.25">
      <c r="B1319" s="50" t="s">
        <v>2566</v>
      </c>
      <c r="C1319">
        <v>150</v>
      </c>
      <c r="D1319">
        <v>600</v>
      </c>
      <c r="E1319">
        <v>5</v>
      </c>
      <c r="F1319" s="16">
        <v>5</v>
      </c>
      <c r="G1319">
        <v>95</v>
      </c>
      <c r="H1319">
        <v>5</v>
      </c>
      <c r="I1319" t="s">
        <v>1229</v>
      </c>
      <c r="J1319" t="s">
        <v>910</v>
      </c>
      <c r="K1319">
        <v>1930</v>
      </c>
      <c r="L1319">
        <v>105</v>
      </c>
      <c r="M1319">
        <v>260.10000000000002</v>
      </c>
    </row>
    <row r="1320" spans="2:13" x14ac:dyDescent="0.25">
      <c r="B1320" s="50" t="s">
        <v>2599</v>
      </c>
      <c r="C1320">
        <v>150</v>
      </c>
      <c r="D1320">
        <v>600</v>
      </c>
      <c r="E1320">
        <v>5</v>
      </c>
      <c r="F1320" s="16">
        <v>5</v>
      </c>
      <c r="G1320">
        <v>95</v>
      </c>
      <c r="H1320">
        <v>5</v>
      </c>
      <c r="I1320" t="s">
        <v>8</v>
      </c>
      <c r="J1320" t="s">
        <v>910</v>
      </c>
      <c r="K1320">
        <v>1930</v>
      </c>
      <c r="L1320">
        <v>105</v>
      </c>
      <c r="M1320">
        <v>260.10000000000002</v>
      </c>
    </row>
    <row r="1321" spans="2:13" x14ac:dyDescent="0.25">
      <c r="B1321" s="50" t="s">
        <v>3797</v>
      </c>
      <c r="C1321">
        <v>150</v>
      </c>
      <c r="D1321">
        <v>600</v>
      </c>
      <c r="E1321">
        <v>5</v>
      </c>
      <c r="F1321" s="16">
        <v>5</v>
      </c>
      <c r="G1321">
        <v>95</v>
      </c>
      <c r="H1321">
        <v>5</v>
      </c>
      <c r="I1321" t="s">
        <v>1323</v>
      </c>
      <c r="J1321" t="s">
        <v>910</v>
      </c>
      <c r="K1321">
        <v>1930</v>
      </c>
      <c r="L1321">
        <v>105</v>
      </c>
      <c r="M1321">
        <v>260.10000000000002</v>
      </c>
    </row>
    <row r="1322" spans="2:13" x14ac:dyDescent="0.25">
      <c r="B1322" s="50" t="s">
        <v>923</v>
      </c>
      <c r="C1322">
        <v>150</v>
      </c>
      <c r="D1322">
        <v>600</v>
      </c>
      <c r="E1322">
        <v>5</v>
      </c>
      <c r="F1322" s="16">
        <v>5</v>
      </c>
      <c r="G1322">
        <v>95</v>
      </c>
      <c r="H1322">
        <v>5</v>
      </c>
      <c r="I1322" t="s">
        <v>1229</v>
      </c>
      <c r="J1322" t="s">
        <v>910</v>
      </c>
      <c r="K1322">
        <v>1930</v>
      </c>
      <c r="L1322">
        <v>105</v>
      </c>
      <c r="M1322">
        <v>260.10000000000002</v>
      </c>
    </row>
    <row r="1323" spans="2:13" x14ac:dyDescent="0.25">
      <c r="B1323" s="50" t="s">
        <v>922</v>
      </c>
      <c r="C1323">
        <v>150</v>
      </c>
      <c r="D1323">
        <v>600</v>
      </c>
      <c r="E1323">
        <v>5</v>
      </c>
      <c r="F1323" s="16">
        <v>5</v>
      </c>
      <c r="G1323">
        <v>95</v>
      </c>
      <c r="H1323">
        <v>5</v>
      </c>
      <c r="I1323" t="s">
        <v>8</v>
      </c>
      <c r="J1323" t="s">
        <v>910</v>
      </c>
      <c r="K1323">
        <v>1930</v>
      </c>
      <c r="L1323">
        <v>105</v>
      </c>
      <c r="M1323">
        <v>260.10000000000002</v>
      </c>
    </row>
    <row r="1324" spans="2:13" x14ac:dyDescent="0.25">
      <c r="B1324" s="50" t="s">
        <v>931</v>
      </c>
      <c r="C1324">
        <v>150</v>
      </c>
      <c r="D1324">
        <v>600</v>
      </c>
      <c r="E1324">
        <v>5</v>
      </c>
      <c r="F1324" s="16">
        <v>5</v>
      </c>
      <c r="G1324">
        <v>95</v>
      </c>
      <c r="H1324">
        <v>5</v>
      </c>
      <c r="I1324" t="s">
        <v>1323</v>
      </c>
      <c r="J1324" t="s">
        <v>910</v>
      </c>
      <c r="K1324">
        <v>1930</v>
      </c>
      <c r="L1324">
        <v>105</v>
      </c>
      <c r="M1324">
        <v>260.10000000000002</v>
      </c>
    </row>
    <row r="1325" spans="2:13" x14ac:dyDescent="0.25">
      <c r="B1325" s="50" t="s">
        <v>4104</v>
      </c>
      <c r="C1325">
        <v>17</v>
      </c>
      <c r="D1325">
        <v>70</v>
      </c>
      <c r="E1325">
        <v>2.8</v>
      </c>
      <c r="F1325" s="16">
        <v>2.8</v>
      </c>
      <c r="G1325">
        <v>72</v>
      </c>
      <c r="H1325">
        <v>2.9</v>
      </c>
      <c r="I1325" t="s">
        <v>1331</v>
      </c>
      <c r="J1325" t="s">
        <v>900</v>
      </c>
      <c r="K1325">
        <v>470</v>
      </c>
      <c r="L1325">
        <v>79</v>
      </c>
      <c r="M1325">
        <v>82</v>
      </c>
    </row>
    <row r="1326" spans="2:13" x14ac:dyDescent="0.25">
      <c r="B1326" s="50" t="s">
        <v>2724</v>
      </c>
      <c r="C1326">
        <v>17</v>
      </c>
      <c r="D1326">
        <v>70</v>
      </c>
      <c r="E1326">
        <v>2.8</v>
      </c>
      <c r="F1326" s="16">
        <v>2.8</v>
      </c>
      <c r="G1326">
        <v>72</v>
      </c>
      <c r="H1326">
        <v>2.9</v>
      </c>
      <c r="I1326" t="s">
        <v>1293</v>
      </c>
      <c r="J1326" t="s">
        <v>900</v>
      </c>
      <c r="K1326">
        <v>470</v>
      </c>
      <c r="L1326">
        <v>79</v>
      </c>
      <c r="M1326">
        <v>82</v>
      </c>
    </row>
    <row r="1327" spans="2:13" x14ac:dyDescent="0.25">
      <c r="B1327" s="50" t="s">
        <v>2633</v>
      </c>
      <c r="C1327">
        <v>17</v>
      </c>
      <c r="D1327">
        <v>70</v>
      </c>
      <c r="E1327">
        <v>2.8</v>
      </c>
      <c r="F1327" s="16">
        <v>2.8</v>
      </c>
      <c r="G1327">
        <v>72</v>
      </c>
      <c r="H1327">
        <v>2.9</v>
      </c>
      <c r="I1327" t="s">
        <v>1251</v>
      </c>
      <c r="J1327" t="s">
        <v>900</v>
      </c>
      <c r="K1327">
        <v>470</v>
      </c>
      <c r="L1327">
        <v>79</v>
      </c>
      <c r="M1327">
        <v>82</v>
      </c>
    </row>
    <row r="1328" spans="2:13" x14ac:dyDescent="0.25">
      <c r="B1328" s="50" t="s">
        <v>2568</v>
      </c>
      <c r="C1328">
        <v>17</v>
      </c>
      <c r="D1328">
        <v>70</v>
      </c>
      <c r="E1328">
        <v>2.8</v>
      </c>
      <c r="F1328" s="16">
        <v>2.8</v>
      </c>
      <c r="G1328">
        <v>72</v>
      </c>
      <c r="H1328">
        <v>2.9</v>
      </c>
      <c r="I1328" t="s">
        <v>8</v>
      </c>
      <c r="J1328" t="s">
        <v>900</v>
      </c>
      <c r="K1328">
        <v>470</v>
      </c>
      <c r="L1328">
        <v>79</v>
      </c>
      <c r="M1328">
        <v>82</v>
      </c>
    </row>
    <row r="1329" spans="2:13" x14ac:dyDescent="0.25">
      <c r="B1329" s="50" t="s">
        <v>4103</v>
      </c>
      <c r="C1329">
        <v>17</v>
      </c>
      <c r="D1329">
        <v>70</v>
      </c>
      <c r="E1329">
        <v>2.8</v>
      </c>
      <c r="F1329" s="16">
        <v>2.8</v>
      </c>
      <c r="G1329">
        <v>72</v>
      </c>
      <c r="H1329">
        <v>2.9</v>
      </c>
      <c r="I1329" t="s">
        <v>1323</v>
      </c>
      <c r="J1329" t="s">
        <v>900</v>
      </c>
      <c r="K1329">
        <v>470</v>
      </c>
      <c r="L1329">
        <v>79</v>
      </c>
      <c r="M1329">
        <v>82</v>
      </c>
    </row>
    <row r="1330" spans="2:13" x14ac:dyDescent="0.25">
      <c r="B1330" s="50" t="s">
        <v>3800</v>
      </c>
      <c r="C1330">
        <v>18</v>
      </c>
      <c r="D1330">
        <v>200</v>
      </c>
      <c r="E1330">
        <v>3.5</v>
      </c>
      <c r="F1330" s="16">
        <v>3.5</v>
      </c>
      <c r="G1330">
        <v>62</v>
      </c>
      <c r="H1330">
        <v>3</v>
      </c>
      <c r="I1330" t="s">
        <v>1331</v>
      </c>
      <c r="J1330" t="s">
        <v>900</v>
      </c>
      <c r="K1330">
        <v>430</v>
      </c>
      <c r="L1330">
        <v>71</v>
      </c>
      <c r="M1330">
        <v>86</v>
      </c>
    </row>
    <row r="1331" spans="2:13" x14ac:dyDescent="0.25">
      <c r="B1331" s="50" t="s">
        <v>4244</v>
      </c>
      <c r="C1331">
        <v>18</v>
      </c>
      <c r="D1331">
        <v>200</v>
      </c>
      <c r="E1331">
        <v>3.5</v>
      </c>
      <c r="F1331" s="16">
        <v>3.5</v>
      </c>
      <c r="G1331">
        <v>62</v>
      </c>
      <c r="H1331">
        <v>3</v>
      </c>
      <c r="I1331" t="s">
        <v>1293</v>
      </c>
      <c r="J1331" t="s">
        <v>900</v>
      </c>
      <c r="K1331">
        <v>430</v>
      </c>
      <c r="L1331">
        <v>71</v>
      </c>
      <c r="M1331">
        <v>86</v>
      </c>
    </row>
    <row r="1332" spans="2:13" x14ac:dyDescent="0.25">
      <c r="B1332" s="50" t="s">
        <v>4398</v>
      </c>
      <c r="C1332">
        <v>18</v>
      </c>
      <c r="D1332">
        <v>200</v>
      </c>
      <c r="E1332">
        <v>3.5</v>
      </c>
      <c r="F1332" s="16">
        <v>3.5</v>
      </c>
      <c r="G1332">
        <v>62</v>
      </c>
      <c r="H1332">
        <v>3</v>
      </c>
      <c r="I1332" t="s">
        <v>1251</v>
      </c>
      <c r="J1332" t="s">
        <v>900</v>
      </c>
      <c r="K1332">
        <v>430</v>
      </c>
      <c r="L1332">
        <v>71</v>
      </c>
      <c r="M1332">
        <v>86</v>
      </c>
    </row>
    <row r="1333" spans="2:13" x14ac:dyDescent="0.25">
      <c r="B1333" s="50" t="s">
        <v>4397</v>
      </c>
      <c r="C1333">
        <v>18</v>
      </c>
      <c r="D1333">
        <v>200</v>
      </c>
      <c r="E1333">
        <v>3.5</v>
      </c>
      <c r="F1333" s="16">
        <v>3.5</v>
      </c>
      <c r="G1333">
        <v>62</v>
      </c>
      <c r="H1333">
        <v>3</v>
      </c>
      <c r="I1333" t="s">
        <v>8</v>
      </c>
      <c r="J1333" t="s">
        <v>900</v>
      </c>
      <c r="K1333">
        <v>430</v>
      </c>
      <c r="L1333">
        <v>71</v>
      </c>
      <c r="M1333">
        <v>86</v>
      </c>
    </row>
    <row r="1334" spans="2:13" x14ac:dyDescent="0.25">
      <c r="B1334" s="50" t="s">
        <v>3799</v>
      </c>
      <c r="C1334">
        <v>18</v>
      </c>
      <c r="D1334">
        <v>200</v>
      </c>
      <c r="E1334">
        <v>3.5</v>
      </c>
      <c r="F1334" s="16">
        <v>3.5</v>
      </c>
      <c r="G1334">
        <v>62</v>
      </c>
      <c r="H1334">
        <v>3</v>
      </c>
      <c r="I1334" t="s">
        <v>1323</v>
      </c>
      <c r="J1334" t="s">
        <v>900</v>
      </c>
      <c r="K1334">
        <v>430</v>
      </c>
      <c r="L1334">
        <v>71</v>
      </c>
      <c r="M1334">
        <v>86</v>
      </c>
    </row>
    <row r="1335" spans="2:13" x14ac:dyDescent="0.25">
      <c r="B1335" s="50" t="s">
        <v>2723</v>
      </c>
      <c r="C1335">
        <v>18</v>
      </c>
      <c r="D1335">
        <v>300</v>
      </c>
      <c r="E1335">
        <v>3.5</v>
      </c>
      <c r="F1335" s="16">
        <v>3.5</v>
      </c>
      <c r="G1335">
        <v>72</v>
      </c>
      <c r="H1335">
        <v>3</v>
      </c>
      <c r="I1335" t="s">
        <v>1293</v>
      </c>
      <c r="J1335" t="s">
        <v>900</v>
      </c>
      <c r="K1335">
        <v>585</v>
      </c>
      <c r="L1335">
        <v>79</v>
      </c>
      <c r="M1335">
        <v>101.5</v>
      </c>
    </row>
    <row r="1336" spans="2:13" x14ac:dyDescent="0.25">
      <c r="B1336" s="50" t="s">
        <v>2618</v>
      </c>
      <c r="C1336">
        <v>18</v>
      </c>
      <c r="D1336">
        <v>300</v>
      </c>
      <c r="E1336">
        <v>3.5</v>
      </c>
      <c r="F1336" s="16">
        <v>3.5</v>
      </c>
      <c r="G1336">
        <v>72</v>
      </c>
      <c r="H1336">
        <v>3</v>
      </c>
      <c r="I1336" t="s">
        <v>1251</v>
      </c>
      <c r="J1336" t="s">
        <v>900</v>
      </c>
      <c r="K1336">
        <v>585</v>
      </c>
      <c r="L1336">
        <v>79</v>
      </c>
      <c r="M1336">
        <v>101.5</v>
      </c>
    </row>
    <row r="1337" spans="2:13" x14ac:dyDescent="0.25">
      <c r="B1337" s="50" t="s">
        <v>2632</v>
      </c>
      <c r="C1337">
        <v>18</v>
      </c>
      <c r="D1337">
        <v>300</v>
      </c>
      <c r="E1337">
        <v>3.5</v>
      </c>
      <c r="F1337" s="16">
        <v>3.5</v>
      </c>
      <c r="G1337">
        <v>72</v>
      </c>
      <c r="H1337">
        <v>3</v>
      </c>
      <c r="I1337" t="s">
        <v>8</v>
      </c>
      <c r="J1337" t="s">
        <v>900</v>
      </c>
      <c r="K1337">
        <v>585</v>
      </c>
      <c r="L1337">
        <v>79</v>
      </c>
      <c r="M1337">
        <v>101.5</v>
      </c>
    </row>
    <row r="1338" spans="2:13" x14ac:dyDescent="0.25">
      <c r="B1338" s="50" t="s">
        <v>4306</v>
      </c>
      <c r="C1338">
        <v>18</v>
      </c>
      <c r="D1338">
        <v>300</v>
      </c>
      <c r="E1338">
        <v>3.5</v>
      </c>
      <c r="F1338" s="16">
        <v>3.5</v>
      </c>
      <c r="G1338">
        <v>72</v>
      </c>
      <c r="H1338">
        <v>3</v>
      </c>
      <c r="I1338" t="s">
        <v>1331</v>
      </c>
      <c r="J1338" t="s">
        <v>900</v>
      </c>
      <c r="K1338">
        <v>585</v>
      </c>
      <c r="L1338">
        <v>79</v>
      </c>
      <c r="M1338">
        <v>101.5</v>
      </c>
    </row>
    <row r="1339" spans="2:13" x14ac:dyDescent="0.25">
      <c r="B1339" s="50" t="s">
        <v>3798</v>
      </c>
      <c r="C1339">
        <v>18</v>
      </c>
      <c r="D1339">
        <v>300</v>
      </c>
      <c r="E1339">
        <v>3.5</v>
      </c>
      <c r="F1339" s="16">
        <v>3.5</v>
      </c>
      <c r="G1339">
        <v>72</v>
      </c>
      <c r="H1339">
        <v>3</v>
      </c>
      <c r="I1339" t="s">
        <v>1323</v>
      </c>
      <c r="J1339" t="s">
        <v>900</v>
      </c>
      <c r="K1339">
        <v>585</v>
      </c>
      <c r="L1339">
        <v>79</v>
      </c>
      <c r="M1339">
        <v>101.5</v>
      </c>
    </row>
    <row r="1340" spans="2:13" x14ac:dyDescent="0.25">
      <c r="B1340" s="50" t="s">
        <v>2617</v>
      </c>
      <c r="C1340">
        <v>30</v>
      </c>
      <c r="D1340">
        <v>30</v>
      </c>
      <c r="E1340">
        <v>1.4</v>
      </c>
      <c r="F1340" s="16">
        <v>1.4</v>
      </c>
      <c r="G1340">
        <v>52</v>
      </c>
      <c r="H1340">
        <v>7</v>
      </c>
      <c r="I1340" t="s">
        <v>1227</v>
      </c>
      <c r="J1340" t="s">
        <v>900</v>
      </c>
      <c r="K1340">
        <v>265</v>
      </c>
      <c r="L1340">
        <v>64.8</v>
      </c>
      <c r="M1340">
        <v>73.3</v>
      </c>
    </row>
    <row r="1341" spans="2:13" x14ac:dyDescent="0.25">
      <c r="B1341" s="50" t="s">
        <v>4498</v>
      </c>
      <c r="C1341">
        <v>30</v>
      </c>
      <c r="D1341">
        <v>30</v>
      </c>
      <c r="E1341">
        <v>1.4</v>
      </c>
      <c r="F1341" s="16">
        <v>1.4</v>
      </c>
      <c r="G1341">
        <v>52</v>
      </c>
      <c r="H1341">
        <v>7</v>
      </c>
      <c r="I1341" t="s">
        <v>1221</v>
      </c>
      <c r="J1341" t="s">
        <v>900</v>
      </c>
      <c r="K1341">
        <v>265</v>
      </c>
      <c r="L1341">
        <v>64.8</v>
      </c>
      <c r="M1341">
        <v>73.3</v>
      </c>
    </row>
    <row r="1342" spans="2:13" x14ac:dyDescent="0.25">
      <c r="B1342" s="50" t="s">
        <v>4102</v>
      </c>
      <c r="C1342">
        <v>120</v>
      </c>
      <c r="D1342">
        <v>300</v>
      </c>
      <c r="E1342">
        <v>2.8</v>
      </c>
      <c r="F1342" s="16">
        <v>2.8</v>
      </c>
      <c r="G1342">
        <v>105</v>
      </c>
      <c r="H1342">
        <v>8.1</v>
      </c>
      <c r="I1342" t="s">
        <v>1229</v>
      </c>
      <c r="J1342" t="s">
        <v>910</v>
      </c>
      <c r="K1342">
        <v>3390</v>
      </c>
      <c r="L1342">
        <v>124.4</v>
      </c>
      <c r="M1342">
        <v>291</v>
      </c>
    </row>
    <row r="1343" spans="2:13" x14ac:dyDescent="0.25">
      <c r="B1343" s="50" t="s">
        <v>2722</v>
      </c>
      <c r="C1343">
        <v>120</v>
      </c>
      <c r="D1343">
        <v>300</v>
      </c>
      <c r="E1343">
        <v>2.8</v>
      </c>
      <c r="F1343" s="16">
        <v>2.8</v>
      </c>
      <c r="G1343">
        <v>105</v>
      </c>
      <c r="H1343">
        <v>8.1</v>
      </c>
      <c r="I1343" t="s">
        <v>8</v>
      </c>
      <c r="J1343" t="s">
        <v>910</v>
      </c>
      <c r="K1343">
        <v>3390</v>
      </c>
      <c r="L1343">
        <v>124.4</v>
      </c>
      <c r="M1343">
        <v>291</v>
      </c>
    </row>
    <row r="1344" spans="2:13" x14ac:dyDescent="0.25">
      <c r="B1344" s="50" t="s">
        <v>4101</v>
      </c>
      <c r="C1344">
        <v>120</v>
      </c>
      <c r="D1344">
        <v>300</v>
      </c>
      <c r="E1344">
        <v>2.8</v>
      </c>
      <c r="F1344" s="16">
        <v>2.8</v>
      </c>
      <c r="G1344">
        <v>105</v>
      </c>
      <c r="H1344">
        <v>8.1</v>
      </c>
      <c r="I1344" t="s">
        <v>1323</v>
      </c>
      <c r="J1344" t="s">
        <v>900</v>
      </c>
      <c r="K1344">
        <v>3390</v>
      </c>
      <c r="L1344">
        <v>124.4</v>
      </c>
      <c r="M1344">
        <v>291</v>
      </c>
    </row>
    <row r="1345" spans="2:13" x14ac:dyDescent="0.25">
      <c r="B1345" s="50" t="s">
        <v>2631</v>
      </c>
      <c r="C1345">
        <v>150</v>
      </c>
      <c r="D1345">
        <v>600</v>
      </c>
      <c r="E1345">
        <v>5</v>
      </c>
      <c r="F1345" s="16">
        <v>5</v>
      </c>
      <c r="G1345">
        <v>105</v>
      </c>
      <c r="H1345">
        <v>5</v>
      </c>
      <c r="I1345" t="s">
        <v>1229</v>
      </c>
      <c r="J1345" t="s">
        <v>910</v>
      </c>
      <c r="K1345">
        <v>2860</v>
      </c>
      <c r="L1345">
        <v>121</v>
      </c>
      <c r="M1345">
        <v>290.2</v>
      </c>
    </row>
    <row r="1346" spans="2:13" x14ac:dyDescent="0.25">
      <c r="B1346" s="50" t="s">
        <v>2630</v>
      </c>
      <c r="C1346">
        <v>150</v>
      </c>
      <c r="D1346">
        <v>600</v>
      </c>
      <c r="E1346">
        <v>5</v>
      </c>
      <c r="F1346" s="16">
        <v>5</v>
      </c>
      <c r="G1346">
        <v>105</v>
      </c>
      <c r="H1346">
        <v>5</v>
      </c>
      <c r="I1346" t="s">
        <v>8</v>
      </c>
      <c r="J1346" t="s">
        <v>910</v>
      </c>
      <c r="K1346">
        <v>2860</v>
      </c>
      <c r="L1346">
        <v>121</v>
      </c>
      <c r="M1346">
        <v>290.2</v>
      </c>
    </row>
    <row r="1347" spans="2:13" x14ac:dyDescent="0.25">
      <c r="B1347" s="50" t="s">
        <v>3796</v>
      </c>
      <c r="C1347">
        <v>150</v>
      </c>
      <c r="D1347">
        <v>600</v>
      </c>
      <c r="E1347">
        <v>5</v>
      </c>
      <c r="F1347" s="16">
        <v>5</v>
      </c>
      <c r="G1347">
        <v>105</v>
      </c>
      <c r="H1347">
        <v>5</v>
      </c>
      <c r="I1347" t="s">
        <v>1323</v>
      </c>
      <c r="J1347" t="s">
        <v>900</v>
      </c>
      <c r="K1347">
        <v>2860</v>
      </c>
      <c r="L1347">
        <v>121</v>
      </c>
      <c r="M1347">
        <v>290.2</v>
      </c>
    </row>
    <row r="1348" spans="2:13" x14ac:dyDescent="0.25">
      <c r="B1348" s="50" t="s">
        <v>928</v>
      </c>
      <c r="C1348">
        <v>150</v>
      </c>
      <c r="D1348">
        <v>600</v>
      </c>
      <c r="E1348">
        <v>5</v>
      </c>
      <c r="F1348" s="16">
        <v>5</v>
      </c>
      <c r="G1348">
        <v>105</v>
      </c>
      <c r="H1348">
        <v>5</v>
      </c>
      <c r="I1348" t="s">
        <v>1229</v>
      </c>
      <c r="J1348" t="s">
        <v>910</v>
      </c>
      <c r="K1348">
        <v>2860</v>
      </c>
      <c r="L1348">
        <v>121</v>
      </c>
      <c r="M1348">
        <v>290.2</v>
      </c>
    </row>
    <row r="1349" spans="2:13" x14ac:dyDescent="0.25">
      <c r="B1349" s="50" t="s">
        <v>929</v>
      </c>
      <c r="C1349">
        <v>150</v>
      </c>
      <c r="D1349">
        <v>600</v>
      </c>
      <c r="E1349">
        <v>5</v>
      </c>
      <c r="F1349" s="16">
        <v>5</v>
      </c>
      <c r="G1349">
        <v>105</v>
      </c>
      <c r="H1349">
        <v>5</v>
      </c>
      <c r="I1349" t="s">
        <v>8</v>
      </c>
      <c r="J1349" t="s">
        <v>910</v>
      </c>
      <c r="K1349">
        <v>2860</v>
      </c>
      <c r="L1349">
        <v>121</v>
      </c>
      <c r="M1349">
        <v>290.2</v>
      </c>
    </row>
    <row r="1350" spans="2:13" x14ac:dyDescent="0.25">
      <c r="B1350" s="50" t="s">
        <v>930</v>
      </c>
      <c r="C1350">
        <v>150</v>
      </c>
      <c r="D1350">
        <v>600</v>
      </c>
      <c r="E1350">
        <v>5</v>
      </c>
      <c r="F1350" s="16">
        <v>5</v>
      </c>
      <c r="G1350">
        <v>105</v>
      </c>
      <c r="H1350">
        <v>5</v>
      </c>
      <c r="I1350" t="s">
        <v>1323</v>
      </c>
      <c r="J1350" t="s">
        <v>900</v>
      </c>
      <c r="K1350">
        <v>2860</v>
      </c>
      <c r="L1350">
        <v>121</v>
      </c>
      <c r="M1350">
        <v>290.2</v>
      </c>
    </row>
    <row r="1351" spans="2:13" x14ac:dyDescent="0.25">
      <c r="B1351" s="50" t="s">
        <v>2616</v>
      </c>
      <c r="C1351">
        <v>500</v>
      </c>
      <c r="D1351">
        <v>500</v>
      </c>
      <c r="E1351">
        <v>4</v>
      </c>
      <c r="F1351" s="16">
        <v>4</v>
      </c>
      <c r="G1351">
        <v>46</v>
      </c>
      <c r="H1351">
        <v>6.5</v>
      </c>
      <c r="I1351" t="s">
        <v>1229</v>
      </c>
      <c r="J1351" t="s">
        <v>910</v>
      </c>
      <c r="K1351">
        <v>3310</v>
      </c>
      <c r="L1351">
        <v>144.80000000000001</v>
      </c>
      <c r="M1351">
        <v>380.3</v>
      </c>
    </row>
    <row r="1352" spans="2:13" x14ac:dyDescent="0.25">
      <c r="B1352" s="50" t="s">
        <v>2684</v>
      </c>
      <c r="C1352">
        <v>500</v>
      </c>
      <c r="D1352">
        <v>500</v>
      </c>
      <c r="E1352">
        <v>4</v>
      </c>
      <c r="F1352" s="16">
        <v>4</v>
      </c>
      <c r="G1352">
        <v>46</v>
      </c>
      <c r="H1352">
        <v>6.5</v>
      </c>
      <c r="I1352" t="s">
        <v>8</v>
      </c>
      <c r="J1352" t="s">
        <v>910</v>
      </c>
      <c r="K1352">
        <v>3310</v>
      </c>
      <c r="L1352">
        <v>144.80000000000001</v>
      </c>
      <c r="M1352">
        <v>380.3</v>
      </c>
    </row>
    <row r="1353" spans="2:13" x14ac:dyDescent="0.25">
      <c r="B1353" s="50" t="s">
        <v>4100</v>
      </c>
      <c r="C1353">
        <v>500</v>
      </c>
      <c r="D1353">
        <v>500</v>
      </c>
      <c r="E1353">
        <v>4</v>
      </c>
      <c r="F1353" s="16">
        <v>4</v>
      </c>
      <c r="G1353">
        <v>46</v>
      </c>
      <c r="H1353">
        <v>6.5</v>
      </c>
      <c r="I1353" t="s">
        <v>1323</v>
      </c>
      <c r="J1353" t="s">
        <v>910</v>
      </c>
      <c r="K1353">
        <v>3310</v>
      </c>
      <c r="L1353">
        <v>144.80000000000001</v>
      </c>
      <c r="M1353">
        <v>380.3</v>
      </c>
    </row>
    <row r="1354" spans="2:13" x14ac:dyDescent="0.25">
      <c r="B1354" s="50" t="s">
        <v>3795</v>
      </c>
      <c r="C1354">
        <v>35</v>
      </c>
      <c r="D1354">
        <v>35</v>
      </c>
      <c r="E1354">
        <v>1.4</v>
      </c>
      <c r="F1354" s="16">
        <v>1.4</v>
      </c>
      <c r="G1354">
        <v>52</v>
      </c>
      <c r="H1354">
        <v>0</v>
      </c>
      <c r="I1354" t="s">
        <v>1286</v>
      </c>
      <c r="J1354" t="s">
        <v>900</v>
      </c>
      <c r="K1354">
        <v>390</v>
      </c>
      <c r="L1354">
        <v>55</v>
      </c>
      <c r="M1354">
        <v>70.3</v>
      </c>
    </row>
    <row r="1355" spans="2:13" x14ac:dyDescent="0.25">
      <c r="B1355" s="50" t="s">
        <v>3794</v>
      </c>
      <c r="C1355">
        <v>35</v>
      </c>
      <c r="D1355">
        <v>35</v>
      </c>
      <c r="E1355">
        <v>1.4</v>
      </c>
      <c r="F1355" s="16">
        <v>1.4</v>
      </c>
      <c r="G1355">
        <v>52</v>
      </c>
      <c r="H1355">
        <v>0</v>
      </c>
      <c r="I1355" t="s">
        <v>1227</v>
      </c>
      <c r="J1355" t="s">
        <v>1228</v>
      </c>
      <c r="K1355">
        <v>390</v>
      </c>
      <c r="L1355">
        <v>55</v>
      </c>
      <c r="M1355">
        <v>70.3</v>
      </c>
    </row>
    <row r="1356" spans="2:13" x14ac:dyDescent="0.25">
      <c r="B1356" s="50" t="s">
        <v>3793</v>
      </c>
      <c r="C1356">
        <v>35</v>
      </c>
      <c r="D1356">
        <v>35</v>
      </c>
      <c r="E1356">
        <v>1.4</v>
      </c>
      <c r="F1356" s="16">
        <v>1.4</v>
      </c>
      <c r="G1356">
        <v>52</v>
      </c>
      <c r="H1356">
        <v>0</v>
      </c>
      <c r="I1356" t="s">
        <v>1221</v>
      </c>
      <c r="J1356" t="s">
        <v>900</v>
      </c>
      <c r="K1356">
        <v>390</v>
      </c>
      <c r="L1356">
        <v>55</v>
      </c>
      <c r="M1356">
        <v>70.3</v>
      </c>
    </row>
    <row r="1357" spans="2:13" x14ac:dyDescent="0.25">
      <c r="B1357" s="50" t="s">
        <v>3792</v>
      </c>
      <c r="C1357">
        <v>23</v>
      </c>
      <c r="D1357">
        <v>23</v>
      </c>
      <c r="E1357">
        <v>1.7</v>
      </c>
      <c r="F1357" s="16">
        <v>1.7</v>
      </c>
      <c r="G1357">
        <v>49</v>
      </c>
      <c r="H1357">
        <v>0</v>
      </c>
      <c r="I1357" t="s">
        <v>1227</v>
      </c>
      <c r="J1357" t="s">
        <v>1228</v>
      </c>
      <c r="K1357">
        <v>265</v>
      </c>
      <c r="L1357">
        <v>50</v>
      </c>
      <c r="M1357">
        <v>61.3</v>
      </c>
    </row>
    <row r="1358" spans="2:13" x14ac:dyDescent="0.25">
      <c r="B1358" s="50" t="s">
        <v>3406</v>
      </c>
      <c r="C1358">
        <v>25</v>
      </c>
      <c r="D1358">
        <v>25</v>
      </c>
      <c r="E1358">
        <v>0.95</v>
      </c>
      <c r="F1358" s="16">
        <v>0.95</v>
      </c>
      <c r="G1358">
        <v>52</v>
      </c>
      <c r="H1358">
        <v>0</v>
      </c>
      <c r="I1358" t="s">
        <v>1227</v>
      </c>
      <c r="J1358" t="s">
        <v>1228</v>
      </c>
      <c r="K1358">
        <v>475</v>
      </c>
      <c r="L1358">
        <v>50</v>
      </c>
      <c r="M1358">
        <v>74.599999999999994</v>
      </c>
    </row>
    <row r="1359" spans="2:13" x14ac:dyDescent="0.25">
      <c r="B1359" s="50" t="s">
        <v>4099</v>
      </c>
      <c r="C1359">
        <v>50</v>
      </c>
      <c r="D1359">
        <v>50</v>
      </c>
      <c r="E1359">
        <v>0.95</v>
      </c>
      <c r="F1359" s="16">
        <v>0.95</v>
      </c>
      <c r="G1359">
        <v>62</v>
      </c>
      <c r="H1359">
        <v>0</v>
      </c>
      <c r="I1359" t="s">
        <v>1221</v>
      </c>
      <c r="J1359" t="s">
        <v>900</v>
      </c>
      <c r="K1359">
        <v>490</v>
      </c>
      <c r="L1359">
        <v>65</v>
      </c>
      <c r="M1359">
        <v>85</v>
      </c>
    </row>
    <row r="1360" spans="2:13" x14ac:dyDescent="0.25">
      <c r="B1360" s="50" t="s">
        <v>4098</v>
      </c>
      <c r="C1360">
        <v>35</v>
      </c>
      <c r="D1360">
        <v>35</v>
      </c>
      <c r="E1360">
        <v>1.7</v>
      </c>
      <c r="F1360" s="16">
        <v>1.7</v>
      </c>
      <c r="G1360">
        <v>37</v>
      </c>
      <c r="H1360">
        <v>0</v>
      </c>
      <c r="I1360" t="s">
        <v>1221</v>
      </c>
      <c r="J1360" t="s">
        <v>900</v>
      </c>
      <c r="K1360">
        <v>120</v>
      </c>
      <c r="L1360">
        <v>50</v>
      </c>
      <c r="M1360">
        <v>50</v>
      </c>
    </row>
    <row r="1361" spans="2:13" x14ac:dyDescent="0.25">
      <c r="B1361" s="50" t="s">
        <v>3791</v>
      </c>
      <c r="C1361">
        <v>100</v>
      </c>
      <c r="D1361">
        <v>100</v>
      </c>
      <c r="E1361">
        <v>2.8</v>
      </c>
      <c r="F1361" s="16">
        <v>2.8</v>
      </c>
      <c r="G1361">
        <v>55</v>
      </c>
      <c r="H1361">
        <v>1</v>
      </c>
      <c r="I1361" t="s">
        <v>1293</v>
      </c>
      <c r="J1361" t="s">
        <v>910</v>
      </c>
      <c r="K1361">
        <v>505</v>
      </c>
      <c r="L1361">
        <v>75</v>
      </c>
      <c r="M1361">
        <v>99</v>
      </c>
    </row>
    <row r="1362" spans="2:13" x14ac:dyDescent="0.25">
      <c r="B1362" s="50" t="s">
        <v>3041</v>
      </c>
      <c r="C1362">
        <v>11</v>
      </c>
      <c r="D1362">
        <v>18</v>
      </c>
      <c r="E1362">
        <v>4.5</v>
      </c>
      <c r="F1362" s="16">
        <v>4.5</v>
      </c>
      <c r="G1362">
        <v>77</v>
      </c>
      <c r="H1362">
        <v>8</v>
      </c>
      <c r="I1362" t="s">
        <v>1293</v>
      </c>
      <c r="J1362" t="s">
        <v>900</v>
      </c>
      <c r="K1362">
        <v>360</v>
      </c>
      <c r="L1362">
        <v>83</v>
      </c>
      <c r="M1362">
        <v>81</v>
      </c>
    </row>
    <row r="1363" spans="2:13" x14ac:dyDescent="0.25">
      <c r="B1363" s="50" t="s">
        <v>2862</v>
      </c>
      <c r="C1363">
        <v>135</v>
      </c>
      <c r="D1363">
        <v>135</v>
      </c>
      <c r="E1363">
        <v>1.8</v>
      </c>
      <c r="F1363" s="16">
        <v>1.8</v>
      </c>
      <c r="G1363">
        <v>77</v>
      </c>
      <c r="H1363">
        <v>4</v>
      </c>
      <c r="I1363" t="s">
        <v>1293</v>
      </c>
      <c r="J1363" t="s">
        <v>910</v>
      </c>
      <c r="K1363">
        <v>1050</v>
      </c>
      <c r="L1363">
        <v>89</v>
      </c>
      <c r="M1363">
        <v>115</v>
      </c>
    </row>
    <row r="1364" spans="2:13" x14ac:dyDescent="0.25">
      <c r="B1364" s="50" t="s">
        <v>3790</v>
      </c>
      <c r="C1364">
        <v>135</v>
      </c>
      <c r="D1364">
        <v>135</v>
      </c>
      <c r="E1364">
        <v>2.8</v>
      </c>
      <c r="F1364" s="16">
        <v>2.8</v>
      </c>
      <c r="G1364">
        <v>72</v>
      </c>
      <c r="H1364">
        <v>4</v>
      </c>
      <c r="I1364" t="s">
        <v>1293</v>
      </c>
      <c r="J1364" t="s">
        <v>910</v>
      </c>
      <c r="K1364">
        <v>730</v>
      </c>
      <c r="L1364">
        <v>80</v>
      </c>
      <c r="M1364">
        <v>99</v>
      </c>
    </row>
    <row r="1365" spans="2:13" x14ac:dyDescent="0.25">
      <c r="B1365" s="50" t="s">
        <v>3039</v>
      </c>
      <c r="C1365">
        <v>16</v>
      </c>
      <c r="D1365">
        <v>105</v>
      </c>
      <c r="E1365">
        <v>3.5</v>
      </c>
      <c r="F1365" s="16">
        <v>3.5</v>
      </c>
      <c r="G1365">
        <v>62</v>
      </c>
      <c r="H1365">
        <v>4.3499999999999996</v>
      </c>
      <c r="I1365" t="s">
        <v>1293</v>
      </c>
      <c r="J1365" t="s">
        <v>900</v>
      </c>
      <c r="K1365">
        <v>470</v>
      </c>
      <c r="L1365">
        <v>72</v>
      </c>
      <c r="M1365">
        <v>83</v>
      </c>
    </row>
    <row r="1366" spans="2:13" x14ac:dyDescent="0.25">
      <c r="B1366" s="50" t="s">
        <v>4243</v>
      </c>
      <c r="C1366">
        <v>16</v>
      </c>
      <c r="D1366">
        <v>35</v>
      </c>
      <c r="E1366">
        <v>2.8</v>
      </c>
      <c r="F1366" s="16">
        <v>2.8</v>
      </c>
      <c r="G1366">
        <v>77</v>
      </c>
      <c r="H1366">
        <v>4.17</v>
      </c>
      <c r="I1366" t="s">
        <v>1293</v>
      </c>
      <c r="J1366" t="s">
        <v>910</v>
      </c>
      <c r="K1366">
        <v>900</v>
      </c>
      <c r="L1366">
        <v>83</v>
      </c>
      <c r="M1366">
        <v>114</v>
      </c>
    </row>
    <row r="1367" spans="2:13" x14ac:dyDescent="0.25">
      <c r="B1367" s="50" t="s">
        <v>3038</v>
      </c>
      <c r="C1367">
        <v>16</v>
      </c>
      <c r="D1367">
        <v>35</v>
      </c>
      <c r="E1367">
        <v>2.8</v>
      </c>
      <c r="F1367" s="16">
        <v>2.8</v>
      </c>
      <c r="G1367">
        <v>77</v>
      </c>
      <c r="H1367">
        <v>4.17</v>
      </c>
      <c r="I1367" t="s">
        <v>1293</v>
      </c>
      <c r="J1367" t="s">
        <v>910</v>
      </c>
      <c r="K1367">
        <v>872</v>
      </c>
      <c r="L1367">
        <v>83</v>
      </c>
      <c r="M1367">
        <v>114</v>
      </c>
    </row>
    <row r="1368" spans="2:13" x14ac:dyDescent="0.25">
      <c r="B1368" s="50" t="s">
        <v>2778</v>
      </c>
      <c r="C1368">
        <v>16</v>
      </c>
      <c r="D1368">
        <v>50</v>
      </c>
      <c r="E1368">
        <v>2.8</v>
      </c>
      <c r="F1368" s="16">
        <v>2.8</v>
      </c>
      <c r="G1368">
        <v>72</v>
      </c>
      <c r="H1368">
        <v>5</v>
      </c>
      <c r="I1368" t="s">
        <v>1293</v>
      </c>
      <c r="J1368" t="s">
        <v>900</v>
      </c>
      <c r="K1368">
        <v>577</v>
      </c>
      <c r="L1368">
        <v>81</v>
      </c>
      <c r="M1368">
        <v>88</v>
      </c>
    </row>
    <row r="1369" spans="2:13" x14ac:dyDescent="0.25">
      <c r="B1369" s="50" t="s">
        <v>2683</v>
      </c>
      <c r="C1369">
        <v>16</v>
      </c>
      <c r="D1369">
        <v>80</v>
      </c>
      <c r="E1369">
        <v>3.5</v>
      </c>
      <c r="F1369" s="16">
        <v>3.5</v>
      </c>
      <c r="G1369">
        <v>62</v>
      </c>
      <c r="H1369">
        <v>4.17</v>
      </c>
      <c r="I1369" t="s">
        <v>1293</v>
      </c>
      <c r="J1369" t="s">
        <v>900</v>
      </c>
      <c r="K1369">
        <v>440</v>
      </c>
      <c r="L1369">
        <v>72</v>
      </c>
      <c r="M1369">
        <v>83</v>
      </c>
    </row>
    <row r="1370" spans="2:13" x14ac:dyDescent="0.25">
      <c r="B1370" s="50" t="s">
        <v>3405</v>
      </c>
      <c r="C1370">
        <v>16</v>
      </c>
      <c r="D1370">
        <v>16</v>
      </c>
      <c r="E1370">
        <v>2.8</v>
      </c>
      <c r="F1370" s="16">
        <v>2.8</v>
      </c>
      <c r="G1370">
        <v>0</v>
      </c>
      <c r="H1370">
        <v>6.67</v>
      </c>
      <c r="I1370" t="s">
        <v>1293</v>
      </c>
      <c r="J1370" t="s">
        <v>910</v>
      </c>
      <c r="K1370">
        <v>400</v>
      </c>
      <c r="L1370">
        <v>75</v>
      </c>
      <c r="M1370">
        <v>67</v>
      </c>
    </row>
    <row r="1371" spans="2:13" x14ac:dyDescent="0.25">
      <c r="B1371" s="50" t="s">
        <v>2776</v>
      </c>
      <c r="C1371">
        <v>18</v>
      </c>
      <c r="D1371">
        <v>135</v>
      </c>
      <c r="E1371">
        <v>3.5</v>
      </c>
      <c r="F1371" s="16">
        <v>3.5</v>
      </c>
      <c r="G1371">
        <v>62</v>
      </c>
      <c r="H1371">
        <v>4</v>
      </c>
      <c r="I1371" t="s">
        <v>1293</v>
      </c>
      <c r="J1371" t="s">
        <v>900</v>
      </c>
      <c r="K1371">
        <v>398</v>
      </c>
      <c r="L1371">
        <v>76</v>
      </c>
      <c r="M1371">
        <v>86</v>
      </c>
    </row>
    <row r="1372" spans="2:13" x14ac:dyDescent="0.25">
      <c r="B1372" s="50" t="s">
        <v>3404</v>
      </c>
      <c r="C1372">
        <v>18</v>
      </c>
      <c r="D1372">
        <v>200</v>
      </c>
      <c r="E1372">
        <v>3.5</v>
      </c>
      <c r="F1372" s="16">
        <v>3.5</v>
      </c>
      <c r="G1372">
        <v>62</v>
      </c>
      <c r="H1372">
        <v>3.7</v>
      </c>
      <c r="I1372" t="s">
        <v>1293</v>
      </c>
      <c r="J1372" t="s">
        <v>900</v>
      </c>
      <c r="K1372">
        <v>405</v>
      </c>
      <c r="L1372">
        <v>73</v>
      </c>
      <c r="M1372">
        <v>86</v>
      </c>
    </row>
    <row r="1373" spans="2:13" x14ac:dyDescent="0.25">
      <c r="B1373" s="50" t="s">
        <v>3037</v>
      </c>
      <c r="C1373">
        <v>18</v>
      </c>
      <c r="D1373">
        <v>250</v>
      </c>
      <c r="E1373">
        <v>3.5</v>
      </c>
      <c r="F1373" s="16">
        <v>3.5</v>
      </c>
      <c r="G1373">
        <v>62</v>
      </c>
      <c r="H1373">
        <v>3.45</v>
      </c>
      <c r="I1373" t="s">
        <v>1293</v>
      </c>
      <c r="J1373" t="s">
        <v>900</v>
      </c>
      <c r="K1373">
        <v>440</v>
      </c>
      <c r="L1373">
        <v>75</v>
      </c>
      <c r="M1373">
        <v>86</v>
      </c>
    </row>
    <row r="1374" spans="2:13" x14ac:dyDescent="0.25">
      <c r="B1374" s="50" t="s">
        <v>3403</v>
      </c>
      <c r="C1374">
        <v>18</v>
      </c>
      <c r="D1374">
        <v>55</v>
      </c>
      <c r="E1374">
        <v>3.5</v>
      </c>
      <c r="F1374" s="16">
        <v>3.5</v>
      </c>
      <c r="G1374">
        <v>55</v>
      </c>
      <c r="H1374">
        <v>2.94</v>
      </c>
      <c r="I1374" t="s">
        <v>1293</v>
      </c>
      <c r="J1374" t="s">
        <v>900</v>
      </c>
      <c r="K1374">
        <v>210</v>
      </c>
      <c r="L1374">
        <v>69.5</v>
      </c>
      <c r="M1374">
        <v>69</v>
      </c>
    </row>
    <row r="1375" spans="2:13" x14ac:dyDescent="0.25">
      <c r="B1375" s="50" t="s">
        <v>3402</v>
      </c>
      <c r="C1375">
        <v>18</v>
      </c>
      <c r="D1375">
        <v>55</v>
      </c>
      <c r="E1375">
        <v>3.5</v>
      </c>
      <c r="F1375" s="16">
        <v>3.5</v>
      </c>
      <c r="G1375">
        <v>55</v>
      </c>
      <c r="H1375">
        <v>2.94</v>
      </c>
      <c r="I1375" t="s">
        <v>1293</v>
      </c>
      <c r="J1375" t="s">
        <v>900</v>
      </c>
      <c r="K1375">
        <v>222</v>
      </c>
      <c r="L1375">
        <v>69.5</v>
      </c>
      <c r="M1375">
        <v>69</v>
      </c>
    </row>
    <row r="1376" spans="2:13" x14ac:dyDescent="0.25">
      <c r="B1376" s="50" t="s">
        <v>3401</v>
      </c>
      <c r="C1376">
        <v>18</v>
      </c>
      <c r="D1376">
        <v>55</v>
      </c>
      <c r="E1376">
        <v>3.5</v>
      </c>
      <c r="F1376" s="16">
        <v>3.5</v>
      </c>
      <c r="G1376">
        <v>55</v>
      </c>
      <c r="H1376">
        <v>2.94</v>
      </c>
      <c r="I1376" t="s">
        <v>1293</v>
      </c>
      <c r="J1376" t="s">
        <v>900</v>
      </c>
      <c r="K1376">
        <v>222</v>
      </c>
      <c r="L1376">
        <v>69.5</v>
      </c>
      <c r="M1376">
        <v>69</v>
      </c>
    </row>
    <row r="1377" spans="2:13" x14ac:dyDescent="0.25">
      <c r="B1377" s="50" t="s">
        <v>3399</v>
      </c>
      <c r="C1377">
        <v>20</v>
      </c>
      <c r="D1377">
        <v>20</v>
      </c>
      <c r="E1377">
        <v>2.8</v>
      </c>
      <c r="F1377" s="16">
        <v>2.8</v>
      </c>
      <c r="G1377">
        <v>72</v>
      </c>
      <c r="H1377">
        <v>7.69</v>
      </c>
      <c r="I1377" t="s">
        <v>1293</v>
      </c>
      <c r="J1377" t="s">
        <v>910</v>
      </c>
      <c r="K1377">
        <v>285</v>
      </c>
      <c r="L1377">
        <v>78</v>
      </c>
      <c r="M1377">
        <v>54</v>
      </c>
    </row>
    <row r="1378" spans="2:13" x14ac:dyDescent="0.25">
      <c r="B1378" s="50" t="s">
        <v>3398</v>
      </c>
      <c r="C1378">
        <v>24</v>
      </c>
      <c r="D1378">
        <v>70</v>
      </c>
      <c r="E1378">
        <v>2.8</v>
      </c>
      <c r="F1378" s="16">
        <v>2.8</v>
      </c>
      <c r="G1378">
        <v>77</v>
      </c>
      <c r="H1378">
        <v>4</v>
      </c>
      <c r="I1378" t="s">
        <v>1293</v>
      </c>
      <c r="J1378" t="s">
        <v>910</v>
      </c>
      <c r="K1378">
        <v>955</v>
      </c>
      <c r="L1378">
        <v>83</v>
      </c>
      <c r="M1378">
        <v>111</v>
      </c>
    </row>
    <row r="1379" spans="2:13" x14ac:dyDescent="0.25">
      <c r="B1379" s="50" t="s">
        <v>3036</v>
      </c>
      <c r="C1379">
        <v>24</v>
      </c>
      <c r="D1379">
        <v>70</v>
      </c>
      <c r="E1379">
        <v>2.8</v>
      </c>
      <c r="F1379" s="16">
        <v>2.8</v>
      </c>
      <c r="G1379">
        <v>77</v>
      </c>
      <c r="H1379">
        <v>4</v>
      </c>
      <c r="I1379" t="s">
        <v>1293</v>
      </c>
      <c r="J1379" t="s">
        <v>910</v>
      </c>
      <c r="K1379">
        <v>974</v>
      </c>
      <c r="L1379">
        <v>83</v>
      </c>
      <c r="M1379">
        <v>111</v>
      </c>
    </row>
    <row r="1380" spans="2:13" x14ac:dyDescent="0.25">
      <c r="B1380" s="50" t="s">
        <v>3035</v>
      </c>
      <c r="C1380">
        <v>24</v>
      </c>
      <c r="D1380">
        <v>24</v>
      </c>
      <c r="E1380">
        <v>2</v>
      </c>
      <c r="F1380" s="16">
        <v>2</v>
      </c>
      <c r="G1380">
        <v>72</v>
      </c>
      <c r="H1380">
        <v>3.45</v>
      </c>
      <c r="I1380" t="s">
        <v>1293</v>
      </c>
      <c r="J1380" t="s">
        <v>910</v>
      </c>
      <c r="K1380">
        <v>555</v>
      </c>
      <c r="L1380">
        <v>78</v>
      </c>
      <c r="M1380">
        <v>76</v>
      </c>
    </row>
    <row r="1381" spans="2:13" x14ac:dyDescent="0.25">
      <c r="B1381" s="50" t="s">
        <v>4242</v>
      </c>
      <c r="C1381">
        <v>28</v>
      </c>
      <c r="D1381">
        <v>75</v>
      </c>
      <c r="E1381">
        <v>2.8</v>
      </c>
      <c r="F1381" s="16">
        <v>2.8</v>
      </c>
      <c r="G1381">
        <v>67</v>
      </c>
      <c r="H1381">
        <v>4.55</v>
      </c>
      <c r="I1381" t="s">
        <v>1293</v>
      </c>
      <c r="J1381" t="s">
        <v>910</v>
      </c>
      <c r="K1381">
        <v>565</v>
      </c>
      <c r="L1381">
        <v>77.5</v>
      </c>
      <c r="M1381">
        <v>94</v>
      </c>
    </row>
    <row r="1382" spans="2:13" x14ac:dyDescent="0.25">
      <c r="B1382" s="50" t="s">
        <v>3029</v>
      </c>
      <c r="C1382">
        <v>300</v>
      </c>
      <c r="D1382">
        <v>300</v>
      </c>
      <c r="E1382">
        <v>2.8</v>
      </c>
      <c r="F1382" s="16">
        <v>2.8</v>
      </c>
      <c r="G1382">
        <v>42</v>
      </c>
      <c r="H1382">
        <v>5.56</v>
      </c>
      <c r="I1382" t="s">
        <v>1293</v>
      </c>
      <c r="J1382" t="s">
        <v>910</v>
      </c>
      <c r="K1382">
        <v>2300</v>
      </c>
      <c r="L1382">
        <v>122</v>
      </c>
      <c r="M1382">
        <v>243</v>
      </c>
    </row>
    <row r="1383" spans="2:13" x14ac:dyDescent="0.25">
      <c r="B1383" s="50" t="s">
        <v>3397</v>
      </c>
      <c r="C1383">
        <v>30</v>
      </c>
      <c r="D1383">
        <v>30</v>
      </c>
      <c r="E1383">
        <v>2.8</v>
      </c>
      <c r="F1383" s="16">
        <v>2.8</v>
      </c>
      <c r="G1383">
        <v>49</v>
      </c>
      <c r="H1383">
        <v>1</v>
      </c>
      <c r="I1383" t="s">
        <v>1293</v>
      </c>
      <c r="J1383" t="s">
        <v>900</v>
      </c>
      <c r="K1383">
        <v>0</v>
      </c>
      <c r="L1383">
        <v>0</v>
      </c>
      <c r="M1383">
        <v>0</v>
      </c>
    </row>
    <row r="1384" spans="2:13" x14ac:dyDescent="0.25">
      <c r="B1384" s="50" t="s">
        <v>4241</v>
      </c>
      <c r="C1384">
        <v>35</v>
      </c>
      <c r="D1384">
        <v>35</v>
      </c>
      <c r="E1384">
        <v>1.4</v>
      </c>
      <c r="F1384" s="16">
        <v>1.4</v>
      </c>
      <c r="G1384">
        <v>55</v>
      </c>
      <c r="H1384">
        <v>5</v>
      </c>
      <c r="I1384" t="s">
        <v>1293</v>
      </c>
      <c r="J1384" t="s">
        <v>910</v>
      </c>
      <c r="K1384">
        <v>510</v>
      </c>
      <c r="L1384">
        <v>69</v>
      </c>
      <c r="M1384">
        <v>76</v>
      </c>
    </row>
    <row r="1385" spans="2:13" x14ac:dyDescent="0.25">
      <c r="B1385" s="50" t="s">
        <v>4240</v>
      </c>
      <c r="C1385">
        <v>35</v>
      </c>
      <c r="D1385">
        <v>35</v>
      </c>
      <c r="E1385">
        <v>1.8</v>
      </c>
      <c r="F1385" s="16">
        <v>1.8</v>
      </c>
      <c r="G1385">
        <v>55</v>
      </c>
      <c r="H1385">
        <v>4</v>
      </c>
      <c r="I1385" t="s">
        <v>1293</v>
      </c>
      <c r="J1385" t="s">
        <v>900</v>
      </c>
      <c r="K1385">
        <v>170</v>
      </c>
      <c r="L1385">
        <v>70</v>
      </c>
      <c r="M1385">
        <v>52</v>
      </c>
    </row>
    <row r="1386" spans="2:13" x14ac:dyDescent="0.25">
      <c r="B1386" s="50" t="s">
        <v>2860</v>
      </c>
      <c r="C1386">
        <v>500</v>
      </c>
      <c r="D1386">
        <v>500</v>
      </c>
      <c r="E1386">
        <v>4</v>
      </c>
      <c r="F1386" s="16">
        <v>4</v>
      </c>
      <c r="G1386">
        <v>42</v>
      </c>
      <c r="H1386">
        <v>7.41</v>
      </c>
      <c r="I1386" t="s">
        <v>1293</v>
      </c>
      <c r="J1386" t="s">
        <v>910</v>
      </c>
      <c r="K1386">
        <v>3460</v>
      </c>
      <c r="L1386">
        <v>140</v>
      </c>
      <c r="M1386">
        <v>367.5</v>
      </c>
    </row>
    <row r="1387" spans="2:13" x14ac:dyDescent="0.25">
      <c r="B1387" s="50" t="s">
        <v>3396</v>
      </c>
      <c r="C1387">
        <v>50</v>
      </c>
      <c r="D1387">
        <v>50</v>
      </c>
      <c r="E1387">
        <v>1.4</v>
      </c>
      <c r="F1387" s="16">
        <v>1.4</v>
      </c>
      <c r="G1387">
        <v>55</v>
      </c>
      <c r="H1387">
        <v>6.67</v>
      </c>
      <c r="I1387" t="s">
        <v>1293</v>
      </c>
      <c r="J1387" t="s">
        <v>910</v>
      </c>
      <c r="K1387">
        <v>220</v>
      </c>
      <c r="L1387">
        <v>66</v>
      </c>
      <c r="M1387">
        <v>43</v>
      </c>
    </row>
    <row r="1388" spans="2:13" x14ac:dyDescent="0.25">
      <c r="B1388" s="50" t="s">
        <v>3034</v>
      </c>
      <c r="C1388">
        <v>50</v>
      </c>
      <c r="D1388">
        <v>50</v>
      </c>
      <c r="E1388">
        <v>1.4</v>
      </c>
      <c r="F1388" s="16">
        <v>1.4</v>
      </c>
      <c r="G1388">
        <v>72</v>
      </c>
      <c r="H1388">
        <v>7.14</v>
      </c>
      <c r="I1388" t="s">
        <v>1293</v>
      </c>
      <c r="J1388" t="s">
        <v>910</v>
      </c>
      <c r="K1388">
        <v>518</v>
      </c>
      <c r="L1388">
        <v>81</v>
      </c>
      <c r="M1388">
        <v>71.5</v>
      </c>
    </row>
    <row r="1389" spans="2:13" x14ac:dyDescent="0.25">
      <c r="B1389" s="50" t="s">
        <v>2866</v>
      </c>
      <c r="C1389">
        <v>50</v>
      </c>
      <c r="D1389">
        <v>50</v>
      </c>
      <c r="E1389">
        <v>1.8</v>
      </c>
      <c r="F1389" s="16">
        <v>1.8</v>
      </c>
      <c r="G1389">
        <v>49</v>
      </c>
      <c r="H1389">
        <v>5</v>
      </c>
      <c r="I1389" t="s">
        <v>1293</v>
      </c>
      <c r="J1389" t="s">
        <v>900</v>
      </c>
      <c r="K1389">
        <v>170</v>
      </c>
      <c r="L1389">
        <v>70</v>
      </c>
      <c r="M1389">
        <v>45</v>
      </c>
    </row>
    <row r="1390" spans="2:13" x14ac:dyDescent="0.25">
      <c r="B1390" s="50" t="s">
        <v>3395</v>
      </c>
      <c r="C1390">
        <v>50</v>
      </c>
      <c r="D1390">
        <v>50</v>
      </c>
      <c r="E1390">
        <v>2.8</v>
      </c>
      <c r="F1390" s="16">
        <v>2.8</v>
      </c>
      <c r="G1390">
        <v>55</v>
      </c>
      <c r="H1390">
        <v>1</v>
      </c>
      <c r="I1390" t="s">
        <v>1293</v>
      </c>
      <c r="J1390" t="s">
        <v>910</v>
      </c>
      <c r="K1390">
        <v>295</v>
      </c>
      <c r="L1390">
        <v>71</v>
      </c>
      <c r="M1390">
        <v>60</v>
      </c>
    </row>
    <row r="1391" spans="2:13" x14ac:dyDescent="0.25">
      <c r="B1391" s="50" t="s">
        <v>3033</v>
      </c>
      <c r="C1391">
        <v>55</v>
      </c>
      <c r="D1391">
        <v>200</v>
      </c>
      <c r="E1391">
        <v>4</v>
      </c>
      <c r="F1391" s="16">
        <v>4</v>
      </c>
      <c r="G1391">
        <v>55</v>
      </c>
      <c r="H1391">
        <v>3.45</v>
      </c>
      <c r="I1391" t="s">
        <v>1293</v>
      </c>
      <c r="J1391" t="s">
        <v>900</v>
      </c>
      <c r="K1391">
        <v>305</v>
      </c>
      <c r="L1391">
        <v>71.5</v>
      </c>
      <c r="M1391">
        <v>85</v>
      </c>
    </row>
    <row r="1392" spans="2:13" x14ac:dyDescent="0.25">
      <c r="B1392" s="50" t="s">
        <v>3394</v>
      </c>
      <c r="C1392">
        <v>55</v>
      </c>
      <c r="D1392">
        <v>200</v>
      </c>
      <c r="E1392">
        <v>4</v>
      </c>
      <c r="F1392" s="16">
        <v>4</v>
      </c>
      <c r="G1392">
        <v>55</v>
      </c>
      <c r="H1392">
        <v>3.45</v>
      </c>
      <c r="I1392" t="s">
        <v>1293</v>
      </c>
      <c r="J1392" t="s">
        <v>900</v>
      </c>
      <c r="K1392">
        <v>295</v>
      </c>
      <c r="L1392">
        <v>71.5</v>
      </c>
      <c r="M1392">
        <v>85</v>
      </c>
    </row>
    <row r="1393" spans="2:13" x14ac:dyDescent="0.25">
      <c r="B1393" s="50" t="s">
        <v>3032</v>
      </c>
      <c r="C1393">
        <v>55</v>
      </c>
      <c r="D1393">
        <v>300</v>
      </c>
      <c r="E1393">
        <v>4.5</v>
      </c>
      <c r="F1393" s="16">
        <v>4.5</v>
      </c>
      <c r="G1393">
        <v>62</v>
      </c>
      <c r="H1393">
        <v>3.7</v>
      </c>
      <c r="I1393" t="s">
        <v>1293</v>
      </c>
      <c r="J1393" t="s">
        <v>900</v>
      </c>
      <c r="K1393">
        <v>460</v>
      </c>
      <c r="L1393">
        <v>77</v>
      </c>
      <c r="M1393">
        <v>116.5</v>
      </c>
    </row>
    <row r="1394" spans="2:13" x14ac:dyDescent="0.25">
      <c r="B1394" s="50" t="s">
        <v>2864</v>
      </c>
      <c r="C1394">
        <v>70</v>
      </c>
      <c r="D1394">
        <v>200</v>
      </c>
      <c r="E1394">
        <v>2.8</v>
      </c>
      <c r="F1394" s="16">
        <v>2.8</v>
      </c>
      <c r="G1394">
        <v>77</v>
      </c>
      <c r="H1394">
        <v>4.76</v>
      </c>
      <c r="I1394" t="s">
        <v>1293</v>
      </c>
      <c r="J1394" t="s">
        <v>910</v>
      </c>
      <c r="K1394">
        <v>1340</v>
      </c>
      <c r="L1394">
        <v>87</v>
      </c>
      <c r="M1394">
        <v>196.5</v>
      </c>
    </row>
    <row r="1395" spans="2:13" x14ac:dyDescent="0.25">
      <c r="B1395" s="50" t="s">
        <v>3031</v>
      </c>
      <c r="C1395">
        <v>70</v>
      </c>
      <c r="D1395">
        <v>300</v>
      </c>
      <c r="E1395">
        <v>4.5</v>
      </c>
      <c r="F1395" s="16">
        <v>4.5</v>
      </c>
      <c r="G1395">
        <v>62</v>
      </c>
      <c r="H1395">
        <v>4</v>
      </c>
      <c r="I1395" t="s">
        <v>1293</v>
      </c>
      <c r="J1395" t="s">
        <v>910</v>
      </c>
      <c r="K1395">
        <v>760</v>
      </c>
      <c r="L1395">
        <v>82.5</v>
      </c>
      <c r="M1395">
        <v>135.5</v>
      </c>
    </row>
    <row r="1396" spans="2:13" x14ac:dyDescent="0.25">
      <c r="B1396" s="50" t="s">
        <v>3030</v>
      </c>
      <c r="C1396">
        <v>70</v>
      </c>
      <c r="D1396">
        <v>300</v>
      </c>
      <c r="E1396">
        <v>4.5</v>
      </c>
      <c r="F1396" s="16">
        <v>4.5</v>
      </c>
      <c r="G1396">
        <v>62</v>
      </c>
      <c r="H1396">
        <v>4</v>
      </c>
      <c r="I1396" t="s">
        <v>1293</v>
      </c>
      <c r="J1396" t="s">
        <v>910</v>
      </c>
      <c r="K1396">
        <v>760</v>
      </c>
      <c r="L1396">
        <v>82.5</v>
      </c>
      <c r="M1396">
        <v>135.5</v>
      </c>
    </row>
    <row r="1397" spans="2:13" x14ac:dyDescent="0.25">
      <c r="B1397" s="50" t="s">
        <v>2628</v>
      </c>
      <c r="C1397">
        <v>70</v>
      </c>
      <c r="D1397">
        <v>400</v>
      </c>
      <c r="E1397">
        <v>4</v>
      </c>
      <c r="F1397" s="16">
        <v>4</v>
      </c>
      <c r="G1397">
        <v>77</v>
      </c>
      <c r="H1397">
        <v>3.7</v>
      </c>
      <c r="I1397" t="s">
        <v>1293</v>
      </c>
      <c r="J1397" t="s">
        <v>910</v>
      </c>
      <c r="K1397">
        <v>1500</v>
      </c>
      <c r="L1397">
        <v>94.5</v>
      </c>
      <c r="M1397">
        <v>196</v>
      </c>
    </row>
    <row r="1398" spans="2:13" x14ac:dyDescent="0.25">
      <c r="B1398" s="50" t="s">
        <v>3393</v>
      </c>
      <c r="C1398">
        <v>70</v>
      </c>
      <c r="D1398">
        <v>400</v>
      </c>
      <c r="E1398">
        <v>4</v>
      </c>
      <c r="F1398" s="16">
        <v>4</v>
      </c>
      <c r="G1398">
        <v>77</v>
      </c>
      <c r="H1398">
        <v>3.7</v>
      </c>
      <c r="I1398" t="s">
        <v>1293</v>
      </c>
      <c r="J1398" t="s">
        <v>910</v>
      </c>
      <c r="K1398">
        <v>1490</v>
      </c>
      <c r="L1398">
        <v>94.5</v>
      </c>
      <c r="M1398">
        <v>196</v>
      </c>
    </row>
    <row r="1399" spans="2:13" x14ac:dyDescent="0.25">
      <c r="B1399" s="50" t="s">
        <v>3392</v>
      </c>
      <c r="C1399">
        <v>75</v>
      </c>
      <c r="D1399">
        <v>300</v>
      </c>
      <c r="E1399">
        <v>4.5</v>
      </c>
      <c r="F1399" s="16">
        <v>4.5</v>
      </c>
      <c r="G1399">
        <v>55</v>
      </c>
      <c r="H1399">
        <v>4</v>
      </c>
      <c r="I1399" t="s">
        <v>1293</v>
      </c>
      <c r="J1399" t="s">
        <v>910</v>
      </c>
      <c r="K1399">
        <v>460</v>
      </c>
      <c r="L1399">
        <v>71</v>
      </c>
      <c r="M1399">
        <v>122</v>
      </c>
    </row>
    <row r="1400" spans="2:13" x14ac:dyDescent="0.25">
      <c r="B1400" s="50" t="s">
        <v>3390</v>
      </c>
      <c r="C1400">
        <v>85</v>
      </c>
      <c r="D1400">
        <v>85</v>
      </c>
      <c r="E1400">
        <v>1.4</v>
      </c>
      <c r="F1400" s="16">
        <v>1.4</v>
      </c>
      <c r="G1400">
        <v>72</v>
      </c>
      <c r="H1400">
        <v>7.69</v>
      </c>
      <c r="I1400" t="s">
        <v>1293</v>
      </c>
      <c r="J1400" t="s">
        <v>910</v>
      </c>
      <c r="K1400">
        <v>560</v>
      </c>
      <c r="L1400">
        <v>82</v>
      </c>
      <c r="M1400">
        <v>73</v>
      </c>
    </row>
    <row r="1401" spans="2:13" x14ac:dyDescent="0.25">
      <c r="B1401" s="50" t="s">
        <v>3389</v>
      </c>
      <c r="C1401">
        <v>85</v>
      </c>
      <c r="D1401">
        <v>85</v>
      </c>
      <c r="E1401">
        <v>2.8</v>
      </c>
      <c r="F1401" s="16">
        <v>2.8</v>
      </c>
      <c r="G1401">
        <v>55</v>
      </c>
      <c r="H1401">
        <v>5</v>
      </c>
      <c r="I1401" t="s">
        <v>1293</v>
      </c>
      <c r="J1401" t="s">
        <v>910</v>
      </c>
      <c r="K1401">
        <v>175</v>
      </c>
      <c r="L1401">
        <v>70</v>
      </c>
      <c r="M1401">
        <v>52</v>
      </c>
    </row>
    <row r="1402" spans="2:13" x14ac:dyDescent="0.25">
      <c r="B1402" s="50" t="s">
        <v>2559</v>
      </c>
      <c r="C1402">
        <v>10</v>
      </c>
      <c r="D1402">
        <v>18</v>
      </c>
      <c r="E1402">
        <v>4</v>
      </c>
      <c r="F1402" s="16">
        <v>4</v>
      </c>
      <c r="G1402">
        <v>62</v>
      </c>
      <c r="H1402">
        <v>10</v>
      </c>
      <c r="I1402" t="s">
        <v>1221</v>
      </c>
      <c r="J1402" t="s">
        <v>900</v>
      </c>
      <c r="K1402">
        <v>225</v>
      </c>
      <c r="L1402">
        <v>70</v>
      </c>
      <c r="M1402">
        <v>63.5</v>
      </c>
    </row>
    <row r="1403" spans="2:13" x14ac:dyDescent="0.25">
      <c r="B1403" s="50" t="s">
        <v>2558</v>
      </c>
      <c r="C1403">
        <v>16</v>
      </c>
      <c r="D1403">
        <v>50</v>
      </c>
      <c r="E1403">
        <v>3.5</v>
      </c>
      <c r="F1403" s="16">
        <v>3.5</v>
      </c>
      <c r="G1403">
        <v>40.5</v>
      </c>
      <c r="H1403">
        <v>4.6500000000000004</v>
      </c>
      <c r="I1403" t="s">
        <v>1221</v>
      </c>
      <c r="J1403" t="s">
        <v>900</v>
      </c>
      <c r="K1403">
        <v>116</v>
      </c>
      <c r="L1403">
        <v>65</v>
      </c>
      <c r="M1403">
        <v>30</v>
      </c>
    </row>
    <row r="1404" spans="2:13" x14ac:dyDescent="0.25">
      <c r="B1404" s="50" t="s">
        <v>2501</v>
      </c>
      <c r="C1404">
        <v>16</v>
      </c>
      <c r="D1404">
        <v>70</v>
      </c>
      <c r="E1404">
        <v>4</v>
      </c>
      <c r="F1404" s="16">
        <v>4</v>
      </c>
      <c r="G1404">
        <v>55</v>
      </c>
      <c r="H1404">
        <v>4.3499999999999996</v>
      </c>
      <c r="I1404" t="s">
        <v>1221</v>
      </c>
      <c r="J1404" t="s">
        <v>900</v>
      </c>
      <c r="K1404">
        <v>308</v>
      </c>
      <c r="L1404">
        <v>66.599999999999994</v>
      </c>
      <c r="M1404">
        <v>75</v>
      </c>
    </row>
    <row r="1405" spans="2:13" x14ac:dyDescent="0.25">
      <c r="B1405" s="50" t="s">
        <v>2775</v>
      </c>
      <c r="C1405">
        <v>16</v>
      </c>
      <c r="D1405">
        <v>16</v>
      </c>
      <c r="E1405">
        <v>2.8</v>
      </c>
      <c r="F1405" s="16">
        <v>2.8</v>
      </c>
      <c r="G1405">
        <v>49</v>
      </c>
      <c r="H1405">
        <v>12.82</v>
      </c>
      <c r="I1405" t="s">
        <v>1221</v>
      </c>
      <c r="J1405" t="s">
        <v>900</v>
      </c>
      <c r="K1405">
        <v>67</v>
      </c>
      <c r="L1405">
        <v>62</v>
      </c>
      <c r="M1405">
        <v>22.5</v>
      </c>
    </row>
    <row r="1406" spans="2:13" x14ac:dyDescent="0.25">
      <c r="B1406" s="50" t="s">
        <v>2557</v>
      </c>
      <c r="C1406">
        <v>18</v>
      </c>
      <c r="D1406">
        <v>200</v>
      </c>
      <c r="E1406">
        <v>3.5</v>
      </c>
      <c r="F1406" s="16">
        <v>3.5</v>
      </c>
      <c r="G1406">
        <v>62</v>
      </c>
      <c r="H1406">
        <v>3.7</v>
      </c>
      <c r="I1406" t="s">
        <v>1221</v>
      </c>
      <c r="J1406" t="s">
        <v>900</v>
      </c>
      <c r="K1406">
        <v>460</v>
      </c>
      <c r="L1406">
        <v>68</v>
      </c>
      <c r="M1406">
        <v>97.1</v>
      </c>
    </row>
    <row r="1407" spans="2:13" x14ac:dyDescent="0.25">
      <c r="B1407" s="50" t="s">
        <v>2774</v>
      </c>
      <c r="C1407">
        <v>18</v>
      </c>
      <c r="D1407">
        <v>200</v>
      </c>
      <c r="E1407">
        <v>3.5</v>
      </c>
      <c r="F1407" s="16">
        <v>3.5</v>
      </c>
      <c r="G1407">
        <v>67</v>
      </c>
      <c r="H1407">
        <v>2.86</v>
      </c>
      <c r="I1407" t="s">
        <v>1221</v>
      </c>
      <c r="J1407" t="s">
        <v>900</v>
      </c>
      <c r="K1407">
        <v>524</v>
      </c>
      <c r="L1407">
        <v>75.5</v>
      </c>
      <c r="M1407">
        <v>99</v>
      </c>
    </row>
    <row r="1408" spans="2:13" x14ac:dyDescent="0.25">
      <c r="B1408" s="50" t="s">
        <v>2773</v>
      </c>
      <c r="C1408">
        <v>18</v>
      </c>
      <c r="D1408">
        <v>55</v>
      </c>
      <c r="E1408">
        <v>3.5</v>
      </c>
      <c r="F1408" s="16">
        <v>3.5</v>
      </c>
      <c r="G1408">
        <v>49</v>
      </c>
      <c r="H1408">
        <v>3.33</v>
      </c>
      <c r="I1408" t="s">
        <v>1221</v>
      </c>
      <c r="J1408" t="s">
        <v>900</v>
      </c>
      <c r="K1408">
        <v>194</v>
      </c>
      <c r="L1408">
        <v>62</v>
      </c>
      <c r="M1408">
        <v>60</v>
      </c>
    </row>
    <row r="1409" spans="2:13" x14ac:dyDescent="0.25">
      <c r="B1409" s="50" t="s">
        <v>2615</v>
      </c>
      <c r="C1409">
        <v>20</v>
      </c>
      <c r="D1409">
        <v>20</v>
      </c>
      <c r="E1409">
        <v>2.8</v>
      </c>
      <c r="F1409" s="16">
        <v>2.8</v>
      </c>
      <c r="G1409">
        <v>49</v>
      </c>
      <c r="H1409">
        <v>0</v>
      </c>
      <c r="I1409" t="s">
        <v>1221</v>
      </c>
      <c r="J1409" t="s">
        <v>900</v>
      </c>
      <c r="K1409">
        <v>69</v>
      </c>
      <c r="L1409">
        <v>63</v>
      </c>
      <c r="M1409">
        <v>20.399999999999999</v>
      </c>
    </row>
    <row r="1410" spans="2:13" x14ac:dyDescent="0.25">
      <c r="B1410" s="50" t="s">
        <v>4396</v>
      </c>
      <c r="C1410">
        <v>24</v>
      </c>
      <c r="D1410">
        <v>24</v>
      </c>
      <c r="E1410">
        <v>1.8</v>
      </c>
      <c r="F1410" s="16">
        <v>1.8</v>
      </c>
      <c r="G1410">
        <v>49</v>
      </c>
      <c r="H1410">
        <v>4</v>
      </c>
      <c r="I1410" t="s">
        <v>1221</v>
      </c>
      <c r="J1410" t="s">
        <v>900</v>
      </c>
      <c r="K1410">
        <v>225</v>
      </c>
      <c r="L1410">
        <v>63</v>
      </c>
      <c r="M1410">
        <v>65.5</v>
      </c>
    </row>
    <row r="1411" spans="2:13" x14ac:dyDescent="0.25">
      <c r="B1411" s="50" t="s">
        <v>2612</v>
      </c>
      <c r="C1411">
        <v>28</v>
      </c>
      <c r="D1411">
        <v>135</v>
      </c>
      <c r="E1411">
        <v>4</v>
      </c>
      <c r="F1411" s="16">
        <v>4</v>
      </c>
      <c r="G1411">
        <v>95</v>
      </c>
      <c r="H1411">
        <v>6.67</v>
      </c>
      <c r="I1411" t="s">
        <v>1221</v>
      </c>
      <c r="J1411" t="s">
        <v>910</v>
      </c>
      <c r="K1411">
        <v>1120</v>
      </c>
      <c r="L1411">
        <v>105</v>
      </c>
      <c r="M1411">
        <v>162.5</v>
      </c>
    </row>
    <row r="1412" spans="2:13" x14ac:dyDescent="0.25">
      <c r="B1412" s="50" t="s">
        <v>2772</v>
      </c>
      <c r="C1412">
        <v>30</v>
      </c>
      <c r="D1412">
        <v>30</v>
      </c>
      <c r="E1412">
        <v>3.5</v>
      </c>
      <c r="F1412" s="16">
        <v>3.5</v>
      </c>
      <c r="G1412">
        <v>49</v>
      </c>
      <c r="H1412">
        <v>1</v>
      </c>
      <c r="I1412" t="s">
        <v>1221</v>
      </c>
      <c r="J1412" t="s">
        <v>900</v>
      </c>
      <c r="K1412">
        <v>138</v>
      </c>
      <c r="L1412">
        <v>62</v>
      </c>
      <c r="M1412">
        <v>55.5</v>
      </c>
    </row>
    <row r="1413" spans="2:13" x14ac:dyDescent="0.25">
      <c r="B1413" s="50" t="s">
        <v>4497</v>
      </c>
      <c r="C1413">
        <v>35</v>
      </c>
      <c r="D1413">
        <v>35</v>
      </c>
      <c r="E1413">
        <v>1.8</v>
      </c>
      <c r="F1413" s="16">
        <v>1.8</v>
      </c>
      <c r="G1413">
        <v>49</v>
      </c>
      <c r="H1413">
        <v>6.67</v>
      </c>
      <c r="I1413" t="s">
        <v>1221</v>
      </c>
      <c r="J1413" t="s">
        <v>900</v>
      </c>
      <c r="K1413">
        <v>155</v>
      </c>
      <c r="L1413">
        <v>62</v>
      </c>
      <c r="M1413">
        <v>55.5</v>
      </c>
    </row>
    <row r="1414" spans="2:13" x14ac:dyDescent="0.25">
      <c r="B1414" s="50" t="s">
        <v>4475</v>
      </c>
      <c r="C1414">
        <v>50</v>
      </c>
      <c r="D1414">
        <v>50</v>
      </c>
      <c r="E1414">
        <v>1.8</v>
      </c>
      <c r="F1414" s="16">
        <v>1.8</v>
      </c>
      <c r="G1414">
        <v>49</v>
      </c>
      <c r="H1414">
        <v>6.25</v>
      </c>
      <c r="I1414" t="s">
        <v>1221</v>
      </c>
      <c r="J1414" t="s">
        <v>900</v>
      </c>
      <c r="K1414">
        <v>202</v>
      </c>
      <c r="L1414">
        <v>62</v>
      </c>
      <c r="M1414">
        <v>62</v>
      </c>
    </row>
    <row r="1415" spans="2:13" x14ac:dyDescent="0.25">
      <c r="B1415" s="50" t="s">
        <v>2859</v>
      </c>
      <c r="C1415">
        <v>50</v>
      </c>
      <c r="D1415">
        <v>50</v>
      </c>
      <c r="E1415">
        <v>1.8</v>
      </c>
      <c r="F1415" s="16">
        <v>1.8</v>
      </c>
      <c r="G1415">
        <v>49</v>
      </c>
      <c r="H1415">
        <v>6.25</v>
      </c>
      <c r="I1415" t="s">
        <v>1221</v>
      </c>
      <c r="J1415" t="s">
        <v>900</v>
      </c>
      <c r="K1415">
        <v>202</v>
      </c>
      <c r="L1415">
        <v>62</v>
      </c>
      <c r="M1415">
        <v>62</v>
      </c>
    </row>
    <row r="1416" spans="2:13" x14ac:dyDescent="0.25">
      <c r="B1416" s="50" t="s">
        <v>4482</v>
      </c>
      <c r="C1416">
        <v>55</v>
      </c>
      <c r="D1416">
        <v>210</v>
      </c>
      <c r="E1416">
        <v>4.5</v>
      </c>
      <c r="F1416" s="16">
        <v>4.5</v>
      </c>
      <c r="G1416">
        <v>49</v>
      </c>
      <c r="H1416">
        <v>4.4400000000000004</v>
      </c>
      <c r="I1416" t="s">
        <v>1221</v>
      </c>
      <c r="J1416" t="s">
        <v>900</v>
      </c>
      <c r="K1416">
        <v>345</v>
      </c>
      <c r="L1416">
        <v>63.8</v>
      </c>
      <c r="M1416">
        <v>108</v>
      </c>
    </row>
    <row r="1417" spans="2:13" x14ac:dyDescent="0.25">
      <c r="B1417" s="50" t="s">
        <v>4394</v>
      </c>
      <c r="C1417">
        <v>55</v>
      </c>
      <c r="D1417">
        <v>210</v>
      </c>
      <c r="E1417">
        <v>4.5</v>
      </c>
      <c r="F1417" s="16">
        <v>4.5</v>
      </c>
      <c r="G1417">
        <v>49</v>
      </c>
      <c r="H1417">
        <v>4.4400000000000004</v>
      </c>
      <c r="I1417" t="s">
        <v>1221</v>
      </c>
      <c r="J1417" t="s">
        <v>900</v>
      </c>
      <c r="K1417">
        <v>345</v>
      </c>
      <c r="L1417">
        <v>63.8</v>
      </c>
      <c r="M1417">
        <v>108</v>
      </c>
    </row>
    <row r="1418" spans="2:13" x14ac:dyDescent="0.25">
      <c r="B1418" s="50" t="s">
        <v>2502</v>
      </c>
      <c r="C1418">
        <v>18</v>
      </c>
      <c r="D1418">
        <v>105</v>
      </c>
      <c r="E1418">
        <v>4</v>
      </c>
      <c r="F1418" s="16">
        <v>4</v>
      </c>
      <c r="G1418">
        <v>72</v>
      </c>
      <c r="H1418">
        <v>9.09</v>
      </c>
      <c r="I1418" t="s">
        <v>1221</v>
      </c>
      <c r="J1418" t="s">
        <v>900</v>
      </c>
      <c r="K1418">
        <v>427</v>
      </c>
      <c r="L1418">
        <v>78</v>
      </c>
      <c r="M1418">
        <v>110</v>
      </c>
    </row>
    <row r="1419" spans="2:13" x14ac:dyDescent="0.25">
      <c r="B1419" s="50" t="s">
        <v>2625</v>
      </c>
      <c r="C1419">
        <v>18</v>
      </c>
      <c r="D1419">
        <v>110</v>
      </c>
      <c r="E1419">
        <v>4</v>
      </c>
      <c r="F1419" s="16">
        <v>4</v>
      </c>
      <c r="G1419">
        <v>95</v>
      </c>
      <c r="H1419">
        <v>8.1999999999999993</v>
      </c>
      <c r="I1419" t="s">
        <v>1221</v>
      </c>
      <c r="J1419" t="s">
        <v>900</v>
      </c>
      <c r="K1419">
        <v>1110</v>
      </c>
      <c r="L1419">
        <v>110</v>
      </c>
      <c r="M1419">
        <v>167.5</v>
      </c>
    </row>
    <row r="1420" spans="2:13" x14ac:dyDescent="0.25">
      <c r="B1420" s="50" t="s">
        <v>2858</v>
      </c>
      <c r="C1420">
        <v>18</v>
      </c>
      <c r="D1420">
        <v>200</v>
      </c>
      <c r="E1420">
        <v>3.5</v>
      </c>
      <c r="F1420" s="16">
        <v>3.5</v>
      </c>
      <c r="G1420">
        <v>67</v>
      </c>
      <c r="H1420">
        <v>2.86</v>
      </c>
      <c r="I1420" t="s">
        <v>1221</v>
      </c>
      <c r="J1420" t="s">
        <v>900</v>
      </c>
      <c r="K1420">
        <v>649</v>
      </c>
      <c r="L1420">
        <v>93.2</v>
      </c>
      <c r="M1420">
        <v>99</v>
      </c>
    </row>
    <row r="1421" spans="2:13" x14ac:dyDescent="0.25">
      <c r="B1421" s="50" t="s">
        <v>2509</v>
      </c>
      <c r="C1421">
        <v>100</v>
      </c>
      <c r="D1421">
        <v>400</v>
      </c>
      <c r="E1421">
        <v>4.5</v>
      </c>
      <c r="F1421" s="16">
        <v>4.5</v>
      </c>
      <c r="G1421">
        <v>77</v>
      </c>
      <c r="H1421">
        <v>2.86</v>
      </c>
      <c r="I1421" t="s">
        <v>1221</v>
      </c>
      <c r="J1421" t="s">
        <v>910</v>
      </c>
      <c r="K1421">
        <v>1400</v>
      </c>
      <c r="L1421">
        <v>93.9</v>
      </c>
      <c r="M1421">
        <v>205</v>
      </c>
    </row>
    <row r="1422" spans="2:13" x14ac:dyDescent="0.25">
      <c r="B1422" s="50" t="s">
        <v>2721</v>
      </c>
      <c r="C1422">
        <v>100</v>
      </c>
      <c r="D1422">
        <v>100</v>
      </c>
      <c r="E1422">
        <v>2.8</v>
      </c>
      <c r="F1422" s="16">
        <v>2.8</v>
      </c>
      <c r="G1422">
        <v>72</v>
      </c>
      <c r="H1422">
        <v>7.14</v>
      </c>
      <c r="I1422" t="s">
        <v>1221</v>
      </c>
      <c r="J1422" t="s">
        <v>910</v>
      </c>
      <c r="K1422">
        <v>700</v>
      </c>
      <c r="L1422">
        <v>85.2</v>
      </c>
      <c r="M1422">
        <v>118.1</v>
      </c>
    </row>
    <row r="1423" spans="2:13" x14ac:dyDescent="0.25">
      <c r="B1423" s="50" t="s">
        <v>2523</v>
      </c>
      <c r="C1423">
        <v>12</v>
      </c>
      <c r="D1423">
        <v>24</v>
      </c>
      <c r="E1423">
        <v>4</v>
      </c>
      <c r="F1423" s="16">
        <v>4</v>
      </c>
      <c r="G1423">
        <v>0</v>
      </c>
      <c r="H1423">
        <v>7.14</v>
      </c>
      <c r="I1423" t="s">
        <v>1221</v>
      </c>
      <c r="J1423" t="s">
        <v>910</v>
      </c>
      <c r="K1423">
        <v>565</v>
      </c>
      <c r="L1423">
        <v>87</v>
      </c>
      <c r="M1423">
        <v>117.4</v>
      </c>
    </row>
    <row r="1424" spans="2:13" x14ac:dyDescent="0.25">
      <c r="B1424" s="50" t="s">
        <v>2506</v>
      </c>
      <c r="C1424">
        <v>16</v>
      </c>
      <c r="D1424">
        <v>35</v>
      </c>
      <c r="E1424">
        <v>2.8</v>
      </c>
      <c r="F1424" s="16">
        <v>2.8</v>
      </c>
      <c r="G1424">
        <v>82</v>
      </c>
      <c r="H1424">
        <v>5.26</v>
      </c>
      <c r="I1424" t="s">
        <v>1221</v>
      </c>
      <c r="J1424" t="s">
        <v>910</v>
      </c>
      <c r="K1424">
        <v>680</v>
      </c>
      <c r="L1424">
        <v>88.5</v>
      </c>
      <c r="M1424">
        <v>121.6</v>
      </c>
    </row>
    <row r="1425" spans="2:13" x14ac:dyDescent="0.25">
      <c r="B1425" s="50" t="s">
        <v>2580</v>
      </c>
      <c r="C1425">
        <v>16</v>
      </c>
      <c r="D1425">
        <v>35</v>
      </c>
      <c r="E1425">
        <v>4</v>
      </c>
      <c r="F1425" s="16">
        <v>4</v>
      </c>
      <c r="G1425">
        <v>72</v>
      </c>
      <c r="H1425">
        <v>5.26</v>
      </c>
      <c r="I1425" t="s">
        <v>1221</v>
      </c>
      <c r="J1425" t="s">
        <v>910</v>
      </c>
      <c r="K1425">
        <v>518</v>
      </c>
      <c r="L1425">
        <v>78</v>
      </c>
      <c r="M1425">
        <v>98.5</v>
      </c>
    </row>
    <row r="1426" spans="2:13" x14ac:dyDescent="0.25">
      <c r="B1426" s="50" t="s">
        <v>2497</v>
      </c>
      <c r="C1426">
        <v>24</v>
      </c>
      <c r="D1426">
        <v>105</v>
      </c>
      <c r="E1426">
        <v>4</v>
      </c>
      <c r="F1426" s="16">
        <v>4</v>
      </c>
      <c r="G1426">
        <v>77</v>
      </c>
      <c r="H1426">
        <v>3.23</v>
      </c>
      <c r="I1426" t="s">
        <v>1221</v>
      </c>
      <c r="J1426" t="s">
        <v>910</v>
      </c>
      <c r="K1426">
        <v>663</v>
      </c>
      <c r="L1426">
        <v>83.4</v>
      </c>
      <c r="M1426">
        <v>113.3</v>
      </c>
    </row>
    <row r="1427" spans="2:13" x14ac:dyDescent="0.25">
      <c r="B1427" s="50" t="s">
        <v>2538</v>
      </c>
      <c r="C1427">
        <v>24</v>
      </c>
      <c r="D1427">
        <v>240</v>
      </c>
      <c r="E1427">
        <v>3.5</v>
      </c>
      <c r="F1427" s="16">
        <v>3.5</v>
      </c>
      <c r="G1427">
        <v>72</v>
      </c>
      <c r="H1427">
        <v>3.7</v>
      </c>
      <c r="I1427" t="s">
        <v>1221</v>
      </c>
      <c r="J1427" t="s">
        <v>910</v>
      </c>
      <c r="K1427">
        <v>780</v>
      </c>
      <c r="L1427">
        <v>80.5</v>
      </c>
      <c r="M1427">
        <v>118.5</v>
      </c>
    </row>
    <row r="1428" spans="2:13" x14ac:dyDescent="0.25">
      <c r="B1428" s="50" t="s">
        <v>2508</v>
      </c>
      <c r="C1428">
        <v>24</v>
      </c>
      <c r="D1428">
        <v>70</v>
      </c>
      <c r="E1428">
        <v>2.8</v>
      </c>
      <c r="F1428" s="16">
        <v>2.8</v>
      </c>
      <c r="G1428">
        <v>82</v>
      </c>
      <c r="H1428">
        <v>4.17</v>
      </c>
      <c r="I1428" t="s">
        <v>1221</v>
      </c>
      <c r="J1428" t="s">
        <v>910</v>
      </c>
      <c r="K1428">
        <v>886</v>
      </c>
      <c r="L1428">
        <v>87.6</v>
      </c>
      <c r="M1428">
        <v>136</v>
      </c>
    </row>
    <row r="1429" spans="2:13" x14ac:dyDescent="0.25">
      <c r="B1429" s="50" t="s">
        <v>2503</v>
      </c>
      <c r="C1429">
        <v>24</v>
      </c>
      <c r="D1429">
        <v>70</v>
      </c>
      <c r="E1429">
        <v>4</v>
      </c>
      <c r="F1429" s="16">
        <v>4</v>
      </c>
      <c r="G1429">
        <v>67</v>
      </c>
      <c r="H1429">
        <v>5</v>
      </c>
      <c r="I1429" t="s">
        <v>1221</v>
      </c>
      <c r="J1429" t="s">
        <v>910</v>
      </c>
      <c r="K1429">
        <v>426</v>
      </c>
      <c r="L1429">
        <v>73</v>
      </c>
      <c r="M1429">
        <v>94.5</v>
      </c>
    </row>
    <row r="1430" spans="2:13" x14ac:dyDescent="0.25">
      <c r="B1430" s="50" t="s">
        <v>4480</v>
      </c>
      <c r="C1430">
        <v>28</v>
      </c>
      <c r="D1430">
        <v>70</v>
      </c>
      <c r="E1430">
        <v>3.5</v>
      </c>
      <c r="F1430" s="16">
        <v>3.5</v>
      </c>
      <c r="G1430">
        <v>55</v>
      </c>
      <c r="H1430">
        <v>5.26</v>
      </c>
      <c r="I1430" t="s">
        <v>1221</v>
      </c>
      <c r="J1430" t="s">
        <v>910</v>
      </c>
      <c r="K1430">
        <v>295</v>
      </c>
      <c r="L1430">
        <v>72.5</v>
      </c>
      <c r="M1430">
        <v>83</v>
      </c>
    </row>
    <row r="1431" spans="2:13" x14ac:dyDescent="0.25">
      <c r="B1431" s="50" t="s">
        <v>2519</v>
      </c>
      <c r="C1431">
        <v>28</v>
      </c>
      <c r="D1431">
        <v>28</v>
      </c>
      <c r="E1431">
        <v>2</v>
      </c>
      <c r="F1431" s="16">
        <v>2</v>
      </c>
      <c r="G1431">
        <v>49</v>
      </c>
      <c r="H1431">
        <v>7.69</v>
      </c>
      <c r="I1431" t="s">
        <v>1221</v>
      </c>
      <c r="J1431" t="s">
        <v>910</v>
      </c>
      <c r="K1431">
        <v>200</v>
      </c>
      <c r="L1431">
        <v>64</v>
      </c>
      <c r="M1431">
        <v>60</v>
      </c>
    </row>
    <row r="1432" spans="2:13" x14ac:dyDescent="0.25">
      <c r="B1432" s="50" t="s">
        <v>2537</v>
      </c>
      <c r="C1432">
        <v>35</v>
      </c>
      <c r="D1432">
        <v>35</v>
      </c>
      <c r="E1432">
        <v>1.4</v>
      </c>
      <c r="F1432" s="16">
        <v>1.4</v>
      </c>
      <c r="G1432">
        <v>72</v>
      </c>
      <c r="H1432">
        <v>5.55</v>
      </c>
      <c r="I1432" t="s">
        <v>1221</v>
      </c>
      <c r="J1432" t="s">
        <v>910</v>
      </c>
      <c r="K1432">
        <v>630</v>
      </c>
      <c r="L1432">
        <v>78.5</v>
      </c>
      <c r="M1432">
        <v>112</v>
      </c>
    </row>
    <row r="1433" spans="2:13" x14ac:dyDescent="0.25">
      <c r="B1433" s="50" t="s">
        <v>2611</v>
      </c>
      <c r="C1433">
        <v>35</v>
      </c>
      <c r="D1433">
        <v>35</v>
      </c>
      <c r="E1433">
        <v>2.8</v>
      </c>
      <c r="F1433" s="16">
        <v>2.8</v>
      </c>
      <c r="G1433">
        <v>49</v>
      </c>
      <c r="H1433">
        <v>8.33</v>
      </c>
      <c r="I1433" t="s">
        <v>1221</v>
      </c>
      <c r="J1433" t="s">
        <v>910</v>
      </c>
      <c r="K1433">
        <v>120</v>
      </c>
      <c r="L1433">
        <v>61.5</v>
      </c>
      <c r="M1433">
        <v>36.5</v>
      </c>
    </row>
    <row r="1434" spans="2:13" x14ac:dyDescent="0.25">
      <c r="B1434" s="50" t="s">
        <v>4489</v>
      </c>
      <c r="C1434">
        <v>50</v>
      </c>
      <c r="D1434">
        <v>50</v>
      </c>
      <c r="E1434">
        <v>1.4</v>
      </c>
      <c r="F1434" s="16">
        <v>1.4</v>
      </c>
      <c r="G1434">
        <v>72</v>
      </c>
      <c r="H1434">
        <v>6.67</v>
      </c>
      <c r="I1434" t="s">
        <v>1221</v>
      </c>
      <c r="J1434" t="s">
        <v>910</v>
      </c>
      <c r="K1434">
        <v>778</v>
      </c>
      <c r="L1434">
        <v>83.5</v>
      </c>
      <c r="M1434">
        <v>108</v>
      </c>
    </row>
    <row r="1435" spans="2:13" x14ac:dyDescent="0.25">
      <c r="B1435" s="50" t="s">
        <v>2536</v>
      </c>
      <c r="C1435">
        <v>50</v>
      </c>
      <c r="D1435">
        <v>50</v>
      </c>
      <c r="E1435">
        <v>1.8</v>
      </c>
      <c r="F1435" s="16">
        <v>1.8</v>
      </c>
      <c r="G1435">
        <v>49</v>
      </c>
      <c r="H1435">
        <v>7.14</v>
      </c>
      <c r="I1435" t="s">
        <v>1221</v>
      </c>
      <c r="J1435" t="s">
        <v>910</v>
      </c>
      <c r="K1435">
        <v>186</v>
      </c>
      <c r="L1435">
        <v>59.5</v>
      </c>
      <c r="M1435">
        <v>68.599999999999994</v>
      </c>
    </row>
    <row r="1436" spans="2:13" x14ac:dyDescent="0.25">
      <c r="B1436" s="50" t="s">
        <v>2577</v>
      </c>
      <c r="C1436">
        <v>50</v>
      </c>
      <c r="D1436">
        <v>50</v>
      </c>
      <c r="E1436">
        <v>2.8</v>
      </c>
      <c r="F1436" s="16">
        <v>2.8</v>
      </c>
      <c r="G1436">
        <v>55</v>
      </c>
      <c r="H1436">
        <v>1</v>
      </c>
      <c r="I1436" t="s">
        <v>1221</v>
      </c>
      <c r="J1436" t="s">
        <v>910</v>
      </c>
      <c r="K1436">
        <v>236</v>
      </c>
      <c r="L1436">
        <v>70.8</v>
      </c>
      <c r="M1436">
        <v>71</v>
      </c>
    </row>
    <row r="1437" spans="2:13" x14ac:dyDescent="0.25">
      <c r="B1437" s="50" t="s">
        <v>4474</v>
      </c>
      <c r="C1437">
        <v>55</v>
      </c>
      <c r="D1437">
        <v>55</v>
      </c>
      <c r="E1437">
        <v>1.8</v>
      </c>
      <c r="F1437" s="16">
        <v>1.8</v>
      </c>
      <c r="G1437">
        <v>49</v>
      </c>
      <c r="H1437">
        <v>7.14</v>
      </c>
      <c r="I1437" t="s">
        <v>1221</v>
      </c>
      <c r="J1437" t="s">
        <v>910</v>
      </c>
      <c r="K1437">
        <v>281</v>
      </c>
      <c r="L1437">
        <v>64.400000000000006</v>
      </c>
      <c r="M1437">
        <v>70.5</v>
      </c>
    </row>
    <row r="1438" spans="2:13" x14ac:dyDescent="0.25">
      <c r="B1438" s="50" t="s">
        <v>2518</v>
      </c>
      <c r="C1438">
        <v>70</v>
      </c>
      <c r="D1438">
        <v>200</v>
      </c>
      <c r="E1438">
        <v>2.8</v>
      </c>
      <c r="F1438" s="16">
        <v>2.8</v>
      </c>
      <c r="G1438">
        <v>77</v>
      </c>
      <c r="H1438">
        <v>4</v>
      </c>
      <c r="I1438" t="s">
        <v>1221</v>
      </c>
      <c r="J1438" t="s">
        <v>910</v>
      </c>
      <c r="K1438">
        <v>1480</v>
      </c>
      <c r="L1438">
        <v>88</v>
      </c>
      <c r="M1438">
        <v>200</v>
      </c>
    </row>
    <row r="1439" spans="2:13" x14ac:dyDescent="0.25">
      <c r="B1439" s="50" t="s">
        <v>2512</v>
      </c>
      <c r="C1439">
        <v>70</v>
      </c>
      <c r="D1439">
        <v>200</v>
      </c>
      <c r="E1439">
        <v>4</v>
      </c>
      <c r="F1439" s="16">
        <v>4</v>
      </c>
      <c r="G1439">
        <v>72</v>
      </c>
      <c r="H1439">
        <v>7.69</v>
      </c>
      <c r="I1439" t="s">
        <v>1221</v>
      </c>
      <c r="J1439" t="s">
        <v>910</v>
      </c>
      <c r="K1439">
        <v>840</v>
      </c>
      <c r="L1439">
        <v>80</v>
      </c>
      <c r="M1439">
        <v>175</v>
      </c>
    </row>
    <row r="1440" spans="2:13" x14ac:dyDescent="0.25">
      <c r="B1440" s="50" t="s">
        <v>2576</v>
      </c>
      <c r="C1440">
        <v>70</v>
      </c>
      <c r="D1440">
        <v>300</v>
      </c>
      <c r="E1440">
        <v>4</v>
      </c>
      <c r="F1440" s="16">
        <v>4</v>
      </c>
      <c r="G1440">
        <v>72</v>
      </c>
      <c r="H1440">
        <v>3.23</v>
      </c>
      <c r="I1440" t="s">
        <v>1221</v>
      </c>
      <c r="J1440" t="s">
        <v>910</v>
      </c>
      <c r="K1440">
        <v>854</v>
      </c>
      <c r="L1440">
        <v>84</v>
      </c>
      <c r="M1440">
        <v>143.5</v>
      </c>
    </row>
    <row r="1441" spans="2:13" x14ac:dyDescent="0.25">
      <c r="B1441" s="50" t="s">
        <v>4503</v>
      </c>
      <c r="C1441">
        <v>85</v>
      </c>
      <c r="D1441">
        <v>85</v>
      </c>
      <c r="E1441">
        <v>1.4</v>
      </c>
      <c r="F1441" s="16">
        <v>1.4</v>
      </c>
      <c r="G1441">
        <v>77</v>
      </c>
      <c r="H1441">
        <v>8.33</v>
      </c>
      <c r="I1441" t="s">
        <v>1221</v>
      </c>
      <c r="J1441" t="s">
        <v>910</v>
      </c>
      <c r="K1441">
        <v>820</v>
      </c>
      <c r="L1441">
        <v>89.5</v>
      </c>
      <c r="M1441">
        <v>107.5</v>
      </c>
    </row>
    <row r="1442" spans="2:13" x14ac:dyDescent="0.25">
      <c r="B1442" s="50" t="s">
        <v>2511</v>
      </c>
      <c r="C1442">
        <v>85</v>
      </c>
      <c r="D1442">
        <v>85</v>
      </c>
      <c r="E1442">
        <v>1.8</v>
      </c>
      <c r="F1442" s="16">
        <v>1.8</v>
      </c>
      <c r="G1442">
        <v>67</v>
      </c>
      <c r="H1442">
        <v>7.69</v>
      </c>
      <c r="I1442" t="s">
        <v>1221</v>
      </c>
      <c r="J1442" t="s">
        <v>910</v>
      </c>
      <c r="K1442">
        <v>371</v>
      </c>
      <c r="L1442">
        <v>78</v>
      </c>
      <c r="M1442">
        <v>82</v>
      </c>
    </row>
    <row r="1443" spans="2:13" x14ac:dyDescent="0.25">
      <c r="B1443" s="50" t="s">
        <v>4502</v>
      </c>
      <c r="C1443">
        <v>90</v>
      </c>
      <c r="D1443">
        <v>90</v>
      </c>
      <c r="E1443">
        <v>2.8</v>
      </c>
      <c r="F1443" s="16">
        <v>2.8</v>
      </c>
      <c r="G1443">
        <v>62</v>
      </c>
      <c r="H1443">
        <v>1</v>
      </c>
      <c r="I1443" t="s">
        <v>1221</v>
      </c>
      <c r="J1443" t="s">
        <v>910</v>
      </c>
      <c r="K1443">
        <v>602</v>
      </c>
      <c r="L1443">
        <v>79</v>
      </c>
      <c r="M1443">
        <v>130.5</v>
      </c>
    </row>
    <row r="1444" spans="2:13" x14ac:dyDescent="0.25">
      <c r="B1444" s="50" t="s">
        <v>3028</v>
      </c>
      <c r="C1444">
        <v>10</v>
      </c>
      <c r="D1444">
        <v>24</v>
      </c>
      <c r="E1444">
        <v>3.5</v>
      </c>
      <c r="F1444" s="16">
        <v>3.5</v>
      </c>
      <c r="G1444">
        <v>77</v>
      </c>
      <c r="H1444">
        <v>5.3</v>
      </c>
      <c r="I1444" t="s">
        <v>1251</v>
      </c>
      <c r="J1444" t="s">
        <v>900</v>
      </c>
      <c r="K1444">
        <v>440</v>
      </c>
      <c r="L1444">
        <v>83.6</v>
      </c>
      <c r="M1444">
        <v>84.6</v>
      </c>
    </row>
    <row r="1445" spans="2:13" x14ac:dyDescent="0.25">
      <c r="B1445" s="50" t="s">
        <v>2720</v>
      </c>
      <c r="C1445">
        <v>10</v>
      </c>
      <c r="D1445">
        <v>24</v>
      </c>
      <c r="E1445">
        <v>3.5</v>
      </c>
      <c r="F1445" s="16">
        <v>3.5</v>
      </c>
      <c r="G1445">
        <v>77</v>
      </c>
      <c r="H1445">
        <v>5.3</v>
      </c>
      <c r="I1445" t="s">
        <v>8</v>
      </c>
      <c r="J1445" t="s">
        <v>900</v>
      </c>
      <c r="K1445">
        <v>440</v>
      </c>
      <c r="L1445">
        <v>83.6</v>
      </c>
      <c r="M1445">
        <v>82.1</v>
      </c>
    </row>
    <row r="1446" spans="2:13" x14ac:dyDescent="0.25">
      <c r="B1446" s="50" t="s">
        <v>2857</v>
      </c>
      <c r="C1446">
        <v>14</v>
      </c>
      <c r="D1446">
        <v>150</v>
      </c>
      <c r="E1446">
        <v>3.5</v>
      </c>
      <c r="F1446" s="16">
        <v>3.5</v>
      </c>
      <c r="G1446">
        <v>52</v>
      </c>
      <c r="H1446">
        <v>3.8</v>
      </c>
      <c r="I1446" t="s">
        <v>1227</v>
      </c>
      <c r="J1446" t="s">
        <v>1228</v>
      </c>
      <c r="K1446">
        <v>280</v>
      </c>
      <c r="L1446">
        <v>63</v>
      </c>
      <c r="M1446">
        <v>85.2</v>
      </c>
    </row>
    <row r="1447" spans="2:13" x14ac:dyDescent="0.25">
      <c r="B1447" s="50" t="s">
        <v>3027</v>
      </c>
      <c r="C1447">
        <v>14</v>
      </c>
      <c r="D1447">
        <v>150</v>
      </c>
      <c r="E1447">
        <v>3.5</v>
      </c>
      <c r="F1447" s="16">
        <v>3.5</v>
      </c>
      <c r="G1447">
        <v>52</v>
      </c>
      <c r="H1447">
        <v>3.8</v>
      </c>
      <c r="I1447" t="s">
        <v>1227</v>
      </c>
      <c r="J1447" t="s">
        <v>1228</v>
      </c>
      <c r="K1447">
        <v>280</v>
      </c>
      <c r="L1447">
        <v>63</v>
      </c>
      <c r="M1447">
        <v>85.2</v>
      </c>
    </row>
    <row r="1448" spans="2:13" x14ac:dyDescent="0.25">
      <c r="B1448" s="50" t="s">
        <v>2682</v>
      </c>
      <c r="C1448">
        <v>16</v>
      </c>
      <c r="D1448">
        <v>300</v>
      </c>
      <c r="E1448">
        <v>3.5</v>
      </c>
      <c r="F1448" s="16">
        <v>3.5</v>
      </c>
      <c r="G1448">
        <v>67</v>
      </c>
      <c r="H1448">
        <v>2.94</v>
      </c>
      <c r="I1448" t="s">
        <v>1293</v>
      </c>
      <c r="J1448" t="s">
        <v>900</v>
      </c>
      <c r="K1448">
        <v>540</v>
      </c>
      <c r="L1448">
        <v>75</v>
      </c>
      <c r="M1448">
        <v>100</v>
      </c>
    </row>
    <row r="1449" spans="2:13" x14ac:dyDescent="0.25">
      <c r="B1449" s="50" t="s">
        <v>2598</v>
      </c>
      <c r="C1449">
        <v>16</v>
      </c>
      <c r="D1449">
        <v>300</v>
      </c>
      <c r="E1449">
        <v>3.5</v>
      </c>
      <c r="F1449" s="16">
        <v>3.5</v>
      </c>
      <c r="G1449">
        <v>67</v>
      </c>
      <c r="H1449">
        <v>2.94</v>
      </c>
      <c r="I1449" t="s">
        <v>1251</v>
      </c>
      <c r="J1449" t="s">
        <v>900</v>
      </c>
      <c r="K1449">
        <v>540</v>
      </c>
      <c r="L1449">
        <v>75</v>
      </c>
      <c r="M1449">
        <v>100</v>
      </c>
    </row>
    <row r="1450" spans="2:13" x14ac:dyDescent="0.25">
      <c r="B1450" s="50" t="s">
        <v>2719</v>
      </c>
      <c r="C1450">
        <v>16</v>
      </c>
      <c r="D1450">
        <v>300</v>
      </c>
      <c r="E1450">
        <v>3.5</v>
      </c>
      <c r="F1450" s="16">
        <v>3.5</v>
      </c>
      <c r="G1450">
        <v>67</v>
      </c>
      <c r="H1450">
        <v>2.94</v>
      </c>
      <c r="I1450" t="s">
        <v>8</v>
      </c>
      <c r="J1450" t="s">
        <v>900</v>
      </c>
      <c r="K1450">
        <v>540</v>
      </c>
      <c r="L1450">
        <v>75</v>
      </c>
      <c r="M1450">
        <v>100</v>
      </c>
    </row>
    <row r="1451" spans="2:13" x14ac:dyDescent="0.25">
      <c r="B1451" s="50" t="s">
        <v>2681</v>
      </c>
      <c r="C1451">
        <v>18</v>
      </c>
      <c r="D1451">
        <v>200</v>
      </c>
      <c r="E1451">
        <v>3.5</v>
      </c>
      <c r="F1451" s="16">
        <v>3.5</v>
      </c>
      <c r="G1451">
        <v>62</v>
      </c>
      <c r="H1451">
        <v>4</v>
      </c>
      <c r="I1451" t="s">
        <v>1293</v>
      </c>
      <c r="J1451" t="s">
        <v>900</v>
      </c>
      <c r="K1451">
        <v>400</v>
      </c>
      <c r="L1451">
        <v>75</v>
      </c>
      <c r="M1451">
        <v>96.6</v>
      </c>
    </row>
    <row r="1452" spans="2:13" x14ac:dyDescent="0.25">
      <c r="B1452" s="50" t="s">
        <v>2610</v>
      </c>
      <c r="C1452">
        <v>18</v>
      </c>
      <c r="D1452">
        <v>200</v>
      </c>
      <c r="E1452">
        <v>3.5</v>
      </c>
      <c r="F1452" s="16">
        <v>3.5</v>
      </c>
      <c r="G1452">
        <v>62</v>
      </c>
      <c r="H1452">
        <v>4</v>
      </c>
      <c r="I1452" t="s">
        <v>1251</v>
      </c>
      <c r="J1452" t="s">
        <v>900</v>
      </c>
      <c r="K1452">
        <v>400</v>
      </c>
      <c r="L1452">
        <v>75</v>
      </c>
      <c r="M1452">
        <v>96.6</v>
      </c>
    </row>
    <row r="1453" spans="2:13" x14ac:dyDescent="0.25">
      <c r="B1453" s="50" t="s">
        <v>3026</v>
      </c>
      <c r="C1453">
        <v>18</v>
      </c>
      <c r="D1453">
        <v>200</v>
      </c>
      <c r="E1453">
        <v>3.5</v>
      </c>
      <c r="F1453" s="16">
        <v>3.5</v>
      </c>
      <c r="G1453">
        <v>62</v>
      </c>
      <c r="H1453">
        <v>4</v>
      </c>
      <c r="I1453" t="s">
        <v>8</v>
      </c>
      <c r="J1453" t="s">
        <v>900</v>
      </c>
      <c r="K1453">
        <v>400</v>
      </c>
      <c r="L1453">
        <v>75</v>
      </c>
      <c r="M1453">
        <v>96.6</v>
      </c>
    </row>
    <row r="1454" spans="2:13" x14ac:dyDescent="0.25">
      <c r="B1454" s="50" t="s">
        <v>3025</v>
      </c>
      <c r="C1454">
        <v>18</v>
      </c>
      <c r="D1454">
        <v>200</v>
      </c>
      <c r="E1454">
        <v>3.5</v>
      </c>
      <c r="F1454" s="16">
        <v>3.5</v>
      </c>
      <c r="G1454">
        <v>62</v>
      </c>
      <c r="H1454">
        <v>3.7</v>
      </c>
      <c r="I1454" t="s">
        <v>1298</v>
      </c>
      <c r="J1454" t="s">
        <v>900</v>
      </c>
      <c r="K1454">
        <v>460</v>
      </c>
      <c r="L1454">
        <v>68</v>
      </c>
      <c r="M1454">
        <v>96.7</v>
      </c>
    </row>
    <row r="1455" spans="2:13" x14ac:dyDescent="0.25">
      <c r="B1455" s="50" t="s">
        <v>2718</v>
      </c>
      <c r="C1455">
        <v>18</v>
      </c>
      <c r="D1455">
        <v>200</v>
      </c>
      <c r="E1455">
        <v>3.5</v>
      </c>
      <c r="F1455" s="16">
        <v>3.5</v>
      </c>
      <c r="G1455">
        <v>62</v>
      </c>
      <c r="H1455">
        <v>3.7</v>
      </c>
      <c r="I1455" t="s">
        <v>1298</v>
      </c>
      <c r="J1455" t="s">
        <v>900</v>
      </c>
      <c r="K1455">
        <v>460</v>
      </c>
      <c r="L1455">
        <v>68</v>
      </c>
      <c r="M1455">
        <v>96.7</v>
      </c>
    </row>
    <row r="1456" spans="2:13" x14ac:dyDescent="0.25">
      <c r="B1456" s="50" t="s">
        <v>4467</v>
      </c>
      <c r="C1456">
        <v>18</v>
      </c>
      <c r="D1456">
        <v>200</v>
      </c>
      <c r="E1456">
        <v>3.5</v>
      </c>
      <c r="F1456" s="16">
        <v>3.5</v>
      </c>
      <c r="G1456">
        <v>62</v>
      </c>
      <c r="H1456">
        <v>3.7</v>
      </c>
      <c r="I1456" t="s">
        <v>1221</v>
      </c>
      <c r="J1456" t="s">
        <v>900</v>
      </c>
      <c r="K1456">
        <v>460</v>
      </c>
      <c r="L1456">
        <v>68</v>
      </c>
      <c r="M1456">
        <v>96.7</v>
      </c>
    </row>
    <row r="1457" spans="2:13" x14ac:dyDescent="0.25">
      <c r="B1457" s="50" t="s">
        <v>2856</v>
      </c>
      <c r="C1457">
        <v>18</v>
      </c>
      <c r="D1457">
        <v>200</v>
      </c>
      <c r="E1457">
        <v>3.5</v>
      </c>
      <c r="F1457" s="16">
        <v>3.5</v>
      </c>
      <c r="G1457">
        <v>62</v>
      </c>
      <c r="H1457">
        <v>3.7</v>
      </c>
      <c r="I1457" t="s">
        <v>1221</v>
      </c>
      <c r="J1457" t="s">
        <v>900</v>
      </c>
      <c r="K1457">
        <v>460</v>
      </c>
      <c r="L1457">
        <v>68</v>
      </c>
      <c r="M1457">
        <v>96.7</v>
      </c>
    </row>
    <row r="1458" spans="2:13" x14ac:dyDescent="0.25">
      <c r="B1458" s="50" t="s">
        <v>4488</v>
      </c>
      <c r="C1458">
        <v>18</v>
      </c>
      <c r="D1458">
        <v>400</v>
      </c>
      <c r="E1458">
        <v>3.5</v>
      </c>
      <c r="F1458" s="16">
        <v>3.5</v>
      </c>
      <c r="G1458">
        <v>72</v>
      </c>
      <c r="H1458">
        <v>2.9</v>
      </c>
      <c r="I1458" t="s">
        <v>1251</v>
      </c>
      <c r="J1458" t="s">
        <v>900</v>
      </c>
      <c r="K1458">
        <v>710</v>
      </c>
      <c r="L1458">
        <v>79</v>
      </c>
      <c r="M1458">
        <v>123.9</v>
      </c>
    </row>
    <row r="1459" spans="2:13" x14ac:dyDescent="0.25">
      <c r="B1459" s="50" t="s">
        <v>2597</v>
      </c>
      <c r="C1459">
        <v>18</v>
      </c>
      <c r="D1459">
        <v>400</v>
      </c>
      <c r="E1459">
        <v>3.5</v>
      </c>
      <c r="F1459" s="16">
        <v>3.5</v>
      </c>
      <c r="G1459">
        <v>72</v>
      </c>
      <c r="H1459">
        <v>2.9</v>
      </c>
      <c r="I1459" t="s">
        <v>8</v>
      </c>
      <c r="J1459" t="s">
        <v>900</v>
      </c>
      <c r="K1459">
        <v>705</v>
      </c>
      <c r="L1459">
        <v>79</v>
      </c>
      <c r="M1459">
        <v>121.4</v>
      </c>
    </row>
    <row r="1460" spans="2:13" x14ac:dyDescent="0.25">
      <c r="B1460" s="50" t="s">
        <v>2771</v>
      </c>
      <c r="C1460">
        <v>28</v>
      </c>
      <c r="D1460">
        <v>300</v>
      </c>
      <c r="E1460">
        <v>3.5</v>
      </c>
      <c r="F1460" s="16">
        <v>3.5</v>
      </c>
      <c r="G1460">
        <v>67</v>
      </c>
      <c r="H1460">
        <v>2.8</v>
      </c>
      <c r="I1460" t="s">
        <v>1229</v>
      </c>
      <c r="J1460" t="s">
        <v>910</v>
      </c>
      <c r="K1460">
        <v>540</v>
      </c>
      <c r="L1460">
        <v>75</v>
      </c>
      <c r="M1460">
        <v>99.5</v>
      </c>
    </row>
    <row r="1461" spans="2:13" x14ac:dyDescent="0.25">
      <c r="B1461" s="50" t="s">
        <v>4393</v>
      </c>
      <c r="C1461">
        <v>28</v>
      </c>
      <c r="D1461">
        <v>300</v>
      </c>
      <c r="E1461">
        <v>3.5</v>
      </c>
      <c r="F1461" s="16">
        <v>3.5</v>
      </c>
      <c r="G1461">
        <v>67</v>
      </c>
      <c r="H1461">
        <v>2.8</v>
      </c>
      <c r="I1461" t="s">
        <v>8</v>
      </c>
      <c r="J1461" t="s">
        <v>910</v>
      </c>
      <c r="K1461">
        <v>540</v>
      </c>
      <c r="L1461">
        <v>75</v>
      </c>
      <c r="M1461">
        <v>99.5</v>
      </c>
    </row>
    <row r="1462" spans="2:13" x14ac:dyDescent="0.25">
      <c r="B1462" s="50" t="s">
        <v>4097</v>
      </c>
      <c r="C1462">
        <v>28</v>
      </c>
      <c r="D1462">
        <v>300</v>
      </c>
      <c r="E1462">
        <v>3.5</v>
      </c>
      <c r="F1462" s="16">
        <v>3.5</v>
      </c>
      <c r="G1462">
        <v>67</v>
      </c>
      <c r="H1462">
        <v>2.8</v>
      </c>
      <c r="I1462" t="s">
        <v>1293</v>
      </c>
      <c r="J1462" t="s">
        <v>910</v>
      </c>
      <c r="K1462">
        <v>540</v>
      </c>
      <c r="L1462">
        <v>75</v>
      </c>
      <c r="M1462">
        <v>99.5</v>
      </c>
    </row>
    <row r="1463" spans="2:13" x14ac:dyDescent="0.25">
      <c r="B1463" s="50" t="s">
        <v>4377</v>
      </c>
      <c r="C1463">
        <v>18</v>
      </c>
      <c r="D1463">
        <v>200</v>
      </c>
      <c r="E1463">
        <v>3.5</v>
      </c>
      <c r="F1463" s="16">
        <v>3.5</v>
      </c>
      <c r="G1463">
        <v>62</v>
      </c>
      <c r="H1463">
        <v>3.7</v>
      </c>
      <c r="I1463" t="s">
        <v>1251</v>
      </c>
      <c r="J1463" t="s">
        <v>900</v>
      </c>
      <c r="K1463">
        <v>398</v>
      </c>
      <c r="L1463">
        <v>73.8</v>
      </c>
      <c r="M1463">
        <v>83.7</v>
      </c>
    </row>
    <row r="1464" spans="2:13" x14ac:dyDescent="0.25">
      <c r="B1464" s="50" t="s">
        <v>2855</v>
      </c>
      <c r="C1464">
        <v>18</v>
      </c>
      <c r="D1464">
        <v>200</v>
      </c>
      <c r="E1464">
        <v>3.5</v>
      </c>
      <c r="F1464" s="16">
        <v>3.5</v>
      </c>
      <c r="G1464">
        <v>62</v>
      </c>
      <c r="H1464">
        <v>3.7</v>
      </c>
      <c r="I1464" t="s">
        <v>1331</v>
      </c>
      <c r="J1464" t="s">
        <v>900</v>
      </c>
      <c r="K1464">
        <v>398</v>
      </c>
      <c r="L1464">
        <v>73.8</v>
      </c>
      <c r="M1464">
        <v>83.7</v>
      </c>
    </row>
    <row r="1465" spans="2:13" x14ac:dyDescent="0.25">
      <c r="B1465" s="50" t="s">
        <v>2854</v>
      </c>
      <c r="C1465">
        <v>18</v>
      </c>
      <c r="D1465">
        <v>200</v>
      </c>
      <c r="E1465">
        <v>3.5</v>
      </c>
      <c r="F1465" s="16">
        <v>3.5</v>
      </c>
      <c r="G1465">
        <v>62</v>
      </c>
      <c r="H1465">
        <v>3.7</v>
      </c>
      <c r="I1465" t="s">
        <v>1293</v>
      </c>
      <c r="J1465" t="s">
        <v>900</v>
      </c>
      <c r="K1465">
        <v>398</v>
      </c>
      <c r="L1465">
        <v>73.8</v>
      </c>
      <c r="M1465">
        <v>83.7</v>
      </c>
    </row>
    <row r="1466" spans="2:13" x14ac:dyDescent="0.25">
      <c r="B1466" s="50" t="s">
        <v>2853</v>
      </c>
      <c r="C1466">
        <v>18</v>
      </c>
      <c r="D1466">
        <v>200</v>
      </c>
      <c r="E1466">
        <v>3.5</v>
      </c>
      <c r="F1466" s="16">
        <v>3.5</v>
      </c>
      <c r="G1466">
        <v>62</v>
      </c>
      <c r="H1466">
        <v>3.7</v>
      </c>
      <c r="I1466" t="s">
        <v>8</v>
      </c>
      <c r="J1466" t="s">
        <v>900</v>
      </c>
      <c r="K1466">
        <v>398</v>
      </c>
      <c r="L1466">
        <v>73.8</v>
      </c>
      <c r="M1466">
        <v>83.7</v>
      </c>
    </row>
    <row r="1467" spans="2:13" x14ac:dyDescent="0.25">
      <c r="B1467" s="50" t="s">
        <v>3789</v>
      </c>
      <c r="C1467">
        <v>18</v>
      </c>
      <c r="D1467">
        <v>250</v>
      </c>
      <c r="E1467">
        <v>3.5</v>
      </c>
      <c r="F1467" s="16">
        <v>3.5</v>
      </c>
      <c r="G1467">
        <v>62</v>
      </c>
      <c r="H1467">
        <v>3.5</v>
      </c>
      <c r="I1467" t="s">
        <v>8</v>
      </c>
      <c r="J1467" t="s">
        <v>900</v>
      </c>
      <c r="K1467">
        <v>430</v>
      </c>
      <c r="L1467">
        <v>74.400000000000006</v>
      </c>
      <c r="M1467">
        <v>84.3</v>
      </c>
    </row>
    <row r="1468" spans="2:13" x14ac:dyDescent="0.25">
      <c r="B1468" s="50" t="s">
        <v>2852</v>
      </c>
      <c r="C1468">
        <v>18</v>
      </c>
      <c r="D1468">
        <v>250</v>
      </c>
      <c r="E1468">
        <v>3.5</v>
      </c>
      <c r="F1468" s="16">
        <v>3.5</v>
      </c>
      <c r="G1468">
        <v>62</v>
      </c>
      <c r="H1468">
        <v>3.5</v>
      </c>
      <c r="I1468" t="s">
        <v>8</v>
      </c>
      <c r="J1468" t="s">
        <v>900</v>
      </c>
      <c r="K1468">
        <v>430</v>
      </c>
      <c r="L1468">
        <v>74.400000000000006</v>
      </c>
      <c r="M1468">
        <v>84.3</v>
      </c>
    </row>
    <row r="1469" spans="2:13" x14ac:dyDescent="0.25">
      <c r="B1469" s="50" t="s">
        <v>2770</v>
      </c>
      <c r="C1469">
        <v>18</v>
      </c>
      <c r="D1469">
        <v>270</v>
      </c>
      <c r="E1469">
        <v>3.5</v>
      </c>
      <c r="F1469" s="16">
        <v>3.5</v>
      </c>
      <c r="G1469">
        <v>62</v>
      </c>
      <c r="H1469">
        <v>3.8</v>
      </c>
      <c r="I1469" t="s">
        <v>1293</v>
      </c>
      <c r="J1469" t="s">
        <v>900</v>
      </c>
      <c r="K1469">
        <v>450</v>
      </c>
      <c r="L1469">
        <v>74.400000000000006</v>
      </c>
      <c r="M1469">
        <v>96.4</v>
      </c>
    </row>
    <row r="1470" spans="2:13" x14ac:dyDescent="0.25">
      <c r="B1470" s="50" t="s">
        <v>1173</v>
      </c>
      <c r="C1470">
        <v>18</v>
      </c>
      <c r="D1470">
        <v>270</v>
      </c>
      <c r="E1470">
        <v>3.5</v>
      </c>
      <c r="F1470" s="16">
        <v>3.5</v>
      </c>
      <c r="G1470">
        <v>62</v>
      </c>
      <c r="H1470">
        <v>3.8</v>
      </c>
      <c r="I1470" t="s">
        <v>1251</v>
      </c>
      <c r="J1470" t="s">
        <v>900</v>
      </c>
      <c r="K1470">
        <v>450</v>
      </c>
      <c r="L1470">
        <v>74.400000000000006</v>
      </c>
      <c r="M1470">
        <v>96.4</v>
      </c>
    </row>
    <row r="1471" spans="2:13" x14ac:dyDescent="0.25">
      <c r="B1471" s="50" t="s">
        <v>1166</v>
      </c>
      <c r="C1471">
        <v>18</v>
      </c>
      <c r="D1471">
        <v>270</v>
      </c>
      <c r="E1471">
        <v>3.5</v>
      </c>
      <c r="F1471" s="16">
        <v>3.5</v>
      </c>
      <c r="G1471">
        <v>62</v>
      </c>
      <c r="H1471">
        <v>3.8</v>
      </c>
      <c r="I1471" t="s">
        <v>8</v>
      </c>
      <c r="J1471" t="s">
        <v>900</v>
      </c>
      <c r="K1471">
        <v>450</v>
      </c>
      <c r="L1471">
        <v>74.400000000000006</v>
      </c>
      <c r="M1471">
        <v>96.4</v>
      </c>
    </row>
    <row r="1472" spans="2:13" x14ac:dyDescent="0.25">
      <c r="B1472" s="50" t="s">
        <v>4096</v>
      </c>
      <c r="C1472">
        <v>20</v>
      </c>
      <c r="D1472">
        <v>40</v>
      </c>
      <c r="E1472">
        <v>2.7</v>
      </c>
      <c r="F1472" s="16">
        <v>2.7</v>
      </c>
      <c r="G1472">
        <v>77</v>
      </c>
      <c r="H1472">
        <v>0</v>
      </c>
      <c r="I1472">
        <v>0</v>
      </c>
      <c r="J1472" t="s">
        <v>910</v>
      </c>
      <c r="K1472">
        <v>525</v>
      </c>
      <c r="L1472">
        <v>81.5</v>
      </c>
      <c r="M1472">
        <v>81</v>
      </c>
    </row>
    <row r="1473" spans="2:13" x14ac:dyDescent="0.25">
      <c r="B1473" s="50" t="s">
        <v>2769</v>
      </c>
      <c r="C1473">
        <v>28</v>
      </c>
      <c r="D1473">
        <v>300</v>
      </c>
      <c r="E1473">
        <v>3.5</v>
      </c>
      <c r="F1473" s="16">
        <v>3.5</v>
      </c>
      <c r="G1473">
        <v>62</v>
      </c>
      <c r="H1473">
        <v>2.9</v>
      </c>
      <c r="I1473" t="s">
        <v>1229</v>
      </c>
      <c r="J1473" t="s">
        <v>910</v>
      </c>
      <c r="K1473">
        <v>420</v>
      </c>
      <c r="L1473">
        <v>73</v>
      </c>
      <c r="M1473">
        <v>83.7</v>
      </c>
    </row>
    <row r="1474" spans="2:13" x14ac:dyDescent="0.25">
      <c r="B1474" s="50" t="s">
        <v>3788</v>
      </c>
      <c r="C1474">
        <v>28</v>
      </c>
      <c r="D1474">
        <v>300</v>
      </c>
      <c r="E1474">
        <v>3.5</v>
      </c>
      <c r="F1474" s="16">
        <v>3.5</v>
      </c>
      <c r="G1474">
        <v>62</v>
      </c>
      <c r="H1474">
        <v>2.9</v>
      </c>
      <c r="I1474" t="s">
        <v>1293</v>
      </c>
      <c r="J1474" t="s">
        <v>910</v>
      </c>
      <c r="K1474">
        <v>420</v>
      </c>
      <c r="L1474">
        <v>73</v>
      </c>
      <c r="M1474">
        <v>83.7</v>
      </c>
    </row>
    <row r="1475" spans="2:13" x14ac:dyDescent="0.25">
      <c r="B1475" s="50" t="s">
        <v>4095</v>
      </c>
      <c r="C1475">
        <v>28</v>
      </c>
      <c r="D1475">
        <v>300</v>
      </c>
      <c r="E1475">
        <v>3.5</v>
      </c>
      <c r="F1475" s="16">
        <v>3.5</v>
      </c>
      <c r="G1475">
        <v>67</v>
      </c>
      <c r="H1475">
        <v>3</v>
      </c>
      <c r="I1475" t="s">
        <v>8</v>
      </c>
      <c r="J1475" t="s">
        <v>910</v>
      </c>
      <c r="K1475">
        <v>550</v>
      </c>
      <c r="L1475">
        <v>78</v>
      </c>
      <c r="M1475">
        <v>99</v>
      </c>
    </row>
    <row r="1476" spans="2:13" x14ac:dyDescent="0.25">
      <c r="B1476" s="50" t="s">
        <v>3787</v>
      </c>
      <c r="C1476">
        <v>55</v>
      </c>
      <c r="D1476">
        <v>200</v>
      </c>
      <c r="E1476">
        <v>4</v>
      </c>
      <c r="F1476" s="16">
        <v>4</v>
      </c>
      <c r="G1476">
        <v>52</v>
      </c>
      <c r="H1476">
        <v>3.5</v>
      </c>
      <c r="I1476" t="s">
        <v>8</v>
      </c>
      <c r="J1476" t="s">
        <v>900</v>
      </c>
      <c r="K1476">
        <v>295</v>
      </c>
      <c r="L1476">
        <v>71.599999999999994</v>
      </c>
      <c r="M1476">
        <v>83</v>
      </c>
    </row>
    <row r="1477" spans="2:13" x14ac:dyDescent="0.25">
      <c r="B1477" s="50" t="s">
        <v>4376</v>
      </c>
      <c r="C1477">
        <v>70</v>
      </c>
      <c r="D1477">
        <v>300</v>
      </c>
      <c r="E1477">
        <v>4</v>
      </c>
      <c r="F1477" s="16">
        <v>4</v>
      </c>
      <c r="G1477">
        <v>62</v>
      </c>
      <c r="H1477">
        <v>2</v>
      </c>
      <c r="I1477" t="s">
        <v>1229</v>
      </c>
      <c r="J1477" t="s">
        <v>910</v>
      </c>
      <c r="K1477">
        <v>435</v>
      </c>
      <c r="L1477">
        <v>76.599999999999994</v>
      </c>
      <c r="M1477">
        <v>116.5</v>
      </c>
    </row>
    <row r="1478" spans="2:13" x14ac:dyDescent="0.25">
      <c r="B1478" s="50" t="s">
        <v>2851</v>
      </c>
      <c r="C1478">
        <v>70</v>
      </c>
      <c r="D1478">
        <v>300</v>
      </c>
      <c r="E1478">
        <v>4</v>
      </c>
      <c r="F1478" s="16">
        <v>4</v>
      </c>
      <c r="G1478">
        <v>62</v>
      </c>
      <c r="H1478">
        <v>2</v>
      </c>
      <c r="I1478" t="s">
        <v>8</v>
      </c>
      <c r="J1478" t="s">
        <v>910</v>
      </c>
      <c r="K1478">
        <v>435</v>
      </c>
      <c r="L1478">
        <v>76.599999999999994</v>
      </c>
      <c r="M1478">
        <v>116.5</v>
      </c>
    </row>
    <row r="1479" spans="2:13" x14ac:dyDescent="0.25">
      <c r="B1479" s="50" t="s">
        <v>2850</v>
      </c>
      <c r="C1479">
        <v>70</v>
      </c>
      <c r="D1479">
        <v>300</v>
      </c>
      <c r="E1479">
        <v>4</v>
      </c>
      <c r="F1479" s="16">
        <v>4</v>
      </c>
      <c r="G1479">
        <v>62</v>
      </c>
      <c r="H1479">
        <v>2</v>
      </c>
      <c r="I1479" t="s">
        <v>1331</v>
      </c>
      <c r="J1479" t="s">
        <v>910</v>
      </c>
      <c r="K1479">
        <v>435</v>
      </c>
      <c r="L1479">
        <v>76.599999999999994</v>
      </c>
      <c r="M1479">
        <v>116.5</v>
      </c>
    </row>
    <row r="1480" spans="2:13" x14ac:dyDescent="0.25">
      <c r="B1480" s="50" t="s">
        <v>2768</v>
      </c>
      <c r="C1480">
        <v>70</v>
      </c>
      <c r="D1480">
        <v>300</v>
      </c>
      <c r="E1480">
        <v>4</v>
      </c>
      <c r="F1480" s="16">
        <v>4</v>
      </c>
      <c r="G1480">
        <v>62</v>
      </c>
      <c r="H1480">
        <v>2</v>
      </c>
      <c r="I1480" t="s">
        <v>1293</v>
      </c>
      <c r="J1480" t="s">
        <v>910</v>
      </c>
      <c r="K1480">
        <v>435</v>
      </c>
      <c r="L1480">
        <v>76.599999999999994</v>
      </c>
      <c r="M1480">
        <v>116.5</v>
      </c>
    </row>
    <row r="1481" spans="2:13" x14ac:dyDescent="0.25">
      <c r="B1481" s="50" t="s">
        <v>4416</v>
      </c>
      <c r="C1481">
        <v>70</v>
      </c>
      <c r="D1481">
        <v>300</v>
      </c>
      <c r="E1481">
        <v>4</v>
      </c>
      <c r="F1481" s="16">
        <v>4</v>
      </c>
      <c r="G1481">
        <v>62</v>
      </c>
      <c r="H1481">
        <v>2</v>
      </c>
      <c r="I1481" t="s">
        <v>8</v>
      </c>
      <c r="J1481" t="s">
        <v>910</v>
      </c>
      <c r="K1481">
        <v>458</v>
      </c>
      <c r="L1481">
        <v>76.599999999999994</v>
      </c>
      <c r="M1481">
        <v>116.5</v>
      </c>
    </row>
    <row r="1482" spans="2:13" x14ac:dyDescent="0.25">
      <c r="B1482" s="50" t="s">
        <v>3784</v>
      </c>
      <c r="C1482">
        <v>80</v>
      </c>
      <c r="D1482">
        <v>210</v>
      </c>
      <c r="E1482">
        <v>4.5</v>
      </c>
      <c r="F1482" s="16">
        <v>4.5</v>
      </c>
      <c r="G1482">
        <v>52</v>
      </c>
      <c r="H1482">
        <v>0</v>
      </c>
      <c r="I1482" t="s">
        <v>1293</v>
      </c>
      <c r="J1482" t="s">
        <v>900</v>
      </c>
      <c r="K1482">
        <v>281</v>
      </c>
      <c r="L1482">
        <v>69</v>
      </c>
      <c r="M1482">
        <v>97.5</v>
      </c>
    </row>
    <row r="1483" spans="2:13" x14ac:dyDescent="0.25">
      <c r="B1483" s="50" t="s">
        <v>2849</v>
      </c>
      <c r="C1483">
        <v>10</v>
      </c>
      <c r="D1483">
        <v>24</v>
      </c>
      <c r="E1483">
        <v>3.5</v>
      </c>
      <c r="F1483" s="16">
        <v>3.5</v>
      </c>
      <c r="G1483">
        <v>77</v>
      </c>
      <c r="H1483">
        <v>5.0999999999999996</v>
      </c>
      <c r="I1483" t="s">
        <v>1251</v>
      </c>
      <c r="J1483" t="s">
        <v>900</v>
      </c>
      <c r="K1483">
        <v>370</v>
      </c>
      <c r="L1483">
        <v>83.2</v>
      </c>
      <c r="M1483">
        <v>86.5</v>
      </c>
    </row>
    <row r="1484" spans="2:13" x14ac:dyDescent="0.25">
      <c r="B1484" s="50" t="s">
        <v>4392</v>
      </c>
      <c r="C1484">
        <v>10</v>
      </c>
      <c r="D1484">
        <v>24</v>
      </c>
      <c r="E1484">
        <v>3.5</v>
      </c>
      <c r="F1484" s="16">
        <v>3.5</v>
      </c>
      <c r="G1484">
        <v>77</v>
      </c>
      <c r="H1484">
        <v>5.0999999999999996</v>
      </c>
      <c r="I1484" t="s">
        <v>8</v>
      </c>
      <c r="J1484" t="s">
        <v>900</v>
      </c>
      <c r="K1484">
        <v>370</v>
      </c>
      <c r="L1484">
        <v>83.2</v>
      </c>
      <c r="M1484">
        <v>86.5</v>
      </c>
    </row>
    <row r="1485" spans="2:13" x14ac:dyDescent="0.25">
      <c r="B1485" s="50" t="s">
        <v>3783</v>
      </c>
      <c r="C1485">
        <v>10</v>
      </c>
      <c r="D1485">
        <v>24</v>
      </c>
      <c r="E1485">
        <v>3.5</v>
      </c>
      <c r="F1485" s="16">
        <v>3.5</v>
      </c>
      <c r="G1485">
        <v>77</v>
      </c>
      <c r="H1485">
        <v>5.0999999999999996</v>
      </c>
      <c r="I1485" t="s">
        <v>1331</v>
      </c>
      <c r="J1485" t="s">
        <v>900</v>
      </c>
      <c r="K1485">
        <v>370</v>
      </c>
      <c r="L1485">
        <v>83.2</v>
      </c>
      <c r="M1485">
        <v>86.5</v>
      </c>
    </row>
    <row r="1486" spans="2:13" x14ac:dyDescent="0.25">
      <c r="B1486" s="50" t="s">
        <v>2848</v>
      </c>
      <c r="C1486">
        <v>10</v>
      </c>
      <c r="D1486">
        <v>24</v>
      </c>
      <c r="E1486">
        <v>3.5</v>
      </c>
      <c r="F1486" s="16">
        <v>3.5</v>
      </c>
      <c r="G1486">
        <v>77</v>
      </c>
      <c r="H1486">
        <v>5.0999999999999996</v>
      </c>
      <c r="I1486" t="s">
        <v>1293</v>
      </c>
      <c r="J1486" t="s">
        <v>900</v>
      </c>
      <c r="K1486">
        <v>370</v>
      </c>
      <c r="L1486">
        <v>83.2</v>
      </c>
      <c r="M1486">
        <v>86.5</v>
      </c>
    </row>
    <row r="1487" spans="2:13" x14ac:dyDescent="0.25">
      <c r="B1487" s="50" t="s">
        <v>3782</v>
      </c>
      <c r="C1487">
        <v>11</v>
      </c>
      <c r="D1487">
        <v>18</v>
      </c>
      <c r="E1487">
        <v>4.5</v>
      </c>
      <c r="F1487" s="16">
        <v>4.5</v>
      </c>
      <c r="G1487">
        <v>77</v>
      </c>
      <c r="H1487">
        <v>0</v>
      </c>
      <c r="I1487" t="s">
        <v>8</v>
      </c>
      <c r="J1487" t="s">
        <v>900</v>
      </c>
      <c r="K1487">
        <v>345</v>
      </c>
      <c r="L1487">
        <v>83.2</v>
      </c>
      <c r="M1487">
        <v>78.599999999999994</v>
      </c>
    </row>
    <row r="1488" spans="2:13" x14ac:dyDescent="0.25">
      <c r="B1488" s="50" t="s">
        <v>4374</v>
      </c>
      <c r="C1488">
        <v>150</v>
      </c>
      <c r="D1488">
        <v>600</v>
      </c>
      <c r="E1488">
        <v>5</v>
      </c>
      <c r="F1488" s="16">
        <v>5</v>
      </c>
      <c r="G1488">
        <v>95</v>
      </c>
      <c r="H1488">
        <v>5</v>
      </c>
      <c r="I1488" t="s">
        <v>1293</v>
      </c>
      <c r="J1488" t="s">
        <v>910</v>
      </c>
      <c r="K1488">
        <v>1950</v>
      </c>
      <c r="L1488">
        <v>105.6</v>
      </c>
      <c r="M1488">
        <v>257.8</v>
      </c>
    </row>
    <row r="1489" spans="2:13" x14ac:dyDescent="0.25">
      <c r="B1489" s="50" t="s">
        <v>2674</v>
      </c>
      <c r="C1489">
        <v>150</v>
      </c>
      <c r="D1489">
        <v>600</v>
      </c>
      <c r="E1489">
        <v>5</v>
      </c>
      <c r="F1489" s="16">
        <v>5</v>
      </c>
      <c r="G1489">
        <v>95</v>
      </c>
      <c r="H1489">
        <v>3.9</v>
      </c>
      <c r="I1489" t="s">
        <v>1293</v>
      </c>
      <c r="J1489" t="s">
        <v>910</v>
      </c>
      <c r="K1489">
        <v>2009</v>
      </c>
      <c r="L1489">
        <v>108.4</v>
      </c>
      <c r="M1489">
        <v>260.2</v>
      </c>
    </row>
    <row r="1490" spans="2:13" x14ac:dyDescent="0.25">
      <c r="B1490" s="50" t="s">
        <v>4373</v>
      </c>
      <c r="C1490">
        <v>150</v>
      </c>
      <c r="D1490">
        <v>600</v>
      </c>
      <c r="E1490">
        <v>5</v>
      </c>
      <c r="F1490" s="16">
        <v>5</v>
      </c>
      <c r="G1490">
        <v>95</v>
      </c>
      <c r="H1490">
        <v>5</v>
      </c>
      <c r="I1490" t="s">
        <v>1229</v>
      </c>
      <c r="J1490" t="s">
        <v>910</v>
      </c>
      <c r="K1490">
        <v>1950</v>
      </c>
      <c r="L1490">
        <v>105.6</v>
      </c>
      <c r="M1490">
        <v>257.8</v>
      </c>
    </row>
    <row r="1491" spans="2:13" x14ac:dyDescent="0.25">
      <c r="B1491" s="50" t="s">
        <v>4088</v>
      </c>
      <c r="C1491">
        <v>150</v>
      </c>
      <c r="D1491">
        <v>600</v>
      </c>
      <c r="E1491">
        <v>5</v>
      </c>
      <c r="F1491" s="16">
        <v>5</v>
      </c>
      <c r="G1491">
        <v>95</v>
      </c>
      <c r="H1491">
        <v>5</v>
      </c>
      <c r="I1491" t="s">
        <v>8</v>
      </c>
      <c r="J1491" t="s">
        <v>910</v>
      </c>
      <c r="K1491">
        <v>1950</v>
      </c>
      <c r="L1491">
        <v>105.6</v>
      </c>
      <c r="M1491">
        <v>257.8</v>
      </c>
    </row>
    <row r="1492" spans="2:13" x14ac:dyDescent="0.25">
      <c r="B1492" s="50" t="s">
        <v>4305</v>
      </c>
      <c r="C1492">
        <v>150</v>
      </c>
      <c r="D1492">
        <v>600</v>
      </c>
      <c r="E1492">
        <v>5</v>
      </c>
      <c r="F1492" s="16">
        <v>5</v>
      </c>
      <c r="G1492">
        <v>95</v>
      </c>
      <c r="H1492">
        <v>3.9</v>
      </c>
      <c r="I1492" t="s">
        <v>1229</v>
      </c>
      <c r="J1492" t="s">
        <v>910</v>
      </c>
      <c r="K1492">
        <v>2009</v>
      </c>
      <c r="L1492">
        <v>108.4</v>
      </c>
      <c r="M1492">
        <v>260.2</v>
      </c>
    </row>
    <row r="1493" spans="2:13" x14ac:dyDescent="0.25">
      <c r="B1493" s="50" t="s">
        <v>2607</v>
      </c>
      <c r="C1493">
        <v>150</v>
      </c>
      <c r="D1493">
        <v>600</v>
      </c>
      <c r="E1493">
        <v>5</v>
      </c>
      <c r="F1493" s="16">
        <v>5</v>
      </c>
      <c r="G1493">
        <v>95</v>
      </c>
      <c r="H1493">
        <v>3.9</v>
      </c>
      <c r="I1493" t="s">
        <v>8</v>
      </c>
      <c r="J1493" t="s">
        <v>910</v>
      </c>
      <c r="K1493">
        <v>2009</v>
      </c>
      <c r="L1493">
        <v>108.4</v>
      </c>
      <c r="M1493">
        <v>260.2</v>
      </c>
    </row>
    <row r="1494" spans="2:13" x14ac:dyDescent="0.25">
      <c r="B1494" s="50" t="s">
        <v>4239</v>
      </c>
      <c r="C1494">
        <v>15</v>
      </c>
      <c r="D1494">
        <v>30</v>
      </c>
      <c r="E1494">
        <v>2.8</v>
      </c>
      <c r="F1494" s="16">
        <v>2.8</v>
      </c>
      <c r="G1494">
        <v>0</v>
      </c>
      <c r="H1494">
        <v>5</v>
      </c>
      <c r="I1494" t="s">
        <v>1293</v>
      </c>
      <c r="J1494" t="s">
        <v>910</v>
      </c>
      <c r="K1494">
        <v>1100</v>
      </c>
      <c r="L1494">
        <v>98.4</v>
      </c>
      <c r="M1494">
        <v>145</v>
      </c>
    </row>
    <row r="1495" spans="2:13" x14ac:dyDescent="0.25">
      <c r="B1495" s="50" t="s">
        <v>2596</v>
      </c>
      <c r="C1495">
        <v>15</v>
      </c>
      <c r="D1495">
        <v>30</v>
      </c>
      <c r="E1495">
        <v>2.8</v>
      </c>
      <c r="F1495" s="16">
        <v>2.8</v>
      </c>
      <c r="G1495">
        <v>0</v>
      </c>
      <c r="H1495">
        <v>5</v>
      </c>
      <c r="I1495" t="s">
        <v>1229</v>
      </c>
      <c r="J1495" t="s">
        <v>910</v>
      </c>
      <c r="K1495">
        <v>1100</v>
      </c>
      <c r="L1495">
        <v>98.4</v>
      </c>
      <c r="M1495">
        <v>145</v>
      </c>
    </row>
    <row r="1496" spans="2:13" x14ac:dyDescent="0.25">
      <c r="B1496" s="50" t="s">
        <v>4466</v>
      </c>
      <c r="C1496">
        <v>15</v>
      </c>
      <c r="D1496">
        <v>30</v>
      </c>
      <c r="E1496">
        <v>2.8</v>
      </c>
      <c r="F1496" s="16">
        <v>2.8</v>
      </c>
      <c r="G1496">
        <v>0</v>
      </c>
      <c r="H1496">
        <v>5</v>
      </c>
      <c r="I1496" t="s">
        <v>8</v>
      </c>
      <c r="J1496" t="s">
        <v>910</v>
      </c>
      <c r="K1496">
        <v>1100</v>
      </c>
      <c r="L1496">
        <v>98.4</v>
      </c>
      <c r="M1496">
        <v>145</v>
      </c>
    </row>
    <row r="1497" spans="2:13" x14ac:dyDescent="0.25">
      <c r="B1497" s="50" t="s">
        <v>4391</v>
      </c>
      <c r="C1497">
        <v>17</v>
      </c>
      <c r="D1497">
        <v>50</v>
      </c>
      <c r="E1497">
        <v>2.8</v>
      </c>
      <c r="F1497" s="16">
        <v>2.8</v>
      </c>
      <c r="G1497">
        <v>67</v>
      </c>
      <c r="H1497">
        <v>4.5</v>
      </c>
      <c r="I1497" t="s">
        <v>1251</v>
      </c>
      <c r="J1497" t="s">
        <v>900</v>
      </c>
      <c r="K1497">
        <v>430</v>
      </c>
      <c r="L1497">
        <v>73.8</v>
      </c>
      <c r="M1497">
        <v>83.2</v>
      </c>
    </row>
    <row r="1498" spans="2:13" x14ac:dyDescent="0.25">
      <c r="B1498" s="50" t="s">
        <v>4238</v>
      </c>
      <c r="C1498">
        <v>17</v>
      </c>
      <c r="D1498">
        <v>50</v>
      </c>
      <c r="E1498">
        <v>2.8</v>
      </c>
      <c r="F1498" s="16">
        <v>2.8</v>
      </c>
      <c r="G1498">
        <v>67</v>
      </c>
      <c r="H1498">
        <v>4.5</v>
      </c>
      <c r="I1498" t="s">
        <v>8</v>
      </c>
      <c r="J1498" t="s">
        <v>900</v>
      </c>
      <c r="K1498">
        <v>430</v>
      </c>
      <c r="L1498">
        <v>73.8</v>
      </c>
      <c r="M1498">
        <v>83.2</v>
      </c>
    </row>
    <row r="1499" spans="2:13" x14ac:dyDescent="0.25">
      <c r="B1499" s="50" t="s">
        <v>4237</v>
      </c>
      <c r="C1499">
        <v>17</v>
      </c>
      <c r="D1499">
        <v>50</v>
      </c>
      <c r="E1499">
        <v>2.8</v>
      </c>
      <c r="F1499" s="16">
        <v>2.8</v>
      </c>
      <c r="G1499">
        <v>67</v>
      </c>
      <c r="H1499">
        <v>4.5</v>
      </c>
      <c r="I1499" t="s">
        <v>1331</v>
      </c>
      <c r="J1499" t="s">
        <v>900</v>
      </c>
      <c r="K1499">
        <v>430</v>
      </c>
      <c r="L1499">
        <v>73.8</v>
      </c>
      <c r="M1499">
        <v>83.2</v>
      </c>
    </row>
    <row r="1500" spans="2:13" x14ac:dyDescent="0.25">
      <c r="B1500" s="50" t="s">
        <v>3781</v>
      </c>
      <c r="C1500">
        <v>17</v>
      </c>
      <c r="D1500">
        <v>50</v>
      </c>
      <c r="E1500">
        <v>2.8</v>
      </c>
      <c r="F1500" s="16">
        <v>2.8</v>
      </c>
      <c r="G1500">
        <v>67</v>
      </c>
      <c r="H1500">
        <v>4.5</v>
      </c>
      <c r="I1500" t="s">
        <v>1293</v>
      </c>
      <c r="J1500" t="s">
        <v>900</v>
      </c>
      <c r="K1500">
        <v>430</v>
      </c>
      <c r="L1500">
        <v>73.8</v>
      </c>
      <c r="M1500">
        <v>83.2</v>
      </c>
    </row>
    <row r="1501" spans="2:13" x14ac:dyDescent="0.25">
      <c r="B1501" s="50" t="s">
        <v>4346</v>
      </c>
      <c r="C1501">
        <v>17</v>
      </c>
      <c r="D1501">
        <v>50</v>
      </c>
      <c r="E1501">
        <v>2.8</v>
      </c>
      <c r="F1501" s="16">
        <v>2.8</v>
      </c>
      <c r="G1501">
        <v>67</v>
      </c>
      <c r="H1501">
        <v>4.5</v>
      </c>
      <c r="I1501" t="s">
        <v>8</v>
      </c>
      <c r="J1501" t="s">
        <v>900</v>
      </c>
      <c r="K1501">
        <v>430</v>
      </c>
      <c r="L1501">
        <v>73.8</v>
      </c>
      <c r="M1501">
        <v>83.2</v>
      </c>
    </row>
    <row r="1502" spans="2:13" x14ac:dyDescent="0.25">
      <c r="B1502" s="50" t="s">
        <v>4345</v>
      </c>
      <c r="C1502">
        <v>17</v>
      </c>
      <c r="D1502">
        <v>50</v>
      </c>
      <c r="E1502">
        <v>2.8</v>
      </c>
      <c r="F1502" s="16">
        <v>2.8</v>
      </c>
      <c r="G1502">
        <v>72</v>
      </c>
      <c r="H1502">
        <v>4.8</v>
      </c>
      <c r="I1502" t="s">
        <v>1251</v>
      </c>
      <c r="J1502" t="s">
        <v>900</v>
      </c>
      <c r="K1502">
        <v>570</v>
      </c>
      <c r="L1502">
        <v>79.599999999999994</v>
      </c>
      <c r="M1502">
        <v>94.5</v>
      </c>
    </row>
    <row r="1503" spans="2:13" x14ac:dyDescent="0.25">
      <c r="B1503" s="50" t="s">
        <v>4344</v>
      </c>
      <c r="C1503">
        <v>17</v>
      </c>
      <c r="D1503">
        <v>50</v>
      </c>
      <c r="E1503">
        <v>2.8</v>
      </c>
      <c r="F1503" s="16">
        <v>2.8</v>
      </c>
      <c r="G1503">
        <v>72</v>
      </c>
      <c r="H1503">
        <v>4.8</v>
      </c>
      <c r="I1503" t="s">
        <v>8</v>
      </c>
      <c r="J1503" t="s">
        <v>900</v>
      </c>
      <c r="K1503">
        <v>570</v>
      </c>
      <c r="L1503">
        <v>79.599999999999994</v>
      </c>
      <c r="M1503">
        <v>94.5</v>
      </c>
    </row>
    <row r="1504" spans="2:13" x14ac:dyDescent="0.25">
      <c r="B1504" s="50" t="s">
        <v>4087</v>
      </c>
      <c r="C1504">
        <v>180</v>
      </c>
      <c r="D1504">
        <v>180</v>
      </c>
      <c r="E1504">
        <v>3.5</v>
      </c>
      <c r="F1504" s="16">
        <v>3.5</v>
      </c>
      <c r="G1504">
        <v>72</v>
      </c>
      <c r="H1504">
        <v>1</v>
      </c>
      <c r="I1504" t="s">
        <v>1229</v>
      </c>
      <c r="J1504" t="s">
        <v>910</v>
      </c>
      <c r="K1504">
        <v>920</v>
      </c>
      <c r="L1504">
        <v>84.8</v>
      </c>
      <c r="M1504">
        <v>165.7</v>
      </c>
    </row>
    <row r="1505" spans="2:13" x14ac:dyDescent="0.25">
      <c r="B1505" s="50" t="s">
        <v>3776</v>
      </c>
      <c r="C1505">
        <v>180</v>
      </c>
      <c r="D1505">
        <v>180</v>
      </c>
      <c r="E1505">
        <v>3.5</v>
      </c>
      <c r="F1505" s="16">
        <v>3.5</v>
      </c>
      <c r="G1505">
        <v>72</v>
      </c>
      <c r="H1505">
        <v>1</v>
      </c>
      <c r="I1505" t="s">
        <v>8</v>
      </c>
      <c r="J1505" t="s">
        <v>910</v>
      </c>
      <c r="K1505">
        <v>920</v>
      </c>
      <c r="L1505">
        <v>84.8</v>
      </c>
      <c r="M1505">
        <v>165.7</v>
      </c>
    </row>
    <row r="1506" spans="2:13" x14ac:dyDescent="0.25">
      <c r="B1506" s="50" t="s">
        <v>4086</v>
      </c>
      <c r="C1506">
        <v>180</v>
      </c>
      <c r="D1506">
        <v>180</v>
      </c>
      <c r="E1506">
        <v>3.5</v>
      </c>
      <c r="F1506" s="16">
        <v>3.5</v>
      </c>
      <c r="G1506">
        <v>72</v>
      </c>
      <c r="H1506">
        <v>1</v>
      </c>
      <c r="I1506" t="s">
        <v>1293</v>
      </c>
      <c r="J1506" t="s">
        <v>910</v>
      </c>
      <c r="K1506">
        <v>920</v>
      </c>
      <c r="L1506">
        <v>84.8</v>
      </c>
      <c r="M1506">
        <v>165.7</v>
      </c>
    </row>
    <row r="1507" spans="2:13" x14ac:dyDescent="0.25">
      <c r="B1507" s="50" t="s">
        <v>3420</v>
      </c>
      <c r="C1507">
        <v>200</v>
      </c>
      <c r="D1507">
        <v>500</v>
      </c>
      <c r="E1507">
        <v>5</v>
      </c>
      <c r="F1507" s="16">
        <v>5</v>
      </c>
      <c r="G1507">
        <v>86</v>
      </c>
      <c r="H1507">
        <v>5</v>
      </c>
      <c r="I1507" t="s">
        <v>1229</v>
      </c>
      <c r="J1507" t="s">
        <v>910</v>
      </c>
      <c r="K1507">
        <v>1240</v>
      </c>
      <c r="L1507">
        <v>93.5</v>
      </c>
      <c r="M1507">
        <v>227</v>
      </c>
    </row>
    <row r="1508" spans="2:13" x14ac:dyDescent="0.25">
      <c r="B1508" s="50" t="s">
        <v>3423</v>
      </c>
      <c r="C1508">
        <v>200</v>
      </c>
      <c r="D1508">
        <v>500</v>
      </c>
      <c r="E1508">
        <v>5</v>
      </c>
      <c r="F1508" s="16">
        <v>5</v>
      </c>
      <c r="G1508">
        <v>86</v>
      </c>
      <c r="H1508">
        <v>5</v>
      </c>
      <c r="I1508" t="s">
        <v>8</v>
      </c>
      <c r="J1508" t="s">
        <v>910</v>
      </c>
      <c r="K1508">
        <v>1240</v>
      </c>
      <c r="L1508">
        <v>93.5</v>
      </c>
      <c r="M1508">
        <v>227</v>
      </c>
    </row>
    <row r="1509" spans="2:13" x14ac:dyDescent="0.25">
      <c r="B1509" s="50" t="s">
        <v>3422</v>
      </c>
      <c r="C1509">
        <v>200</v>
      </c>
      <c r="D1509">
        <v>500</v>
      </c>
      <c r="E1509">
        <v>5</v>
      </c>
      <c r="F1509" s="16">
        <v>5</v>
      </c>
      <c r="G1509">
        <v>86</v>
      </c>
      <c r="H1509">
        <v>5</v>
      </c>
      <c r="I1509" t="s">
        <v>1293</v>
      </c>
      <c r="J1509" t="s">
        <v>910</v>
      </c>
      <c r="K1509">
        <v>1240</v>
      </c>
      <c r="L1509">
        <v>93.5</v>
      </c>
      <c r="M1509">
        <v>227</v>
      </c>
    </row>
    <row r="1510" spans="2:13" x14ac:dyDescent="0.25">
      <c r="B1510" s="50" t="s">
        <v>4094</v>
      </c>
      <c r="C1510">
        <v>24</v>
      </c>
      <c r="D1510">
        <v>70</v>
      </c>
      <c r="E1510">
        <v>2.8</v>
      </c>
      <c r="F1510" s="16">
        <v>2.8</v>
      </c>
      <c r="G1510">
        <v>82</v>
      </c>
      <c r="H1510">
        <v>5</v>
      </c>
      <c r="I1510" t="s">
        <v>1293</v>
      </c>
      <c r="J1510" t="s">
        <v>910</v>
      </c>
      <c r="K1510">
        <v>825</v>
      </c>
      <c r="L1510">
        <v>88.2</v>
      </c>
      <c r="M1510">
        <v>116.9</v>
      </c>
    </row>
    <row r="1511" spans="2:13" x14ac:dyDescent="0.25">
      <c r="B1511" s="50" t="s">
        <v>4415</v>
      </c>
      <c r="C1511">
        <v>24</v>
      </c>
      <c r="D1511">
        <v>70</v>
      </c>
      <c r="E1511">
        <v>2.8</v>
      </c>
      <c r="F1511" s="16">
        <v>2.8</v>
      </c>
      <c r="G1511">
        <v>82</v>
      </c>
      <c r="H1511">
        <v>5</v>
      </c>
      <c r="I1511" t="s">
        <v>1229</v>
      </c>
      <c r="J1511" t="s">
        <v>910</v>
      </c>
      <c r="K1511">
        <v>825</v>
      </c>
      <c r="L1511">
        <v>88.2</v>
      </c>
      <c r="M1511">
        <v>116.9</v>
      </c>
    </row>
    <row r="1512" spans="2:13" x14ac:dyDescent="0.25">
      <c r="B1512" s="50" t="s">
        <v>2680</v>
      </c>
      <c r="C1512">
        <v>24</v>
      </c>
      <c r="D1512">
        <v>70</v>
      </c>
      <c r="E1512">
        <v>2.8</v>
      </c>
      <c r="F1512" s="16">
        <v>2.8</v>
      </c>
      <c r="G1512">
        <v>82</v>
      </c>
      <c r="H1512">
        <v>5</v>
      </c>
      <c r="I1512" t="s">
        <v>8</v>
      </c>
      <c r="J1512" t="s">
        <v>910</v>
      </c>
      <c r="K1512">
        <v>825</v>
      </c>
      <c r="L1512">
        <v>88.2</v>
      </c>
      <c r="M1512">
        <v>116.9</v>
      </c>
    </row>
    <row r="1513" spans="2:13" x14ac:dyDescent="0.25">
      <c r="B1513" s="50" t="s">
        <v>4487</v>
      </c>
      <c r="C1513">
        <v>24</v>
      </c>
      <c r="D1513">
        <v>70</v>
      </c>
      <c r="E1513">
        <v>2.8</v>
      </c>
      <c r="F1513" s="16">
        <v>2.8</v>
      </c>
      <c r="G1513">
        <v>82</v>
      </c>
      <c r="H1513">
        <v>5</v>
      </c>
      <c r="I1513" t="s">
        <v>1229</v>
      </c>
      <c r="J1513" t="s">
        <v>910</v>
      </c>
      <c r="K1513">
        <v>905</v>
      </c>
      <c r="L1513">
        <v>88.4</v>
      </c>
      <c r="M1513">
        <v>111</v>
      </c>
    </row>
    <row r="1514" spans="2:13" x14ac:dyDescent="0.25">
      <c r="B1514" s="50" t="s">
        <v>2535</v>
      </c>
      <c r="C1514">
        <v>24</v>
      </c>
      <c r="D1514">
        <v>70</v>
      </c>
      <c r="E1514">
        <v>2.8</v>
      </c>
      <c r="F1514" s="16">
        <v>2.8</v>
      </c>
      <c r="G1514">
        <v>82</v>
      </c>
      <c r="H1514">
        <v>5</v>
      </c>
      <c r="I1514" t="s">
        <v>8</v>
      </c>
      <c r="J1514" t="s">
        <v>910</v>
      </c>
      <c r="K1514">
        <v>900</v>
      </c>
      <c r="L1514">
        <v>88.4</v>
      </c>
      <c r="M1514">
        <v>108.5</v>
      </c>
    </row>
    <row r="1515" spans="2:13" x14ac:dyDescent="0.25">
      <c r="B1515" s="50" t="s">
        <v>2679</v>
      </c>
      <c r="C1515">
        <v>28</v>
      </c>
      <c r="D1515">
        <v>75</v>
      </c>
      <c r="E1515">
        <v>2.8</v>
      </c>
      <c r="F1515" s="16">
        <v>2.8</v>
      </c>
      <c r="G1515">
        <v>67</v>
      </c>
      <c r="H1515">
        <v>3.9</v>
      </c>
      <c r="I1515" t="s">
        <v>1229</v>
      </c>
      <c r="J1515" t="s">
        <v>910</v>
      </c>
      <c r="K1515">
        <v>510</v>
      </c>
      <c r="L1515">
        <v>73</v>
      </c>
      <c r="M1515">
        <v>92</v>
      </c>
    </row>
    <row r="1516" spans="2:13" x14ac:dyDescent="0.25">
      <c r="B1516" s="50" t="s">
        <v>4414</v>
      </c>
      <c r="C1516">
        <v>28</v>
      </c>
      <c r="D1516">
        <v>75</v>
      </c>
      <c r="E1516">
        <v>2.8</v>
      </c>
      <c r="F1516" s="16">
        <v>2.8</v>
      </c>
      <c r="G1516">
        <v>67</v>
      </c>
      <c r="H1516">
        <v>3.9</v>
      </c>
      <c r="I1516" t="s">
        <v>8</v>
      </c>
      <c r="J1516" t="s">
        <v>910</v>
      </c>
      <c r="K1516">
        <v>510</v>
      </c>
      <c r="L1516">
        <v>73</v>
      </c>
      <c r="M1516">
        <v>92</v>
      </c>
    </row>
    <row r="1517" spans="2:13" x14ac:dyDescent="0.25">
      <c r="B1517" s="50" t="s">
        <v>4236</v>
      </c>
      <c r="C1517">
        <v>28</v>
      </c>
      <c r="D1517">
        <v>75</v>
      </c>
      <c r="E1517">
        <v>2.8</v>
      </c>
      <c r="F1517" s="16">
        <v>2.8</v>
      </c>
      <c r="G1517">
        <v>67</v>
      </c>
      <c r="H1517">
        <v>3.9</v>
      </c>
      <c r="I1517" t="s">
        <v>1331</v>
      </c>
      <c r="J1517" t="s">
        <v>910</v>
      </c>
      <c r="K1517">
        <v>510</v>
      </c>
      <c r="L1517">
        <v>73</v>
      </c>
      <c r="M1517">
        <v>92</v>
      </c>
    </row>
    <row r="1518" spans="2:13" x14ac:dyDescent="0.25">
      <c r="B1518" s="50" t="s">
        <v>4235</v>
      </c>
      <c r="C1518">
        <v>28</v>
      </c>
      <c r="D1518">
        <v>75</v>
      </c>
      <c r="E1518">
        <v>2.8</v>
      </c>
      <c r="F1518" s="16">
        <v>2.8</v>
      </c>
      <c r="G1518">
        <v>67</v>
      </c>
      <c r="H1518">
        <v>3.9</v>
      </c>
      <c r="I1518" t="s">
        <v>1293</v>
      </c>
      <c r="J1518" t="s">
        <v>910</v>
      </c>
      <c r="K1518">
        <v>510</v>
      </c>
      <c r="L1518">
        <v>73</v>
      </c>
      <c r="M1518">
        <v>92</v>
      </c>
    </row>
    <row r="1519" spans="2:13" x14ac:dyDescent="0.25">
      <c r="B1519" s="50" t="s">
        <v>4234</v>
      </c>
      <c r="C1519">
        <v>35</v>
      </c>
      <c r="D1519">
        <v>35</v>
      </c>
      <c r="E1519">
        <v>1.8</v>
      </c>
      <c r="F1519" s="16">
        <v>1.8</v>
      </c>
      <c r="G1519">
        <v>67</v>
      </c>
      <c r="H1519">
        <v>2.5</v>
      </c>
      <c r="I1519" t="s">
        <v>1293</v>
      </c>
      <c r="J1519" t="s">
        <v>910</v>
      </c>
      <c r="K1519">
        <v>480</v>
      </c>
      <c r="L1519">
        <v>80.400000000000006</v>
      </c>
      <c r="M1519">
        <v>80.8</v>
      </c>
    </row>
    <row r="1520" spans="2:13" x14ac:dyDescent="0.25">
      <c r="B1520" s="50" t="s">
        <v>4343</v>
      </c>
      <c r="C1520">
        <v>35</v>
      </c>
      <c r="D1520">
        <v>35</v>
      </c>
      <c r="E1520">
        <v>1.8</v>
      </c>
      <c r="F1520" s="16">
        <v>1.8</v>
      </c>
      <c r="G1520">
        <v>67</v>
      </c>
      <c r="H1520">
        <v>2.5</v>
      </c>
      <c r="I1520" t="s">
        <v>1229</v>
      </c>
      <c r="J1520" t="s">
        <v>910</v>
      </c>
      <c r="K1520">
        <v>480</v>
      </c>
      <c r="L1520">
        <v>80.400000000000006</v>
      </c>
      <c r="M1520">
        <v>80.8</v>
      </c>
    </row>
    <row r="1521" spans="2:13" x14ac:dyDescent="0.25">
      <c r="B1521" s="50" t="s">
        <v>2609</v>
      </c>
      <c r="C1521">
        <v>35</v>
      </c>
      <c r="D1521">
        <v>35</v>
      </c>
      <c r="E1521">
        <v>1.8</v>
      </c>
      <c r="F1521" s="16">
        <v>1.8</v>
      </c>
      <c r="G1521">
        <v>67</v>
      </c>
      <c r="H1521">
        <v>2.5</v>
      </c>
      <c r="I1521" t="s">
        <v>8</v>
      </c>
      <c r="J1521" t="s">
        <v>910</v>
      </c>
      <c r="K1521">
        <v>450</v>
      </c>
      <c r="L1521">
        <v>80.400000000000006</v>
      </c>
      <c r="M1521">
        <v>78.3</v>
      </c>
    </row>
    <row r="1522" spans="2:13" x14ac:dyDescent="0.25">
      <c r="B1522" s="50" t="s">
        <v>3780</v>
      </c>
      <c r="C1522">
        <v>45</v>
      </c>
      <c r="D1522">
        <v>45</v>
      </c>
      <c r="E1522">
        <v>1.8</v>
      </c>
      <c r="F1522" s="16">
        <v>1.8</v>
      </c>
      <c r="G1522">
        <v>67</v>
      </c>
      <c r="H1522">
        <v>3.4</v>
      </c>
      <c r="I1522" t="s">
        <v>1293</v>
      </c>
      <c r="J1522" t="s">
        <v>910</v>
      </c>
      <c r="K1522">
        <v>540</v>
      </c>
      <c r="L1522">
        <v>80.400000000000006</v>
      </c>
      <c r="M1522">
        <v>91.7</v>
      </c>
    </row>
    <row r="1523" spans="2:13" x14ac:dyDescent="0.25">
      <c r="B1523" s="50" t="s">
        <v>4233</v>
      </c>
      <c r="C1523">
        <v>45</v>
      </c>
      <c r="D1523">
        <v>45</v>
      </c>
      <c r="E1523">
        <v>1.8</v>
      </c>
      <c r="F1523" s="16">
        <v>1.8</v>
      </c>
      <c r="G1523">
        <v>67</v>
      </c>
      <c r="H1523">
        <v>3.4</v>
      </c>
      <c r="I1523" t="s">
        <v>1229</v>
      </c>
      <c r="J1523" t="s">
        <v>910</v>
      </c>
      <c r="K1523">
        <v>540</v>
      </c>
      <c r="L1523">
        <v>80.400000000000006</v>
      </c>
      <c r="M1523">
        <v>91.7</v>
      </c>
    </row>
    <row r="1524" spans="2:13" x14ac:dyDescent="0.25">
      <c r="B1524" s="50" t="s">
        <v>2678</v>
      </c>
      <c r="C1524">
        <v>45</v>
      </c>
      <c r="D1524">
        <v>45</v>
      </c>
      <c r="E1524">
        <v>1.8</v>
      </c>
      <c r="F1524" s="16">
        <v>1.8</v>
      </c>
      <c r="G1524">
        <v>67</v>
      </c>
      <c r="H1524">
        <v>3.4</v>
      </c>
      <c r="I1524" t="s">
        <v>8</v>
      </c>
      <c r="J1524" t="s">
        <v>910</v>
      </c>
      <c r="K1524">
        <v>520</v>
      </c>
      <c r="L1524">
        <v>80.400000000000006</v>
      </c>
      <c r="M1524">
        <v>89.2</v>
      </c>
    </row>
    <row r="1525" spans="2:13" x14ac:dyDescent="0.25">
      <c r="B1525" s="50" t="s">
        <v>2767</v>
      </c>
      <c r="C1525">
        <v>60</v>
      </c>
      <c r="D1525">
        <v>60</v>
      </c>
      <c r="E1525">
        <v>2</v>
      </c>
      <c r="F1525" s="16">
        <v>2</v>
      </c>
      <c r="G1525">
        <v>55</v>
      </c>
      <c r="H1525">
        <v>1</v>
      </c>
      <c r="I1525" t="s">
        <v>1251</v>
      </c>
      <c r="J1525" t="s">
        <v>900</v>
      </c>
      <c r="K1525">
        <v>400</v>
      </c>
      <c r="L1525">
        <v>73</v>
      </c>
      <c r="M1525">
        <v>80</v>
      </c>
    </row>
    <row r="1526" spans="2:13" x14ac:dyDescent="0.25">
      <c r="B1526" s="50" t="s">
        <v>4342</v>
      </c>
      <c r="C1526">
        <v>60</v>
      </c>
      <c r="D1526">
        <v>60</v>
      </c>
      <c r="E1526">
        <v>2</v>
      </c>
      <c r="F1526" s="16">
        <v>2</v>
      </c>
      <c r="G1526">
        <v>55</v>
      </c>
      <c r="H1526">
        <v>1</v>
      </c>
      <c r="I1526" t="s">
        <v>8</v>
      </c>
      <c r="J1526" t="s">
        <v>900</v>
      </c>
      <c r="K1526">
        <v>400</v>
      </c>
      <c r="L1526">
        <v>73</v>
      </c>
      <c r="M1526">
        <v>80</v>
      </c>
    </row>
    <row r="1527" spans="2:13" x14ac:dyDescent="0.25">
      <c r="B1527" s="50" t="s">
        <v>4093</v>
      </c>
      <c r="C1527">
        <v>60</v>
      </c>
      <c r="D1527">
        <v>60</v>
      </c>
      <c r="E1527">
        <v>2</v>
      </c>
      <c r="F1527" s="16">
        <v>2</v>
      </c>
      <c r="G1527">
        <v>55</v>
      </c>
      <c r="H1527">
        <v>1</v>
      </c>
      <c r="I1527" t="s">
        <v>1293</v>
      </c>
      <c r="J1527" t="s">
        <v>900</v>
      </c>
      <c r="K1527">
        <v>400</v>
      </c>
      <c r="L1527">
        <v>73</v>
      </c>
      <c r="M1527">
        <v>80</v>
      </c>
    </row>
    <row r="1528" spans="2:13" x14ac:dyDescent="0.25">
      <c r="B1528" s="50" t="s">
        <v>2766</v>
      </c>
      <c r="C1528">
        <v>70</v>
      </c>
      <c r="D1528">
        <v>200</v>
      </c>
      <c r="E1528">
        <v>2.8</v>
      </c>
      <c r="F1528" s="16">
        <v>2.8</v>
      </c>
      <c r="G1528">
        <v>77</v>
      </c>
      <c r="H1528">
        <v>3.1</v>
      </c>
      <c r="I1528" t="s">
        <v>1229</v>
      </c>
      <c r="J1528" t="s">
        <v>910</v>
      </c>
      <c r="K1528">
        <v>1150</v>
      </c>
      <c r="L1528">
        <v>89.5</v>
      </c>
      <c r="M1528">
        <v>194.3</v>
      </c>
    </row>
    <row r="1529" spans="2:13" x14ac:dyDescent="0.25">
      <c r="B1529" s="50" t="s">
        <v>2765</v>
      </c>
      <c r="C1529">
        <v>70</v>
      </c>
      <c r="D1529">
        <v>200</v>
      </c>
      <c r="E1529">
        <v>2.8</v>
      </c>
      <c r="F1529" s="16">
        <v>2.8</v>
      </c>
      <c r="G1529">
        <v>77</v>
      </c>
      <c r="H1529">
        <v>3.1</v>
      </c>
      <c r="I1529" t="s">
        <v>8</v>
      </c>
      <c r="J1529" t="s">
        <v>910</v>
      </c>
      <c r="K1529">
        <v>1150</v>
      </c>
      <c r="L1529">
        <v>89.5</v>
      </c>
      <c r="M1529">
        <v>194.3</v>
      </c>
    </row>
    <row r="1530" spans="2:13" x14ac:dyDescent="0.25">
      <c r="B1530" s="50" t="s">
        <v>2677</v>
      </c>
      <c r="C1530">
        <v>70</v>
      </c>
      <c r="D1530">
        <v>200</v>
      </c>
      <c r="E1530">
        <v>2.8</v>
      </c>
      <c r="F1530" s="16">
        <v>2.8</v>
      </c>
      <c r="G1530">
        <v>77</v>
      </c>
      <c r="H1530">
        <v>3.1</v>
      </c>
      <c r="I1530" t="s">
        <v>1331</v>
      </c>
      <c r="J1530" t="s">
        <v>910</v>
      </c>
      <c r="K1530">
        <v>1150</v>
      </c>
      <c r="L1530">
        <v>89.5</v>
      </c>
      <c r="M1530">
        <v>194.3</v>
      </c>
    </row>
    <row r="1531" spans="2:13" x14ac:dyDescent="0.25">
      <c r="B1531" s="50" t="s">
        <v>4092</v>
      </c>
      <c r="C1531">
        <v>70</v>
      </c>
      <c r="D1531">
        <v>200</v>
      </c>
      <c r="E1531">
        <v>2.8</v>
      </c>
      <c r="F1531" s="16">
        <v>2.8</v>
      </c>
      <c r="G1531">
        <v>77</v>
      </c>
      <c r="H1531">
        <v>3.1</v>
      </c>
      <c r="I1531" t="s">
        <v>1293</v>
      </c>
      <c r="J1531" t="s">
        <v>910</v>
      </c>
      <c r="K1531">
        <v>1150</v>
      </c>
      <c r="L1531">
        <v>89.5</v>
      </c>
      <c r="M1531">
        <v>194.3</v>
      </c>
    </row>
    <row r="1532" spans="2:13" x14ac:dyDescent="0.25">
      <c r="B1532" s="50" t="s">
        <v>2763</v>
      </c>
      <c r="C1532">
        <v>70</v>
      </c>
      <c r="D1532">
        <v>200</v>
      </c>
      <c r="E1532">
        <v>2.8</v>
      </c>
      <c r="F1532" s="16">
        <v>2.8</v>
      </c>
      <c r="G1532">
        <v>77</v>
      </c>
      <c r="H1532">
        <v>8</v>
      </c>
      <c r="I1532" t="s">
        <v>1293</v>
      </c>
      <c r="J1532" t="s">
        <v>910</v>
      </c>
      <c r="K1532">
        <v>1470</v>
      </c>
      <c r="L1532">
        <v>85.8</v>
      </c>
      <c r="M1532">
        <v>188.3</v>
      </c>
    </row>
    <row r="1533" spans="2:13" x14ac:dyDescent="0.25">
      <c r="B1533" s="50" t="s">
        <v>4375</v>
      </c>
      <c r="C1533">
        <v>70</v>
      </c>
      <c r="D1533">
        <v>200</v>
      </c>
      <c r="E1533">
        <v>2.8</v>
      </c>
      <c r="F1533" s="16">
        <v>2.8</v>
      </c>
      <c r="G1533">
        <v>77</v>
      </c>
      <c r="H1533">
        <v>8</v>
      </c>
      <c r="I1533" t="s">
        <v>1229</v>
      </c>
      <c r="J1533" t="s">
        <v>910</v>
      </c>
      <c r="K1533">
        <v>1470</v>
      </c>
      <c r="L1533">
        <v>85.8</v>
      </c>
      <c r="M1533">
        <v>188.3</v>
      </c>
    </row>
    <row r="1534" spans="2:13" x14ac:dyDescent="0.25">
      <c r="B1534" s="50" t="s">
        <v>3779</v>
      </c>
      <c r="C1534">
        <v>70</v>
      </c>
      <c r="D1534">
        <v>200</v>
      </c>
      <c r="E1534">
        <v>2.8</v>
      </c>
      <c r="F1534" s="16">
        <v>2.8</v>
      </c>
      <c r="G1534">
        <v>77</v>
      </c>
      <c r="H1534">
        <v>8</v>
      </c>
      <c r="I1534" t="s">
        <v>8</v>
      </c>
      <c r="J1534" t="s">
        <v>910</v>
      </c>
      <c r="K1534">
        <v>1470</v>
      </c>
      <c r="L1534">
        <v>85.8</v>
      </c>
      <c r="M1534">
        <v>188.3</v>
      </c>
    </row>
    <row r="1535" spans="2:13" x14ac:dyDescent="0.25">
      <c r="B1535" s="50" t="s">
        <v>2556</v>
      </c>
      <c r="C1535">
        <v>70</v>
      </c>
      <c r="D1535">
        <v>200</v>
      </c>
      <c r="E1535">
        <v>2.8</v>
      </c>
      <c r="F1535" s="16">
        <v>2.8</v>
      </c>
      <c r="G1535">
        <v>77</v>
      </c>
      <c r="H1535">
        <v>6.1</v>
      </c>
      <c r="I1535" t="s">
        <v>1229</v>
      </c>
      <c r="J1535" t="s">
        <v>910</v>
      </c>
      <c r="K1535">
        <v>1500</v>
      </c>
      <c r="L1535">
        <v>88</v>
      </c>
      <c r="M1535">
        <v>193.8</v>
      </c>
    </row>
    <row r="1536" spans="2:13" x14ac:dyDescent="0.25">
      <c r="B1536" s="50" t="s">
        <v>4496</v>
      </c>
      <c r="C1536">
        <v>70</v>
      </c>
      <c r="D1536">
        <v>200</v>
      </c>
      <c r="E1536">
        <v>2.8</v>
      </c>
      <c r="F1536" s="16">
        <v>2.8</v>
      </c>
      <c r="G1536">
        <v>77</v>
      </c>
      <c r="H1536">
        <v>6.1</v>
      </c>
      <c r="I1536" t="s">
        <v>8</v>
      </c>
      <c r="J1536" t="s">
        <v>910</v>
      </c>
      <c r="K1536">
        <v>1490</v>
      </c>
      <c r="L1536">
        <v>88</v>
      </c>
      <c r="M1536">
        <v>191.3</v>
      </c>
    </row>
    <row r="1537" spans="2:13" x14ac:dyDescent="0.25">
      <c r="B1537" s="50" t="s">
        <v>4413</v>
      </c>
      <c r="C1537">
        <v>70</v>
      </c>
      <c r="D1537">
        <v>300</v>
      </c>
      <c r="E1537">
        <v>4</v>
      </c>
      <c r="F1537" s="16">
        <v>4</v>
      </c>
      <c r="G1537">
        <v>62</v>
      </c>
      <c r="H1537">
        <v>4</v>
      </c>
      <c r="I1537" t="s">
        <v>1293</v>
      </c>
      <c r="J1537" t="s">
        <v>910</v>
      </c>
      <c r="K1537">
        <v>765</v>
      </c>
      <c r="L1537">
        <v>81.5</v>
      </c>
      <c r="M1537">
        <v>142.69999999999999</v>
      </c>
    </row>
    <row r="1538" spans="2:13" x14ac:dyDescent="0.25">
      <c r="B1538" s="50" t="s">
        <v>4465</v>
      </c>
      <c r="C1538">
        <v>70</v>
      </c>
      <c r="D1538">
        <v>300</v>
      </c>
      <c r="E1538">
        <v>4</v>
      </c>
      <c r="F1538" s="16">
        <v>4</v>
      </c>
      <c r="G1538">
        <v>62</v>
      </c>
      <c r="H1538">
        <v>4</v>
      </c>
      <c r="I1538" t="s">
        <v>1229</v>
      </c>
      <c r="J1538" t="s">
        <v>910</v>
      </c>
      <c r="K1538">
        <v>765</v>
      </c>
      <c r="L1538">
        <v>81.5</v>
      </c>
      <c r="M1538">
        <v>142.69999999999999</v>
      </c>
    </row>
    <row r="1539" spans="2:13" x14ac:dyDescent="0.25">
      <c r="B1539" s="50" t="s">
        <v>4412</v>
      </c>
      <c r="C1539">
        <v>70</v>
      </c>
      <c r="D1539">
        <v>300</v>
      </c>
      <c r="E1539">
        <v>4</v>
      </c>
      <c r="F1539" s="16">
        <v>4</v>
      </c>
      <c r="G1539">
        <v>62</v>
      </c>
      <c r="H1539">
        <v>4</v>
      </c>
      <c r="I1539" t="s">
        <v>8</v>
      </c>
      <c r="J1539" t="s">
        <v>910</v>
      </c>
      <c r="K1539">
        <v>765</v>
      </c>
      <c r="L1539">
        <v>81.5</v>
      </c>
      <c r="M1539">
        <v>142.69999999999999</v>
      </c>
    </row>
    <row r="1540" spans="2:13" x14ac:dyDescent="0.25">
      <c r="B1540" s="50" t="s">
        <v>4091</v>
      </c>
      <c r="C1540">
        <v>85</v>
      </c>
      <c r="D1540">
        <v>85</v>
      </c>
      <c r="E1540">
        <v>1.8</v>
      </c>
      <c r="F1540" s="16">
        <v>1.8</v>
      </c>
      <c r="G1540">
        <v>67</v>
      </c>
      <c r="H1540">
        <v>7.2</v>
      </c>
      <c r="I1540" t="s">
        <v>1293</v>
      </c>
      <c r="J1540" t="s">
        <v>910</v>
      </c>
      <c r="K1540">
        <v>700</v>
      </c>
      <c r="L1540">
        <v>84.8</v>
      </c>
      <c r="M1540">
        <v>91.3</v>
      </c>
    </row>
    <row r="1541" spans="2:13" x14ac:dyDescent="0.25">
      <c r="B1541" s="50" t="s">
        <v>2676</v>
      </c>
      <c r="C1541">
        <v>85</v>
      </c>
      <c r="D1541">
        <v>85</v>
      </c>
      <c r="E1541">
        <v>1.8</v>
      </c>
      <c r="F1541" s="16">
        <v>1.8</v>
      </c>
      <c r="G1541">
        <v>67</v>
      </c>
      <c r="H1541">
        <v>7.2</v>
      </c>
      <c r="I1541" t="s">
        <v>1229</v>
      </c>
      <c r="J1541" t="s">
        <v>910</v>
      </c>
      <c r="K1541">
        <v>700</v>
      </c>
      <c r="L1541">
        <v>84.8</v>
      </c>
      <c r="M1541">
        <v>91.3</v>
      </c>
    </row>
    <row r="1542" spans="2:13" x14ac:dyDescent="0.25">
      <c r="B1542" s="50" t="s">
        <v>4411</v>
      </c>
      <c r="C1542">
        <v>85</v>
      </c>
      <c r="D1542">
        <v>85</v>
      </c>
      <c r="E1542">
        <v>1.8</v>
      </c>
      <c r="F1542" s="16">
        <v>1.8</v>
      </c>
      <c r="G1542">
        <v>67</v>
      </c>
      <c r="H1542">
        <v>7.2</v>
      </c>
      <c r="I1542" t="s">
        <v>8</v>
      </c>
      <c r="J1542" t="s">
        <v>910</v>
      </c>
      <c r="K1542">
        <v>700</v>
      </c>
      <c r="L1542">
        <v>84.8</v>
      </c>
      <c r="M1542">
        <v>91.3</v>
      </c>
    </row>
    <row r="1543" spans="2:13" x14ac:dyDescent="0.25">
      <c r="B1543" s="50" t="s">
        <v>2675</v>
      </c>
      <c r="C1543">
        <v>90</v>
      </c>
      <c r="D1543">
        <v>90</v>
      </c>
      <c r="E1543">
        <v>2.8</v>
      </c>
      <c r="F1543" s="16">
        <v>2.8</v>
      </c>
      <c r="G1543">
        <v>55</v>
      </c>
      <c r="H1543">
        <v>1</v>
      </c>
      <c r="I1543" t="s">
        <v>1229</v>
      </c>
      <c r="J1543" t="s">
        <v>910</v>
      </c>
      <c r="K1543">
        <v>405</v>
      </c>
      <c r="L1543">
        <v>71.5</v>
      </c>
      <c r="M1543">
        <v>97</v>
      </c>
    </row>
    <row r="1544" spans="2:13" x14ac:dyDescent="0.25">
      <c r="B1544" s="50" t="s">
        <v>4090</v>
      </c>
      <c r="C1544">
        <v>90</v>
      </c>
      <c r="D1544">
        <v>90</v>
      </c>
      <c r="E1544">
        <v>2.8</v>
      </c>
      <c r="F1544" s="16">
        <v>2.8</v>
      </c>
      <c r="G1544">
        <v>55</v>
      </c>
      <c r="H1544">
        <v>1</v>
      </c>
      <c r="I1544" t="s">
        <v>8</v>
      </c>
      <c r="J1544" t="s">
        <v>910</v>
      </c>
      <c r="K1544">
        <v>405</v>
      </c>
      <c r="L1544">
        <v>71.5</v>
      </c>
      <c r="M1544">
        <v>97</v>
      </c>
    </row>
    <row r="1545" spans="2:13" x14ac:dyDescent="0.25">
      <c r="B1545" s="50" t="s">
        <v>3778</v>
      </c>
      <c r="C1545">
        <v>90</v>
      </c>
      <c r="D1545">
        <v>90</v>
      </c>
      <c r="E1545">
        <v>2.8</v>
      </c>
      <c r="F1545" s="16">
        <v>2.8</v>
      </c>
      <c r="G1545">
        <v>55</v>
      </c>
      <c r="H1545">
        <v>1</v>
      </c>
      <c r="I1545" t="s">
        <v>1331</v>
      </c>
      <c r="J1545" t="s">
        <v>910</v>
      </c>
      <c r="K1545">
        <v>405</v>
      </c>
      <c r="L1545">
        <v>71.5</v>
      </c>
      <c r="M1545">
        <v>97</v>
      </c>
    </row>
    <row r="1546" spans="2:13" x14ac:dyDescent="0.25">
      <c r="B1546" s="50" t="s">
        <v>2762</v>
      </c>
      <c r="C1546">
        <v>90</v>
      </c>
      <c r="D1546">
        <v>90</v>
      </c>
      <c r="E1546">
        <v>2.8</v>
      </c>
      <c r="F1546" s="16">
        <v>2.8</v>
      </c>
      <c r="G1546">
        <v>55</v>
      </c>
      <c r="H1546">
        <v>1</v>
      </c>
      <c r="I1546" t="s">
        <v>1293</v>
      </c>
      <c r="J1546" t="s">
        <v>910</v>
      </c>
      <c r="K1546">
        <v>405</v>
      </c>
      <c r="L1546">
        <v>71.5</v>
      </c>
      <c r="M1546">
        <v>97</v>
      </c>
    </row>
    <row r="1547" spans="2:13" x14ac:dyDescent="0.25">
      <c r="B1547" s="50" t="s">
        <v>4232</v>
      </c>
      <c r="C1547">
        <v>90</v>
      </c>
      <c r="D1547">
        <v>90</v>
      </c>
      <c r="E1547">
        <v>2.8</v>
      </c>
      <c r="F1547" s="16">
        <v>2.8</v>
      </c>
      <c r="G1547">
        <v>55</v>
      </c>
      <c r="H1547">
        <v>1</v>
      </c>
      <c r="I1547" t="s">
        <v>8</v>
      </c>
      <c r="J1547" t="s">
        <v>910</v>
      </c>
      <c r="K1547">
        <v>405</v>
      </c>
      <c r="L1547">
        <v>71.5</v>
      </c>
      <c r="M1547">
        <v>97</v>
      </c>
    </row>
    <row r="1548" spans="2:13" x14ac:dyDescent="0.25">
      <c r="B1548" s="50" t="s">
        <v>943</v>
      </c>
      <c r="C1548">
        <v>90</v>
      </c>
      <c r="D1548">
        <v>90</v>
      </c>
      <c r="E1548">
        <v>2.8</v>
      </c>
      <c r="F1548" s="16">
        <v>2.8</v>
      </c>
      <c r="G1548">
        <v>58</v>
      </c>
      <c r="H1548">
        <v>1</v>
      </c>
      <c r="I1548" t="s">
        <v>1293</v>
      </c>
      <c r="J1548" t="s">
        <v>910</v>
      </c>
      <c r="K1548">
        <v>550</v>
      </c>
      <c r="L1548">
        <v>76.400000000000006</v>
      </c>
      <c r="M1548">
        <v>114.5</v>
      </c>
    </row>
    <row r="1549" spans="2:13" x14ac:dyDescent="0.25">
      <c r="B1549" s="50" t="s">
        <v>3777</v>
      </c>
      <c r="C1549">
        <v>90</v>
      </c>
      <c r="D1549">
        <v>90</v>
      </c>
      <c r="E1549">
        <v>2.8</v>
      </c>
      <c r="F1549" s="16">
        <v>2.8</v>
      </c>
      <c r="G1549">
        <v>62</v>
      </c>
      <c r="H1549">
        <v>1</v>
      </c>
      <c r="I1549" t="s">
        <v>1293</v>
      </c>
      <c r="J1549" t="s">
        <v>910</v>
      </c>
      <c r="K1549">
        <v>610</v>
      </c>
      <c r="L1549">
        <v>79</v>
      </c>
      <c r="M1549">
        <v>117.1</v>
      </c>
    </row>
    <row r="1550" spans="2:13" x14ac:dyDescent="0.25">
      <c r="B1550" s="50" t="s">
        <v>1174</v>
      </c>
      <c r="C1550">
        <v>90</v>
      </c>
      <c r="D1550">
        <v>90</v>
      </c>
      <c r="E1550">
        <v>2.8</v>
      </c>
      <c r="F1550" s="16">
        <v>2.8</v>
      </c>
      <c r="G1550">
        <v>58</v>
      </c>
      <c r="H1550">
        <v>1</v>
      </c>
      <c r="I1550" t="s">
        <v>1229</v>
      </c>
      <c r="J1550" t="s">
        <v>910</v>
      </c>
      <c r="K1550">
        <v>550</v>
      </c>
      <c r="L1550">
        <v>76.400000000000006</v>
      </c>
      <c r="M1550">
        <v>114.5</v>
      </c>
    </row>
    <row r="1551" spans="2:13" x14ac:dyDescent="0.25">
      <c r="B1551" s="50" t="s">
        <v>914</v>
      </c>
      <c r="C1551">
        <v>90</v>
      </c>
      <c r="D1551">
        <v>90</v>
      </c>
      <c r="E1551">
        <v>2.8</v>
      </c>
      <c r="F1551" s="16">
        <v>2.8</v>
      </c>
      <c r="G1551">
        <v>62</v>
      </c>
      <c r="H1551">
        <v>1</v>
      </c>
      <c r="I1551" t="s">
        <v>1229</v>
      </c>
      <c r="J1551" t="s">
        <v>910</v>
      </c>
      <c r="K1551">
        <v>610</v>
      </c>
      <c r="L1551">
        <v>79</v>
      </c>
      <c r="M1551">
        <v>117.1</v>
      </c>
    </row>
    <row r="1552" spans="2:13" x14ac:dyDescent="0.25">
      <c r="B1552" s="50" t="s">
        <v>964</v>
      </c>
      <c r="C1552">
        <v>90</v>
      </c>
      <c r="D1552">
        <v>90</v>
      </c>
      <c r="E1552">
        <v>2.8</v>
      </c>
      <c r="F1552" s="16">
        <v>2.8</v>
      </c>
      <c r="G1552">
        <v>58</v>
      </c>
      <c r="H1552">
        <v>1</v>
      </c>
      <c r="I1552" t="s">
        <v>8</v>
      </c>
      <c r="J1552" t="s">
        <v>910</v>
      </c>
      <c r="K1552">
        <v>550</v>
      </c>
      <c r="L1552">
        <v>76.400000000000006</v>
      </c>
      <c r="M1552">
        <v>114.5</v>
      </c>
    </row>
    <row r="1553" spans="2:13" x14ac:dyDescent="0.25">
      <c r="B1553" s="50" t="s">
        <v>1165</v>
      </c>
      <c r="C1553">
        <v>90</v>
      </c>
      <c r="D1553">
        <v>90</v>
      </c>
      <c r="E1553">
        <v>2.8</v>
      </c>
      <c r="F1553" s="16">
        <v>2.8</v>
      </c>
      <c r="G1553">
        <v>62</v>
      </c>
      <c r="H1553">
        <v>1</v>
      </c>
      <c r="I1553" t="s">
        <v>8</v>
      </c>
      <c r="J1553" t="s">
        <v>910</v>
      </c>
      <c r="K1553">
        <v>610</v>
      </c>
      <c r="L1553">
        <v>79</v>
      </c>
      <c r="M1553">
        <v>117.1</v>
      </c>
    </row>
    <row r="1554" spans="2:13" x14ac:dyDescent="0.25">
      <c r="B1554" s="50" t="s">
        <v>4085</v>
      </c>
      <c r="C1554">
        <v>10</v>
      </c>
      <c r="D1554">
        <v>17</v>
      </c>
      <c r="E1554">
        <v>3.5</v>
      </c>
      <c r="F1554" s="16">
        <v>3.5</v>
      </c>
      <c r="G1554">
        <v>0</v>
      </c>
      <c r="H1554">
        <v>2.56</v>
      </c>
      <c r="I1554" t="s">
        <v>1251</v>
      </c>
      <c r="J1554" t="s">
        <v>900</v>
      </c>
      <c r="K1554">
        <v>350</v>
      </c>
      <c r="L1554">
        <v>70</v>
      </c>
      <c r="M1554">
        <v>71.099999999999994</v>
      </c>
    </row>
    <row r="1555" spans="2:13" x14ac:dyDescent="0.25">
      <c r="B1555" s="50" t="s">
        <v>3060</v>
      </c>
      <c r="C1555">
        <v>10</v>
      </c>
      <c r="D1555">
        <v>17</v>
      </c>
      <c r="E1555">
        <v>3.5</v>
      </c>
      <c r="F1555" s="16">
        <v>3.5</v>
      </c>
      <c r="G1555">
        <v>0</v>
      </c>
      <c r="H1555">
        <v>2.56</v>
      </c>
      <c r="I1555" t="s">
        <v>8</v>
      </c>
      <c r="J1555" t="s">
        <v>900</v>
      </c>
      <c r="K1555">
        <v>350</v>
      </c>
      <c r="L1555">
        <v>70</v>
      </c>
      <c r="M1555">
        <v>71.099999999999994</v>
      </c>
    </row>
    <row r="1556" spans="2:13" x14ac:dyDescent="0.25">
      <c r="B1556" s="50" t="s">
        <v>3059</v>
      </c>
      <c r="C1556">
        <v>10</v>
      </c>
      <c r="D1556">
        <v>17</v>
      </c>
      <c r="E1556">
        <v>3.5</v>
      </c>
      <c r="F1556" s="16">
        <v>3.5</v>
      </c>
      <c r="G1556">
        <v>0</v>
      </c>
      <c r="H1556">
        <v>2.56</v>
      </c>
      <c r="I1556" t="s">
        <v>1251</v>
      </c>
      <c r="J1556" t="s">
        <v>910</v>
      </c>
      <c r="K1556">
        <v>350</v>
      </c>
      <c r="L1556">
        <v>69.900000000000006</v>
      </c>
      <c r="M1556">
        <v>70.900000000000006</v>
      </c>
    </row>
    <row r="1557" spans="2:13" x14ac:dyDescent="0.25">
      <c r="B1557" s="50" t="s">
        <v>3058</v>
      </c>
      <c r="C1557">
        <v>10</v>
      </c>
      <c r="D1557">
        <v>17</v>
      </c>
      <c r="E1557">
        <v>3.5</v>
      </c>
      <c r="F1557" s="16">
        <v>3.5</v>
      </c>
      <c r="G1557">
        <v>0</v>
      </c>
      <c r="H1557">
        <v>2.56</v>
      </c>
      <c r="I1557" t="s">
        <v>8</v>
      </c>
      <c r="J1557" t="s">
        <v>910</v>
      </c>
      <c r="K1557">
        <v>350</v>
      </c>
      <c r="L1557">
        <v>69.900000000000006</v>
      </c>
      <c r="M1557">
        <v>70.900000000000006</v>
      </c>
    </row>
    <row r="1558" spans="2:13" x14ac:dyDescent="0.25">
      <c r="B1558" s="50" t="s">
        <v>3419</v>
      </c>
      <c r="C1558">
        <v>16.5</v>
      </c>
      <c r="D1558">
        <v>135</v>
      </c>
      <c r="E1558">
        <v>3.5</v>
      </c>
      <c r="F1558" s="16">
        <v>3.5</v>
      </c>
      <c r="G1558">
        <v>77</v>
      </c>
      <c r="H1558">
        <v>5.43</v>
      </c>
      <c r="I1558" t="s">
        <v>1251</v>
      </c>
      <c r="J1558" t="s">
        <v>900</v>
      </c>
      <c r="K1558">
        <v>610</v>
      </c>
      <c r="L1558">
        <v>84</v>
      </c>
      <c r="M1558">
        <v>78</v>
      </c>
    </row>
    <row r="1559" spans="2:13" x14ac:dyDescent="0.25">
      <c r="B1559" s="50" t="s">
        <v>1109</v>
      </c>
      <c r="C1559">
        <v>16.5</v>
      </c>
      <c r="D1559">
        <v>135</v>
      </c>
      <c r="E1559">
        <v>3.5</v>
      </c>
      <c r="F1559" s="16">
        <v>3.5</v>
      </c>
      <c r="G1559">
        <v>77</v>
      </c>
      <c r="H1559">
        <v>5.43</v>
      </c>
      <c r="I1559" t="s">
        <v>8</v>
      </c>
      <c r="J1559" t="s">
        <v>900</v>
      </c>
      <c r="K1559">
        <v>610</v>
      </c>
      <c r="L1559">
        <v>84</v>
      </c>
      <c r="M1559">
        <v>78</v>
      </c>
    </row>
    <row r="1560" spans="2:13" x14ac:dyDescent="0.25">
      <c r="B1560" s="50" t="s">
        <v>3418</v>
      </c>
      <c r="C1560">
        <v>17</v>
      </c>
      <c r="D1560">
        <v>35</v>
      </c>
      <c r="E1560">
        <v>4</v>
      </c>
      <c r="F1560" s="16">
        <v>4</v>
      </c>
      <c r="G1560">
        <v>0</v>
      </c>
      <c r="H1560">
        <v>4.82</v>
      </c>
      <c r="I1560" t="s">
        <v>1229</v>
      </c>
      <c r="J1560" t="s">
        <v>910</v>
      </c>
      <c r="K1560">
        <v>600</v>
      </c>
      <c r="L1560">
        <v>89</v>
      </c>
      <c r="M1560">
        <v>94</v>
      </c>
    </row>
    <row r="1561" spans="2:13" x14ac:dyDescent="0.25">
      <c r="B1561" s="50" t="s">
        <v>1055</v>
      </c>
      <c r="C1561">
        <v>17</v>
      </c>
      <c r="D1561">
        <v>35</v>
      </c>
      <c r="E1561">
        <v>4</v>
      </c>
      <c r="F1561" s="16">
        <v>4</v>
      </c>
      <c r="G1561">
        <v>0</v>
      </c>
      <c r="H1561">
        <v>4.82</v>
      </c>
      <c r="I1561" t="s">
        <v>8</v>
      </c>
      <c r="J1561" t="s">
        <v>910</v>
      </c>
      <c r="K1561">
        <v>600</v>
      </c>
      <c r="L1561">
        <v>89</v>
      </c>
      <c r="M1561">
        <v>94</v>
      </c>
    </row>
    <row r="1562" spans="2:13" x14ac:dyDescent="0.25">
      <c r="B1562" s="50" t="s">
        <v>3417</v>
      </c>
      <c r="C1562">
        <v>0</v>
      </c>
      <c r="D1562">
        <v>0</v>
      </c>
      <c r="E1562">
        <v>0</v>
      </c>
      <c r="F1562" s="16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</row>
    <row r="1563" spans="2:13" x14ac:dyDescent="0.25">
      <c r="B1563" s="50" t="s">
        <v>2884</v>
      </c>
      <c r="C1563">
        <v>100</v>
      </c>
      <c r="D1563">
        <v>100</v>
      </c>
      <c r="E1563">
        <v>2.8</v>
      </c>
      <c r="F1563" s="16">
        <v>2.8</v>
      </c>
      <c r="G1563">
        <v>55</v>
      </c>
      <c r="H1563">
        <v>1</v>
      </c>
      <c r="I1563" t="s">
        <v>1229</v>
      </c>
      <c r="J1563" t="s">
        <v>910</v>
      </c>
      <c r="K1563">
        <v>540</v>
      </c>
      <c r="L1563">
        <v>73</v>
      </c>
      <c r="M1563">
        <v>95.1</v>
      </c>
    </row>
    <row r="1564" spans="2:13" x14ac:dyDescent="0.25">
      <c r="B1564" s="50" t="s">
        <v>2883</v>
      </c>
      <c r="C1564">
        <v>100</v>
      </c>
      <c r="D1564">
        <v>100</v>
      </c>
      <c r="E1564">
        <v>2.8</v>
      </c>
      <c r="F1564" s="16">
        <v>2.8</v>
      </c>
      <c r="G1564">
        <v>55</v>
      </c>
      <c r="H1564">
        <v>1</v>
      </c>
      <c r="I1564" t="s">
        <v>8</v>
      </c>
      <c r="J1564" t="s">
        <v>910</v>
      </c>
      <c r="K1564">
        <v>540</v>
      </c>
      <c r="L1564">
        <v>73</v>
      </c>
      <c r="M1564">
        <v>95.1</v>
      </c>
    </row>
    <row r="1565" spans="2:13" x14ac:dyDescent="0.25">
      <c r="B1565" s="50" t="s">
        <v>4231</v>
      </c>
      <c r="C1565">
        <v>11</v>
      </c>
      <c r="D1565">
        <v>16</v>
      </c>
      <c r="E1565">
        <v>2.8</v>
      </c>
      <c r="F1565" s="16">
        <v>2.8</v>
      </c>
      <c r="G1565">
        <v>77</v>
      </c>
      <c r="H1565">
        <v>11.6</v>
      </c>
      <c r="I1565" t="s">
        <v>1251</v>
      </c>
      <c r="J1565" t="s">
        <v>900</v>
      </c>
      <c r="K1565">
        <v>560</v>
      </c>
      <c r="L1565">
        <v>84</v>
      </c>
      <c r="M1565">
        <v>96</v>
      </c>
    </row>
    <row r="1566" spans="2:13" x14ac:dyDescent="0.25">
      <c r="B1566" s="50" t="s">
        <v>4230</v>
      </c>
      <c r="C1566">
        <v>11</v>
      </c>
      <c r="D1566">
        <v>16</v>
      </c>
      <c r="E1566">
        <v>2.8</v>
      </c>
      <c r="F1566" s="16">
        <v>2.8</v>
      </c>
      <c r="G1566">
        <v>77</v>
      </c>
      <c r="H1566">
        <v>11.6</v>
      </c>
      <c r="I1566" t="s">
        <v>8</v>
      </c>
      <c r="J1566" t="s">
        <v>900</v>
      </c>
      <c r="K1566">
        <v>560</v>
      </c>
      <c r="L1566">
        <v>84</v>
      </c>
      <c r="M1566">
        <v>96</v>
      </c>
    </row>
    <row r="1567" spans="2:13" x14ac:dyDescent="0.25">
      <c r="B1567" s="50" t="s">
        <v>1066</v>
      </c>
      <c r="C1567">
        <v>11</v>
      </c>
      <c r="D1567">
        <v>16</v>
      </c>
      <c r="E1567">
        <v>2.8</v>
      </c>
      <c r="F1567" s="16">
        <v>2.8</v>
      </c>
      <c r="G1567">
        <v>77</v>
      </c>
      <c r="H1567">
        <v>11.6</v>
      </c>
      <c r="I1567" t="s">
        <v>1293</v>
      </c>
      <c r="J1567" t="s">
        <v>900</v>
      </c>
      <c r="K1567">
        <v>560</v>
      </c>
      <c r="L1567">
        <v>84</v>
      </c>
      <c r="M1567">
        <v>96</v>
      </c>
    </row>
    <row r="1568" spans="2:13" x14ac:dyDescent="0.25">
      <c r="B1568" s="50" t="s">
        <v>935</v>
      </c>
      <c r="C1568">
        <v>11</v>
      </c>
      <c r="D1568">
        <v>16</v>
      </c>
      <c r="E1568">
        <v>2.8</v>
      </c>
      <c r="F1568" s="16">
        <v>2.8</v>
      </c>
      <c r="G1568">
        <v>77</v>
      </c>
      <c r="H1568">
        <v>11.6</v>
      </c>
      <c r="I1568" t="s">
        <v>1251</v>
      </c>
      <c r="J1568" t="s">
        <v>900</v>
      </c>
      <c r="K1568">
        <v>550</v>
      </c>
      <c r="L1568">
        <v>84</v>
      </c>
      <c r="M1568">
        <v>89</v>
      </c>
    </row>
    <row r="1569" spans="2:13" x14ac:dyDescent="0.25">
      <c r="B1569" s="50" t="s">
        <v>1163</v>
      </c>
      <c r="C1569">
        <v>11</v>
      </c>
      <c r="D1569">
        <v>16</v>
      </c>
      <c r="E1569">
        <v>2.8</v>
      </c>
      <c r="F1569" s="16">
        <v>2.8</v>
      </c>
      <c r="G1569">
        <v>77</v>
      </c>
      <c r="H1569">
        <v>11.6</v>
      </c>
      <c r="I1569" t="s">
        <v>8</v>
      </c>
      <c r="J1569" t="s">
        <v>900</v>
      </c>
      <c r="K1569">
        <v>550</v>
      </c>
      <c r="L1569">
        <v>84</v>
      </c>
      <c r="M1569">
        <v>89</v>
      </c>
    </row>
    <row r="1570" spans="2:13" x14ac:dyDescent="0.25">
      <c r="B1570" s="50" t="s">
        <v>1086</v>
      </c>
      <c r="C1570">
        <v>11</v>
      </c>
      <c r="D1570">
        <v>20</v>
      </c>
      <c r="E1570">
        <v>2.8</v>
      </c>
      <c r="F1570" s="16">
        <v>2.8</v>
      </c>
      <c r="G1570">
        <v>82</v>
      </c>
      <c r="H1570">
        <v>8.6199999999999992</v>
      </c>
      <c r="I1570" t="s">
        <v>1251</v>
      </c>
      <c r="J1570" t="s">
        <v>900</v>
      </c>
      <c r="K1570">
        <v>560</v>
      </c>
      <c r="L1570">
        <v>89</v>
      </c>
      <c r="M1570">
        <v>92</v>
      </c>
    </row>
    <row r="1571" spans="2:13" x14ac:dyDescent="0.25">
      <c r="B1571" s="50" t="s">
        <v>1168</v>
      </c>
      <c r="C1571">
        <v>11</v>
      </c>
      <c r="D1571">
        <v>20</v>
      </c>
      <c r="E1571">
        <v>2.8</v>
      </c>
      <c r="F1571" s="16">
        <v>2.8</v>
      </c>
      <c r="G1571">
        <v>82</v>
      </c>
      <c r="H1571">
        <v>8.6199999999999992</v>
      </c>
      <c r="I1571" t="s">
        <v>8</v>
      </c>
      <c r="J1571" t="s">
        <v>900</v>
      </c>
      <c r="K1571">
        <v>560</v>
      </c>
      <c r="L1571">
        <v>89</v>
      </c>
      <c r="M1571">
        <v>92</v>
      </c>
    </row>
    <row r="1572" spans="2:13" x14ac:dyDescent="0.25">
      <c r="B1572" s="50" t="s">
        <v>3056</v>
      </c>
      <c r="C1572">
        <v>12</v>
      </c>
      <c r="D1572">
        <v>24</v>
      </c>
      <c r="E1572">
        <v>4</v>
      </c>
      <c r="F1572" s="16">
        <v>4</v>
      </c>
      <c r="G1572">
        <v>77</v>
      </c>
      <c r="H1572">
        <v>8</v>
      </c>
      <c r="I1572" t="s">
        <v>1251</v>
      </c>
      <c r="J1572" t="s">
        <v>900</v>
      </c>
      <c r="K1572">
        <v>540</v>
      </c>
      <c r="L1572">
        <v>84</v>
      </c>
      <c r="M1572">
        <v>89.5</v>
      </c>
    </row>
    <row r="1573" spans="2:13" x14ac:dyDescent="0.25">
      <c r="B1573" s="50" t="s">
        <v>4304</v>
      </c>
      <c r="C1573">
        <v>12</v>
      </c>
      <c r="D1573">
        <v>24</v>
      </c>
      <c r="E1573">
        <v>4</v>
      </c>
      <c r="F1573" s="16">
        <v>4</v>
      </c>
      <c r="G1573">
        <v>77</v>
      </c>
      <c r="H1573">
        <v>8</v>
      </c>
      <c r="I1573" t="s">
        <v>8</v>
      </c>
      <c r="J1573" t="s">
        <v>900</v>
      </c>
      <c r="K1573">
        <v>540</v>
      </c>
      <c r="L1573">
        <v>84</v>
      </c>
      <c r="M1573">
        <v>89.5</v>
      </c>
    </row>
    <row r="1574" spans="2:13" x14ac:dyDescent="0.25">
      <c r="B1574" s="50" t="s">
        <v>3416</v>
      </c>
      <c r="C1574">
        <v>12</v>
      </c>
      <c r="D1574">
        <v>28</v>
      </c>
      <c r="E1574">
        <v>4</v>
      </c>
      <c r="F1574" s="16">
        <v>4</v>
      </c>
      <c r="G1574">
        <v>77</v>
      </c>
      <c r="H1574">
        <v>4.9400000000000004</v>
      </c>
      <c r="I1574" t="s">
        <v>1251</v>
      </c>
      <c r="J1574" t="s">
        <v>900</v>
      </c>
      <c r="K1574">
        <v>600</v>
      </c>
      <c r="L1574">
        <v>84</v>
      </c>
      <c r="M1574">
        <v>90.2</v>
      </c>
    </row>
    <row r="1575" spans="2:13" x14ac:dyDescent="0.25">
      <c r="B1575" s="50" t="s">
        <v>4341</v>
      </c>
      <c r="C1575">
        <v>12</v>
      </c>
      <c r="D1575">
        <v>28</v>
      </c>
      <c r="E1575">
        <v>4</v>
      </c>
      <c r="F1575" s="16">
        <v>4</v>
      </c>
      <c r="G1575">
        <v>77</v>
      </c>
      <c r="H1575">
        <v>4.9400000000000004</v>
      </c>
      <c r="I1575" t="s">
        <v>8</v>
      </c>
      <c r="J1575" t="s">
        <v>900</v>
      </c>
      <c r="K1575">
        <v>600</v>
      </c>
      <c r="L1575">
        <v>84</v>
      </c>
      <c r="M1575">
        <v>90.2</v>
      </c>
    </row>
    <row r="1576" spans="2:13" x14ac:dyDescent="0.25">
      <c r="B1576" s="50" t="s">
        <v>1097</v>
      </c>
      <c r="C1576">
        <v>14</v>
      </c>
      <c r="D1576">
        <v>20</v>
      </c>
      <c r="E1576">
        <v>2</v>
      </c>
      <c r="F1576" s="16">
        <v>2</v>
      </c>
      <c r="G1576">
        <v>82</v>
      </c>
      <c r="H1576">
        <v>8.36</v>
      </c>
      <c r="I1576" t="s">
        <v>1251</v>
      </c>
      <c r="J1576" t="s">
        <v>900</v>
      </c>
      <c r="K1576">
        <v>725</v>
      </c>
      <c r="L1576">
        <v>89</v>
      </c>
      <c r="M1576">
        <v>106</v>
      </c>
    </row>
    <row r="1577" spans="2:13" x14ac:dyDescent="0.25">
      <c r="B1577" s="50" t="s">
        <v>1096</v>
      </c>
      <c r="C1577">
        <v>14</v>
      </c>
      <c r="D1577">
        <v>20</v>
      </c>
      <c r="E1577">
        <v>2</v>
      </c>
      <c r="F1577" s="16">
        <v>2</v>
      </c>
      <c r="G1577">
        <v>82</v>
      </c>
      <c r="H1577">
        <v>8.36</v>
      </c>
      <c r="I1577" t="s">
        <v>8</v>
      </c>
      <c r="J1577" t="s">
        <v>900</v>
      </c>
      <c r="K1577">
        <v>725</v>
      </c>
      <c r="L1577">
        <v>89</v>
      </c>
      <c r="M1577">
        <v>106</v>
      </c>
    </row>
    <row r="1578" spans="2:13" x14ac:dyDescent="0.25">
      <c r="B1578" s="50" t="s">
        <v>3415</v>
      </c>
      <c r="C1578">
        <v>16</v>
      </c>
      <c r="D1578">
        <v>28</v>
      </c>
      <c r="E1578">
        <v>2.8</v>
      </c>
      <c r="F1578" s="16">
        <v>2.8</v>
      </c>
      <c r="G1578">
        <v>0</v>
      </c>
      <c r="H1578">
        <v>5.62</v>
      </c>
      <c r="I1578" t="s">
        <v>1229</v>
      </c>
      <c r="J1578" t="s">
        <v>910</v>
      </c>
      <c r="K1578">
        <v>950</v>
      </c>
      <c r="L1578">
        <v>90</v>
      </c>
      <c r="M1578">
        <v>133.30000000000001</v>
      </c>
    </row>
    <row r="1579" spans="2:13" x14ac:dyDescent="0.25">
      <c r="B1579" s="50" t="s">
        <v>4340</v>
      </c>
      <c r="C1579">
        <v>16</v>
      </c>
      <c r="D1579">
        <v>28</v>
      </c>
      <c r="E1579">
        <v>2.8</v>
      </c>
      <c r="F1579" s="16">
        <v>2.8</v>
      </c>
      <c r="G1579">
        <v>0</v>
      </c>
      <c r="H1579">
        <v>5.62</v>
      </c>
      <c r="I1579" t="s">
        <v>8</v>
      </c>
      <c r="J1579" t="s">
        <v>910</v>
      </c>
      <c r="K1579">
        <v>950</v>
      </c>
      <c r="L1579">
        <v>90</v>
      </c>
      <c r="M1579">
        <v>133.30000000000001</v>
      </c>
    </row>
    <row r="1580" spans="2:13" x14ac:dyDescent="0.25">
      <c r="B1580" s="50" t="s">
        <v>962</v>
      </c>
      <c r="C1580">
        <v>24</v>
      </c>
      <c r="D1580">
        <v>70</v>
      </c>
      <c r="E1580">
        <v>2.8</v>
      </c>
      <c r="F1580" s="16">
        <v>2.8</v>
      </c>
      <c r="G1580">
        <v>82</v>
      </c>
      <c r="H1580">
        <v>4.7300000000000004</v>
      </c>
      <c r="I1580" t="s">
        <v>1229</v>
      </c>
      <c r="J1580" t="s">
        <v>910</v>
      </c>
      <c r="K1580">
        <v>1010</v>
      </c>
      <c r="L1580">
        <v>89.6</v>
      </c>
      <c r="M1580">
        <v>107.5</v>
      </c>
    </row>
    <row r="1581" spans="2:13" x14ac:dyDescent="0.25">
      <c r="B1581" s="50" t="s">
        <v>1145</v>
      </c>
      <c r="C1581">
        <v>24</v>
      </c>
      <c r="D1581">
        <v>70</v>
      </c>
      <c r="E1581">
        <v>2.8</v>
      </c>
      <c r="F1581" s="16">
        <v>2.8</v>
      </c>
      <c r="G1581">
        <v>82</v>
      </c>
      <c r="H1581">
        <v>4.7300000000000004</v>
      </c>
      <c r="I1581" t="s">
        <v>8</v>
      </c>
      <c r="J1581" t="s">
        <v>910</v>
      </c>
      <c r="K1581">
        <v>1010</v>
      </c>
      <c r="L1581">
        <v>89.6</v>
      </c>
      <c r="M1581">
        <v>107.5</v>
      </c>
    </row>
    <row r="1582" spans="2:13" x14ac:dyDescent="0.25">
      <c r="B1582" s="50" t="s">
        <v>3413</v>
      </c>
      <c r="C1582">
        <v>35</v>
      </c>
      <c r="D1582">
        <v>35</v>
      </c>
      <c r="E1582">
        <v>2.8</v>
      </c>
      <c r="F1582" s="16">
        <v>2.8</v>
      </c>
      <c r="G1582">
        <v>52</v>
      </c>
      <c r="H1582">
        <v>1</v>
      </c>
      <c r="I1582" t="s">
        <v>1251</v>
      </c>
      <c r="J1582" t="s">
        <v>900</v>
      </c>
      <c r="K1582">
        <v>340</v>
      </c>
      <c r="L1582">
        <v>73.2</v>
      </c>
      <c r="M1582">
        <v>60.4</v>
      </c>
    </row>
    <row r="1583" spans="2:13" x14ac:dyDescent="0.25">
      <c r="B1583" s="50" t="s">
        <v>1175</v>
      </c>
      <c r="C1583">
        <v>70</v>
      </c>
      <c r="D1583">
        <v>200</v>
      </c>
      <c r="E1583">
        <v>4</v>
      </c>
      <c r="F1583" s="16">
        <v>4</v>
      </c>
      <c r="G1583">
        <v>67</v>
      </c>
      <c r="H1583">
        <v>3.57</v>
      </c>
      <c r="I1583" t="s">
        <v>8</v>
      </c>
      <c r="J1583" t="s">
        <v>910</v>
      </c>
      <c r="K1583">
        <v>980</v>
      </c>
      <c r="L1583">
        <v>82</v>
      </c>
      <c r="M1583">
        <v>167.5</v>
      </c>
    </row>
    <row r="1584" spans="2:13" x14ac:dyDescent="0.25">
      <c r="B1584" s="50" t="s">
        <v>1169</v>
      </c>
      <c r="C1584">
        <v>20</v>
      </c>
      <c r="D1584">
        <v>20</v>
      </c>
      <c r="E1584">
        <v>2</v>
      </c>
      <c r="F1584" s="16">
        <v>2</v>
      </c>
      <c r="G1584">
        <v>62</v>
      </c>
      <c r="H1584">
        <v>10.29</v>
      </c>
      <c r="I1584" t="s">
        <v>1221</v>
      </c>
      <c r="J1584" t="s">
        <v>910</v>
      </c>
      <c r="K1584">
        <v>490</v>
      </c>
      <c r="L1584">
        <v>69</v>
      </c>
      <c r="M1584">
        <v>81.5</v>
      </c>
    </row>
    <row r="1585" spans="2:13" x14ac:dyDescent="0.25">
      <c r="B1585" s="50" t="s">
        <v>3411</v>
      </c>
      <c r="C1585">
        <v>300</v>
      </c>
      <c r="D1585">
        <v>300</v>
      </c>
      <c r="E1585">
        <v>6.3</v>
      </c>
      <c r="F1585" s="16">
        <v>6.3</v>
      </c>
      <c r="G1585">
        <v>55</v>
      </c>
      <c r="H1585">
        <v>2</v>
      </c>
      <c r="I1585" t="s">
        <v>1227</v>
      </c>
      <c r="J1585" t="s">
        <v>1228</v>
      </c>
      <c r="K1585">
        <v>298</v>
      </c>
      <c r="L1585">
        <v>55</v>
      </c>
      <c r="M1585">
        <v>66</v>
      </c>
    </row>
    <row r="1586" spans="2:13" x14ac:dyDescent="0.25">
      <c r="B1586" s="50" t="s">
        <v>3410</v>
      </c>
      <c r="C1586">
        <v>12</v>
      </c>
      <c r="D1586">
        <v>12</v>
      </c>
      <c r="E1586">
        <v>2.2000000000000002</v>
      </c>
      <c r="F1586" s="16">
        <v>2.2000000000000002</v>
      </c>
      <c r="G1586">
        <v>77</v>
      </c>
      <c r="H1586">
        <v>0</v>
      </c>
      <c r="I1586" t="s">
        <v>1227</v>
      </c>
      <c r="J1586" t="s">
        <v>910</v>
      </c>
      <c r="K1586">
        <v>544</v>
      </c>
      <c r="L1586">
        <v>0</v>
      </c>
      <c r="M1586">
        <v>0</v>
      </c>
    </row>
    <row r="1587" spans="2:13" x14ac:dyDescent="0.25">
      <c r="B1587" s="50" t="s">
        <v>3409</v>
      </c>
      <c r="C1587">
        <v>16</v>
      </c>
      <c r="D1587">
        <v>16</v>
      </c>
      <c r="E1587">
        <v>2.2000000000000002</v>
      </c>
      <c r="F1587" s="16">
        <v>2.2000000000000002</v>
      </c>
      <c r="G1587">
        <v>77</v>
      </c>
      <c r="H1587">
        <v>0</v>
      </c>
      <c r="I1587" t="s">
        <v>1227</v>
      </c>
      <c r="J1587" t="s">
        <v>910</v>
      </c>
      <c r="K1587">
        <v>544</v>
      </c>
      <c r="L1587">
        <v>0</v>
      </c>
      <c r="M1587">
        <v>0</v>
      </c>
    </row>
    <row r="1588" spans="2:13" x14ac:dyDescent="0.25">
      <c r="B1588" s="50" t="s">
        <v>3408</v>
      </c>
      <c r="C1588">
        <v>25</v>
      </c>
      <c r="D1588">
        <v>25</v>
      </c>
      <c r="E1588">
        <v>2.2000000000000002</v>
      </c>
      <c r="F1588" s="16">
        <v>2.2000000000000002</v>
      </c>
      <c r="G1588">
        <v>77</v>
      </c>
      <c r="H1588">
        <v>0</v>
      </c>
      <c r="I1588" t="s">
        <v>1227</v>
      </c>
      <c r="J1588" t="s">
        <v>900</v>
      </c>
      <c r="K1588">
        <v>499</v>
      </c>
      <c r="L1588">
        <v>0</v>
      </c>
      <c r="M1588">
        <v>0</v>
      </c>
    </row>
    <row r="1589" spans="2:13" x14ac:dyDescent="0.25">
      <c r="B1589" s="50" t="s">
        <v>3055</v>
      </c>
      <c r="C1589">
        <v>25</v>
      </c>
      <c r="D1589">
        <v>25</v>
      </c>
      <c r="E1589">
        <v>2.2000000000000002</v>
      </c>
      <c r="F1589" s="16">
        <v>2.2000000000000002</v>
      </c>
      <c r="G1589">
        <v>77</v>
      </c>
      <c r="H1589">
        <v>0</v>
      </c>
      <c r="I1589" t="s">
        <v>1221</v>
      </c>
      <c r="J1589" t="s">
        <v>900</v>
      </c>
      <c r="K1589">
        <v>499</v>
      </c>
      <c r="L1589">
        <v>0</v>
      </c>
      <c r="M1589">
        <v>0</v>
      </c>
    </row>
    <row r="1590" spans="2:13" x14ac:dyDescent="0.25">
      <c r="B1590" s="50" t="s">
        <v>3775</v>
      </c>
      <c r="C1590">
        <v>35</v>
      </c>
      <c r="D1590">
        <v>35</v>
      </c>
      <c r="E1590">
        <v>2.2000000000000002</v>
      </c>
      <c r="F1590" s="16">
        <v>2.2000000000000002</v>
      </c>
      <c r="G1590">
        <v>77</v>
      </c>
      <c r="H1590">
        <v>0</v>
      </c>
      <c r="I1590" t="s">
        <v>1227</v>
      </c>
      <c r="J1590" t="s">
        <v>910</v>
      </c>
      <c r="K1590">
        <v>880</v>
      </c>
      <c r="L1590">
        <v>0</v>
      </c>
      <c r="M1590">
        <v>0</v>
      </c>
    </row>
    <row r="1591" spans="2:13" x14ac:dyDescent="0.25">
      <c r="B1591" s="50" t="s">
        <v>3774</v>
      </c>
      <c r="C1591">
        <v>35</v>
      </c>
      <c r="D1591">
        <v>35</v>
      </c>
      <c r="E1591">
        <v>2.2000000000000002</v>
      </c>
      <c r="F1591" s="16">
        <v>2.2000000000000002</v>
      </c>
      <c r="G1591">
        <v>77</v>
      </c>
      <c r="H1591">
        <v>0</v>
      </c>
      <c r="I1591" t="s">
        <v>1221</v>
      </c>
      <c r="J1591" t="s">
        <v>910</v>
      </c>
      <c r="K1591">
        <v>880</v>
      </c>
      <c r="L1591">
        <v>0</v>
      </c>
      <c r="M1591">
        <v>0</v>
      </c>
    </row>
    <row r="1592" spans="2:13" x14ac:dyDescent="0.25">
      <c r="B1592" s="50" t="s">
        <v>3773</v>
      </c>
      <c r="C1592">
        <v>50</v>
      </c>
      <c r="D1592">
        <v>50</v>
      </c>
      <c r="E1592">
        <v>2.2000000000000002</v>
      </c>
      <c r="F1592" s="16">
        <v>2.2000000000000002</v>
      </c>
      <c r="G1592">
        <v>77</v>
      </c>
      <c r="H1592">
        <v>0</v>
      </c>
      <c r="I1592" t="s">
        <v>1227</v>
      </c>
      <c r="J1592" t="s">
        <v>910</v>
      </c>
      <c r="K1592">
        <v>462</v>
      </c>
      <c r="L1592">
        <v>0</v>
      </c>
      <c r="M1592">
        <v>0</v>
      </c>
    </row>
    <row r="1593" spans="2:13" x14ac:dyDescent="0.25">
      <c r="B1593" s="50" t="s">
        <v>3772</v>
      </c>
      <c r="C1593">
        <v>50</v>
      </c>
      <c r="D1593">
        <v>50</v>
      </c>
      <c r="E1593">
        <v>2.2000000000000002</v>
      </c>
      <c r="F1593" s="16">
        <v>2.2000000000000002</v>
      </c>
      <c r="G1593">
        <v>77</v>
      </c>
      <c r="H1593">
        <v>0</v>
      </c>
      <c r="I1593" t="s">
        <v>1221</v>
      </c>
      <c r="J1593" t="s">
        <v>910</v>
      </c>
      <c r="K1593">
        <v>462</v>
      </c>
      <c r="L1593">
        <v>0</v>
      </c>
      <c r="M1593">
        <v>0</v>
      </c>
    </row>
    <row r="1594" spans="2:13" x14ac:dyDescent="0.25">
      <c r="B1594" s="50" t="s">
        <v>3771</v>
      </c>
      <c r="C1594">
        <v>85</v>
      </c>
      <c r="D1594">
        <v>85</v>
      </c>
      <c r="E1594">
        <v>2.2000000000000002</v>
      </c>
      <c r="F1594" s="16">
        <v>2.2000000000000002</v>
      </c>
      <c r="G1594">
        <v>0</v>
      </c>
      <c r="H1594">
        <v>0</v>
      </c>
      <c r="I1594" t="s">
        <v>1227</v>
      </c>
      <c r="J1594" t="s">
        <v>910</v>
      </c>
      <c r="K1594">
        <v>0</v>
      </c>
      <c r="L1594">
        <v>0</v>
      </c>
      <c r="M1594">
        <v>0</v>
      </c>
    </row>
    <row r="1595" spans="2:13" x14ac:dyDescent="0.25">
      <c r="B1595" s="50" t="s">
        <v>3770</v>
      </c>
      <c r="C1595">
        <v>85</v>
      </c>
      <c r="D1595">
        <v>85</v>
      </c>
      <c r="E1595">
        <v>2.2000000000000002</v>
      </c>
      <c r="F1595" s="16">
        <v>2.2000000000000002</v>
      </c>
      <c r="G1595">
        <v>0</v>
      </c>
      <c r="H1595">
        <v>0</v>
      </c>
      <c r="I1595" t="s">
        <v>1221</v>
      </c>
      <c r="J1595" t="s">
        <v>910</v>
      </c>
      <c r="K1595">
        <v>0</v>
      </c>
      <c r="L1595">
        <v>0</v>
      </c>
      <c r="M1595">
        <v>0</v>
      </c>
    </row>
    <row r="1596" spans="2:13" x14ac:dyDescent="0.25">
      <c r="B1596" s="50" t="s">
        <v>4372</v>
      </c>
      <c r="C1596">
        <v>65</v>
      </c>
      <c r="D1596">
        <v>65</v>
      </c>
      <c r="E1596">
        <v>2</v>
      </c>
      <c r="F1596" s="16">
        <v>2</v>
      </c>
      <c r="G1596">
        <v>67</v>
      </c>
      <c r="H1596">
        <v>2</v>
      </c>
      <c r="I1596" t="s">
        <v>1221</v>
      </c>
      <c r="J1596" t="s">
        <v>910</v>
      </c>
      <c r="K1596">
        <v>0</v>
      </c>
      <c r="L1596">
        <v>77.2</v>
      </c>
      <c r="M1596">
        <v>98.5</v>
      </c>
    </row>
    <row r="1597" spans="2:13" x14ac:dyDescent="0.25">
      <c r="B1597" s="50" t="s">
        <v>3769</v>
      </c>
      <c r="C1597">
        <v>75</v>
      </c>
      <c r="D1597">
        <v>75</v>
      </c>
      <c r="E1597">
        <v>1.8</v>
      </c>
      <c r="F1597" s="16">
        <v>1.8</v>
      </c>
      <c r="G1597">
        <v>52</v>
      </c>
      <c r="H1597">
        <v>7.41</v>
      </c>
      <c r="I1597" t="s">
        <v>1343</v>
      </c>
      <c r="J1597" t="s">
        <v>1448</v>
      </c>
      <c r="K1597">
        <v>427</v>
      </c>
      <c r="L1597">
        <v>57.9</v>
      </c>
      <c r="M1597">
        <v>73.8</v>
      </c>
    </row>
    <row r="1598" spans="2:13" x14ac:dyDescent="0.25">
      <c r="B1598" s="50" t="s">
        <v>3768</v>
      </c>
      <c r="C1598">
        <v>21</v>
      </c>
      <c r="D1598">
        <v>21</v>
      </c>
      <c r="E1598">
        <v>4</v>
      </c>
      <c r="F1598" s="16">
        <v>4</v>
      </c>
      <c r="G1598">
        <v>0</v>
      </c>
      <c r="H1598">
        <v>0</v>
      </c>
      <c r="I1598" t="s">
        <v>1343</v>
      </c>
      <c r="J1598" t="s">
        <v>1448</v>
      </c>
      <c r="K1598">
        <v>109</v>
      </c>
      <c r="L1598">
        <v>49.6</v>
      </c>
      <c r="M1598">
        <v>29.1</v>
      </c>
    </row>
    <row r="1599" spans="2:13" x14ac:dyDescent="0.25">
      <c r="B1599" s="50" t="s">
        <v>3767</v>
      </c>
      <c r="C1599">
        <v>25</v>
      </c>
      <c r="D1599">
        <v>25</v>
      </c>
      <c r="E1599">
        <v>4</v>
      </c>
      <c r="F1599" s="16">
        <v>4</v>
      </c>
      <c r="G1599">
        <v>39</v>
      </c>
      <c r="H1599">
        <v>0</v>
      </c>
      <c r="I1599" t="s">
        <v>1343</v>
      </c>
      <c r="J1599" t="s">
        <v>1448</v>
      </c>
      <c r="K1599">
        <v>156</v>
      </c>
      <c r="L1599">
        <v>0</v>
      </c>
      <c r="M1599">
        <v>0</v>
      </c>
    </row>
    <row r="1600" spans="2:13" x14ac:dyDescent="0.25">
      <c r="B1600" s="50" t="s">
        <v>3054</v>
      </c>
      <c r="C1600">
        <v>21</v>
      </c>
      <c r="D1600">
        <v>21</v>
      </c>
      <c r="E1600">
        <v>4</v>
      </c>
      <c r="F1600" s="16">
        <v>4</v>
      </c>
      <c r="G1600">
        <v>0</v>
      </c>
      <c r="H1600">
        <v>0</v>
      </c>
      <c r="I1600" t="s">
        <v>1343</v>
      </c>
      <c r="J1600" t="s">
        <v>1448</v>
      </c>
      <c r="K1600">
        <v>136</v>
      </c>
      <c r="L1600">
        <v>55</v>
      </c>
      <c r="M1600">
        <v>25.4</v>
      </c>
    </row>
    <row r="1601" spans="2:13" x14ac:dyDescent="0.25">
      <c r="B1601" s="50" t="s">
        <v>3766</v>
      </c>
      <c r="C1601">
        <v>35</v>
      </c>
      <c r="D1601">
        <v>35</v>
      </c>
      <c r="E1601">
        <v>2.5</v>
      </c>
      <c r="F1601" s="16">
        <v>2.5</v>
      </c>
      <c r="G1601">
        <v>0</v>
      </c>
      <c r="H1601">
        <v>0</v>
      </c>
      <c r="I1601" t="s">
        <v>1343</v>
      </c>
      <c r="J1601" t="s">
        <v>1448</v>
      </c>
      <c r="K1601">
        <v>134</v>
      </c>
      <c r="L1601">
        <v>55</v>
      </c>
      <c r="M1601">
        <v>23</v>
      </c>
    </row>
    <row r="1602" spans="2:13" x14ac:dyDescent="0.25">
      <c r="B1602" s="50" t="s">
        <v>3053</v>
      </c>
      <c r="C1602">
        <v>35</v>
      </c>
      <c r="D1602">
        <v>35</v>
      </c>
      <c r="E1602">
        <v>1.2</v>
      </c>
      <c r="F1602" s="16">
        <v>1.2</v>
      </c>
      <c r="G1602">
        <v>0</v>
      </c>
      <c r="H1602">
        <v>0</v>
      </c>
      <c r="I1602" t="s">
        <v>1343</v>
      </c>
      <c r="J1602" t="s">
        <v>1448</v>
      </c>
      <c r="K1602">
        <v>490</v>
      </c>
      <c r="L1602">
        <v>63</v>
      </c>
      <c r="M1602">
        <v>77.8</v>
      </c>
    </row>
    <row r="1603" spans="2:13" x14ac:dyDescent="0.25">
      <c r="B1603" s="50" t="s">
        <v>3765</v>
      </c>
      <c r="C1603">
        <v>35</v>
      </c>
      <c r="D1603">
        <v>35</v>
      </c>
      <c r="E1603">
        <v>1.4</v>
      </c>
      <c r="F1603" s="16">
        <v>1.4</v>
      </c>
      <c r="G1603">
        <v>43</v>
      </c>
      <c r="H1603">
        <v>0</v>
      </c>
      <c r="I1603" t="s">
        <v>1343</v>
      </c>
      <c r="J1603" t="s">
        <v>1448</v>
      </c>
      <c r="K1603">
        <v>200</v>
      </c>
      <c r="L1603">
        <v>55</v>
      </c>
      <c r="M1603">
        <v>28.5</v>
      </c>
    </row>
    <row r="1604" spans="2:13" x14ac:dyDescent="0.25">
      <c r="B1604" s="50" t="s">
        <v>3764</v>
      </c>
      <c r="C1604">
        <v>40</v>
      </c>
      <c r="D1604">
        <v>40</v>
      </c>
      <c r="E1604">
        <v>1.4</v>
      </c>
      <c r="F1604" s="16">
        <v>1.4</v>
      </c>
      <c r="G1604">
        <v>0</v>
      </c>
      <c r="H1604">
        <v>0</v>
      </c>
      <c r="I1604" t="s">
        <v>1343</v>
      </c>
      <c r="J1604" t="s">
        <v>1448</v>
      </c>
      <c r="K1604">
        <v>175</v>
      </c>
      <c r="L1604">
        <v>55</v>
      </c>
      <c r="M1604">
        <v>29.7</v>
      </c>
    </row>
    <row r="1605" spans="2:13" x14ac:dyDescent="0.25">
      <c r="B1605" s="50" t="s">
        <v>3763</v>
      </c>
      <c r="C1605">
        <v>50</v>
      </c>
      <c r="D1605">
        <v>50</v>
      </c>
      <c r="E1605">
        <v>1.1000000000000001</v>
      </c>
      <c r="F1605" s="16">
        <v>1.1000000000000001</v>
      </c>
      <c r="G1605">
        <v>58</v>
      </c>
      <c r="H1605">
        <v>0</v>
      </c>
      <c r="I1605" t="s">
        <v>1343</v>
      </c>
      <c r="J1605" t="s">
        <v>1448</v>
      </c>
      <c r="K1605">
        <v>428</v>
      </c>
      <c r="L1605">
        <v>69.599999999999994</v>
      </c>
      <c r="M1605">
        <v>57.2</v>
      </c>
    </row>
    <row r="1606" spans="2:13" x14ac:dyDescent="0.25">
      <c r="B1606" s="50" t="s">
        <v>3052</v>
      </c>
      <c r="C1606">
        <v>50</v>
      </c>
      <c r="D1606">
        <v>50</v>
      </c>
      <c r="E1606">
        <v>1.5</v>
      </c>
      <c r="F1606" s="16">
        <v>1.5</v>
      </c>
      <c r="G1606">
        <v>0</v>
      </c>
      <c r="H1606">
        <v>0</v>
      </c>
      <c r="I1606" t="s">
        <v>1343</v>
      </c>
      <c r="J1606" t="s">
        <v>1448</v>
      </c>
      <c r="K1606">
        <v>243</v>
      </c>
      <c r="L1606">
        <v>60</v>
      </c>
      <c r="M1606">
        <v>54.5</v>
      </c>
    </row>
    <row r="1607" spans="2:13" x14ac:dyDescent="0.25">
      <c r="B1607" s="50" t="s">
        <v>3762</v>
      </c>
      <c r="C1607">
        <v>15</v>
      </c>
      <c r="D1607">
        <v>15</v>
      </c>
      <c r="E1607">
        <v>4.5</v>
      </c>
      <c r="F1607" s="16">
        <v>4.5</v>
      </c>
      <c r="G1607">
        <v>0</v>
      </c>
      <c r="H1607">
        <v>0</v>
      </c>
      <c r="I1607" t="s">
        <v>1343</v>
      </c>
      <c r="J1607" t="s">
        <v>1448</v>
      </c>
      <c r="K1607">
        <v>105</v>
      </c>
      <c r="L1607">
        <v>49.6</v>
      </c>
      <c r="M1607">
        <v>30.7</v>
      </c>
    </row>
    <row r="1608" spans="2:13" x14ac:dyDescent="0.25">
      <c r="B1608" s="50" t="s">
        <v>3051</v>
      </c>
      <c r="C1608">
        <v>12</v>
      </c>
      <c r="D1608">
        <v>12</v>
      </c>
      <c r="E1608">
        <v>5.6</v>
      </c>
      <c r="F1608" s="16">
        <v>5.6</v>
      </c>
      <c r="G1608">
        <v>67</v>
      </c>
      <c r="H1608">
        <v>0</v>
      </c>
      <c r="I1608" t="s">
        <v>1343</v>
      </c>
      <c r="J1608" t="s">
        <v>1448</v>
      </c>
      <c r="K1608">
        <v>162</v>
      </c>
      <c r="L1608">
        <v>74.599999999999994</v>
      </c>
      <c r="M1608">
        <v>42.5</v>
      </c>
    </row>
    <row r="1609" spans="2:13" x14ac:dyDescent="0.25">
      <c r="B1609" s="50" t="s">
        <v>3050</v>
      </c>
      <c r="C1609">
        <v>21</v>
      </c>
      <c r="D1609">
        <v>21</v>
      </c>
      <c r="E1609">
        <v>1.8</v>
      </c>
      <c r="F1609" s="16">
        <v>1.8</v>
      </c>
      <c r="G1609">
        <v>58</v>
      </c>
      <c r="H1609">
        <v>0</v>
      </c>
      <c r="I1609" t="s">
        <v>1343</v>
      </c>
      <c r="J1609" t="s">
        <v>1448</v>
      </c>
      <c r="K1609">
        <v>412</v>
      </c>
      <c r="L1609">
        <v>69</v>
      </c>
      <c r="M1609">
        <v>78.400000000000006</v>
      </c>
    </row>
    <row r="1610" spans="2:13" x14ac:dyDescent="0.25">
      <c r="B1610" s="50" t="s">
        <v>3049</v>
      </c>
      <c r="C1610">
        <v>28</v>
      </c>
      <c r="D1610">
        <v>28</v>
      </c>
      <c r="E1610">
        <v>2</v>
      </c>
      <c r="F1610" s="16">
        <v>2</v>
      </c>
      <c r="G1610">
        <v>46</v>
      </c>
      <c r="H1610">
        <v>0</v>
      </c>
      <c r="I1610" t="s">
        <v>1343</v>
      </c>
      <c r="J1610" t="s">
        <v>1448</v>
      </c>
      <c r="K1610">
        <v>244</v>
      </c>
      <c r="L1610">
        <v>55</v>
      </c>
      <c r="M1610">
        <v>51.2</v>
      </c>
    </row>
    <row r="1611" spans="2:13" x14ac:dyDescent="0.25">
      <c r="B1611" s="50" t="s">
        <v>4303</v>
      </c>
      <c r="C1611">
        <v>10</v>
      </c>
      <c r="D1611">
        <v>10</v>
      </c>
      <c r="E1611">
        <v>5.6</v>
      </c>
      <c r="F1611" s="16">
        <v>5.6</v>
      </c>
      <c r="G1611">
        <v>0</v>
      </c>
      <c r="H1611">
        <v>0</v>
      </c>
      <c r="I1611" t="s">
        <v>1221</v>
      </c>
      <c r="J1611" t="s">
        <v>910</v>
      </c>
      <c r="K1611">
        <v>371</v>
      </c>
      <c r="L1611">
        <v>67.8</v>
      </c>
      <c r="M1611">
        <v>73.8</v>
      </c>
    </row>
    <row r="1612" spans="2:13" x14ac:dyDescent="0.25">
      <c r="B1612" s="50" t="s">
        <v>3048</v>
      </c>
      <c r="C1612">
        <v>12</v>
      </c>
      <c r="D1612">
        <v>12</v>
      </c>
      <c r="E1612">
        <v>5.6</v>
      </c>
      <c r="F1612" s="16">
        <v>5.6</v>
      </c>
      <c r="G1612">
        <v>0</v>
      </c>
      <c r="H1612">
        <v>0</v>
      </c>
      <c r="I1612" t="s">
        <v>1221</v>
      </c>
      <c r="J1612" t="s">
        <v>910</v>
      </c>
      <c r="K1612">
        <v>0</v>
      </c>
      <c r="L1612">
        <v>67.400000000000006</v>
      </c>
      <c r="M1612">
        <v>74.3</v>
      </c>
    </row>
    <row r="1613" spans="2:13" x14ac:dyDescent="0.25">
      <c r="B1613" s="50" t="s">
        <v>4302</v>
      </c>
      <c r="C1613">
        <v>15</v>
      </c>
      <c r="D1613">
        <v>15</v>
      </c>
      <c r="E1613">
        <v>4.5</v>
      </c>
      <c r="F1613" s="16">
        <v>4.5</v>
      </c>
      <c r="G1613">
        <v>58</v>
      </c>
      <c r="H1613">
        <v>0</v>
      </c>
      <c r="I1613" t="s">
        <v>1221</v>
      </c>
      <c r="J1613" t="s">
        <v>910</v>
      </c>
      <c r="K1613">
        <v>294</v>
      </c>
      <c r="L1613">
        <v>66.400000000000006</v>
      </c>
      <c r="M1613">
        <v>67.5</v>
      </c>
    </row>
    <row r="1614" spans="2:13" x14ac:dyDescent="0.25">
      <c r="B1614" s="50" t="s">
        <v>4339</v>
      </c>
      <c r="C1614">
        <v>10.5</v>
      </c>
      <c r="D1614">
        <v>10.5</v>
      </c>
      <c r="E1614">
        <v>0.95</v>
      </c>
      <c r="F1614" s="16">
        <v>0.95</v>
      </c>
      <c r="G1614">
        <v>72</v>
      </c>
      <c r="H1614">
        <v>0</v>
      </c>
      <c r="I1614" t="s">
        <v>1227</v>
      </c>
      <c r="J1614" t="s">
        <v>1228</v>
      </c>
      <c r="K1614">
        <v>586</v>
      </c>
      <c r="L1614">
        <v>77</v>
      </c>
      <c r="M1614">
        <v>82.4</v>
      </c>
    </row>
    <row r="1615" spans="2:13" x14ac:dyDescent="0.25">
      <c r="B1615" s="50" t="s">
        <v>4338</v>
      </c>
      <c r="C1615">
        <v>17.5</v>
      </c>
      <c r="D1615">
        <v>17.5</v>
      </c>
      <c r="E1615">
        <v>0.95</v>
      </c>
      <c r="F1615" s="16">
        <v>0.95</v>
      </c>
      <c r="G1615">
        <v>58</v>
      </c>
      <c r="H1615">
        <v>4</v>
      </c>
      <c r="I1615" t="s">
        <v>1227</v>
      </c>
      <c r="J1615" t="s">
        <v>1228</v>
      </c>
      <c r="K1615">
        <v>540</v>
      </c>
      <c r="L1615">
        <v>63.4</v>
      </c>
      <c r="M1615">
        <v>80</v>
      </c>
    </row>
    <row r="1616" spans="2:13" x14ac:dyDescent="0.25">
      <c r="B1616" s="50" t="s">
        <v>4371</v>
      </c>
      <c r="C1616">
        <v>25</v>
      </c>
      <c r="D1616">
        <v>25</v>
      </c>
      <c r="E1616">
        <v>0.95</v>
      </c>
      <c r="F1616" s="16">
        <v>0.95</v>
      </c>
      <c r="G1616">
        <v>52</v>
      </c>
      <c r="H1616">
        <v>0</v>
      </c>
      <c r="I1616" t="s">
        <v>1227</v>
      </c>
      <c r="J1616" t="s">
        <v>1228</v>
      </c>
      <c r="K1616">
        <v>410</v>
      </c>
      <c r="L1616">
        <v>58.4</v>
      </c>
      <c r="M1616">
        <v>70</v>
      </c>
    </row>
    <row r="1617" spans="2:13" x14ac:dyDescent="0.25">
      <c r="B1617" s="50" t="s">
        <v>2604</v>
      </c>
      <c r="C1617">
        <v>40</v>
      </c>
      <c r="D1617">
        <v>40</v>
      </c>
      <c r="E1617">
        <v>1.2</v>
      </c>
      <c r="F1617" s="16">
        <v>1.2</v>
      </c>
      <c r="G1617">
        <v>58</v>
      </c>
      <c r="H1617">
        <v>6.2</v>
      </c>
      <c r="I1617" t="s">
        <v>1221</v>
      </c>
      <c r="J1617" t="s">
        <v>910</v>
      </c>
      <c r="K1617">
        <v>420</v>
      </c>
      <c r="L1617">
        <v>70.099999999999994</v>
      </c>
      <c r="M1617">
        <v>59.3</v>
      </c>
    </row>
    <row r="1618" spans="2:13" x14ac:dyDescent="0.25">
      <c r="B1618" s="50" t="s">
        <v>3046</v>
      </c>
      <c r="C1618">
        <v>42.5</v>
      </c>
      <c r="D1618">
        <v>42.5</v>
      </c>
      <c r="E1618">
        <v>0.95</v>
      </c>
      <c r="F1618" s="16">
        <v>0.95</v>
      </c>
      <c r="G1618">
        <v>58</v>
      </c>
      <c r="H1618">
        <v>0</v>
      </c>
      <c r="I1618" t="s">
        <v>1227</v>
      </c>
      <c r="J1618" t="s">
        <v>1228</v>
      </c>
      <c r="K1618">
        <v>0</v>
      </c>
      <c r="L1618">
        <v>64.3</v>
      </c>
      <c r="M1618">
        <v>74.599999999999994</v>
      </c>
    </row>
    <row r="1619" spans="2:13" x14ac:dyDescent="0.25">
      <c r="B1619" s="50" t="s">
        <v>3439</v>
      </c>
      <c r="C1619">
        <v>58</v>
      </c>
      <c r="D1619">
        <v>58</v>
      </c>
      <c r="E1619">
        <v>1.4</v>
      </c>
      <c r="F1619" s="16">
        <v>1.4</v>
      </c>
      <c r="G1619">
        <v>58</v>
      </c>
      <c r="H1619">
        <v>0</v>
      </c>
      <c r="I1619" t="s">
        <v>8</v>
      </c>
      <c r="J1619" t="s">
        <v>910</v>
      </c>
      <c r="K1619">
        <v>320</v>
      </c>
      <c r="L1619">
        <v>64.400000000000006</v>
      </c>
      <c r="M1619">
        <v>47.5</v>
      </c>
    </row>
    <row r="1620" spans="2:13" x14ac:dyDescent="0.25">
      <c r="B1620" s="50" t="s">
        <v>3045</v>
      </c>
      <c r="C1620">
        <v>58</v>
      </c>
      <c r="D1620">
        <v>58</v>
      </c>
      <c r="E1620">
        <v>1.4</v>
      </c>
      <c r="F1620" s="16">
        <v>1.4</v>
      </c>
      <c r="G1620">
        <v>52</v>
      </c>
      <c r="H1620">
        <v>0</v>
      </c>
      <c r="I1620" t="s">
        <v>8</v>
      </c>
      <c r="J1620" t="s">
        <v>910</v>
      </c>
      <c r="K1620">
        <v>320</v>
      </c>
      <c r="L1620">
        <v>67.599999999999994</v>
      </c>
      <c r="M1620">
        <v>45.5</v>
      </c>
    </row>
    <row r="1621" spans="2:13" x14ac:dyDescent="0.25">
      <c r="B1621" s="50" t="s">
        <v>3044</v>
      </c>
      <c r="C1621">
        <v>40</v>
      </c>
      <c r="D1621">
        <v>40</v>
      </c>
      <c r="E1621">
        <v>2</v>
      </c>
      <c r="F1621" s="16">
        <v>2</v>
      </c>
      <c r="G1621">
        <v>52</v>
      </c>
      <c r="H1621">
        <v>7</v>
      </c>
      <c r="I1621" t="s">
        <v>8</v>
      </c>
      <c r="J1621" t="s">
        <v>910</v>
      </c>
      <c r="K1621">
        <v>200</v>
      </c>
      <c r="L1621">
        <v>63</v>
      </c>
      <c r="M1621">
        <v>24.5</v>
      </c>
    </row>
    <row r="1622" spans="2:13" x14ac:dyDescent="0.25">
      <c r="B1622" s="50" t="s">
        <v>3043</v>
      </c>
      <c r="C1622">
        <v>10</v>
      </c>
      <c r="D1622">
        <v>10</v>
      </c>
      <c r="E1622">
        <v>5.6</v>
      </c>
      <c r="F1622" s="16">
        <v>5.6</v>
      </c>
      <c r="G1622">
        <v>0</v>
      </c>
      <c r="H1622">
        <v>0</v>
      </c>
      <c r="I1622" t="s">
        <v>1343</v>
      </c>
      <c r="J1622" t="s">
        <v>1448</v>
      </c>
      <c r="K1622">
        <v>312</v>
      </c>
      <c r="L1622">
        <v>67.8</v>
      </c>
      <c r="M1622">
        <v>58.7</v>
      </c>
    </row>
    <row r="1623" spans="2:13" x14ac:dyDescent="0.25">
      <c r="B1623" s="50" t="s">
        <v>3438</v>
      </c>
      <c r="C1623">
        <v>12</v>
      </c>
      <c r="D1623">
        <v>12</v>
      </c>
      <c r="E1623">
        <v>5.6</v>
      </c>
      <c r="F1623" s="16">
        <v>5.6</v>
      </c>
      <c r="G1623">
        <v>0</v>
      </c>
      <c r="H1623">
        <v>0</v>
      </c>
      <c r="I1623" t="s">
        <v>1343</v>
      </c>
      <c r="J1623" t="s">
        <v>1448</v>
      </c>
      <c r="K1623">
        <v>0</v>
      </c>
      <c r="L1623">
        <v>64.8</v>
      </c>
      <c r="M1623">
        <v>59.2</v>
      </c>
    </row>
    <row r="1624" spans="2:13" x14ac:dyDescent="0.25">
      <c r="B1624" s="50" t="s">
        <v>4084</v>
      </c>
      <c r="C1624">
        <v>15</v>
      </c>
      <c r="D1624">
        <v>15</v>
      </c>
      <c r="E1624">
        <v>4.5</v>
      </c>
      <c r="F1624" s="16">
        <v>4.5</v>
      </c>
      <c r="G1624">
        <v>58</v>
      </c>
      <c r="H1624">
        <v>0</v>
      </c>
      <c r="I1624" t="s">
        <v>1343</v>
      </c>
      <c r="J1624" t="s">
        <v>1448</v>
      </c>
      <c r="K1624">
        <v>0</v>
      </c>
      <c r="L1624">
        <v>64.8</v>
      </c>
      <c r="M1624">
        <v>55.2</v>
      </c>
    </row>
    <row r="1625" spans="2:13" x14ac:dyDescent="0.25">
      <c r="B1625" s="50" t="s">
        <v>4083</v>
      </c>
      <c r="C1625">
        <v>40</v>
      </c>
      <c r="D1625">
        <v>40</v>
      </c>
      <c r="E1625">
        <v>2.8</v>
      </c>
      <c r="F1625" s="16">
        <v>2.8</v>
      </c>
      <c r="G1625">
        <v>37</v>
      </c>
      <c r="H1625">
        <v>0</v>
      </c>
      <c r="I1625" t="s">
        <v>1343</v>
      </c>
      <c r="J1625" t="s">
        <v>1448</v>
      </c>
      <c r="K1625">
        <v>132</v>
      </c>
      <c r="L1625">
        <v>51</v>
      </c>
      <c r="M1625">
        <v>12.6</v>
      </c>
    </row>
    <row r="1626" spans="2:13" x14ac:dyDescent="0.25">
      <c r="B1626" s="50" t="s">
        <v>4082</v>
      </c>
      <c r="C1626">
        <v>50</v>
      </c>
      <c r="D1626">
        <v>50</v>
      </c>
      <c r="E1626">
        <v>3.5</v>
      </c>
      <c r="F1626" s="16">
        <v>3.5</v>
      </c>
      <c r="G1626">
        <v>27</v>
      </c>
      <c r="H1626">
        <v>0</v>
      </c>
      <c r="I1626" t="s">
        <v>1343</v>
      </c>
      <c r="J1626" t="s">
        <v>1448</v>
      </c>
      <c r="K1626">
        <v>209</v>
      </c>
      <c r="L1626">
        <v>52</v>
      </c>
      <c r="M1626">
        <v>43.2</v>
      </c>
    </row>
    <row r="1627" spans="2:13" x14ac:dyDescent="0.25">
      <c r="B1627" s="50" t="s">
        <v>4081</v>
      </c>
      <c r="C1627">
        <v>35</v>
      </c>
      <c r="D1627">
        <v>35</v>
      </c>
      <c r="E1627">
        <v>1.7</v>
      </c>
      <c r="F1627" s="16">
        <v>1.7</v>
      </c>
      <c r="G1627">
        <v>43</v>
      </c>
      <c r="H1627">
        <v>0</v>
      </c>
      <c r="I1627" t="s">
        <v>1343</v>
      </c>
      <c r="J1627" t="s">
        <v>1448</v>
      </c>
      <c r="K1627">
        <v>226</v>
      </c>
      <c r="L1627">
        <v>53</v>
      </c>
      <c r="M1627">
        <v>50.6</v>
      </c>
    </row>
    <row r="1628" spans="2:13" x14ac:dyDescent="0.25">
      <c r="B1628" s="50" t="s">
        <v>4080</v>
      </c>
      <c r="C1628">
        <v>35</v>
      </c>
      <c r="D1628">
        <v>35</v>
      </c>
      <c r="E1628">
        <v>1.7</v>
      </c>
      <c r="F1628" s="16">
        <v>1.7</v>
      </c>
      <c r="G1628">
        <v>43</v>
      </c>
      <c r="H1628">
        <v>0</v>
      </c>
      <c r="I1628" t="s">
        <v>1343</v>
      </c>
      <c r="J1628" t="s">
        <v>1448</v>
      </c>
      <c r="K1628">
        <v>297</v>
      </c>
      <c r="L1628">
        <v>53</v>
      </c>
      <c r="M1628">
        <v>50.6</v>
      </c>
    </row>
    <row r="1629" spans="2:13" x14ac:dyDescent="0.25">
      <c r="B1629" s="50" t="s">
        <v>4078</v>
      </c>
      <c r="C1629">
        <v>12</v>
      </c>
      <c r="D1629">
        <v>12</v>
      </c>
      <c r="E1629">
        <v>2.8</v>
      </c>
      <c r="F1629" s="16">
        <v>2.8</v>
      </c>
      <c r="G1629">
        <v>72</v>
      </c>
      <c r="H1629">
        <v>0</v>
      </c>
      <c r="I1629" t="s">
        <v>1298</v>
      </c>
      <c r="J1629" t="s">
        <v>900</v>
      </c>
      <c r="K1629">
        <v>330</v>
      </c>
      <c r="L1629">
        <v>0</v>
      </c>
      <c r="M1629">
        <v>0</v>
      </c>
    </row>
    <row r="1630" spans="2:13" x14ac:dyDescent="0.25">
      <c r="B1630" s="50" t="s">
        <v>4077</v>
      </c>
      <c r="C1630">
        <v>12</v>
      </c>
      <c r="D1630">
        <v>12</v>
      </c>
      <c r="E1630">
        <v>2.8</v>
      </c>
      <c r="F1630" s="16">
        <v>2.8</v>
      </c>
      <c r="G1630">
        <v>72</v>
      </c>
      <c r="H1630">
        <v>0</v>
      </c>
      <c r="I1630" t="s">
        <v>1286</v>
      </c>
      <c r="J1630" t="s">
        <v>900</v>
      </c>
      <c r="K1630">
        <v>330</v>
      </c>
      <c r="L1630">
        <v>0</v>
      </c>
      <c r="M1630">
        <v>0</v>
      </c>
    </row>
    <row r="1631" spans="2:13" x14ac:dyDescent="0.25">
      <c r="B1631" s="50" t="s">
        <v>2882</v>
      </c>
      <c r="C1631">
        <v>12</v>
      </c>
      <c r="D1631">
        <v>12</v>
      </c>
      <c r="E1631">
        <v>2.8</v>
      </c>
      <c r="F1631" s="16">
        <v>2.8</v>
      </c>
      <c r="G1631">
        <v>72</v>
      </c>
      <c r="H1631">
        <v>0</v>
      </c>
      <c r="I1631" t="s">
        <v>1227</v>
      </c>
      <c r="J1631" t="s">
        <v>900</v>
      </c>
      <c r="K1631">
        <v>330</v>
      </c>
      <c r="L1631">
        <v>0</v>
      </c>
      <c r="M1631">
        <v>0</v>
      </c>
    </row>
    <row r="1632" spans="2:13" x14ac:dyDescent="0.25">
      <c r="B1632" s="50" t="s">
        <v>4076</v>
      </c>
      <c r="C1632">
        <v>12</v>
      </c>
      <c r="D1632">
        <v>12</v>
      </c>
      <c r="E1632">
        <v>2.8</v>
      </c>
      <c r="F1632" s="16">
        <v>2.8</v>
      </c>
      <c r="G1632">
        <v>72</v>
      </c>
      <c r="H1632">
        <v>0</v>
      </c>
      <c r="I1632" t="s">
        <v>1314</v>
      </c>
      <c r="J1632" t="s">
        <v>900</v>
      </c>
      <c r="K1632">
        <v>330</v>
      </c>
      <c r="L1632">
        <v>0</v>
      </c>
      <c r="M1632">
        <v>0</v>
      </c>
    </row>
    <row r="1633" spans="2:13" x14ac:dyDescent="0.25">
      <c r="B1633" s="50" t="s">
        <v>3431</v>
      </c>
      <c r="C1633">
        <v>12</v>
      </c>
      <c r="D1633">
        <v>12</v>
      </c>
      <c r="E1633">
        <v>2.8</v>
      </c>
      <c r="F1633" s="16">
        <v>2.8</v>
      </c>
      <c r="G1633">
        <v>72</v>
      </c>
      <c r="H1633">
        <v>0</v>
      </c>
      <c r="I1633" t="s">
        <v>1221</v>
      </c>
      <c r="J1633" t="s">
        <v>900</v>
      </c>
      <c r="K1633">
        <v>330</v>
      </c>
      <c r="L1633">
        <v>0</v>
      </c>
      <c r="M1633">
        <v>0</v>
      </c>
    </row>
    <row r="1634" spans="2:13" x14ac:dyDescent="0.25">
      <c r="B1634" s="50" t="s">
        <v>3430</v>
      </c>
      <c r="C1634">
        <v>25</v>
      </c>
      <c r="D1634">
        <v>25</v>
      </c>
      <c r="E1634">
        <v>0.95</v>
      </c>
      <c r="F1634" s="16">
        <v>0.95</v>
      </c>
      <c r="G1634">
        <v>55</v>
      </c>
      <c r="H1634">
        <v>0</v>
      </c>
      <c r="I1634" t="s">
        <v>1298</v>
      </c>
      <c r="J1634" t="s">
        <v>900</v>
      </c>
      <c r="K1634">
        <v>540</v>
      </c>
      <c r="L1634">
        <v>64</v>
      </c>
      <c r="M1634">
        <v>101</v>
      </c>
    </row>
    <row r="1635" spans="2:13" x14ac:dyDescent="0.25">
      <c r="B1635" s="50" t="s">
        <v>3429</v>
      </c>
      <c r="C1635">
        <v>25</v>
      </c>
      <c r="D1635">
        <v>25</v>
      </c>
      <c r="E1635">
        <v>0.95</v>
      </c>
      <c r="F1635" s="16">
        <v>0.95</v>
      </c>
      <c r="G1635">
        <v>55</v>
      </c>
      <c r="H1635">
        <v>0</v>
      </c>
      <c r="I1635" t="s">
        <v>1286</v>
      </c>
      <c r="J1635" t="s">
        <v>900</v>
      </c>
      <c r="K1635">
        <v>540</v>
      </c>
      <c r="L1635">
        <v>64</v>
      </c>
      <c r="M1635">
        <v>101</v>
      </c>
    </row>
    <row r="1636" spans="2:13" x14ac:dyDescent="0.25">
      <c r="B1636" s="50" t="s">
        <v>2881</v>
      </c>
      <c r="C1636">
        <v>25</v>
      </c>
      <c r="D1636">
        <v>25</v>
      </c>
      <c r="E1636">
        <v>0.95</v>
      </c>
      <c r="F1636" s="16">
        <v>0.95</v>
      </c>
      <c r="G1636">
        <v>55</v>
      </c>
      <c r="H1636">
        <v>0</v>
      </c>
      <c r="I1636" t="s">
        <v>1227</v>
      </c>
      <c r="J1636" t="s">
        <v>900</v>
      </c>
      <c r="K1636">
        <v>540</v>
      </c>
      <c r="L1636">
        <v>64</v>
      </c>
      <c r="M1636">
        <v>101</v>
      </c>
    </row>
    <row r="1637" spans="2:13" x14ac:dyDescent="0.25">
      <c r="B1637" s="50" t="s">
        <v>4075</v>
      </c>
      <c r="C1637">
        <v>25</v>
      </c>
      <c r="D1637">
        <v>25</v>
      </c>
      <c r="E1637">
        <v>0.95</v>
      </c>
      <c r="F1637" s="16">
        <v>0.95</v>
      </c>
      <c r="G1637">
        <v>55</v>
      </c>
      <c r="H1637">
        <v>0</v>
      </c>
      <c r="I1637" t="s">
        <v>1314</v>
      </c>
      <c r="J1637" t="s">
        <v>900</v>
      </c>
      <c r="K1637">
        <v>540</v>
      </c>
      <c r="L1637">
        <v>64</v>
      </c>
      <c r="M1637">
        <v>101</v>
      </c>
    </row>
    <row r="1638" spans="2:13" x14ac:dyDescent="0.25">
      <c r="B1638" s="50" t="s">
        <v>2880</v>
      </c>
      <c r="C1638">
        <v>25</v>
      </c>
      <c r="D1638">
        <v>25</v>
      </c>
      <c r="E1638">
        <v>0.95</v>
      </c>
      <c r="F1638" s="16">
        <v>0.95</v>
      </c>
      <c r="G1638">
        <v>55</v>
      </c>
      <c r="H1638">
        <v>0</v>
      </c>
      <c r="I1638" t="s">
        <v>1221</v>
      </c>
      <c r="J1638" t="s">
        <v>900</v>
      </c>
      <c r="K1638">
        <v>540</v>
      </c>
      <c r="L1638">
        <v>64</v>
      </c>
      <c r="M1638">
        <v>101</v>
      </c>
    </row>
    <row r="1639" spans="2:13" x14ac:dyDescent="0.25">
      <c r="B1639" s="50" t="s">
        <v>3428</v>
      </c>
      <c r="C1639">
        <v>28</v>
      </c>
      <c r="D1639">
        <v>28</v>
      </c>
      <c r="E1639">
        <v>2.8</v>
      </c>
      <c r="F1639" s="16">
        <v>2.8</v>
      </c>
      <c r="G1639">
        <v>49</v>
      </c>
      <c r="H1639">
        <v>0</v>
      </c>
      <c r="I1639" t="s">
        <v>1298</v>
      </c>
      <c r="J1639" t="s">
        <v>900</v>
      </c>
      <c r="K1639">
        <v>102</v>
      </c>
      <c r="L1639">
        <v>60.4</v>
      </c>
      <c r="M1639">
        <v>29</v>
      </c>
    </row>
    <row r="1640" spans="2:13" x14ac:dyDescent="0.25">
      <c r="B1640" s="50" t="s">
        <v>3427</v>
      </c>
      <c r="C1640">
        <v>28</v>
      </c>
      <c r="D1640">
        <v>28</v>
      </c>
      <c r="E1640">
        <v>2.8</v>
      </c>
      <c r="F1640" s="16">
        <v>2.8</v>
      </c>
      <c r="G1640">
        <v>49</v>
      </c>
      <c r="H1640">
        <v>0</v>
      </c>
      <c r="I1640" t="s">
        <v>1286</v>
      </c>
      <c r="J1640" t="s">
        <v>900</v>
      </c>
      <c r="K1640">
        <v>102</v>
      </c>
      <c r="L1640">
        <v>60.4</v>
      </c>
      <c r="M1640">
        <v>29</v>
      </c>
    </row>
    <row r="1641" spans="2:13" x14ac:dyDescent="0.25">
      <c r="B1641" s="50" t="s">
        <v>3426</v>
      </c>
      <c r="C1641">
        <v>28</v>
      </c>
      <c r="D1641">
        <v>28</v>
      </c>
      <c r="E1641">
        <v>2.8</v>
      </c>
      <c r="F1641" s="16">
        <v>2.8</v>
      </c>
      <c r="G1641">
        <v>49</v>
      </c>
      <c r="H1641">
        <v>0</v>
      </c>
      <c r="I1641" t="s">
        <v>1227</v>
      </c>
      <c r="J1641" t="s">
        <v>900</v>
      </c>
      <c r="K1641">
        <v>102</v>
      </c>
      <c r="L1641">
        <v>60.4</v>
      </c>
      <c r="M1641">
        <v>29</v>
      </c>
    </row>
    <row r="1642" spans="2:13" x14ac:dyDescent="0.25">
      <c r="B1642" s="50" t="s">
        <v>3425</v>
      </c>
      <c r="C1642">
        <v>28</v>
      </c>
      <c r="D1642">
        <v>28</v>
      </c>
      <c r="E1642">
        <v>2.8</v>
      </c>
      <c r="F1642" s="16">
        <v>2.8</v>
      </c>
      <c r="G1642">
        <v>49</v>
      </c>
      <c r="H1642">
        <v>0</v>
      </c>
      <c r="I1642" t="s">
        <v>1314</v>
      </c>
      <c r="J1642" t="s">
        <v>900</v>
      </c>
      <c r="K1642">
        <v>102</v>
      </c>
      <c r="L1642">
        <v>60.4</v>
      </c>
      <c r="M1642">
        <v>29</v>
      </c>
    </row>
    <row r="1643" spans="2:13" x14ac:dyDescent="0.25">
      <c r="B1643" s="50" t="s">
        <v>4074</v>
      </c>
      <c r="C1643">
        <v>28</v>
      </c>
      <c r="D1643">
        <v>28</v>
      </c>
      <c r="E1643">
        <v>2.8</v>
      </c>
      <c r="F1643" s="16">
        <v>2.8</v>
      </c>
      <c r="G1643">
        <v>49</v>
      </c>
      <c r="H1643">
        <v>0</v>
      </c>
      <c r="I1643" t="s">
        <v>1221</v>
      </c>
      <c r="J1643" t="s">
        <v>900</v>
      </c>
      <c r="K1643">
        <v>102</v>
      </c>
      <c r="L1643">
        <v>60.4</v>
      </c>
      <c r="M1643">
        <v>29</v>
      </c>
    </row>
    <row r="1644" spans="2:13" x14ac:dyDescent="0.25">
      <c r="B1644" s="50" t="s">
        <v>3424</v>
      </c>
      <c r="C1644">
        <v>35</v>
      </c>
      <c r="D1644">
        <v>35</v>
      </c>
      <c r="E1644">
        <v>1.7</v>
      </c>
      <c r="F1644" s="16">
        <v>1.7</v>
      </c>
      <c r="G1644">
        <v>49</v>
      </c>
      <c r="H1644">
        <v>0</v>
      </c>
      <c r="I1644" t="s">
        <v>1298</v>
      </c>
      <c r="J1644" t="s">
        <v>900</v>
      </c>
      <c r="K1644">
        <v>176</v>
      </c>
      <c r="L1644">
        <v>60.5</v>
      </c>
      <c r="M1644">
        <v>41</v>
      </c>
    </row>
    <row r="1645" spans="2:13" x14ac:dyDescent="0.25">
      <c r="B1645" s="50" t="s">
        <v>4073</v>
      </c>
      <c r="C1645">
        <v>35</v>
      </c>
      <c r="D1645">
        <v>35</v>
      </c>
      <c r="E1645">
        <v>1.7</v>
      </c>
      <c r="F1645" s="16">
        <v>1.7</v>
      </c>
      <c r="G1645">
        <v>49</v>
      </c>
      <c r="H1645">
        <v>0</v>
      </c>
      <c r="I1645" t="s">
        <v>1286</v>
      </c>
      <c r="J1645" t="s">
        <v>900</v>
      </c>
      <c r="K1645">
        <v>176</v>
      </c>
      <c r="L1645">
        <v>60.5</v>
      </c>
      <c r="M1645">
        <v>41</v>
      </c>
    </row>
    <row r="1646" spans="2:13" x14ac:dyDescent="0.25">
      <c r="B1646" s="50" t="s">
        <v>4072</v>
      </c>
      <c r="C1646">
        <v>35</v>
      </c>
      <c r="D1646">
        <v>35</v>
      </c>
      <c r="E1646">
        <v>1.7</v>
      </c>
      <c r="F1646" s="16">
        <v>1.7</v>
      </c>
      <c r="G1646">
        <v>49</v>
      </c>
      <c r="H1646">
        <v>0</v>
      </c>
      <c r="I1646" t="s">
        <v>1227</v>
      </c>
      <c r="J1646" t="s">
        <v>900</v>
      </c>
      <c r="K1646">
        <v>176</v>
      </c>
      <c r="L1646">
        <v>60.5</v>
      </c>
      <c r="M1646">
        <v>41</v>
      </c>
    </row>
    <row r="1647" spans="2:13" x14ac:dyDescent="0.25">
      <c r="B1647" s="50" t="s">
        <v>4301</v>
      </c>
      <c r="C1647">
        <v>35</v>
      </c>
      <c r="D1647">
        <v>35</v>
      </c>
      <c r="E1647">
        <v>1.7</v>
      </c>
      <c r="F1647" s="16">
        <v>1.7</v>
      </c>
      <c r="G1647">
        <v>49</v>
      </c>
      <c r="H1647">
        <v>0</v>
      </c>
      <c r="I1647" t="s">
        <v>1314</v>
      </c>
      <c r="J1647" t="s">
        <v>900</v>
      </c>
      <c r="K1647">
        <v>176</v>
      </c>
      <c r="L1647">
        <v>60.5</v>
      </c>
      <c r="M1647">
        <v>41</v>
      </c>
    </row>
    <row r="1648" spans="2:13" x14ac:dyDescent="0.25">
      <c r="B1648" s="50" t="s">
        <v>4071</v>
      </c>
      <c r="C1648">
        <v>35</v>
      </c>
      <c r="D1648">
        <v>35</v>
      </c>
      <c r="E1648">
        <v>1.7</v>
      </c>
      <c r="F1648" s="16">
        <v>1.7</v>
      </c>
      <c r="G1648">
        <v>49</v>
      </c>
      <c r="H1648">
        <v>0</v>
      </c>
      <c r="I1648" t="s">
        <v>1221</v>
      </c>
      <c r="J1648" t="s">
        <v>900</v>
      </c>
      <c r="K1648">
        <v>176</v>
      </c>
      <c r="L1648">
        <v>60.5</v>
      </c>
      <c r="M1648">
        <v>41</v>
      </c>
    </row>
    <row r="1649" spans="2:13" x14ac:dyDescent="0.25">
      <c r="B1649" s="50" t="s">
        <v>3761</v>
      </c>
      <c r="C1649">
        <v>50</v>
      </c>
      <c r="D1649">
        <v>50</v>
      </c>
      <c r="E1649">
        <v>2</v>
      </c>
      <c r="F1649" s="16">
        <v>2</v>
      </c>
      <c r="G1649">
        <v>49</v>
      </c>
      <c r="H1649">
        <v>0</v>
      </c>
      <c r="I1649" t="s">
        <v>1298</v>
      </c>
      <c r="J1649" t="s">
        <v>900</v>
      </c>
      <c r="K1649">
        <v>188</v>
      </c>
      <c r="L1649">
        <v>60.5</v>
      </c>
      <c r="M1649">
        <v>41</v>
      </c>
    </row>
    <row r="1650" spans="2:13" x14ac:dyDescent="0.25">
      <c r="B1650" s="50" t="s">
        <v>3760</v>
      </c>
      <c r="C1650">
        <v>50</v>
      </c>
      <c r="D1650">
        <v>50</v>
      </c>
      <c r="E1650">
        <v>2</v>
      </c>
      <c r="F1650" s="16">
        <v>2</v>
      </c>
      <c r="G1650">
        <v>49</v>
      </c>
      <c r="H1650">
        <v>0</v>
      </c>
      <c r="I1650" t="s">
        <v>1286</v>
      </c>
      <c r="J1650" t="s">
        <v>900</v>
      </c>
      <c r="K1650">
        <v>188</v>
      </c>
      <c r="L1650">
        <v>60.5</v>
      </c>
      <c r="M1650">
        <v>41</v>
      </c>
    </row>
    <row r="1651" spans="2:13" x14ac:dyDescent="0.25">
      <c r="B1651" s="50" t="s">
        <v>3759</v>
      </c>
      <c r="C1651">
        <v>50</v>
      </c>
      <c r="D1651">
        <v>50</v>
      </c>
      <c r="E1651">
        <v>2</v>
      </c>
      <c r="F1651" s="16">
        <v>2</v>
      </c>
      <c r="G1651">
        <v>49</v>
      </c>
      <c r="H1651">
        <v>0</v>
      </c>
      <c r="I1651" t="s">
        <v>1227</v>
      </c>
      <c r="J1651" t="s">
        <v>900</v>
      </c>
      <c r="K1651">
        <v>188</v>
      </c>
      <c r="L1651">
        <v>60.5</v>
      </c>
      <c r="M1651">
        <v>41</v>
      </c>
    </row>
    <row r="1652" spans="2:13" x14ac:dyDescent="0.25">
      <c r="B1652" s="50" t="s">
        <v>3758</v>
      </c>
      <c r="C1652">
        <v>50</v>
      </c>
      <c r="D1652">
        <v>50</v>
      </c>
      <c r="E1652">
        <v>2</v>
      </c>
      <c r="F1652" s="16">
        <v>2</v>
      </c>
      <c r="G1652">
        <v>49</v>
      </c>
      <c r="H1652">
        <v>0</v>
      </c>
      <c r="I1652" t="s">
        <v>1314</v>
      </c>
      <c r="J1652" t="s">
        <v>900</v>
      </c>
      <c r="K1652">
        <v>188</v>
      </c>
      <c r="L1652">
        <v>60.5</v>
      </c>
      <c r="M1652">
        <v>41</v>
      </c>
    </row>
    <row r="1653" spans="2:13" x14ac:dyDescent="0.25">
      <c r="B1653" s="50" t="s">
        <v>3757</v>
      </c>
      <c r="C1653">
        <v>50</v>
      </c>
      <c r="D1653">
        <v>50</v>
      </c>
      <c r="E1653">
        <v>2</v>
      </c>
      <c r="F1653" s="16">
        <v>2</v>
      </c>
      <c r="G1653">
        <v>49</v>
      </c>
      <c r="H1653">
        <v>0</v>
      </c>
      <c r="I1653" t="s">
        <v>1221</v>
      </c>
      <c r="J1653" t="s">
        <v>900</v>
      </c>
      <c r="K1653">
        <v>188</v>
      </c>
      <c r="L1653">
        <v>60.5</v>
      </c>
      <c r="M1653">
        <v>41</v>
      </c>
    </row>
    <row r="1654" spans="2:13" x14ac:dyDescent="0.25">
      <c r="B1654" s="50" t="s">
        <v>3437</v>
      </c>
      <c r="C1654">
        <v>8</v>
      </c>
      <c r="D1654">
        <v>8</v>
      </c>
      <c r="E1654">
        <v>3.5</v>
      </c>
      <c r="F1654" s="16">
        <v>3.5</v>
      </c>
      <c r="G1654">
        <v>0</v>
      </c>
      <c r="H1654">
        <v>0</v>
      </c>
      <c r="I1654" t="s">
        <v>1251</v>
      </c>
      <c r="J1654" t="s">
        <v>900</v>
      </c>
      <c r="K1654">
        <v>570</v>
      </c>
      <c r="L1654">
        <v>0</v>
      </c>
      <c r="M1654">
        <v>0</v>
      </c>
    </row>
    <row r="1655" spans="2:13" x14ac:dyDescent="0.25">
      <c r="B1655" s="50" t="s">
        <v>3436</v>
      </c>
      <c r="C1655">
        <v>8</v>
      </c>
      <c r="D1655">
        <v>8</v>
      </c>
      <c r="E1655">
        <v>3.5</v>
      </c>
      <c r="F1655" s="16">
        <v>3.5</v>
      </c>
      <c r="G1655">
        <v>0</v>
      </c>
      <c r="H1655">
        <v>0</v>
      </c>
      <c r="I1655" t="s">
        <v>1298</v>
      </c>
      <c r="J1655" t="s">
        <v>900</v>
      </c>
      <c r="K1655">
        <v>570</v>
      </c>
      <c r="L1655">
        <v>0</v>
      </c>
      <c r="M1655">
        <v>0</v>
      </c>
    </row>
    <row r="1656" spans="2:13" x14ac:dyDescent="0.25">
      <c r="B1656" s="50" t="s">
        <v>3435</v>
      </c>
      <c r="C1656">
        <v>8</v>
      </c>
      <c r="D1656">
        <v>8</v>
      </c>
      <c r="E1656">
        <v>3.5</v>
      </c>
      <c r="F1656" s="16">
        <v>3.5</v>
      </c>
      <c r="G1656">
        <v>0</v>
      </c>
      <c r="H1656">
        <v>0</v>
      </c>
      <c r="I1656" t="s">
        <v>1286</v>
      </c>
      <c r="J1656" t="s">
        <v>900</v>
      </c>
      <c r="K1656">
        <v>570</v>
      </c>
      <c r="L1656">
        <v>0</v>
      </c>
      <c r="M1656">
        <v>0</v>
      </c>
    </row>
    <row r="1657" spans="2:13" x14ac:dyDescent="0.25">
      <c r="B1657" s="50" t="s">
        <v>4079</v>
      </c>
      <c r="C1657">
        <v>8</v>
      </c>
      <c r="D1657">
        <v>8</v>
      </c>
      <c r="E1657">
        <v>3.5</v>
      </c>
      <c r="F1657" s="16">
        <v>3.5</v>
      </c>
      <c r="G1657">
        <v>0</v>
      </c>
      <c r="H1657">
        <v>0</v>
      </c>
      <c r="I1657" t="s">
        <v>1227</v>
      </c>
      <c r="J1657" t="s">
        <v>900</v>
      </c>
      <c r="K1657">
        <v>570</v>
      </c>
      <c r="L1657">
        <v>0</v>
      </c>
      <c r="M1657">
        <v>0</v>
      </c>
    </row>
    <row r="1658" spans="2:13" x14ac:dyDescent="0.25">
      <c r="B1658" s="50" t="s">
        <v>3434</v>
      </c>
      <c r="C1658">
        <v>8</v>
      </c>
      <c r="D1658">
        <v>8</v>
      </c>
      <c r="E1658">
        <v>3.5</v>
      </c>
      <c r="F1658" s="16">
        <v>3.5</v>
      </c>
      <c r="G1658">
        <v>0</v>
      </c>
      <c r="H1658">
        <v>0</v>
      </c>
      <c r="I1658" t="s">
        <v>1314</v>
      </c>
      <c r="J1658" t="s">
        <v>900</v>
      </c>
      <c r="K1658">
        <v>570</v>
      </c>
      <c r="L1658">
        <v>0</v>
      </c>
      <c r="M1658">
        <v>0</v>
      </c>
    </row>
    <row r="1659" spans="2:13" x14ac:dyDescent="0.25">
      <c r="B1659" s="50" t="s">
        <v>3433</v>
      </c>
      <c r="C1659">
        <v>8</v>
      </c>
      <c r="D1659">
        <v>8</v>
      </c>
      <c r="E1659">
        <v>3.5</v>
      </c>
      <c r="F1659" s="16">
        <v>3.5</v>
      </c>
      <c r="G1659">
        <v>0</v>
      </c>
      <c r="H1659">
        <v>0</v>
      </c>
      <c r="I1659" t="s">
        <v>8</v>
      </c>
      <c r="J1659" t="s">
        <v>900</v>
      </c>
      <c r="K1659">
        <v>570</v>
      </c>
      <c r="L1659">
        <v>0</v>
      </c>
      <c r="M1659">
        <v>0</v>
      </c>
    </row>
    <row r="1660" spans="2:13" x14ac:dyDescent="0.25">
      <c r="B1660" s="50" t="s">
        <v>3432</v>
      </c>
      <c r="C1660">
        <v>8</v>
      </c>
      <c r="D1660">
        <v>8</v>
      </c>
      <c r="E1660">
        <v>3.5</v>
      </c>
      <c r="F1660" s="16">
        <v>3.5</v>
      </c>
      <c r="G1660">
        <v>0</v>
      </c>
      <c r="H1660">
        <v>0</v>
      </c>
      <c r="I1660" t="s">
        <v>1221</v>
      </c>
      <c r="J1660" t="s">
        <v>900</v>
      </c>
      <c r="K1660">
        <v>570</v>
      </c>
      <c r="L1660">
        <v>0</v>
      </c>
      <c r="M1660">
        <v>0</v>
      </c>
    </row>
    <row r="1661" spans="2:13" x14ac:dyDescent="0.25">
      <c r="B1661" s="50" t="s">
        <v>3551</v>
      </c>
      <c r="C1661">
        <v>100</v>
      </c>
      <c r="D1661">
        <v>100</v>
      </c>
      <c r="E1661">
        <v>2.8</v>
      </c>
      <c r="F1661" s="16">
        <v>2.8</v>
      </c>
      <c r="G1661">
        <v>67</v>
      </c>
      <c r="H1661">
        <v>1</v>
      </c>
      <c r="I1661" t="s">
        <v>1298</v>
      </c>
      <c r="J1661" t="s">
        <v>900</v>
      </c>
      <c r="K1661">
        <v>770</v>
      </c>
      <c r="L1661">
        <v>72.5</v>
      </c>
      <c r="M1661">
        <v>149</v>
      </c>
    </row>
    <row r="1662" spans="2:13" x14ac:dyDescent="0.25">
      <c r="B1662" s="50" t="s">
        <v>4063</v>
      </c>
      <c r="C1662">
        <v>100</v>
      </c>
      <c r="D1662">
        <v>100</v>
      </c>
      <c r="E1662">
        <v>2.8</v>
      </c>
      <c r="F1662" s="16">
        <v>2.8</v>
      </c>
      <c r="G1662">
        <v>67</v>
      </c>
      <c r="H1662">
        <v>1</v>
      </c>
      <c r="I1662" t="s">
        <v>1286</v>
      </c>
      <c r="J1662" t="s">
        <v>900</v>
      </c>
      <c r="K1662">
        <v>770</v>
      </c>
      <c r="L1662">
        <v>72.5</v>
      </c>
      <c r="M1662">
        <v>149</v>
      </c>
    </row>
    <row r="1663" spans="2:13" x14ac:dyDescent="0.25">
      <c r="B1663" s="50" t="s">
        <v>3550</v>
      </c>
      <c r="C1663">
        <v>100</v>
      </c>
      <c r="D1663">
        <v>100</v>
      </c>
      <c r="E1663">
        <v>2.8</v>
      </c>
      <c r="F1663" s="16">
        <v>2.8</v>
      </c>
      <c r="G1663">
        <v>67</v>
      </c>
      <c r="H1663">
        <v>1</v>
      </c>
      <c r="I1663" t="s">
        <v>1227</v>
      </c>
      <c r="J1663" t="s">
        <v>1228</v>
      </c>
      <c r="K1663">
        <v>770</v>
      </c>
      <c r="L1663">
        <v>72.5</v>
      </c>
      <c r="M1663">
        <v>149</v>
      </c>
    </row>
    <row r="1664" spans="2:13" x14ac:dyDescent="0.25">
      <c r="B1664" s="50" t="s">
        <v>3549</v>
      </c>
      <c r="C1664">
        <v>100</v>
      </c>
      <c r="D1664">
        <v>100</v>
      </c>
      <c r="E1664">
        <v>2.8</v>
      </c>
      <c r="F1664" s="16">
        <v>2.8</v>
      </c>
      <c r="G1664">
        <v>67</v>
      </c>
      <c r="H1664">
        <v>1</v>
      </c>
      <c r="I1664" t="s">
        <v>1333</v>
      </c>
      <c r="J1664" t="s">
        <v>900</v>
      </c>
      <c r="K1664">
        <v>770</v>
      </c>
      <c r="L1664">
        <v>72.5</v>
      </c>
      <c r="M1664">
        <v>149</v>
      </c>
    </row>
    <row r="1665" spans="2:13" x14ac:dyDescent="0.25">
      <c r="B1665" s="50" t="s">
        <v>3548</v>
      </c>
      <c r="C1665">
        <v>100</v>
      </c>
      <c r="D1665">
        <v>100</v>
      </c>
      <c r="E1665">
        <v>2.8</v>
      </c>
      <c r="F1665" s="16">
        <v>2.8</v>
      </c>
      <c r="G1665">
        <v>67</v>
      </c>
      <c r="H1665">
        <v>1</v>
      </c>
      <c r="I1665" t="s">
        <v>1221</v>
      </c>
      <c r="J1665" t="s">
        <v>910</v>
      </c>
      <c r="K1665">
        <v>770</v>
      </c>
      <c r="L1665">
        <v>72.5</v>
      </c>
      <c r="M1665">
        <v>149</v>
      </c>
    </row>
    <row r="1666" spans="2:13" x14ac:dyDescent="0.25">
      <c r="B1666" s="50" t="s">
        <v>3547</v>
      </c>
      <c r="C1666">
        <v>100</v>
      </c>
      <c r="D1666">
        <v>100</v>
      </c>
      <c r="E1666">
        <v>2.8</v>
      </c>
      <c r="F1666" s="16">
        <v>2.8</v>
      </c>
      <c r="G1666">
        <v>67</v>
      </c>
      <c r="H1666">
        <v>1</v>
      </c>
      <c r="I1666" t="s">
        <v>1229</v>
      </c>
      <c r="J1666" t="s">
        <v>910</v>
      </c>
      <c r="K1666">
        <v>770</v>
      </c>
      <c r="L1666">
        <v>72.5</v>
      </c>
      <c r="M1666">
        <v>149</v>
      </c>
    </row>
    <row r="1667" spans="2:13" x14ac:dyDescent="0.25">
      <c r="B1667" s="50" t="s">
        <v>4062</v>
      </c>
      <c r="C1667">
        <v>100</v>
      </c>
      <c r="D1667">
        <v>100</v>
      </c>
      <c r="E1667">
        <v>2.8</v>
      </c>
      <c r="F1667" s="16">
        <v>2.8</v>
      </c>
      <c r="G1667">
        <v>67</v>
      </c>
      <c r="H1667">
        <v>1</v>
      </c>
      <c r="I1667" t="s">
        <v>8</v>
      </c>
      <c r="J1667" t="s">
        <v>910</v>
      </c>
      <c r="K1667">
        <v>770</v>
      </c>
      <c r="L1667">
        <v>72.5</v>
      </c>
      <c r="M1667">
        <v>149</v>
      </c>
    </row>
    <row r="1668" spans="2:13" x14ac:dyDescent="0.25">
      <c r="B1668" s="50" t="s">
        <v>3546</v>
      </c>
      <c r="C1668">
        <v>100</v>
      </c>
      <c r="D1668">
        <v>100</v>
      </c>
      <c r="E1668">
        <v>3.1</v>
      </c>
      <c r="F1668" s="16">
        <v>3.1</v>
      </c>
      <c r="G1668">
        <v>67</v>
      </c>
      <c r="H1668">
        <v>1</v>
      </c>
      <c r="I1668" t="s">
        <v>1298</v>
      </c>
      <c r="J1668" t="s">
        <v>900</v>
      </c>
      <c r="K1668">
        <v>775</v>
      </c>
      <c r="L1668">
        <v>82</v>
      </c>
      <c r="M1668">
        <v>149</v>
      </c>
    </row>
    <row r="1669" spans="2:13" x14ac:dyDescent="0.25">
      <c r="B1669" s="50" t="s">
        <v>3545</v>
      </c>
      <c r="C1669">
        <v>100</v>
      </c>
      <c r="D1669">
        <v>100</v>
      </c>
      <c r="E1669">
        <v>3.1</v>
      </c>
      <c r="F1669" s="16">
        <v>3.1</v>
      </c>
      <c r="G1669">
        <v>67</v>
      </c>
      <c r="H1669">
        <v>1</v>
      </c>
      <c r="I1669" t="s">
        <v>1228</v>
      </c>
      <c r="J1669" t="s">
        <v>1228</v>
      </c>
      <c r="K1669">
        <v>775</v>
      </c>
      <c r="L1669">
        <v>82</v>
      </c>
      <c r="M1669">
        <v>149</v>
      </c>
    </row>
    <row r="1670" spans="2:13" x14ac:dyDescent="0.25">
      <c r="B1670" s="50" t="s">
        <v>4061</v>
      </c>
      <c r="C1670">
        <v>100</v>
      </c>
      <c r="D1670">
        <v>100</v>
      </c>
      <c r="E1670">
        <v>3.1</v>
      </c>
      <c r="F1670" s="16">
        <v>3.1</v>
      </c>
      <c r="G1670">
        <v>67</v>
      </c>
      <c r="H1670">
        <v>1</v>
      </c>
      <c r="I1670" t="s">
        <v>1286</v>
      </c>
      <c r="J1670" t="s">
        <v>900</v>
      </c>
      <c r="K1670">
        <v>775</v>
      </c>
      <c r="L1670">
        <v>82</v>
      </c>
      <c r="M1670">
        <v>149</v>
      </c>
    </row>
    <row r="1671" spans="2:13" x14ac:dyDescent="0.25">
      <c r="B1671" s="50" t="s">
        <v>3544</v>
      </c>
      <c r="C1671">
        <v>100</v>
      </c>
      <c r="D1671">
        <v>100</v>
      </c>
      <c r="E1671">
        <v>3.1</v>
      </c>
      <c r="F1671" s="16">
        <v>3.1</v>
      </c>
      <c r="G1671">
        <v>67</v>
      </c>
      <c r="H1671">
        <v>1</v>
      </c>
      <c r="I1671" t="s">
        <v>1227</v>
      </c>
      <c r="J1671" t="s">
        <v>1228</v>
      </c>
      <c r="K1671">
        <v>775</v>
      </c>
      <c r="L1671">
        <v>82</v>
      </c>
      <c r="M1671">
        <v>149</v>
      </c>
    </row>
    <row r="1672" spans="2:13" x14ac:dyDescent="0.25">
      <c r="B1672" s="50" t="s">
        <v>4060</v>
      </c>
      <c r="C1672">
        <v>100</v>
      </c>
      <c r="D1672">
        <v>100</v>
      </c>
      <c r="E1672">
        <v>3.1</v>
      </c>
      <c r="F1672" s="16">
        <v>3.1</v>
      </c>
      <c r="G1672">
        <v>67</v>
      </c>
      <c r="H1672">
        <v>1</v>
      </c>
      <c r="I1672" t="s">
        <v>1221</v>
      </c>
      <c r="J1672" t="s">
        <v>910</v>
      </c>
      <c r="K1672">
        <v>775</v>
      </c>
      <c r="L1672">
        <v>82</v>
      </c>
      <c r="M1672">
        <v>149</v>
      </c>
    </row>
    <row r="1673" spans="2:13" x14ac:dyDescent="0.25">
      <c r="B1673" s="50" t="s">
        <v>3543</v>
      </c>
      <c r="C1673">
        <v>100</v>
      </c>
      <c r="D1673">
        <v>100</v>
      </c>
      <c r="E1673">
        <v>3.1</v>
      </c>
      <c r="F1673" s="16">
        <v>3.1</v>
      </c>
      <c r="G1673">
        <v>67</v>
      </c>
      <c r="H1673">
        <v>1</v>
      </c>
      <c r="I1673" t="s">
        <v>1229</v>
      </c>
      <c r="J1673" t="s">
        <v>910</v>
      </c>
      <c r="K1673">
        <v>775</v>
      </c>
      <c r="L1673">
        <v>82</v>
      </c>
      <c r="M1673">
        <v>149</v>
      </c>
    </row>
    <row r="1674" spans="2:13" x14ac:dyDescent="0.25">
      <c r="B1674" s="50" t="s">
        <v>3542</v>
      </c>
      <c r="C1674">
        <v>100</v>
      </c>
      <c r="D1674">
        <v>100</v>
      </c>
      <c r="E1674">
        <v>3.1</v>
      </c>
      <c r="F1674" s="16">
        <v>3.1</v>
      </c>
      <c r="G1674">
        <v>67</v>
      </c>
      <c r="H1674">
        <v>1</v>
      </c>
      <c r="I1674" t="s">
        <v>8</v>
      </c>
      <c r="J1674" t="s">
        <v>910</v>
      </c>
      <c r="K1674">
        <v>775</v>
      </c>
      <c r="L1674">
        <v>82</v>
      </c>
      <c r="M1674">
        <v>149</v>
      </c>
    </row>
    <row r="1675" spans="2:13" x14ac:dyDescent="0.25">
      <c r="B1675" s="50" t="s">
        <v>3541</v>
      </c>
      <c r="C1675">
        <v>100</v>
      </c>
      <c r="D1675">
        <v>100</v>
      </c>
      <c r="E1675">
        <v>3.1</v>
      </c>
      <c r="F1675" s="16">
        <v>3.1</v>
      </c>
      <c r="G1675">
        <v>67</v>
      </c>
      <c r="H1675">
        <v>1</v>
      </c>
      <c r="I1675" t="s">
        <v>1331</v>
      </c>
      <c r="J1675" t="s">
        <v>910</v>
      </c>
      <c r="K1675">
        <v>775</v>
      </c>
      <c r="L1675">
        <v>82</v>
      </c>
      <c r="M1675">
        <v>149</v>
      </c>
    </row>
    <row r="1676" spans="2:13" x14ac:dyDescent="0.25">
      <c r="B1676" s="50" t="s">
        <v>3076</v>
      </c>
      <c r="C1676">
        <v>10</v>
      </c>
      <c r="D1676">
        <v>10</v>
      </c>
      <c r="E1676">
        <v>2.8</v>
      </c>
      <c r="F1676" s="16">
        <v>2.8</v>
      </c>
      <c r="G1676">
        <v>0</v>
      </c>
      <c r="H1676">
        <v>0</v>
      </c>
      <c r="I1676" t="s">
        <v>1229</v>
      </c>
      <c r="J1676" t="s">
        <v>900</v>
      </c>
      <c r="K1676">
        <v>625</v>
      </c>
      <c r="L1676">
        <v>87</v>
      </c>
      <c r="M1676">
        <v>132</v>
      </c>
    </row>
    <row r="1677" spans="2:13" x14ac:dyDescent="0.25">
      <c r="B1677" s="50" t="s">
        <v>3474</v>
      </c>
      <c r="C1677">
        <v>10</v>
      </c>
      <c r="D1677">
        <v>10</v>
      </c>
      <c r="E1677">
        <v>2.8</v>
      </c>
      <c r="F1677" s="16">
        <v>2.8</v>
      </c>
      <c r="G1677">
        <v>0</v>
      </c>
      <c r="H1677">
        <v>0</v>
      </c>
      <c r="I1677" t="s">
        <v>1228</v>
      </c>
      <c r="J1677" t="s">
        <v>900</v>
      </c>
      <c r="K1677">
        <v>625</v>
      </c>
      <c r="L1677">
        <v>87</v>
      </c>
      <c r="M1677">
        <v>132</v>
      </c>
    </row>
    <row r="1678" spans="2:13" x14ac:dyDescent="0.25">
      <c r="B1678" s="50" t="s">
        <v>3473</v>
      </c>
      <c r="C1678">
        <v>10</v>
      </c>
      <c r="D1678">
        <v>10</v>
      </c>
      <c r="E1678">
        <v>2.8</v>
      </c>
      <c r="F1678" s="16">
        <v>2.8</v>
      </c>
      <c r="G1678">
        <v>0</v>
      </c>
      <c r="H1678">
        <v>0</v>
      </c>
      <c r="I1678" t="s">
        <v>1286</v>
      </c>
      <c r="J1678" t="s">
        <v>900</v>
      </c>
      <c r="K1678">
        <v>625</v>
      </c>
      <c r="L1678">
        <v>87</v>
      </c>
      <c r="M1678">
        <v>132</v>
      </c>
    </row>
    <row r="1679" spans="2:13" x14ac:dyDescent="0.25">
      <c r="B1679" s="50" t="s">
        <v>3472</v>
      </c>
      <c r="C1679">
        <v>10</v>
      </c>
      <c r="D1679">
        <v>10</v>
      </c>
      <c r="E1679">
        <v>2.8</v>
      </c>
      <c r="F1679" s="16">
        <v>2.8</v>
      </c>
      <c r="G1679">
        <v>0</v>
      </c>
      <c r="H1679">
        <v>0</v>
      </c>
      <c r="I1679" t="s">
        <v>1227</v>
      </c>
      <c r="J1679" t="s">
        <v>1228</v>
      </c>
      <c r="K1679">
        <v>625</v>
      </c>
      <c r="L1679">
        <v>87</v>
      </c>
      <c r="M1679">
        <v>132</v>
      </c>
    </row>
    <row r="1680" spans="2:13" x14ac:dyDescent="0.25">
      <c r="B1680" s="50" t="s">
        <v>3075</v>
      </c>
      <c r="C1680">
        <v>10</v>
      </c>
      <c r="D1680">
        <v>10</v>
      </c>
      <c r="E1680">
        <v>2.8</v>
      </c>
      <c r="F1680" s="16">
        <v>2.8</v>
      </c>
      <c r="G1680">
        <v>0</v>
      </c>
      <c r="H1680">
        <v>0</v>
      </c>
      <c r="I1680" t="s">
        <v>8</v>
      </c>
      <c r="J1680" t="s">
        <v>900</v>
      </c>
      <c r="K1680">
        <v>625</v>
      </c>
      <c r="L1680">
        <v>87</v>
      </c>
      <c r="M1680">
        <v>132</v>
      </c>
    </row>
    <row r="1681" spans="2:13" x14ac:dyDescent="0.25">
      <c r="B1681" s="50" t="s">
        <v>3471</v>
      </c>
      <c r="C1681">
        <v>10</v>
      </c>
      <c r="D1681">
        <v>10</v>
      </c>
      <c r="E1681">
        <v>2.8</v>
      </c>
      <c r="F1681" s="16">
        <v>2.8</v>
      </c>
      <c r="G1681">
        <v>0</v>
      </c>
      <c r="H1681">
        <v>0</v>
      </c>
      <c r="I1681" t="s">
        <v>1333</v>
      </c>
      <c r="J1681" t="s">
        <v>900</v>
      </c>
      <c r="K1681">
        <v>625</v>
      </c>
      <c r="L1681">
        <v>87</v>
      </c>
      <c r="M1681">
        <v>132</v>
      </c>
    </row>
    <row r="1682" spans="2:13" x14ac:dyDescent="0.25">
      <c r="B1682" s="50" t="s">
        <v>3470</v>
      </c>
      <c r="C1682">
        <v>10</v>
      </c>
      <c r="D1682">
        <v>10</v>
      </c>
      <c r="E1682">
        <v>2.8</v>
      </c>
      <c r="F1682" s="16">
        <v>2.8</v>
      </c>
      <c r="G1682">
        <v>0</v>
      </c>
      <c r="H1682">
        <v>0</v>
      </c>
      <c r="I1682" t="s">
        <v>1293</v>
      </c>
      <c r="J1682" t="s">
        <v>900</v>
      </c>
      <c r="K1682">
        <v>625</v>
      </c>
      <c r="L1682">
        <v>87</v>
      </c>
      <c r="M1682">
        <v>132</v>
      </c>
    </row>
    <row r="1683" spans="2:13" x14ac:dyDescent="0.25">
      <c r="B1683" s="50" t="s">
        <v>3469</v>
      </c>
      <c r="C1683">
        <v>10</v>
      </c>
      <c r="D1683">
        <v>10</v>
      </c>
      <c r="E1683">
        <v>2.8</v>
      </c>
      <c r="F1683" s="16">
        <v>2.8</v>
      </c>
      <c r="G1683">
        <v>0</v>
      </c>
      <c r="H1683">
        <v>0</v>
      </c>
      <c r="I1683" t="s">
        <v>1221</v>
      </c>
      <c r="J1683" t="s">
        <v>900</v>
      </c>
      <c r="K1683">
        <v>625</v>
      </c>
      <c r="L1683">
        <v>87</v>
      </c>
      <c r="M1683">
        <v>132</v>
      </c>
    </row>
    <row r="1684" spans="2:13" x14ac:dyDescent="0.25">
      <c r="B1684" s="50" t="s">
        <v>3468</v>
      </c>
      <c r="C1684">
        <v>10</v>
      </c>
      <c r="D1684">
        <v>10</v>
      </c>
      <c r="E1684">
        <v>3.1</v>
      </c>
      <c r="F1684" s="16">
        <v>3.1</v>
      </c>
      <c r="G1684">
        <v>0</v>
      </c>
      <c r="H1684">
        <v>0</v>
      </c>
      <c r="I1684" t="s">
        <v>1298</v>
      </c>
      <c r="J1684" t="s">
        <v>900</v>
      </c>
      <c r="K1684">
        <v>630</v>
      </c>
      <c r="L1684">
        <v>87</v>
      </c>
      <c r="M1684">
        <v>130.9</v>
      </c>
    </row>
    <row r="1685" spans="2:13" x14ac:dyDescent="0.25">
      <c r="B1685" s="50" t="s">
        <v>3467</v>
      </c>
      <c r="C1685">
        <v>10</v>
      </c>
      <c r="D1685">
        <v>10</v>
      </c>
      <c r="E1685">
        <v>3.1</v>
      </c>
      <c r="F1685" s="16">
        <v>3.1</v>
      </c>
      <c r="G1685">
        <v>0</v>
      </c>
      <c r="H1685">
        <v>0</v>
      </c>
      <c r="I1685" t="s">
        <v>1286</v>
      </c>
      <c r="J1685" t="s">
        <v>900</v>
      </c>
      <c r="K1685">
        <v>630</v>
      </c>
      <c r="L1685">
        <v>87</v>
      </c>
      <c r="M1685">
        <v>130.9</v>
      </c>
    </row>
    <row r="1686" spans="2:13" x14ac:dyDescent="0.25">
      <c r="B1686" s="50" t="s">
        <v>3466</v>
      </c>
      <c r="C1686">
        <v>10</v>
      </c>
      <c r="D1686">
        <v>10</v>
      </c>
      <c r="E1686">
        <v>3.1</v>
      </c>
      <c r="F1686" s="16">
        <v>3.1</v>
      </c>
      <c r="G1686">
        <v>0</v>
      </c>
      <c r="H1686">
        <v>0</v>
      </c>
      <c r="I1686" t="s">
        <v>1227</v>
      </c>
      <c r="J1686" t="s">
        <v>900</v>
      </c>
      <c r="K1686">
        <v>630</v>
      </c>
      <c r="L1686">
        <v>87</v>
      </c>
      <c r="M1686">
        <v>130.9</v>
      </c>
    </row>
    <row r="1687" spans="2:13" x14ac:dyDescent="0.25">
      <c r="B1687" s="50" t="s">
        <v>3465</v>
      </c>
      <c r="C1687">
        <v>10</v>
      </c>
      <c r="D1687">
        <v>10</v>
      </c>
      <c r="E1687">
        <v>3.1</v>
      </c>
      <c r="F1687" s="16">
        <v>3.1</v>
      </c>
      <c r="G1687">
        <v>0</v>
      </c>
      <c r="H1687">
        <v>0</v>
      </c>
      <c r="I1687" t="s">
        <v>1331</v>
      </c>
      <c r="J1687" t="s">
        <v>900</v>
      </c>
      <c r="K1687">
        <v>590</v>
      </c>
      <c r="L1687">
        <v>87</v>
      </c>
      <c r="M1687">
        <v>104.6</v>
      </c>
    </row>
    <row r="1688" spans="2:13" x14ac:dyDescent="0.25">
      <c r="B1688" s="50" t="s">
        <v>3464</v>
      </c>
      <c r="C1688">
        <v>10</v>
      </c>
      <c r="D1688">
        <v>10</v>
      </c>
      <c r="E1688">
        <v>3.1</v>
      </c>
      <c r="F1688" s="16">
        <v>3.1</v>
      </c>
      <c r="G1688">
        <v>0</v>
      </c>
      <c r="H1688">
        <v>0</v>
      </c>
      <c r="I1688" t="s">
        <v>1333</v>
      </c>
      <c r="J1688" t="s">
        <v>900</v>
      </c>
      <c r="K1688">
        <v>630</v>
      </c>
      <c r="L1688">
        <v>87</v>
      </c>
      <c r="M1688">
        <v>130.9</v>
      </c>
    </row>
    <row r="1689" spans="2:13" x14ac:dyDescent="0.25">
      <c r="B1689" s="50" t="s">
        <v>3463</v>
      </c>
      <c r="C1689">
        <v>10</v>
      </c>
      <c r="D1689">
        <v>10</v>
      </c>
      <c r="E1689">
        <v>3.1</v>
      </c>
      <c r="F1689" s="16">
        <v>3.1</v>
      </c>
      <c r="G1689">
        <v>0</v>
      </c>
      <c r="H1689">
        <v>0</v>
      </c>
      <c r="I1689" t="s">
        <v>1221</v>
      </c>
      <c r="J1689" t="s">
        <v>900</v>
      </c>
      <c r="K1689">
        <v>630</v>
      </c>
      <c r="L1689">
        <v>87</v>
      </c>
      <c r="M1689">
        <v>130.9</v>
      </c>
    </row>
    <row r="1690" spans="2:13" x14ac:dyDescent="0.25">
      <c r="B1690" s="50" t="s">
        <v>3462</v>
      </c>
      <c r="C1690">
        <v>10</v>
      </c>
      <c r="D1690">
        <v>10</v>
      </c>
      <c r="E1690">
        <v>3.1</v>
      </c>
      <c r="F1690" s="16">
        <v>3.1</v>
      </c>
      <c r="G1690">
        <v>0</v>
      </c>
      <c r="H1690">
        <v>0</v>
      </c>
      <c r="I1690" t="s">
        <v>1229</v>
      </c>
      <c r="J1690" t="s">
        <v>900</v>
      </c>
      <c r="K1690">
        <v>600</v>
      </c>
      <c r="L1690">
        <v>87</v>
      </c>
      <c r="M1690">
        <v>106.1</v>
      </c>
    </row>
    <row r="1691" spans="2:13" x14ac:dyDescent="0.25">
      <c r="B1691" s="50" t="s">
        <v>3074</v>
      </c>
      <c r="C1691">
        <v>10</v>
      </c>
      <c r="D1691">
        <v>10</v>
      </c>
      <c r="E1691">
        <v>3.1</v>
      </c>
      <c r="F1691" s="16">
        <v>3.1</v>
      </c>
      <c r="G1691">
        <v>0</v>
      </c>
      <c r="H1691">
        <v>0</v>
      </c>
      <c r="I1691" t="s">
        <v>8</v>
      </c>
      <c r="J1691" t="s">
        <v>900</v>
      </c>
      <c r="K1691">
        <v>590</v>
      </c>
      <c r="L1691">
        <v>87</v>
      </c>
      <c r="M1691">
        <v>103.6</v>
      </c>
    </row>
    <row r="1692" spans="2:13" x14ac:dyDescent="0.25">
      <c r="B1692" s="50" t="s">
        <v>3461</v>
      </c>
      <c r="C1692">
        <v>12</v>
      </c>
      <c r="D1692">
        <v>12</v>
      </c>
      <c r="E1692">
        <v>2</v>
      </c>
      <c r="F1692" s="16">
        <v>2</v>
      </c>
      <c r="G1692">
        <v>67</v>
      </c>
      <c r="H1692">
        <v>0</v>
      </c>
      <c r="I1692" t="s">
        <v>1298</v>
      </c>
      <c r="J1692" t="s">
        <v>900</v>
      </c>
      <c r="K1692">
        <v>260</v>
      </c>
      <c r="L1692">
        <v>72.5</v>
      </c>
      <c r="M1692">
        <v>59</v>
      </c>
    </row>
    <row r="1693" spans="2:13" x14ac:dyDescent="0.25">
      <c r="B1693" s="50" t="s">
        <v>3460</v>
      </c>
      <c r="C1693">
        <v>12</v>
      </c>
      <c r="D1693">
        <v>12</v>
      </c>
      <c r="E1693">
        <v>2</v>
      </c>
      <c r="F1693" s="16">
        <v>2</v>
      </c>
      <c r="G1693">
        <v>67</v>
      </c>
      <c r="H1693">
        <v>0</v>
      </c>
      <c r="I1693" t="s">
        <v>1286</v>
      </c>
      <c r="J1693" t="s">
        <v>900</v>
      </c>
      <c r="K1693">
        <v>260</v>
      </c>
      <c r="L1693">
        <v>72.5</v>
      </c>
      <c r="M1693">
        <v>59</v>
      </c>
    </row>
    <row r="1694" spans="2:13" x14ac:dyDescent="0.25">
      <c r="B1694" s="50" t="s">
        <v>2878</v>
      </c>
      <c r="C1694">
        <v>12</v>
      </c>
      <c r="D1694">
        <v>12</v>
      </c>
      <c r="E1694">
        <v>2</v>
      </c>
      <c r="F1694" s="16">
        <v>2</v>
      </c>
      <c r="G1694">
        <v>67</v>
      </c>
      <c r="H1694">
        <v>0</v>
      </c>
      <c r="I1694" t="s">
        <v>1227</v>
      </c>
      <c r="J1694" t="s">
        <v>1228</v>
      </c>
      <c r="K1694">
        <v>260</v>
      </c>
      <c r="L1694">
        <v>72.5</v>
      </c>
      <c r="M1694">
        <v>59</v>
      </c>
    </row>
    <row r="1695" spans="2:13" x14ac:dyDescent="0.25">
      <c r="B1695" s="50" t="s">
        <v>4370</v>
      </c>
      <c r="C1695">
        <v>12</v>
      </c>
      <c r="D1695">
        <v>12</v>
      </c>
      <c r="E1695">
        <v>2</v>
      </c>
      <c r="F1695" s="16">
        <v>2</v>
      </c>
      <c r="G1695">
        <v>67</v>
      </c>
      <c r="H1695">
        <v>0</v>
      </c>
      <c r="I1695" t="s">
        <v>1227</v>
      </c>
      <c r="J1695" t="s">
        <v>1228</v>
      </c>
      <c r="K1695">
        <v>260</v>
      </c>
      <c r="L1695">
        <v>72.5</v>
      </c>
      <c r="M1695">
        <v>59</v>
      </c>
    </row>
    <row r="1696" spans="2:13" x14ac:dyDescent="0.25">
      <c r="B1696" s="50" t="s">
        <v>3459</v>
      </c>
      <c r="C1696">
        <v>12</v>
      </c>
      <c r="D1696">
        <v>12</v>
      </c>
      <c r="E1696">
        <v>2</v>
      </c>
      <c r="F1696" s="16">
        <v>2</v>
      </c>
      <c r="G1696">
        <v>67</v>
      </c>
      <c r="H1696">
        <v>0</v>
      </c>
      <c r="I1696" t="s">
        <v>1333</v>
      </c>
      <c r="J1696" t="s">
        <v>900</v>
      </c>
      <c r="K1696">
        <v>260</v>
      </c>
      <c r="L1696">
        <v>72.5</v>
      </c>
      <c r="M1696">
        <v>59</v>
      </c>
    </row>
    <row r="1697" spans="2:13" x14ac:dyDescent="0.25">
      <c r="B1697" s="50" t="s">
        <v>3073</v>
      </c>
      <c r="C1697">
        <v>12</v>
      </c>
      <c r="D1697">
        <v>12</v>
      </c>
      <c r="E1697">
        <v>2</v>
      </c>
      <c r="F1697" s="16">
        <v>2</v>
      </c>
      <c r="G1697">
        <v>67</v>
      </c>
      <c r="H1697">
        <v>0</v>
      </c>
      <c r="I1697" t="s">
        <v>1221</v>
      </c>
      <c r="J1697" t="s">
        <v>900</v>
      </c>
      <c r="K1697">
        <v>260</v>
      </c>
      <c r="L1697">
        <v>72.5</v>
      </c>
      <c r="M1697">
        <v>59</v>
      </c>
    </row>
    <row r="1698" spans="2:13" x14ac:dyDescent="0.25">
      <c r="B1698" s="50" t="s">
        <v>3733</v>
      </c>
      <c r="C1698">
        <v>12</v>
      </c>
      <c r="D1698">
        <v>12</v>
      </c>
      <c r="E1698">
        <v>2</v>
      </c>
      <c r="F1698" s="16">
        <v>2</v>
      </c>
      <c r="G1698">
        <v>67</v>
      </c>
      <c r="H1698">
        <v>0</v>
      </c>
      <c r="I1698" t="s">
        <v>1221</v>
      </c>
      <c r="J1698" t="s">
        <v>900</v>
      </c>
      <c r="K1698">
        <v>260</v>
      </c>
      <c r="L1698">
        <v>72.5</v>
      </c>
      <c r="M1698">
        <v>59</v>
      </c>
    </row>
    <row r="1699" spans="2:13" x14ac:dyDescent="0.25">
      <c r="B1699" s="50" t="s">
        <v>3732</v>
      </c>
      <c r="C1699">
        <v>12</v>
      </c>
      <c r="D1699">
        <v>12</v>
      </c>
      <c r="E1699">
        <v>2.2000000000000002</v>
      </c>
      <c r="F1699" s="16">
        <v>2.2000000000000002</v>
      </c>
      <c r="G1699">
        <v>67</v>
      </c>
      <c r="H1699">
        <v>0</v>
      </c>
      <c r="I1699" t="s">
        <v>1298</v>
      </c>
      <c r="J1699" t="s">
        <v>900</v>
      </c>
      <c r="K1699">
        <v>265</v>
      </c>
      <c r="L1699">
        <v>73.599999999999994</v>
      </c>
      <c r="M1699">
        <v>59</v>
      </c>
    </row>
    <row r="1700" spans="2:13" x14ac:dyDescent="0.25">
      <c r="B1700" s="50" t="s">
        <v>3731</v>
      </c>
      <c r="C1700">
        <v>12</v>
      </c>
      <c r="D1700">
        <v>12</v>
      </c>
      <c r="E1700">
        <v>2.2000000000000002</v>
      </c>
      <c r="F1700" s="16">
        <v>2.2000000000000002</v>
      </c>
      <c r="G1700">
        <v>67</v>
      </c>
      <c r="H1700">
        <v>0</v>
      </c>
      <c r="I1700" t="s">
        <v>1286</v>
      </c>
      <c r="J1700" t="s">
        <v>1228</v>
      </c>
      <c r="K1700">
        <v>265</v>
      </c>
      <c r="L1700">
        <v>73.599999999999994</v>
      </c>
      <c r="M1700">
        <v>59</v>
      </c>
    </row>
    <row r="1701" spans="2:13" x14ac:dyDescent="0.25">
      <c r="B1701" s="50" t="s">
        <v>3072</v>
      </c>
      <c r="C1701">
        <v>12</v>
      </c>
      <c r="D1701">
        <v>12</v>
      </c>
      <c r="E1701">
        <v>2.2000000000000002</v>
      </c>
      <c r="F1701" s="16">
        <v>2.2000000000000002</v>
      </c>
      <c r="G1701">
        <v>67</v>
      </c>
      <c r="H1701">
        <v>0</v>
      </c>
      <c r="I1701" t="s">
        <v>1227</v>
      </c>
      <c r="J1701" t="s">
        <v>1228</v>
      </c>
      <c r="K1701">
        <v>265</v>
      </c>
      <c r="L1701">
        <v>73.599999999999994</v>
      </c>
      <c r="M1701">
        <v>59</v>
      </c>
    </row>
    <row r="1702" spans="2:13" x14ac:dyDescent="0.25">
      <c r="B1702" s="50" t="s">
        <v>3730</v>
      </c>
      <c r="C1702">
        <v>12</v>
      </c>
      <c r="D1702">
        <v>12</v>
      </c>
      <c r="E1702">
        <v>2.2000000000000002</v>
      </c>
      <c r="F1702" s="16">
        <v>2.2000000000000002</v>
      </c>
      <c r="G1702">
        <v>67</v>
      </c>
      <c r="H1702">
        <v>0</v>
      </c>
      <c r="I1702" t="s">
        <v>1333</v>
      </c>
      <c r="J1702" t="s">
        <v>1228</v>
      </c>
      <c r="K1702">
        <v>265</v>
      </c>
      <c r="L1702">
        <v>73.599999999999994</v>
      </c>
      <c r="M1702">
        <v>59</v>
      </c>
    </row>
    <row r="1703" spans="2:13" x14ac:dyDescent="0.25">
      <c r="B1703" s="50" t="s">
        <v>3071</v>
      </c>
      <c r="C1703">
        <v>12</v>
      </c>
      <c r="D1703">
        <v>12</v>
      </c>
      <c r="E1703">
        <v>2.2000000000000002</v>
      </c>
      <c r="F1703" s="16">
        <v>2.2000000000000002</v>
      </c>
      <c r="G1703">
        <v>67</v>
      </c>
      <c r="H1703">
        <v>0</v>
      </c>
      <c r="I1703" t="s">
        <v>1221</v>
      </c>
      <c r="J1703" t="s">
        <v>900</v>
      </c>
      <c r="K1703">
        <v>265</v>
      </c>
      <c r="L1703">
        <v>73.599999999999994</v>
      </c>
      <c r="M1703">
        <v>59</v>
      </c>
    </row>
    <row r="1704" spans="2:13" x14ac:dyDescent="0.25">
      <c r="B1704" s="50" t="s">
        <v>3729</v>
      </c>
      <c r="C1704">
        <v>12</v>
      </c>
      <c r="D1704">
        <v>12</v>
      </c>
      <c r="E1704">
        <v>2.8</v>
      </c>
      <c r="F1704" s="16">
        <v>2.8</v>
      </c>
      <c r="G1704">
        <v>0</v>
      </c>
      <c r="H1704">
        <v>0</v>
      </c>
      <c r="I1704" t="s">
        <v>1286</v>
      </c>
      <c r="J1704" t="s">
        <v>910</v>
      </c>
      <c r="K1704">
        <v>576</v>
      </c>
      <c r="L1704">
        <v>86</v>
      </c>
      <c r="M1704">
        <v>98</v>
      </c>
    </row>
    <row r="1705" spans="2:13" x14ac:dyDescent="0.25">
      <c r="B1705" s="50" t="s">
        <v>3726</v>
      </c>
      <c r="C1705">
        <v>12</v>
      </c>
      <c r="D1705">
        <v>12</v>
      </c>
      <c r="E1705">
        <v>2.8</v>
      </c>
      <c r="F1705" s="16">
        <v>2.8</v>
      </c>
      <c r="G1705">
        <v>0</v>
      </c>
      <c r="H1705">
        <v>0</v>
      </c>
      <c r="I1705" t="s">
        <v>1221</v>
      </c>
      <c r="J1705" t="s">
        <v>910</v>
      </c>
      <c r="K1705">
        <v>528</v>
      </c>
      <c r="L1705">
        <v>77.3</v>
      </c>
      <c r="M1705">
        <v>98</v>
      </c>
    </row>
    <row r="1706" spans="2:13" x14ac:dyDescent="0.25">
      <c r="B1706" s="50" t="s">
        <v>3725</v>
      </c>
      <c r="C1706">
        <v>12</v>
      </c>
      <c r="D1706">
        <v>12</v>
      </c>
      <c r="E1706">
        <v>2.8</v>
      </c>
      <c r="F1706" s="16">
        <v>2.8</v>
      </c>
      <c r="G1706">
        <v>0</v>
      </c>
      <c r="H1706">
        <v>0</v>
      </c>
      <c r="I1706" t="s">
        <v>1229</v>
      </c>
      <c r="J1706" t="s">
        <v>910</v>
      </c>
      <c r="K1706">
        <v>565</v>
      </c>
      <c r="L1706">
        <v>72</v>
      </c>
      <c r="M1706">
        <v>98</v>
      </c>
    </row>
    <row r="1707" spans="2:13" x14ac:dyDescent="0.25">
      <c r="B1707" s="50" t="s">
        <v>3722</v>
      </c>
      <c r="C1707">
        <v>12</v>
      </c>
      <c r="D1707">
        <v>12</v>
      </c>
      <c r="E1707">
        <v>2.8</v>
      </c>
      <c r="F1707" s="16">
        <v>2.8</v>
      </c>
      <c r="G1707">
        <v>0</v>
      </c>
      <c r="H1707">
        <v>0</v>
      </c>
      <c r="I1707" t="s">
        <v>1298</v>
      </c>
      <c r="J1707" t="s">
        <v>910</v>
      </c>
      <c r="K1707">
        <v>576</v>
      </c>
      <c r="L1707">
        <v>86</v>
      </c>
      <c r="M1707">
        <v>108</v>
      </c>
    </row>
    <row r="1708" spans="2:13" x14ac:dyDescent="0.25">
      <c r="B1708" s="50" t="s">
        <v>3721</v>
      </c>
      <c r="C1708">
        <v>12</v>
      </c>
      <c r="D1708">
        <v>12</v>
      </c>
      <c r="E1708">
        <v>2.8</v>
      </c>
      <c r="F1708" s="16">
        <v>2.8</v>
      </c>
      <c r="G1708">
        <v>0</v>
      </c>
      <c r="H1708">
        <v>0</v>
      </c>
      <c r="I1708" t="s">
        <v>1228</v>
      </c>
      <c r="J1708" t="s">
        <v>910</v>
      </c>
      <c r="K1708">
        <v>565</v>
      </c>
      <c r="L1708">
        <v>72</v>
      </c>
      <c r="M1708">
        <v>98</v>
      </c>
    </row>
    <row r="1709" spans="2:13" x14ac:dyDescent="0.25">
      <c r="B1709" s="50" t="s">
        <v>3720</v>
      </c>
      <c r="C1709">
        <v>12</v>
      </c>
      <c r="D1709">
        <v>12</v>
      </c>
      <c r="E1709">
        <v>2.8</v>
      </c>
      <c r="F1709" s="16">
        <v>2.8</v>
      </c>
      <c r="G1709">
        <v>0</v>
      </c>
      <c r="H1709">
        <v>0</v>
      </c>
      <c r="I1709" t="s">
        <v>1227</v>
      </c>
      <c r="J1709" t="s">
        <v>910</v>
      </c>
      <c r="K1709">
        <v>565</v>
      </c>
      <c r="L1709">
        <v>72</v>
      </c>
      <c r="M1709">
        <v>98</v>
      </c>
    </row>
    <row r="1710" spans="2:13" x14ac:dyDescent="0.25">
      <c r="B1710" s="50" t="s">
        <v>3719</v>
      </c>
      <c r="C1710">
        <v>12</v>
      </c>
      <c r="D1710">
        <v>12</v>
      </c>
      <c r="E1710">
        <v>2.8</v>
      </c>
      <c r="F1710" s="16">
        <v>2.8</v>
      </c>
      <c r="G1710">
        <v>0</v>
      </c>
      <c r="H1710">
        <v>0</v>
      </c>
      <c r="I1710" t="s">
        <v>8</v>
      </c>
      <c r="J1710" t="s">
        <v>910</v>
      </c>
      <c r="K1710">
        <v>565</v>
      </c>
      <c r="L1710">
        <v>72</v>
      </c>
      <c r="M1710">
        <v>98</v>
      </c>
    </row>
    <row r="1711" spans="2:13" x14ac:dyDescent="0.25">
      <c r="B1711" s="50" t="s">
        <v>3718</v>
      </c>
      <c r="C1711">
        <v>12</v>
      </c>
      <c r="D1711">
        <v>12</v>
      </c>
      <c r="E1711">
        <v>2.8</v>
      </c>
      <c r="F1711" s="16">
        <v>2.8</v>
      </c>
      <c r="G1711">
        <v>0</v>
      </c>
      <c r="H1711">
        <v>0</v>
      </c>
      <c r="I1711" t="s">
        <v>1331</v>
      </c>
      <c r="J1711" t="s">
        <v>910</v>
      </c>
      <c r="K1711">
        <v>565</v>
      </c>
      <c r="L1711">
        <v>72</v>
      </c>
      <c r="M1711">
        <v>98</v>
      </c>
    </row>
    <row r="1712" spans="2:13" x14ac:dyDescent="0.25">
      <c r="B1712" s="50" t="s">
        <v>3070</v>
      </c>
      <c r="C1712">
        <v>12</v>
      </c>
      <c r="D1712">
        <v>12</v>
      </c>
      <c r="E1712">
        <v>2.8</v>
      </c>
      <c r="F1712" s="16">
        <v>2.8</v>
      </c>
      <c r="G1712">
        <v>0</v>
      </c>
      <c r="H1712">
        <v>0</v>
      </c>
      <c r="I1712" t="s">
        <v>1333</v>
      </c>
      <c r="J1712" t="s">
        <v>910</v>
      </c>
      <c r="K1712">
        <v>565</v>
      </c>
      <c r="L1712">
        <v>72</v>
      </c>
      <c r="M1712">
        <v>98</v>
      </c>
    </row>
    <row r="1713" spans="2:13" x14ac:dyDescent="0.25">
      <c r="B1713" s="50" t="s">
        <v>3717</v>
      </c>
      <c r="C1713">
        <v>12</v>
      </c>
      <c r="D1713">
        <v>12</v>
      </c>
      <c r="E1713">
        <v>2.8</v>
      </c>
      <c r="F1713" s="16">
        <v>2.8</v>
      </c>
      <c r="G1713">
        <v>0</v>
      </c>
      <c r="H1713">
        <v>0</v>
      </c>
      <c r="I1713" t="s">
        <v>1293</v>
      </c>
      <c r="J1713" t="s">
        <v>910</v>
      </c>
      <c r="K1713">
        <v>565</v>
      </c>
      <c r="L1713">
        <v>72</v>
      </c>
      <c r="M1713">
        <v>98</v>
      </c>
    </row>
    <row r="1714" spans="2:13" x14ac:dyDescent="0.25">
      <c r="B1714" s="50" t="s">
        <v>3716</v>
      </c>
      <c r="C1714">
        <v>12</v>
      </c>
      <c r="D1714">
        <v>12</v>
      </c>
      <c r="E1714">
        <v>3.1</v>
      </c>
      <c r="F1714" s="16">
        <v>3.1</v>
      </c>
      <c r="G1714">
        <v>0</v>
      </c>
      <c r="H1714">
        <v>0</v>
      </c>
      <c r="I1714" t="s">
        <v>1229</v>
      </c>
      <c r="J1714" t="s">
        <v>900</v>
      </c>
      <c r="K1714">
        <v>565</v>
      </c>
      <c r="L1714">
        <v>72</v>
      </c>
      <c r="M1714">
        <v>98</v>
      </c>
    </row>
    <row r="1715" spans="2:13" x14ac:dyDescent="0.25">
      <c r="B1715" s="50" t="s">
        <v>3492</v>
      </c>
      <c r="C1715">
        <v>12</v>
      </c>
      <c r="D1715">
        <v>12</v>
      </c>
      <c r="E1715">
        <v>3.1</v>
      </c>
      <c r="F1715" s="16">
        <v>3.1</v>
      </c>
      <c r="G1715">
        <v>0</v>
      </c>
      <c r="H1715">
        <v>0</v>
      </c>
      <c r="I1715" t="s">
        <v>8</v>
      </c>
      <c r="J1715" t="s">
        <v>900</v>
      </c>
      <c r="K1715">
        <v>565</v>
      </c>
      <c r="L1715">
        <v>72</v>
      </c>
      <c r="M1715">
        <v>98</v>
      </c>
    </row>
    <row r="1716" spans="2:13" x14ac:dyDescent="0.25">
      <c r="B1716" s="50" t="s">
        <v>3491</v>
      </c>
      <c r="C1716">
        <v>12</v>
      </c>
      <c r="D1716">
        <v>12</v>
      </c>
      <c r="E1716">
        <v>3.1</v>
      </c>
      <c r="F1716" s="16">
        <v>3.1</v>
      </c>
      <c r="G1716">
        <v>0</v>
      </c>
      <c r="H1716">
        <v>0</v>
      </c>
      <c r="I1716" t="s">
        <v>1333</v>
      </c>
      <c r="J1716" t="s">
        <v>900</v>
      </c>
      <c r="K1716">
        <v>565</v>
      </c>
      <c r="L1716">
        <v>72</v>
      </c>
      <c r="M1716">
        <v>98</v>
      </c>
    </row>
    <row r="1717" spans="2:13" x14ac:dyDescent="0.25">
      <c r="B1717" s="50" t="s">
        <v>3540</v>
      </c>
      <c r="C1717">
        <v>135</v>
      </c>
      <c r="D1717">
        <v>135</v>
      </c>
      <c r="E1717">
        <v>2</v>
      </c>
      <c r="F1717" s="16">
        <v>2</v>
      </c>
      <c r="G1717">
        <v>77</v>
      </c>
      <c r="H1717">
        <v>0</v>
      </c>
      <c r="I1717" t="s">
        <v>8</v>
      </c>
      <c r="J1717" t="s">
        <v>910</v>
      </c>
      <c r="K1717">
        <v>880</v>
      </c>
      <c r="L1717">
        <v>82</v>
      </c>
      <c r="M1717">
        <v>120</v>
      </c>
    </row>
    <row r="1718" spans="2:13" x14ac:dyDescent="0.25">
      <c r="B1718" s="50" t="s">
        <v>3539</v>
      </c>
      <c r="C1718">
        <v>135</v>
      </c>
      <c r="D1718">
        <v>135</v>
      </c>
      <c r="E1718">
        <v>2</v>
      </c>
      <c r="F1718" s="16">
        <v>2</v>
      </c>
      <c r="G1718">
        <v>77</v>
      </c>
      <c r="H1718">
        <v>0</v>
      </c>
      <c r="I1718" t="s">
        <v>1229</v>
      </c>
      <c r="J1718" t="s">
        <v>910</v>
      </c>
      <c r="K1718">
        <v>915</v>
      </c>
      <c r="L1718">
        <v>82</v>
      </c>
      <c r="M1718">
        <v>120</v>
      </c>
    </row>
    <row r="1719" spans="2:13" x14ac:dyDescent="0.25">
      <c r="B1719" s="50" t="s">
        <v>3538</v>
      </c>
      <c r="C1719">
        <v>135</v>
      </c>
      <c r="D1719">
        <v>135</v>
      </c>
      <c r="E1719">
        <v>2</v>
      </c>
      <c r="F1719" s="16">
        <v>2</v>
      </c>
      <c r="G1719">
        <v>77</v>
      </c>
      <c r="H1719">
        <v>0</v>
      </c>
      <c r="I1719" t="s">
        <v>1298</v>
      </c>
      <c r="J1719" t="s">
        <v>910</v>
      </c>
      <c r="K1719">
        <v>930</v>
      </c>
      <c r="L1719">
        <v>82</v>
      </c>
      <c r="M1719">
        <v>120</v>
      </c>
    </row>
    <row r="1720" spans="2:13" x14ac:dyDescent="0.25">
      <c r="B1720" s="50" t="s">
        <v>3536</v>
      </c>
      <c r="C1720">
        <v>135</v>
      </c>
      <c r="D1720">
        <v>135</v>
      </c>
      <c r="E1720">
        <v>2</v>
      </c>
      <c r="F1720" s="16">
        <v>2</v>
      </c>
      <c r="G1720">
        <v>77</v>
      </c>
      <c r="H1720">
        <v>0</v>
      </c>
      <c r="I1720" t="s">
        <v>1227</v>
      </c>
      <c r="J1720" t="s">
        <v>910</v>
      </c>
      <c r="K1720">
        <v>928</v>
      </c>
      <c r="L1720">
        <v>82</v>
      </c>
      <c r="M1720">
        <v>120</v>
      </c>
    </row>
    <row r="1721" spans="2:13" x14ac:dyDescent="0.25">
      <c r="B1721" s="50" t="s">
        <v>3534</v>
      </c>
      <c r="C1721">
        <v>135</v>
      </c>
      <c r="D1721">
        <v>135</v>
      </c>
      <c r="E1721">
        <v>2</v>
      </c>
      <c r="F1721" s="16">
        <v>2</v>
      </c>
      <c r="G1721">
        <v>77</v>
      </c>
      <c r="H1721">
        <v>0</v>
      </c>
      <c r="I1721" t="s">
        <v>1331</v>
      </c>
      <c r="J1721" t="s">
        <v>910</v>
      </c>
      <c r="K1721">
        <v>884</v>
      </c>
      <c r="L1721">
        <v>82</v>
      </c>
      <c r="M1721">
        <v>120</v>
      </c>
    </row>
    <row r="1722" spans="2:13" x14ac:dyDescent="0.25">
      <c r="B1722" s="50" t="s">
        <v>3668</v>
      </c>
      <c r="C1722">
        <v>135</v>
      </c>
      <c r="D1722">
        <v>135</v>
      </c>
      <c r="E1722">
        <v>2</v>
      </c>
      <c r="F1722" s="16">
        <v>2</v>
      </c>
      <c r="G1722">
        <v>77</v>
      </c>
      <c r="H1722">
        <v>0</v>
      </c>
      <c r="I1722" t="s">
        <v>1293</v>
      </c>
      <c r="J1722" t="s">
        <v>910</v>
      </c>
      <c r="K1722">
        <v>884</v>
      </c>
      <c r="L1722">
        <v>82</v>
      </c>
      <c r="M1722">
        <v>120</v>
      </c>
    </row>
    <row r="1723" spans="2:13" x14ac:dyDescent="0.25">
      <c r="B1723" s="50" t="s">
        <v>4299</v>
      </c>
      <c r="C1723">
        <v>135</v>
      </c>
      <c r="D1723">
        <v>135</v>
      </c>
      <c r="E1723">
        <v>2</v>
      </c>
      <c r="F1723" s="16">
        <v>2</v>
      </c>
      <c r="G1723">
        <v>77</v>
      </c>
      <c r="H1723">
        <v>0</v>
      </c>
      <c r="I1723" t="s">
        <v>1221</v>
      </c>
      <c r="J1723" t="s">
        <v>910</v>
      </c>
      <c r="K1723">
        <v>940</v>
      </c>
      <c r="L1723">
        <v>82</v>
      </c>
      <c r="M1723">
        <v>120</v>
      </c>
    </row>
    <row r="1724" spans="2:13" x14ac:dyDescent="0.25">
      <c r="B1724" s="50" t="s">
        <v>3666</v>
      </c>
      <c r="C1724">
        <v>135</v>
      </c>
      <c r="D1724">
        <v>135</v>
      </c>
      <c r="E1724">
        <v>2.2000000000000002</v>
      </c>
      <c r="F1724" s="16">
        <v>2.2000000000000002</v>
      </c>
      <c r="G1724">
        <v>77</v>
      </c>
      <c r="H1724">
        <v>0</v>
      </c>
      <c r="I1724" t="s">
        <v>1229</v>
      </c>
      <c r="J1724" t="s">
        <v>910</v>
      </c>
      <c r="K1724">
        <v>892</v>
      </c>
      <c r="L1724">
        <v>82</v>
      </c>
      <c r="M1724">
        <v>120</v>
      </c>
    </row>
    <row r="1725" spans="2:13" x14ac:dyDescent="0.25">
      <c r="B1725" s="50" t="s">
        <v>3665</v>
      </c>
      <c r="C1725">
        <v>135</v>
      </c>
      <c r="D1725">
        <v>135</v>
      </c>
      <c r="E1725">
        <v>2.2000000000000002</v>
      </c>
      <c r="F1725" s="16">
        <v>2.2000000000000002</v>
      </c>
      <c r="G1725">
        <v>77</v>
      </c>
      <c r="H1725">
        <v>0</v>
      </c>
      <c r="I1725" t="s">
        <v>1228</v>
      </c>
      <c r="J1725" t="s">
        <v>910</v>
      </c>
      <c r="K1725">
        <v>935</v>
      </c>
      <c r="L1725">
        <v>82</v>
      </c>
      <c r="M1725">
        <v>120</v>
      </c>
    </row>
    <row r="1726" spans="2:13" x14ac:dyDescent="0.25">
      <c r="B1726" s="50" t="s">
        <v>3664</v>
      </c>
      <c r="C1726">
        <v>135</v>
      </c>
      <c r="D1726">
        <v>135</v>
      </c>
      <c r="E1726">
        <v>2.2000000000000002</v>
      </c>
      <c r="F1726" s="16">
        <v>2.2000000000000002</v>
      </c>
      <c r="G1726">
        <v>77</v>
      </c>
      <c r="H1726">
        <v>0</v>
      </c>
      <c r="I1726" t="s">
        <v>1227</v>
      </c>
      <c r="J1726" t="s">
        <v>910</v>
      </c>
      <c r="K1726">
        <v>920</v>
      </c>
      <c r="L1726">
        <v>82</v>
      </c>
      <c r="M1726">
        <v>120</v>
      </c>
    </row>
    <row r="1727" spans="2:13" x14ac:dyDescent="0.25">
      <c r="B1727" s="50" t="s">
        <v>3663</v>
      </c>
      <c r="C1727">
        <v>135</v>
      </c>
      <c r="D1727">
        <v>135</v>
      </c>
      <c r="E1727">
        <v>2.2000000000000002</v>
      </c>
      <c r="F1727" s="16">
        <v>2.2000000000000002</v>
      </c>
      <c r="G1727">
        <v>77</v>
      </c>
      <c r="H1727">
        <v>0</v>
      </c>
      <c r="I1727" t="s">
        <v>8</v>
      </c>
      <c r="J1727" t="s">
        <v>910</v>
      </c>
      <c r="K1727">
        <v>882</v>
      </c>
      <c r="L1727">
        <v>82</v>
      </c>
      <c r="M1727">
        <v>120</v>
      </c>
    </row>
    <row r="1728" spans="2:13" x14ac:dyDescent="0.25">
      <c r="B1728" s="50" t="s">
        <v>3662</v>
      </c>
      <c r="C1728">
        <v>135</v>
      </c>
      <c r="D1728">
        <v>135</v>
      </c>
      <c r="E1728">
        <v>2.2000000000000002</v>
      </c>
      <c r="F1728" s="16">
        <v>2.2000000000000002</v>
      </c>
      <c r="G1728">
        <v>77</v>
      </c>
      <c r="H1728">
        <v>0</v>
      </c>
      <c r="I1728" t="s">
        <v>1333</v>
      </c>
      <c r="J1728" t="s">
        <v>910</v>
      </c>
      <c r="K1728">
        <v>850</v>
      </c>
      <c r="L1728">
        <v>82</v>
      </c>
      <c r="M1728">
        <v>120</v>
      </c>
    </row>
    <row r="1729" spans="2:13" x14ac:dyDescent="0.25">
      <c r="B1729" s="50" t="s">
        <v>3661</v>
      </c>
      <c r="C1729">
        <v>135</v>
      </c>
      <c r="D1729">
        <v>135</v>
      </c>
      <c r="E1729">
        <v>2.2000000000000002</v>
      </c>
      <c r="F1729" s="16">
        <v>2.2000000000000002</v>
      </c>
      <c r="G1729">
        <v>77</v>
      </c>
      <c r="H1729">
        <v>0</v>
      </c>
      <c r="I1729" t="s">
        <v>1293</v>
      </c>
      <c r="J1729" t="s">
        <v>910</v>
      </c>
      <c r="K1729">
        <v>886</v>
      </c>
      <c r="L1729">
        <v>82</v>
      </c>
      <c r="M1729">
        <v>120</v>
      </c>
    </row>
    <row r="1730" spans="2:13" x14ac:dyDescent="0.25">
      <c r="B1730" s="50" t="s">
        <v>3659</v>
      </c>
      <c r="C1730">
        <v>135</v>
      </c>
      <c r="D1730">
        <v>135</v>
      </c>
      <c r="E1730">
        <v>2.2000000000000002</v>
      </c>
      <c r="F1730" s="16">
        <v>2.2000000000000002</v>
      </c>
      <c r="G1730">
        <v>77</v>
      </c>
      <c r="H1730">
        <v>0</v>
      </c>
      <c r="I1730" t="s">
        <v>1221</v>
      </c>
      <c r="J1730" t="s">
        <v>910</v>
      </c>
      <c r="K1730">
        <v>926</v>
      </c>
      <c r="L1730">
        <v>82</v>
      </c>
      <c r="M1730">
        <v>120</v>
      </c>
    </row>
    <row r="1731" spans="2:13" x14ac:dyDescent="0.25">
      <c r="B1731" s="50" t="s">
        <v>3490</v>
      </c>
      <c r="C1731">
        <v>14</v>
      </c>
      <c r="D1731">
        <v>14</v>
      </c>
      <c r="E1731">
        <v>2.8</v>
      </c>
      <c r="F1731" s="16">
        <v>2.8</v>
      </c>
      <c r="G1731">
        <v>0</v>
      </c>
      <c r="H1731">
        <v>0</v>
      </c>
      <c r="I1731" t="s">
        <v>1229</v>
      </c>
      <c r="J1731" t="s">
        <v>910</v>
      </c>
      <c r="K1731">
        <v>550</v>
      </c>
      <c r="L1731">
        <v>86.5</v>
      </c>
      <c r="M1731">
        <v>100</v>
      </c>
    </row>
    <row r="1732" spans="2:13" x14ac:dyDescent="0.25">
      <c r="B1732" s="50" t="s">
        <v>3489</v>
      </c>
      <c r="C1732">
        <v>14</v>
      </c>
      <c r="D1732">
        <v>14</v>
      </c>
      <c r="E1732">
        <v>2.8</v>
      </c>
      <c r="F1732" s="16">
        <v>2.8</v>
      </c>
      <c r="G1732">
        <v>0</v>
      </c>
      <c r="H1732">
        <v>0</v>
      </c>
      <c r="I1732" t="s">
        <v>1298</v>
      </c>
      <c r="J1732" t="s">
        <v>910</v>
      </c>
      <c r="K1732">
        <v>550</v>
      </c>
      <c r="L1732">
        <v>87</v>
      </c>
      <c r="M1732">
        <v>96.1</v>
      </c>
    </row>
    <row r="1733" spans="2:13" x14ac:dyDescent="0.25">
      <c r="B1733" s="50" t="s">
        <v>3488</v>
      </c>
      <c r="C1733">
        <v>14</v>
      </c>
      <c r="D1733">
        <v>14</v>
      </c>
      <c r="E1733">
        <v>2.8</v>
      </c>
      <c r="F1733" s="16">
        <v>2.8</v>
      </c>
      <c r="G1733">
        <v>0</v>
      </c>
      <c r="H1733">
        <v>0</v>
      </c>
      <c r="I1733" t="s">
        <v>1228</v>
      </c>
      <c r="J1733" t="s">
        <v>1228</v>
      </c>
      <c r="K1733">
        <v>550</v>
      </c>
      <c r="L1733">
        <v>86.5</v>
      </c>
      <c r="M1733">
        <v>100</v>
      </c>
    </row>
    <row r="1734" spans="2:13" x14ac:dyDescent="0.25">
      <c r="B1734" s="50" t="s">
        <v>3068</v>
      </c>
      <c r="C1734">
        <v>14</v>
      </c>
      <c r="D1734">
        <v>14</v>
      </c>
      <c r="E1734">
        <v>2.8</v>
      </c>
      <c r="F1734" s="16">
        <v>2.8</v>
      </c>
      <c r="G1734">
        <v>0</v>
      </c>
      <c r="H1734">
        <v>0</v>
      </c>
      <c r="I1734" t="s">
        <v>1227</v>
      </c>
      <c r="J1734" t="s">
        <v>1228</v>
      </c>
      <c r="K1734">
        <v>560</v>
      </c>
      <c r="L1734">
        <v>86.5</v>
      </c>
      <c r="M1734">
        <v>101.4</v>
      </c>
    </row>
    <row r="1735" spans="2:13" x14ac:dyDescent="0.25">
      <c r="B1735" s="50" t="s">
        <v>3067</v>
      </c>
      <c r="C1735">
        <v>14</v>
      </c>
      <c r="D1735">
        <v>14</v>
      </c>
      <c r="E1735">
        <v>2.8</v>
      </c>
      <c r="F1735" s="16">
        <v>2.8</v>
      </c>
      <c r="G1735">
        <v>0</v>
      </c>
      <c r="H1735">
        <v>0</v>
      </c>
      <c r="I1735" t="s">
        <v>8</v>
      </c>
      <c r="J1735" t="s">
        <v>910</v>
      </c>
      <c r="K1735">
        <v>550</v>
      </c>
      <c r="L1735">
        <v>86.5</v>
      </c>
      <c r="M1735">
        <v>100</v>
      </c>
    </row>
    <row r="1736" spans="2:13" x14ac:dyDescent="0.25">
      <c r="B1736" s="50" t="s">
        <v>3487</v>
      </c>
      <c r="C1736">
        <v>14</v>
      </c>
      <c r="D1736">
        <v>14</v>
      </c>
      <c r="E1736">
        <v>2.8</v>
      </c>
      <c r="F1736" s="16">
        <v>2.8</v>
      </c>
      <c r="G1736">
        <v>0</v>
      </c>
      <c r="H1736">
        <v>0</v>
      </c>
      <c r="I1736" t="s">
        <v>1331</v>
      </c>
      <c r="J1736" t="s">
        <v>910</v>
      </c>
      <c r="K1736">
        <v>550</v>
      </c>
      <c r="L1736">
        <v>86.5</v>
      </c>
      <c r="M1736">
        <v>100</v>
      </c>
    </row>
    <row r="1737" spans="2:13" x14ac:dyDescent="0.25">
      <c r="B1737" s="50" t="s">
        <v>3486</v>
      </c>
      <c r="C1737">
        <v>14</v>
      </c>
      <c r="D1737">
        <v>14</v>
      </c>
      <c r="E1737">
        <v>2.8</v>
      </c>
      <c r="F1737" s="16">
        <v>2.8</v>
      </c>
      <c r="G1737">
        <v>0</v>
      </c>
      <c r="H1737">
        <v>0</v>
      </c>
      <c r="I1737" t="s">
        <v>1333</v>
      </c>
      <c r="J1737" t="s">
        <v>900</v>
      </c>
      <c r="K1737">
        <v>550</v>
      </c>
      <c r="L1737">
        <v>86.5</v>
      </c>
      <c r="M1737">
        <v>100</v>
      </c>
    </row>
    <row r="1738" spans="2:13" x14ac:dyDescent="0.25">
      <c r="B1738" s="50" t="s">
        <v>3066</v>
      </c>
      <c r="C1738">
        <v>14</v>
      </c>
      <c r="D1738">
        <v>14</v>
      </c>
      <c r="E1738">
        <v>2.8</v>
      </c>
      <c r="F1738" s="16">
        <v>2.8</v>
      </c>
      <c r="G1738">
        <v>0</v>
      </c>
      <c r="H1738">
        <v>0</v>
      </c>
      <c r="I1738" t="s">
        <v>1293</v>
      </c>
      <c r="J1738" t="s">
        <v>900</v>
      </c>
      <c r="K1738">
        <v>550</v>
      </c>
      <c r="L1738">
        <v>86.5</v>
      </c>
      <c r="M1738">
        <v>100</v>
      </c>
    </row>
    <row r="1739" spans="2:13" x14ac:dyDescent="0.25">
      <c r="B1739" s="50" t="s">
        <v>2877</v>
      </c>
      <c r="C1739">
        <v>14</v>
      </c>
      <c r="D1739">
        <v>14</v>
      </c>
      <c r="E1739">
        <v>2.8</v>
      </c>
      <c r="F1739" s="16">
        <v>2.8</v>
      </c>
      <c r="G1739">
        <v>0</v>
      </c>
      <c r="H1739">
        <v>0</v>
      </c>
      <c r="I1739" t="s">
        <v>1221</v>
      </c>
      <c r="J1739" t="s">
        <v>910</v>
      </c>
      <c r="K1739">
        <v>550</v>
      </c>
      <c r="L1739">
        <v>87</v>
      </c>
      <c r="M1739">
        <v>96.1</v>
      </c>
    </row>
    <row r="1740" spans="2:13" x14ac:dyDescent="0.25">
      <c r="B1740" s="50" t="s">
        <v>3485</v>
      </c>
      <c r="C1740">
        <v>14</v>
      </c>
      <c r="D1740">
        <v>14</v>
      </c>
      <c r="E1740">
        <v>3.1</v>
      </c>
      <c r="F1740" s="16">
        <v>3.1</v>
      </c>
      <c r="G1740">
        <v>0</v>
      </c>
      <c r="H1740">
        <v>0</v>
      </c>
      <c r="I1740" t="s">
        <v>1298</v>
      </c>
      <c r="J1740" t="s">
        <v>900</v>
      </c>
      <c r="K1740">
        <v>690</v>
      </c>
      <c r="L1740">
        <v>87</v>
      </c>
      <c r="M1740">
        <v>122</v>
      </c>
    </row>
    <row r="1741" spans="2:13" x14ac:dyDescent="0.25">
      <c r="B1741" s="50" t="s">
        <v>3484</v>
      </c>
      <c r="C1741">
        <v>14</v>
      </c>
      <c r="D1741">
        <v>14</v>
      </c>
      <c r="E1741">
        <v>3.1</v>
      </c>
      <c r="F1741" s="16">
        <v>3.1</v>
      </c>
      <c r="G1741">
        <v>0</v>
      </c>
      <c r="H1741">
        <v>0</v>
      </c>
      <c r="I1741" t="s">
        <v>1229</v>
      </c>
      <c r="J1741" t="s">
        <v>910</v>
      </c>
      <c r="K1741">
        <v>620</v>
      </c>
      <c r="L1741">
        <v>87</v>
      </c>
      <c r="M1741">
        <v>96.1</v>
      </c>
    </row>
    <row r="1742" spans="2:13" x14ac:dyDescent="0.25">
      <c r="B1742" s="50" t="s">
        <v>3483</v>
      </c>
      <c r="C1742">
        <v>14</v>
      </c>
      <c r="D1742">
        <v>14</v>
      </c>
      <c r="E1742">
        <v>3.1</v>
      </c>
      <c r="F1742" s="16">
        <v>3.1</v>
      </c>
      <c r="G1742">
        <v>0</v>
      </c>
      <c r="H1742">
        <v>0</v>
      </c>
      <c r="I1742" t="s">
        <v>1228</v>
      </c>
      <c r="J1742" t="s">
        <v>1228</v>
      </c>
      <c r="K1742">
        <v>638</v>
      </c>
      <c r="L1742">
        <v>87</v>
      </c>
      <c r="M1742">
        <v>101.4</v>
      </c>
    </row>
    <row r="1743" spans="2:13" x14ac:dyDescent="0.25">
      <c r="B1743" s="50" t="s">
        <v>3482</v>
      </c>
      <c r="C1743">
        <v>14</v>
      </c>
      <c r="D1743">
        <v>14</v>
      </c>
      <c r="E1743">
        <v>3.1</v>
      </c>
      <c r="F1743" s="16">
        <v>3.1</v>
      </c>
      <c r="G1743">
        <v>0</v>
      </c>
      <c r="H1743">
        <v>0</v>
      </c>
      <c r="I1743" t="s">
        <v>1286</v>
      </c>
      <c r="J1743" t="s">
        <v>910</v>
      </c>
      <c r="K1743">
        <v>620</v>
      </c>
      <c r="L1743">
        <v>87</v>
      </c>
      <c r="M1743">
        <v>96.1</v>
      </c>
    </row>
    <row r="1744" spans="2:13" x14ac:dyDescent="0.25">
      <c r="B1744" s="50" t="s">
        <v>3481</v>
      </c>
      <c r="C1744">
        <v>14</v>
      </c>
      <c r="D1744">
        <v>14</v>
      </c>
      <c r="E1744">
        <v>3.1</v>
      </c>
      <c r="F1744" s="16">
        <v>3.1</v>
      </c>
      <c r="G1744">
        <v>0</v>
      </c>
      <c r="H1744">
        <v>0</v>
      </c>
      <c r="I1744" t="s">
        <v>1227</v>
      </c>
      <c r="J1744" t="s">
        <v>1228</v>
      </c>
      <c r="K1744">
        <v>638</v>
      </c>
      <c r="L1744">
        <v>87</v>
      </c>
      <c r="M1744">
        <v>101.4</v>
      </c>
    </row>
    <row r="1745" spans="2:13" x14ac:dyDescent="0.25">
      <c r="B1745" s="50" t="s">
        <v>3480</v>
      </c>
      <c r="C1745">
        <v>14</v>
      </c>
      <c r="D1745">
        <v>14</v>
      </c>
      <c r="E1745">
        <v>3.1</v>
      </c>
      <c r="F1745" s="16">
        <v>3.1</v>
      </c>
      <c r="G1745">
        <v>0</v>
      </c>
      <c r="H1745">
        <v>0</v>
      </c>
      <c r="I1745" t="s">
        <v>1314</v>
      </c>
      <c r="J1745" t="s">
        <v>910</v>
      </c>
      <c r="K1745">
        <v>605</v>
      </c>
      <c r="L1745">
        <v>87</v>
      </c>
      <c r="M1745">
        <v>93.6</v>
      </c>
    </row>
    <row r="1746" spans="2:13" x14ac:dyDescent="0.25">
      <c r="B1746" s="50" t="s">
        <v>3065</v>
      </c>
      <c r="C1746">
        <v>14</v>
      </c>
      <c r="D1746">
        <v>14</v>
      </c>
      <c r="E1746">
        <v>3.1</v>
      </c>
      <c r="F1746" s="16">
        <v>3.1</v>
      </c>
      <c r="G1746">
        <v>0</v>
      </c>
      <c r="H1746">
        <v>0</v>
      </c>
      <c r="I1746" t="s">
        <v>8</v>
      </c>
      <c r="J1746" t="s">
        <v>910</v>
      </c>
      <c r="K1746">
        <v>605</v>
      </c>
      <c r="L1746">
        <v>87</v>
      </c>
      <c r="M1746">
        <v>93.6</v>
      </c>
    </row>
    <row r="1747" spans="2:13" x14ac:dyDescent="0.25">
      <c r="B1747" s="50" t="s">
        <v>3477</v>
      </c>
      <c r="C1747">
        <v>14</v>
      </c>
      <c r="D1747">
        <v>14</v>
      </c>
      <c r="E1747">
        <v>3.1</v>
      </c>
      <c r="F1747" s="16">
        <v>3.1</v>
      </c>
      <c r="G1747">
        <v>0</v>
      </c>
      <c r="H1747">
        <v>0</v>
      </c>
      <c r="I1747" t="s">
        <v>1333</v>
      </c>
      <c r="J1747" t="s">
        <v>900</v>
      </c>
      <c r="K1747">
        <v>624</v>
      </c>
      <c r="L1747">
        <v>87</v>
      </c>
      <c r="M1747">
        <v>114.6</v>
      </c>
    </row>
    <row r="1748" spans="2:13" x14ac:dyDescent="0.25">
      <c r="B1748" s="50" t="s">
        <v>3476</v>
      </c>
      <c r="C1748">
        <v>14</v>
      </c>
      <c r="D1748">
        <v>14</v>
      </c>
      <c r="E1748">
        <v>3.1</v>
      </c>
      <c r="F1748" s="16">
        <v>3.1</v>
      </c>
      <c r="G1748">
        <v>0</v>
      </c>
      <c r="H1748">
        <v>0</v>
      </c>
      <c r="I1748" t="s">
        <v>1293</v>
      </c>
      <c r="J1748" t="s">
        <v>900</v>
      </c>
      <c r="K1748">
        <v>614</v>
      </c>
      <c r="L1748">
        <v>87</v>
      </c>
      <c r="M1748">
        <v>95.6</v>
      </c>
    </row>
    <row r="1749" spans="2:13" x14ac:dyDescent="0.25">
      <c r="B1749" s="50" t="s">
        <v>3475</v>
      </c>
      <c r="C1749">
        <v>14</v>
      </c>
      <c r="D1749">
        <v>14</v>
      </c>
      <c r="E1749">
        <v>3.1</v>
      </c>
      <c r="F1749" s="16">
        <v>3.1</v>
      </c>
      <c r="G1749">
        <v>0</v>
      </c>
      <c r="H1749">
        <v>0</v>
      </c>
      <c r="I1749" t="s">
        <v>1221</v>
      </c>
      <c r="J1749" t="s">
        <v>910</v>
      </c>
      <c r="K1749">
        <v>643</v>
      </c>
      <c r="L1749">
        <v>87</v>
      </c>
      <c r="M1749">
        <v>122.1</v>
      </c>
    </row>
    <row r="1750" spans="2:13" x14ac:dyDescent="0.25">
      <c r="B1750" s="50" t="s">
        <v>3715</v>
      </c>
      <c r="C1750">
        <v>16</v>
      </c>
      <c r="D1750">
        <v>16</v>
      </c>
      <c r="E1750">
        <v>2</v>
      </c>
      <c r="F1750" s="16">
        <v>2</v>
      </c>
      <c r="G1750">
        <v>77</v>
      </c>
      <c r="H1750">
        <v>0</v>
      </c>
      <c r="I1750" t="s">
        <v>1229</v>
      </c>
      <c r="J1750" t="s">
        <v>900</v>
      </c>
      <c r="K1750">
        <v>583</v>
      </c>
      <c r="L1750">
        <v>83</v>
      </c>
      <c r="M1750">
        <v>89</v>
      </c>
    </row>
    <row r="1751" spans="2:13" x14ac:dyDescent="0.25">
      <c r="B1751" s="50" t="s">
        <v>3714</v>
      </c>
      <c r="C1751">
        <v>16</v>
      </c>
      <c r="D1751">
        <v>16</v>
      </c>
      <c r="E1751">
        <v>2</v>
      </c>
      <c r="F1751" s="16">
        <v>2</v>
      </c>
      <c r="G1751">
        <v>77</v>
      </c>
      <c r="H1751">
        <v>0</v>
      </c>
      <c r="I1751" t="s">
        <v>1286</v>
      </c>
      <c r="J1751" t="s">
        <v>900</v>
      </c>
      <c r="K1751">
        <v>615</v>
      </c>
      <c r="L1751">
        <v>83</v>
      </c>
      <c r="M1751">
        <v>116</v>
      </c>
    </row>
    <row r="1752" spans="2:13" x14ac:dyDescent="0.25">
      <c r="B1752" s="50" t="s">
        <v>3713</v>
      </c>
      <c r="C1752">
        <v>16</v>
      </c>
      <c r="D1752">
        <v>16</v>
      </c>
      <c r="E1752">
        <v>2</v>
      </c>
      <c r="F1752" s="16">
        <v>2</v>
      </c>
      <c r="G1752">
        <v>77</v>
      </c>
      <c r="H1752">
        <v>0</v>
      </c>
      <c r="I1752" t="s">
        <v>1227</v>
      </c>
      <c r="J1752" t="s">
        <v>1228</v>
      </c>
      <c r="K1752">
        <v>610</v>
      </c>
      <c r="L1752">
        <v>83</v>
      </c>
      <c r="M1752">
        <v>114</v>
      </c>
    </row>
    <row r="1753" spans="2:13" x14ac:dyDescent="0.25">
      <c r="B1753" s="50" t="s">
        <v>3712</v>
      </c>
      <c r="C1753">
        <v>16</v>
      </c>
      <c r="D1753">
        <v>16</v>
      </c>
      <c r="E1753">
        <v>2</v>
      </c>
      <c r="F1753" s="16">
        <v>2</v>
      </c>
      <c r="G1753">
        <v>77</v>
      </c>
      <c r="H1753">
        <v>0</v>
      </c>
      <c r="I1753" t="s">
        <v>8</v>
      </c>
      <c r="J1753" t="s">
        <v>900</v>
      </c>
      <c r="K1753">
        <v>571</v>
      </c>
      <c r="L1753">
        <v>83</v>
      </c>
      <c r="M1753">
        <v>87</v>
      </c>
    </row>
    <row r="1754" spans="2:13" x14ac:dyDescent="0.25">
      <c r="B1754" s="50" t="s">
        <v>3710</v>
      </c>
      <c r="C1754">
        <v>16</v>
      </c>
      <c r="D1754">
        <v>16</v>
      </c>
      <c r="E1754">
        <v>2</v>
      </c>
      <c r="F1754" s="16">
        <v>2</v>
      </c>
      <c r="G1754">
        <v>77</v>
      </c>
      <c r="H1754">
        <v>0</v>
      </c>
      <c r="I1754" t="s">
        <v>1331</v>
      </c>
      <c r="J1754" t="s">
        <v>900</v>
      </c>
      <c r="K1754">
        <v>574</v>
      </c>
      <c r="L1754">
        <v>83</v>
      </c>
      <c r="M1754">
        <v>88</v>
      </c>
    </row>
    <row r="1755" spans="2:13" x14ac:dyDescent="0.25">
      <c r="B1755" s="50" t="s">
        <v>3709</v>
      </c>
      <c r="C1755">
        <v>16</v>
      </c>
      <c r="D1755">
        <v>16</v>
      </c>
      <c r="E1755">
        <v>2</v>
      </c>
      <c r="F1755" s="16">
        <v>2</v>
      </c>
      <c r="G1755">
        <v>77</v>
      </c>
      <c r="H1755">
        <v>0</v>
      </c>
      <c r="I1755" t="s">
        <v>1333</v>
      </c>
      <c r="J1755" t="s">
        <v>900</v>
      </c>
      <c r="K1755">
        <v>605</v>
      </c>
      <c r="L1755">
        <v>83</v>
      </c>
      <c r="M1755">
        <v>108</v>
      </c>
    </row>
    <row r="1756" spans="2:13" x14ac:dyDescent="0.25">
      <c r="B1756" s="50" t="s">
        <v>3708</v>
      </c>
      <c r="C1756">
        <v>16</v>
      </c>
      <c r="D1756">
        <v>16</v>
      </c>
      <c r="E1756">
        <v>2</v>
      </c>
      <c r="F1756" s="16">
        <v>2</v>
      </c>
      <c r="G1756">
        <v>77</v>
      </c>
      <c r="H1756">
        <v>0</v>
      </c>
      <c r="I1756" t="s">
        <v>1221</v>
      </c>
      <c r="J1756" t="s">
        <v>900</v>
      </c>
      <c r="K1756">
        <v>575</v>
      </c>
      <c r="L1756">
        <v>83</v>
      </c>
      <c r="M1756">
        <v>89</v>
      </c>
    </row>
    <row r="1757" spans="2:13" x14ac:dyDescent="0.25">
      <c r="B1757" s="50" t="s">
        <v>3707</v>
      </c>
      <c r="C1757">
        <v>16</v>
      </c>
      <c r="D1757">
        <v>16</v>
      </c>
      <c r="E1757">
        <v>2.2000000000000002</v>
      </c>
      <c r="F1757" s="16">
        <v>2.2000000000000002</v>
      </c>
      <c r="G1757">
        <v>77</v>
      </c>
      <c r="H1757">
        <v>0</v>
      </c>
      <c r="I1757" t="s">
        <v>1229</v>
      </c>
      <c r="J1757" t="s">
        <v>900</v>
      </c>
      <c r="K1757">
        <v>590</v>
      </c>
      <c r="L1757">
        <v>83</v>
      </c>
      <c r="M1757">
        <v>89.4</v>
      </c>
    </row>
    <row r="1758" spans="2:13" x14ac:dyDescent="0.25">
      <c r="B1758" s="50" t="s">
        <v>3705</v>
      </c>
      <c r="C1758">
        <v>16</v>
      </c>
      <c r="D1758">
        <v>16</v>
      </c>
      <c r="E1758">
        <v>2.2000000000000002</v>
      </c>
      <c r="F1758" s="16">
        <v>2.2000000000000002</v>
      </c>
      <c r="G1758">
        <v>77</v>
      </c>
      <c r="H1758">
        <v>0</v>
      </c>
      <c r="I1758" t="s">
        <v>1298</v>
      </c>
      <c r="J1758" t="s">
        <v>900</v>
      </c>
      <c r="K1758">
        <v>620</v>
      </c>
      <c r="L1758">
        <v>83</v>
      </c>
      <c r="M1758">
        <v>115.3</v>
      </c>
    </row>
    <row r="1759" spans="2:13" x14ac:dyDescent="0.25">
      <c r="B1759" s="50" t="s">
        <v>3704</v>
      </c>
      <c r="C1759">
        <v>16</v>
      </c>
      <c r="D1759">
        <v>16</v>
      </c>
      <c r="E1759">
        <v>2.2000000000000002</v>
      </c>
      <c r="F1759" s="16">
        <v>2.2000000000000002</v>
      </c>
      <c r="G1759">
        <v>77</v>
      </c>
      <c r="H1759">
        <v>0</v>
      </c>
      <c r="I1759" t="s">
        <v>1228</v>
      </c>
      <c r="J1759" t="s">
        <v>900</v>
      </c>
      <c r="K1759">
        <v>610</v>
      </c>
      <c r="L1759">
        <v>83</v>
      </c>
      <c r="M1759">
        <v>94.7</v>
      </c>
    </row>
    <row r="1760" spans="2:13" x14ac:dyDescent="0.25">
      <c r="B1760" s="50" t="s">
        <v>3703</v>
      </c>
      <c r="C1760">
        <v>16</v>
      </c>
      <c r="D1760">
        <v>16</v>
      </c>
      <c r="E1760">
        <v>2.2000000000000002</v>
      </c>
      <c r="F1760" s="16">
        <v>2.2000000000000002</v>
      </c>
      <c r="G1760">
        <v>77</v>
      </c>
      <c r="H1760">
        <v>0</v>
      </c>
      <c r="I1760" t="s">
        <v>1286</v>
      </c>
      <c r="J1760" t="s">
        <v>900</v>
      </c>
      <c r="K1760">
        <v>625</v>
      </c>
      <c r="L1760">
        <v>83</v>
      </c>
      <c r="M1760">
        <v>115.7</v>
      </c>
    </row>
    <row r="1761" spans="2:13" x14ac:dyDescent="0.25">
      <c r="B1761" s="50" t="s">
        <v>3702</v>
      </c>
      <c r="C1761">
        <v>16</v>
      </c>
      <c r="D1761">
        <v>16</v>
      </c>
      <c r="E1761">
        <v>2.2000000000000002</v>
      </c>
      <c r="F1761" s="16">
        <v>2.2000000000000002</v>
      </c>
      <c r="G1761">
        <v>77</v>
      </c>
      <c r="H1761">
        <v>0</v>
      </c>
      <c r="I1761" t="s">
        <v>1227</v>
      </c>
      <c r="J1761" t="s">
        <v>1228</v>
      </c>
      <c r="K1761">
        <v>620</v>
      </c>
      <c r="L1761">
        <v>83</v>
      </c>
      <c r="M1761">
        <v>114.2</v>
      </c>
    </row>
    <row r="1762" spans="2:13" x14ac:dyDescent="0.25">
      <c r="B1762" s="50" t="s">
        <v>3701</v>
      </c>
      <c r="C1762">
        <v>16</v>
      </c>
      <c r="D1762">
        <v>16</v>
      </c>
      <c r="E1762">
        <v>2.2000000000000002</v>
      </c>
      <c r="F1762" s="16">
        <v>2.2000000000000002</v>
      </c>
      <c r="G1762">
        <v>77</v>
      </c>
      <c r="H1762">
        <v>0</v>
      </c>
      <c r="I1762" t="s">
        <v>8</v>
      </c>
      <c r="J1762" t="s">
        <v>900</v>
      </c>
      <c r="K1762">
        <v>580</v>
      </c>
      <c r="L1762">
        <v>83</v>
      </c>
      <c r="M1762">
        <v>86.9</v>
      </c>
    </row>
    <row r="1763" spans="2:13" x14ac:dyDescent="0.25">
      <c r="B1763" s="50" t="s">
        <v>3700</v>
      </c>
      <c r="C1763">
        <v>16</v>
      </c>
      <c r="D1763">
        <v>16</v>
      </c>
      <c r="E1763">
        <v>2.2000000000000002</v>
      </c>
      <c r="F1763" s="16">
        <v>2.2000000000000002</v>
      </c>
      <c r="G1763">
        <v>77</v>
      </c>
      <c r="H1763">
        <v>0</v>
      </c>
      <c r="I1763" t="s">
        <v>1331</v>
      </c>
      <c r="J1763" t="s">
        <v>900</v>
      </c>
      <c r="K1763">
        <v>580</v>
      </c>
      <c r="L1763">
        <v>83</v>
      </c>
      <c r="M1763">
        <v>87.9</v>
      </c>
    </row>
    <row r="1764" spans="2:13" x14ac:dyDescent="0.25">
      <c r="B1764" s="50" t="s">
        <v>3509</v>
      </c>
      <c r="C1764">
        <v>16</v>
      </c>
      <c r="D1764">
        <v>16</v>
      </c>
      <c r="E1764">
        <v>2.2000000000000002</v>
      </c>
      <c r="F1764" s="16">
        <v>2.2000000000000002</v>
      </c>
      <c r="G1764">
        <v>77</v>
      </c>
      <c r="H1764">
        <v>0</v>
      </c>
      <c r="I1764" t="s">
        <v>1333</v>
      </c>
      <c r="J1764" t="s">
        <v>900</v>
      </c>
      <c r="K1764">
        <v>615</v>
      </c>
      <c r="L1764">
        <v>83</v>
      </c>
      <c r="M1764">
        <v>107.9</v>
      </c>
    </row>
    <row r="1765" spans="2:13" x14ac:dyDescent="0.25">
      <c r="B1765" s="50" t="s">
        <v>3508</v>
      </c>
      <c r="C1765">
        <v>16</v>
      </c>
      <c r="D1765">
        <v>16</v>
      </c>
      <c r="E1765">
        <v>2.2000000000000002</v>
      </c>
      <c r="F1765" s="16">
        <v>2.2000000000000002</v>
      </c>
      <c r="G1765">
        <v>77</v>
      </c>
      <c r="H1765">
        <v>0</v>
      </c>
      <c r="I1765" t="s">
        <v>1293</v>
      </c>
      <c r="J1765" t="s">
        <v>900</v>
      </c>
      <c r="K1765">
        <v>585</v>
      </c>
      <c r="L1765">
        <v>83</v>
      </c>
      <c r="M1765">
        <v>88.9</v>
      </c>
    </row>
    <row r="1766" spans="2:13" x14ac:dyDescent="0.25">
      <c r="B1766" s="50" t="s">
        <v>3507</v>
      </c>
      <c r="C1766">
        <v>16</v>
      </c>
      <c r="D1766">
        <v>16</v>
      </c>
      <c r="E1766">
        <v>2.2000000000000002</v>
      </c>
      <c r="F1766" s="16">
        <v>2.2000000000000002</v>
      </c>
      <c r="G1766">
        <v>77</v>
      </c>
      <c r="H1766">
        <v>0</v>
      </c>
      <c r="I1766" t="s">
        <v>1221</v>
      </c>
      <c r="J1766" t="s">
        <v>900</v>
      </c>
      <c r="K1766">
        <v>620</v>
      </c>
      <c r="L1766">
        <v>83</v>
      </c>
      <c r="M1766">
        <v>115.4</v>
      </c>
    </row>
    <row r="1767" spans="2:13" x14ac:dyDescent="0.25">
      <c r="B1767" s="50" t="s">
        <v>3506</v>
      </c>
      <c r="C1767">
        <v>24</v>
      </c>
      <c r="D1767">
        <v>24</v>
      </c>
      <c r="E1767">
        <v>1.4</v>
      </c>
      <c r="F1767" s="16">
        <v>1.4</v>
      </c>
      <c r="G1767">
        <v>77</v>
      </c>
      <c r="H1767">
        <v>0</v>
      </c>
      <c r="I1767" t="s">
        <v>1298</v>
      </c>
      <c r="J1767" t="s">
        <v>910</v>
      </c>
      <c r="K1767">
        <v>590</v>
      </c>
      <c r="L1767">
        <v>83</v>
      </c>
      <c r="M1767">
        <v>123.4</v>
      </c>
    </row>
    <row r="1768" spans="2:13" x14ac:dyDescent="0.25">
      <c r="B1768" s="50" t="s">
        <v>3505</v>
      </c>
      <c r="C1768">
        <v>24</v>
      </c>
      <c r="D1768">
        <v>24</v>
      </c>
      <c r="E1768">
        <v>1.4</v>
      </c>
      <c r="F1768" s="16">
        <v>1.4</v>
      </c>
      <c r="G1768">
        <v>77</v>
      </c>
      <c r="H1768">
        <v>0</v>
      </c>
      <c r="I1768" t="s">
        <v>1286</v>
      </c>
      <c r="J1768" t="s">
        <v>910</v>
      </c>
      <c r="K1768">
        <v>630</v>
      </c>
      <c r="L1768">
        <v>83</v>
      </c>
      <c r="M1768">
        <v>123.8</v>
      </c>
    </row>
    <row r="1769" spans="2:13" x14ac:dyDescent="0.25">
      <c r="B1769" s="50" t="s">
        <v>3504</v>
      </c>
      <c r="C1769">
        <v>24</v>
      </c>
      <c r="D1769">
        <v>24</v>
      </c>
      <c r="E1769">
        <v>1.4</v>
      </c>
      <c r="F1769" s="16">
        <v>1.4</v>
      </c>
      <c r="G1769">
        <v>77</v>
      </c>
      <c r="H1769">
        <v>0</v>
      </c>
      <c r="I1769" t="s">
        <v>1229</v>
      </c>
      <c r="J1769" t="s">
        <v>910</v>
      </c>
      <c r="K1769">
        <v>610</v>
      </c>
      <c r="L1769">
        <v>83</v>
      </c>
      <c r="M1769">
        <v>97.5</v>
      </c>
    </row>
    <row r="1770" spans="2:13" x14ac:dyDescent="0.25">
      <c r="B1770" s="50" t="s">
        <v>3503</v>
      </c>
      <c r="C1770">
        <v>24</v>
      </c>
      <c r="D1770">
        <v>24</v>
      </c>
      <c r="E1770">
        <v>1.4</v>
      </c>
      <c r="F1770" s="16">
        <v>1.4</v>
      </c>
      <c r="G1770">
        <v>77</v>
      </c>
      <c r="H1770">
        <v>0</v>
      </c>
      <c r="I1770" t="s">
        <v>1228</v>
      </c>
      <c r="J1770" t="s">
        <v>1228</v>
      </c>
      <c r="K1770">
        <v>624</v>
      </c>
      <c r="L1770">
        <v>83</v>
      </c>
      <c r="M1770">
        <v>103</v>
      </c>
    </row>
    <row r="1771" spans="2:13" x14ac:dyDescent="0.25">
      <c r="B1771" s="50" t="s">
        <v>3502</v>
      </c>
      <c r="C1771">
        <v>24</v>
      </c>
      <c r="D1771">
        <v>24</v>
      </c>
      <c r="E1771">
        <v>1.4</v>
      </c>
      <c r="F1771" s="16">
        <v>1.4</v>
      </c>
      <c r="G1771">
        <v>77</v>
      </c>
      <c r="H1771">
        <v>0</v>
      </c>
      <c r="I1771" t="s">
        <v>1227</v>
      </c>
      <c r="J1771" t="s">
        <v>1228</v>
      </c>
      <c r="K1771">
        <v>610</v>
      </c>
      <c r="L1771">
        <v>83</v>
      </c>
      <c r="M1771">
        <v>103</v>
      </c>
    </row>
    <row r="1772" spans="2:13" x14ac:dyDescent="0.25">
      <c r="B1772" s="50" t="s">
        <v>3501</v>
      </c>
      <c r="C1772">
        <v>24</v>
      </c>
      <c r="D1772">
        <v>24</v>
      </c>
      <c r="E1772">
        <v>1.4</v>
      </c>
      <c r="F1772" s="16">
        <v>1.4</v>
      </c>
      <c r="G1772">
        <v>77</v>
      </c>
      <c r="H1772">
        <v>0</v>
      </c>
      <c r="I1772" t="s">
        <v>1314</v>
      </c>
      <c r="J1772" t="s">
        <v>910</v>
      </c>
      <c r="K1772">
        <v>610</v>
      </c>
      <c r="L1772">
        <v>83</v>
      </c>
      <c r="M1772">
        <v>95</v>
      </c>
    </row>
    <row r="1773" spans="2:13" x14ac:dyDescent="0.25">
      <c r="B1773" s="50" t="s">
        <v>3500</v>
      </c>
      <c r="C1773">
        <v>24</v>
      </c>
      <c r="D1773">
        <v>24</v>
      </c>
      <c r="E1773">
        <v>1.4</v>
      </c>
      <c r="F1773" s="16">
        <v>1.4</v>
      </c>
      <c r="G1773">
        <v>77</v>
      </c>
      <c r="H1773">
        <v>0</v>
      </c>
      <c r="I1773" t="s">
        <v>8</v>
      </c>
      <c r="J1773" t="s">
        <v>910</v>
      </c>
      <c r="K1773">
        <v>610</v>
      </c>
      <c r="L1773">
        <v>83</v>
      </c>
      <c r="M1773">
        <v>95</v>
      </c>
    </row>
    <row r="1774" spans="2:13" x14ac:dyDescent="0.25">
      <c r="B1774" s="50" t="s">
        <v>3499</v>
      </c>
      <c r="C1774">
        <v>24</v>
      </c>
      <c r="D1774">
        <v>24</v>
      </c>
      <c r="E1774">
        <v>1.4</v>
      </c>
      <c r="F1774" s="16">
        <v>1.4</v>
      </c>
      <c r="G1774">
        <v>77</v>
      </c>
      <c r="H1774">
        <v>0</v>
      </c>
      <c r="I1774" t="s">
        <v>1331</v>
      </c>
      <c r="J1774" t="s">
        <v>910</v>
      </c>
      <c r="K1774">
        <v>614</v>
      </c>
      <c r="L1774">
        <v>83</v>
      </c>
      <c r="M1774">
        <v>96</v>
      </c>
    </row>
    <row r="1775" spans="2:13" x14ac:dyDescent="0.25">
      <c r="B1775" s="50" t="s">
        <v>3498</v>
      </c>
      <c r="C1775">
        <v>24</v>
      </c>
      <c r="D1775">
        <v>24</v>
      </c>
      <c r="E1775">
        <v>1.4</v>
      </c>
      <c r="F1775" s="16">
        <v>1.4</v>
      </c>
      <c r="G1775">
        <v>77</v>
      </c>
      <c r="H1775">
        <v>0</v>
      </c>
      <c r="I1775" t="s">
        <v>1333</v>
      </c>
      <c r="J1775" t="s">
        <v>900</v>
      </c>
      <c r="K1775">
        <v>630</v>
      </c>
      <c r="L1775">
        <v>83</v>
      </c>
      <c r="M1775">
        <v>116</v>
      </c>
    </row>
    <row r="1776" spans="2:13" x14ac:dyDescent="0.25">
      <c r="B1776" s="50" t="s">
        <v>3496</v>
      </c>
      <c r="C1776">
        <v>24</v>
      </c>
      <c r="D1776">
        <v>24</v>
      </c>
      <c r="E1776">
        <v>1.4</v>
      </c>
      <c r="F1776" s="16">
        <v>1.4</v>
      </c>
      <c r="G1776">
        <v>77</v>
      </c>
      <c r="H1776">
        <v>0</v>
      </c>
      <c r="I1776" t="s">
        <v>1293</v>
      </c>
      <c r="J1776" t="s">
        <v>900</v>
      </c>
      <c r="K1776">
        <v>606</v>
      </c>
      <c r="L1776">
        <v>83</v>
      </c>
      <c r="M1776">
        <v>97</v>
      </c>
    </row>
    <row r="1777" spans="2:13" x14ac:dyDescent="0.25">
      <c r="B1777" s="50" t="s">
        <v>3495</v>
      </c>
      <c r="C1777">
        <v>24</v>
      </c>
      <c r="D1777">
        <v>24</v>
      </c>
      <c r="E1777">
        <v>1.4</v>
      </c>
      <c r="F1777" s="16">
        <v>1.4</v>
      </c>
      <c r="G1777">
        <v>77</v>
      </c>
      <c r="H1777">
        <v>0</v>
      </c>
      <c r="I1777" t="s">
        <v>1221</v>
      </c>
      <c r="J1777" t="s">
        <v>900</v>
      </c>
      <c r="K1777">
        <v>610</v>
      </c>
      <c r="L1777">
        <v>83</v>
      </c>
      <c r="M1777">
        <v>97.5</v>
      </c>
    </row>
    <row r="1778" spans="2:13" x14ac:dyDescent="0.25">
      <c r="B1778" s="50" t="s">
        <v>3064</v>
      </c>
      <c r="C1778">
        <v>24</v>
      </c>
      <c r="D1778">
        <v>24</v>
      </c>
      <c r="E1778">
        <v>1.5</v>
      </c>
      <c r="F1778" s="16">
        <v>1.5</v>
      </c>
      <c r="G1778">
        <v>77</v>
      </c>
      <c r="H1778">
        <v>0</v>
      </c>
      <c r="I1778" t="s">
        <v>1298</v>
      </c>
      <c r="J1778" t="s">
        <v>900</v>
      </c>
      <c r="K1778">
        <v>630</v>
      </c>
      <c r="L1778">
        <v>83</v>
      </c>
      <c r="M1778">
        <v>123.4</v>
      </c>
    </row>
    <row r="1779" spans="2:13" x14ac:dyDescent="0.25">
      <c r="B1779" s="50" t="s">
        <v>3494</v>
      </c>
      <c r="C1779">
        <v>24</v>
      </c>
      <c r="D1779">
        <v>24</v>
      </c>
      <c r="E1779">
        <v>1.5</v>
      </c>
      <c r="F1779" s="16">
        <v>1.5</v>
      </c>
      <c r="G1779">
        <v>77</v>
      </c>
      <c r="H1779">
        <v>0</v>
      </c>
      <c r="I1779" t="s">
        <v>1286</v>
      </c>
      <c r="J1779" t="s">
        <v>900</v>
      </c>
      <c r="K1779">
        <v>640</v>
      </c>
      <c r="L1779">
        <v>83</v>
      </c>
      <c r="M1779">
        <v>123.4</v>
      </c>
    </row>
    <row r="1780" spans="2:13" x14ac:dyDescent="0.25">
      <c r="B1780" s="50" t="s">
        <v>3493</v>
      </c>
      <c r="C1780">
        <v>24</v>
      </c>
      <c r="D1780">
        <v>24</v>
      </c>
      <c r="E1780">
        <v>1.5</v>
      </c>
      <c r="F1780" s="16">
        <v>1.5</v>
      </c>
      <c r="G1780">
        <v>77</v>
      </c>
      <c r="H1780">
        <v>0</v>
      </c>
      <c r="I1780" t="s">
        <v>1482</v>
      </c>
      <c r="J1780" t="s">
        <v>900</v>
      </c>
      <c r="K1780">
        <v>615</v>
      </c>
      <c r="L1780">
        <v>83</v>
      </c>
      <c r="M1780">
        <v>97.5</v>
      </c>
    </row>
    <row r="1781" spans="2:13" x14ac:dyDescent="0.25">
      <c r="B1781" s="50" t="s">
        <v>3699</v>
      </c>
      <c r="C1781">
        <v>24</v>
      </c>
      <c r="D1781">
        <v>24</v>
      </c>
      <c r="E1781">
        <v>1.5</v>
      </c>
      <c r="F1781" s="16">
        <v>1.5</v>
      </c>
      <c r="G1781">
        <v>77</v>
      </c>
      <c r="H1781">
        <v>0</v>
      </c>
      <c r="I1781" t="s">
        <v>1229</v>
      </c>
      <c r="J1781" t="s">
        <v>910</v>
      </c>
      <c r="K1781">
        <v>615</v>
      </c>
      <c r="L1781">
        <v>83</v>
      </c>
      <c r="M1781">
        <v>97.5</v>
      </c>
    </row>
    <row r="1782" spans="2:13" x14ac:dyDescent="0.25">
      <c r="B1782" s="50" t="s">
        <v>3698</v>
      </c>
      <c r="C1782">
        <v>24</v>
      </c>
      <c r="D1782">
        <v>24</v>
      </c>
      <c r="E1782">
        <v>1.5</v>
      </c>
      <c r="F1782" s="16">
        <v>1.5</v>
      </c>
      <c r="G1782">
        <v>77</v>
      </c>
      <c r="H1782">
        <v>0</v>
      </c>
      <c r="I1782" t="s">
        <v>1228</v>
      </c>
      <c r="J1782" t="s">
        <v>1228</v>
      </c>
      <c r="K1782">
        <v>633</v>
      </c>
      <c r="L1782">
        <v>83</v>
      </c>
      <c r="M1782">
        <v>102.8</v>
      </c>
    </row>
    <row r="1783" spans="2:13" x14ac:dyDescent="0.25">
      <c r="B1783" s="50" t="s">
        <v>3696</v>
      </c>
      <c r="C1783">
        <v>24</v>
      </c>
      <c r="D1783">
        <v>24</v>
      </c>
      <c r="E1783">
        <v>1.5</v>
      </c>
      <c r="F1783" s="16">
        <v>1.5</v>
      </c>
      <c r="G1783">
        <v>77</v>
      </c>
      <c r="H1783">
        <v>0</v>
      </c>
      <c r="I1783" t="s">
        <v>1227</v>
      </c>
      <c r="J1783" t="s">
        <v>1228</v>
      </c>
      <c r="K1783">
        <v>633</v>
      </c>
      <c r="L1783">
        <v>83</v>
      </c>
      <c r="M1783">
        <v>102.8</v>
      </c>
    </row>
    <row r="1784" spans="2:13" x14ac:dyDescent="0.25">
      <c r="B1784" s="50" t="s">
        <v>3695</v>
      </c>
      <c r="C1784">
        <v>24</v>
      </c>
      <c r="D1784">
        <v>24</v>
      </c>
      <c r="E1784">
        <v>1.5</v>
      </c>
      <c r="F1784" s="16">
        <v>1.5</v>
      </c>
      <c r="G1784">
        <v>77</v>
      </c>
      <c r="H1784">
        <v>0</v>
      </c>
      <c r="I1784" t="s">
        <v>1314</v>
      </c>
      <c r="J1784" t="s">
        <v>910</v>
      </c>
      <c r="K1784">
        <v>600</v>
      </c>
      <c r="L1784">
        <v>83</v>
      </c>
      <c r="M1784">
        <v>95</v>
      </c>
    </row>
    <row r="1785" spans="2:13" x14ac:dyDescent="0.25">
      <c r="B1785" s="50" t="s">
        <v>3694</v>
      </c>
      <c r="C1785">
        <v>24</v>
      </c>
      <c r="D1785">
        <v>24</v>
      </c>
      <c r="E1785">
        <v>1.5</v>
      </c>
      <c r="F1785" s="16">
        <v>1.5</v>
      </c>
      <c r="G1785">
        <v>77</v>
      </c>
      <c r="H1785">
        <v>0</v>
      </c>
      <c r="I1785" t="s">
        <v>8</v>
      </c>
      <c r="J1785" t="s">
        <v>910</v>
      </c>
      <c r="K1785">
        <v>600</v>
      </c>
      <c r="L1785">
        <v>83</v>
      </c>
      <c r="M1785">
        <v>95</v>
      </c>
    </row>
    <row r="1786" spans="2:13" x14ac:dyDescent="0.25">
      <c r="B1786" s="50" t="s">
        <v>3693</v>
      </c>
      <c r="C1786">
        <v>24</v>
      </c>
      <c r="D1786">
        <v>24</v>
      </c>
      <c r="E1786">
        <v>1.5</v>
      </c>
      <c r="F1786" s="16">
        <v>1.5</v>
      </c>
      <c r="G1786">
        <v>77</v>
      </c>
      <c r="H1786">
        <v>0</v>
      </c>
      <c r="I1786" t="s">
        <v>1331</v>
      </c>
      <c r="J1786" t="s">
        <v>900</v>
      </c>
      <c r="K1786">
        <v>600</v>
      </c>
      <c r="L1786">
        <v>83</v>
      </c>
      <c r="M1786">
        <v>96</v>
      </c>
    </row>
    <row r="1787" spans="2:13" x14ac:dyDescent="0.25">
      <c r="B1787" s="50" t="s">
        <v>3691</v>
      </c>
      <c r="C1787">
        <v>24</v>
      </c>
      <c r="D1787">
        <v>24</v>
      </c>
      <c r="E1787">
        <v>1.5</v>
      </c>
      <c r="F1787" s="16">
        <v>1.5</v>
      </c>
      <c r="G1787">
        <v>77</v>
      </c>
      <c r="H1787">
        <v>0</v>
      </c>
      <c r="I1787" t="s">
        <v>1333</v>
      </c>
      <c r="J1787" t="s">
        <v>900</v>
      </c>
      <c r="K1787">
        <v>637</v>
      </c>
      <c r="L1787">
        <v>83</v>
      </c>
      <c r="M1787">
        <v>116</v>
      </c>
    </row>
    <row r="1788" spans="2:13" x14ac:dyDescent="0.25">
      <c r="B1788" s="50" t="s">
        <v>3690</v>
      </c>
      <c r="C1788">
        <v>24</v>
      </c>
      <c r="D1788">
        <v>24</v>
      </c>
      <c r="E1788">
        <v>1.5</v>
      </c>
      <c r="F1788" s="16">
        <v>1.5</v>
      </c>
      <c r="G1788">
        <v>77</v>
      </c>
      <c r="H1788">
        <v>0</v>
      </c>
      <c r="I1788" t="s">
        <v>1293</v>
      </c>
      <c r="J1788" t="s">
        <v>900</v>
      </c>
      <c r="K1788">
        <v>609</v>
      </c>
      <c r="L1788">
        <v>83</v>
      </c>
      <c r="M1788">
        <v>97</v>
      </c>
    </row>
    <row r="1789" spans="2:13" x14ac:dyDescent="0.25">
      <c r="B1789" s="50" t="s">
        <v>3062</v>
      </c>
      <c r="C1789">
        <v>24</v>
      </c>
      <c r="D1789">
        <v>24</v>
      </c>
      <c r="E1789">
        <v>1.5</v>
      </c>
      <c r="F1789" s="16">
        <v>1.5</v>
      </c>
      <c r="G1789">
        <v>77</v>
      </c>
      <c r="H1789">
        <v>0</v>
      </c>
      <c r="I1789" t="s">
        <v>1221</v>
      </c>
      <c r="J1789" t="s">
        <v>900</v>
      </c>
      <c r="K1789">
        <v>638</v>
      </c>
      <c r="L1789">
        <v>83</v>
      </c>
      <c r="M1789">
        <v>123.5</v>
      </c>
    </row>
    <row r="1790" spans="2:13" x14ac:dyDescent="0.25">
      <c r="B1790" s="50" t="s">
        <v>3658</v>
      </c>
      <c r="C1790">
        <v>300</v>
      </c>
      <c r="D1790">
        <v>300</v>
      </c>
      <c r="E1790">
        <v>6.3</v>
      </c>
      <c r="F1790" s="16">
        <v>6.3</v>
      </c>
      <c r="G1790">
        <v>0</v>
      </c>
      <c r="H1790">
        <v>0</v>
      </c>
      <c r="I1790" t="s">
        <v>1229</v>
      </c>
      <c r="J1790" t="s">
        <v>900</v>
      </c>
      <c r="K1790">
        <v>270</v>
      </c>
      <c r="L1790">
        <v>64.5</v>
      </c>
      <c r="M1790">
        <v>76.099999999999994</v>
      </c>
    </row>
    <row r="1791" spans="2:13" x14ac:dyDescent="0.25">
      <c r="B1791" s="50" t="s">
        <v>3657</v>
      </c>
      <c r="C1791">
        <v>300</v>
      </c>
      <c r="D1791">
        <v>300</v>
      </c>
      <c r="E1791">
        <v>6.3</v>
      </c>
      <c r="F1791" s="16">
        <v>6.3</v>
      </c>
      <c r="G1791">
        <v>0</v>
      </c>
      <c r="H1791">
        <v>0</v>
      </c>
      <c r="I1791" t="s">
        <v>8</v>
      </c>
      <c r="J1791" t="s">
        <v>900</v>
      </c>
      <c r="K1791">
        <v>270</v>
      </c>
      <c r="L1791">
        <v>64.5</v>
      </c>
      <c r="M1791">
        <v>76.099999999999994</v>
      </c>
    </row>
    <row r="1792" spans="2:13" x14ac:dyDescent="0.25">
      <c r="B1792" s="50" t="s">
        <v>3656</v>
      </c>
      <c r="C1792">
        <v>300</v>
      </c>
      <c r="D1792">
        <v>300</v>
      </c>
      <c r="E1792">
        <v>6.3</v>
      </c>
      <c r="F1792" s="16">
        <v>6.3</v>
      </c>
      <c r="G1792">
        <v>0</v>
      </c>
      <c r="H1792">
        <v>0</v>
      </c>
      <c r="I1792" t="s">
        <v>1293</v>
      </c>
      <c r="J1792" t="s">
        <v>900</v>
      </c>
      <c r="K1792">
        <v>270</v>
      </c>
      <c r="L1792">
        <v>64.5</v>
      </c>
      <c r="M1792">
        <v>76.099999999999994</v>
      </c>
    </row>
    <row r="1793" spans="2:13" x14ac:dyDescent="0.25">
      <c r="B1793" s="50" t="s">
        <v>3655</v>
      </c>
      <c r="C1793">
        <v>300</v>
      </c>
      <c r="D1793">
        <v>300</v>
      </c>
      <c r="E1793">
        <v>6.3</v>
      </c>
      <c r="F1793" s="16">
        <v>6.3</v>
      </c>
      <c r="G1793">
        <v>0</v>
      </c>
      <c r="H1793">
        <v>0</v>
      </c>
      <c r="I1793" t="s">
        <v>1298</v>
      </c>
      <c r="J1793" t="s">
        <v>900</v>
      </c>
      <c r="K1793">
        <v>318</v>
      </c>
      <c r="L1793">
        <v>64.5</v>
      </c>
      <c r="M1793">
        <v>74</v>
      </c>
    </row>
    <row r="1794" spans="2:13" x14ac:dyDescent="0.25">
      <c r="B1794" s="50" t="s">
        <v>3654</v>
      </c>
      <c r="C1794">
        <v>300</v>
      </c>
      <c r="D1794">
        <v>300</v>
      </c>
      <c r="E1794">
        <v>6.3</v>
      </c>
      <c r="F1794" s="16">
        <v>6.3</v>
      </c>
      <c r="G1794">
        <v>0</v>
      </c>
      <c r="H1794">
        <v>0</v>
      </c>
      <c r="I1794" t="s">
        <v>1298</v>
      </c>
      <c r="J1794" t="s">
        <v>900</v>
      </c>
      <c r="K1794">
        <v>318</v>
      </c>
      <c r="L1794">
        <v>64.5</v>
      </c>
      <c r="M1794">
        <v>74</v>
      </c>
    </row>
    <row r="1795" spans="2:13" x14ac:dyDescent="0.25">
      <c r="B1795" s="50" t="s">
        <v>3653</v>
      </c>
      <c r="C1795">
        <v>300</v>
      </c>
      <c r="D1795">
        <v>300</v>
      </c>
      <c r="E1795">
        <v>6.3</v>
      </c>
      <c r="F1795" s="16">
        <v>6.3</v>
      </c>
      <c r="G1795">
        <v>0</v>
      </c>
      <c r="H1795">
        <v>0</v>
      </c>
      <c r="I1795" t="s">
        <v>1286</v>
      </c>
      <c r="J1795" t="s">
        <v>900</v>
      </c>
      <c r="K1795">
        <v>316</v>
      </c>
      <c r="L1795">
        <v>64.5</v>
      </c>
      <c r="M1795">
        <v>74</v>
      </c>
    </row>
    <row r="1796" spans="2:13" x14ac:dyDescent="0.25">
      <c r="B1796" s="50" t="s">
        <v>3568</v>
      </c>
      <c r="C1796">
        <v>300</v>
      </c>
      <c r="D1796">
        <v>300</v>
      </c>
      <c r="E1796">
        <v>6.3</v>
      </c>
      <c r="F1796" s="16">
        <v>6.3</v>
      </c>
      <c r="G1796">
        <v>0</v>
      </c>
      <c r="H1796">
        <v>0</v>
      </c>
      <c r="I1796" t="s">
        <v>1286</v>
      </c>
      <c r="J1796" t="s">
        <v>900</v>
      </c>
      <c r="K1796">
        <v>316</v>
      </c>
      <c r="L1796">
        <v>64.5</v>
      </c>
      <c r="M1796">
        <v>74</v>
      </c>
    </row>
    <row r="1797" spans="2:13" x14ac:dyDescent="0.25">
      <c r="B1797" s="50" t="s">
        <v>4298</v>
      </c>
      <c r="C1797">
        <v>300</v>
      </c>
      <c r="D1797">
        <v>300</v>
      </c>
      <c r="E1797">
        <v>6.3</v>
      </c>
      <c r="F1797" s="16">
        <v>6.3</v>
      </c>
      <c r="G1797">
        <v>0</v>
      </c>
      <c r="H1797">
        <v>0</v>
      </c>
      <c r="I1797" t="s">
        <v>1227</v>
      </c>
      <c r="J1797" t="s">
        <v>1228</v>
      </c>
      <c r="K1797">
        <v>311</v>
      </c>
      <c r="L1797">
        <v>64.5</v>
      </c>
      <c r="M1797">
        <v>73</v>
      </c>
    </row>
    <row r="1798" spans="2:13" x14ac:dyDescent="0.25">
      <c r="B1798" s="50" t="s">
        <v>3567</v>
      </c>
      <c r="C1798">
        <v>300</v>
      </c>
      <c r="D1798">
        <v>300</v>
      </c>
      <c r="E1798">
        <v>6.3</v>
      </c>
      <c r="F1798" s="16">
        <v>6.3</v>
      </c>
      <c r="G1798">
        <v>0</v>
      </c>
      <c r="H1798">
        <v>0</v>
      </c>
      <c r="I1798" t="s">
        <v>1227</v>
      </c>
      <c r="J1798" t="s">
        <v>1228</v>
      </c>
      <c r="K1798">
        <v>311</v>
      </c>
      <c r="L1798">
        <v>64.5</v>
      </c>
      <c r="M1798">
        <v>73</v>
      </c>
    </row>
    <row r="1799" spans="2:13" x14ac:dyDescent="0.25">
      <c r="B1799" s="50" t="s">
        <v>3566</v>
      </c>
      <c r="C1799">
        <v>300</v>
      </c>
      <c r="D1799">
        <v>300</v>
      </c>
      <c r="E1799">
        <v>6.3</v>
      </c>
      <c r="F1799" s="16">
        <v>6.3</v>
      </c>
      <c r="G1799">
        <v>0</v>
      </c>
      <c r="H1799">
        <v>0</v>
      </c>
      <c r="I1799" t="s">
        <v>1221</v>
      </c>
      <c r="J1799" t="s">
        <v>900</v>
      </c>
      <c r="K1799">
        <v>318</v>
      </c>
      <c r="L1799">
        <v>64.5</v>
      </c>
      <c r="M1799">
        <v>74</v>
      </c>
    </row>
    <row r="1800" spans="2:13" x14ac:dyDescent="0.25">
      <c r="B1800" s="50" t="s">
        <v>2872</v>
      </c>
      <c r="C1800">
        <v>300</v>
      </c>
      <c r="D1800">
        <v>300</v>
      </c>
      <c r="E1800">
        <v>6.3</v>
      </c>
      <c r="F1800" s="16">
        <v>6.3</v>
      </c>
      <c r="G1800">
        <v>0</v>
      </c>
      <c r="H1800">
        <v>0</v>
      </c>
      <c r="I1800" t="s">
        <v>1221</v>
      </c>
      <c r="J1800" t="s">
        <v>900</v>
      </c>
      <c r="K1800">
        <v>318</v>
      </c>
      <c r="L1800">
        <v>64.5</v>
      </c>
      <c r="M1800">
        <v>74</v>
      </c>
    </row>
    <row r="1801" spans="2:13" x14ac:dyDescent="0.25">
      <c r="B1801" s="50" t="s">
        <v>3061</v>
      </c>
      <c r="C1801">
        <v>35</v>
      </c>
      <c r="D1801">
        <v>35</v>
      </c>
      <c r="E1801">
        <v>1.4</v>
      </c>
      <c r="F1801" s="16">
        <v>1.4</v>
      </c>
      <c r="G1801">
        <v>77</v>
      </c>
      <c r="H1801">
        <v>0</v>
      </c>
      <c r="I1801" t="s">
        <v>1298</v>
      </c>
      <c r="J1801" t="s">
        <v>900</v>
      </c>
      <c r="K1801">
        <v>716</v>
      </c>
      <c r="L1801">
        <v>83</v>
      </c>
      <c r="M1801">
        <v>110</v>
      </c>
    </row>
    <row r="1802" spans="2:13" x14ac:dyDescent="0.25">
      <c r="B1802" s="50" t="s">
        <v>3689</v>
      </c>
      <c r="C1802">
        <v>35</v>
      </c>
      <c r="D1802">
        <v>35</v>
      </c>
      <c r="E1802">
        <v>1.4</v>
      </c>
      <c r="F1802" s="16">
        <v>1.4</v>
      </c>
      <c r="G1802">
        <v>77</v>
      </c>
      <c r="H1802">
        <v>0</v>
      </c>
      <c r="I1802" t="s">
        <v>1229</v>
      </c>
      <c r="J1802">
        <v>0</v>
      </c>
      <c r="K1802">
        <v>760</v>
      </c>
      <c r="L1802">
        <v>83</v>
      </c>
      <c r="M1802">
        <v>109</v>
      </c>
    </row>
    <row r="1803" spans="2:13" x14ac:dyDescent="0.25">
      <c r="B1803" s="50" t="s">
        <v>3688</v>
      </c>
      <c r="C1803">
        <v>35</v>
      </c>
      <c r="D1803">
        <v>35</v>
      </c>
      <c r="E1803">
        <v>1.4</v>
      </c>
      <c r="F1803" s="16">
        <v>1.4</v>
      </c>
      <c r="G1803">
        <v>77</v>
      </c>
      <c r="H1803">
        <v>0</v>
      </c>
      <c r="I1803" t="s">
        <v>1229</v>
      </c>
      <c r="J1803" t="s">
        <v>910</v>
      </c>
      <c r="K1803">
        <v>734</v>
      </c>
      <c r="L1803">
        <v>83</v>
      </c>
      <c r="M1803">
        <v>111.5</v>
      </c>
    </row>
    <row r="1804" spans="2:13" x14ac:dyDescent="0.25">
      <c r="B1804" s="50" t="s">
        <v>3687</v>
      </c>
      <c r="C1804">
        <v>35</v>
      </c>
      <c r="D1804">
        <v>35</v>
      </c>
      <c r="E1804">
        <v>1.4</v>
      </c>
      <c r="F1804" s="16">
        <v>1.4</v>
      </c>
      <c r="G1804">
        <v>77</v>
      </c>
      <c r="H1804">
        <v>0</v>
      </c>
      <c r="I1804" t="s">
        <v>1228</v>
      </c>
      <c r="J1804" t="s">
        <v>1228</v>
      </c>
      <c r="K1804">
        <v>734</v>
      </c>
      <c r="L1804">
        <v>83</v>
      </c>
      <c r="M1804">
        <v>111.5</v>
      </c>
    </row>
    <row r="1805" spans="2:13" x14ac:dyDescent="0.25">
      <c r="B1805" s="50" t="s">
        <v>3686</v>
      </c>
      <c r="C1805">
        <v>35</v>
      </c>
      <c r="D1805">
        <v>35</v>
      </c>
      <c r="E1805">
        <v>1.4</v>
      </c>
      <c r="F1805" s="16">
        <v>1.4</v>
      </c>
      <c r="G1805">
        <v>77</v>
      </c>
      <c r="H1805">
        <v>0</v>
      </c>
      <c r="I1805" t="s">
        <v>1286</v>
      </c>
      <c r="J1805" t="s">
        <v>910</v>
      </c>
      <c r="K1805">
        <v>734</v>
      </c>
      <c r="L1805">
        <v>83</v>
      </c>
      <c r="M1805">
        <v>111.5</v>
      </c>
    </row>
    <row r="1806" spans="2:13" x14ac:dyDescent="0.25">
      <c r="B1806" s="50" t="s">
        <v>3685</v>
      </c>
      <c r="C1806">
        <v>35</v>
      </c>
      <c r="D1806">
        <v>35</v>
      </c>
      <c r="E1806">
        <v>1.4</v>
      </c>
      <c r="F1806" s="16">
        <v>1.4</v>
      </c>
      <c r="G1806">
        <v>77</v>
      </c>
      <c r="H1806">
        <v>0</v>
      </c>
      <c r="I1806" t="s">
        <v>1314</v>
      </c>
      <c r="J1806" t="s">
        <v>910</v>
      </c>
      <c r="K1806">
        <v>734</v>
      </c>
      <c r="L1806">
        <v>83</v>
      </c>
      <c r="M1806">
        <v>111.5</v>
      </c>
    </row>
    <row r="1807" spans="2:13" x14ac:dyDescent="0.25">
      <c r="B1807" s="50" t="s">
        <v>4070</v>
      </c>
      <c r="C1807">
        <v>35</v>
      </c>
      <c r="D1807">
        <v>35</v>
      </c>
      <c r="E1807">
        <v>1.4</v>
      </c>
      <c r="F1807" s="16">
        <v>1.4</v>
      </c>
      <c r="G1807">
        <v>77</v>
      </c>
      <c r="H1807">
        <v>0</v>
      </c>
      <c r="I1807" t="s">
        <v>8</v>
      </c>
      <c r="J1807" t="s">
        <v>910</v>
      </c>
      <c r="K1807">
        <v>734</v>
      </c>
      <c r="L1807">
        <v>83</v>
      </c>
      <c r="M1807">
        <v>111.5</v>
      </c>
    </row>
    <row r="1808" spans="2:13" x14ac:dyDescent="0.25">
      <c r="B1808" s="50" t="s">
        <v>3684</v>
      </c>
      <c r="C1808">
        <v>35</v>
      </c>
      <c r="D1808">
        <v>35</v>
      </c>
      <c r="E1808">
        <v>1.4</v>
      </c>
      <c r="F1808" s="16">
        <v>1.4</v>
      </c>
      <c r="G1808">
        <v>77</v>
      </c>
      <c r="H1808">
        <v>0</v>
      </c>
      <c r="I1808" t="s">
        <v>1331</v>
      </c>
      <c r="J1808" t="s">
        <v>910</v>
      </c>
      <c r="K1808">
        <v>734</v>
      </c>
      <c r="L1808">
        <v>83</v>
      </c>
      <c r="M1808">
        <v>111.5</v>
      </c>
    </row>
    <row r="1809" spans="2:13" x14ac:dyDescent="0.25">
      <c r="B1809" s="50" t="s">
        <v>3533</v>
      </c>
      <c r="C1809">
        <v>35</v>
      </c>
      <c r="D1809">
        <v>35</v>
      </c>
      <c r="E1809">
        <v>1.4</v>
      </c>
      <c r="F1809" s="16">
        <v>1.4</v>
      </c>
      <c r="G1809">
        <v>77</v>
      </c>
      <c r="H1809">
        <v>0</v>
      </c>
      <c r="I1809" t="s">
        <v>1333</v>
      </c>
      <c r="J1809" t="s">
        <v>900</v>
      </c>
      <c r="K1809">
        <v>734</v>
      </c>
      <c r="L1809">
        <v>83</v>
      </c>
      <c r="M1809">
        <v>111.5</v>
      </c>
    </row>
    <row r="1810" spans="2:13" x14ac:dyDescent="0.25">
      <c r="B1810" s="50" t="s">
        <v>3532</v>
      </c>
      <c r="C1810">
        <v>35</v>
      </c>
      <c r="D1810">
        <v>35</v>
      </c>
      <c r="E1810">
        <v>1.4</v>
      </c>
      <c r="F1810" s="16">
        <v>1.4</v>
      </c>
      <c r="G1810">
        <v>77</v>
      </c>
      <c r="H1810">
        <v>0</v>
      </c>
      <c r="I1810" t="s">
        <v>1293</v>
      </c>
      <c r="J1810" t="s">
        <v>900</v>
      </c>
      <c r="K1810">
        <v>734</v>
      </c>
      <c r="L1810">
        <v>83</v>
      </c>
      <c r="M1810">
        <v>111.5</v>
      </c>
    </row>
    <row r="1811" spans="2:13" x14ac:dyDescent="0.25">
      <c r="B1811" s="50" t="s">
        <v>3531</v>
      </c>
      <c r="C1811">
        <v>35</v>
      </c>
      <c r="D1811">
        <v>35</v>
      </c>
      <c r="E1811">
        <v>1.4</v>
      </c>
      <c r="F1811" s="16">
        <v>1.4</v>
      </c>
      <c r="G1811">
        <v>77</v>
      </c>
      <c r="H1811">
        <v>0</v>
      </c>
      <c r="I1811" t="s">
        <v>1221</v>
      </c>
      <c r="J1811" t="s">
        <v>900</v>
      </c>
      <c r="K1811">
        <v>734</v>
      </c>
      <c r="L1811">
        <v>83</v>
      </c>
      <c r="M1811">
        <v>111.5</v>
      </c>
    </row>
    <row r="1812" spans="2:13" x14ac:dyDescent="0.25">
      <c r="B1812" s="50" t="s">
        <v>3529</v>
      </c>
      <c r="C1812">
        <v>35</v>
      </c>
      <c r="D1812">
        <v>35</v>
      </c>
      <c r="E1812">
        <v>1.5</v>
      </c>
      <c r="F1812" s="16">
        <v>1.5</v>
      </c>
      <c r="G1812">
        <v>77</v>
      </c>
      <c r="H1812">
        <v>0</v>
      </c>
      <c r="I1812" t="s">
        <v>1333</v>
      </c>
      <c r="J1812" t="s">
        <v>900</v>
      </c>
      <c r="K1812">
        <v>722</v>
      </c>
      <c r="L1812">
        <v>83</v>
      </c>
      <c r="M1812">
        <v>130</v>
      </c>
    </row>
    <row r="1813" spans="2:13" x14ac:dyDescent="0.25">
      <c r="B1813" s="50" t="s">
        <v>3528</v>
      </c>
      <c r="C1813">
        <v>35</v>
      </c>
      <c r="D1813">
        <v>35</v>
      </c>
      <c r="E1813">
        <v>1.5</v>
      </c>
      <c r="F1813" s="16">
        <v>1.5</v>
      </c>
      <c r="G1813">
        <v>77</v>
      </c>
      <c r="H1813">
        <v>0</v>
      </c>
      <c r="I1813" t="s">
        <v>1229</v>
      </c>
      <c r="J1813" t="s">
        <v>910</v>
      </c>
      <c r="K1813">
        <v>700</v>
      </c>
      <c r="L1813">
        <v>83</v>
      </c>
      <c r="M1813">
        <v>111.5</v>
      </c>
    </row>
    <row r="1814" spans="2:13" x14ac:dyDescent="0.25">
      <c r="B1814" s="50" t="s">
        <v>3527</v>
      </c>
      <c r="C1814">
        <v>35</v>
      </c>
      <c r="D1814">
        <v>35</v>
      </c>
      <c r="E1814">
        <v>1.5</v>
      </c>
      <c r="F1814" s="16">
        <v>1.5</v>
      </c>
      <c r="G1814">
        <v>77</v>
      </c>
      <c r="H1814">
        <v>0</v>
      </c>
      <c r="I1814" t="s">
        <v>1228</v>
      </c>
      <c r="J1814" t="s">
        <v>1228</v>
      </c>
      <c r="K1814">
        <v>718</v>
      </c>
      <c r="L1814">
        <v>83</v>
      </c>
      <c r="M1814">
        <v>116.8</v>
      </c>
    </row>
    <row r="1815" spans="2:13" x14ac:dyDescent="0.25">
      <c r="B1815" s="50" t="s">
        <v>3526</v>
      </c>
      <c r="C1815">
        <v>35</v>
      </c>
      <c r="D1815">
        <v>35</v>
      </c>
      <c r="E1815">
        <v>1.5</v>
      </c>
      <c r="F1815" s="16">
        <v>1.5</v>
      </c>
      <c r="G1815">
        <v>77</v>
      </c>
      <c r="H1815">
        <v>0</v>
      </c>
      <c r="I1815" t="s">
        <v>1286</v>
      </c>
      <c r="J1815" t="s">
        <v>910</v>
      </c>
      <c r="K1815">
        <v>700</v>
      </c>
      <c r="L1815">
        <v>83</v>
      </c>
      <c r="M1815">
        <v>111.5</v>
      </c>
    </row>
    <row r="1816" spans="2:13" x14ac:dyDescent="0.25">
      <c r="B1816" s="50" t="s">
        <v>3524</v>
      </c>
      <c r="C1816">
        <v>35</v>
      </c>
      <c r="D1816">
        <v>35</v>
      </c>
      <c r="E1816">
        <v>1.5</v>
      </c>
      <c r="F1816" s="16">
        <v>1.5</v>
      </c>
      <c r="G1816">
        <v>77</v>
      </c>
      <c r="H1816">
        <v>0</v>
      </c>
      <c r="I1816" t="s">
        <v>1227</v>
      </c>
      <c r="J1816" t="s">
        <v>1228</v>
      </c>
      <c r="K1816">
        <v>718</v>
      </c>
      <c r="L1816">
        <v>83</v>
      </c>
      <c r="M1816">
        <v>116.8</v>
      </c>
    </row>
    <row r="1817" spans="2:13" x14ac:dyDescent="0.25">
      <c r="B1817" s="50" t="s">
        <v>3523</v>
      </c>
      <c r="C1817">
        <v>35</v>
      </c>
      <c r="D1817">
        <v>35</v>
      </c>
      <c r="E1817">
        <v>1.5</v>
      </c>
      <c r="F1817" s="16">
        <v>1.5</v>
      </c>
      <c r="G1817">
        <v>77</v>
      </c>
      <c r="H1817">
        <v>0</v>
      </c>
      <c r="I1817" t="s">
        <v>8</v>
      </c>
      <c r="J1817" t="s">
        <v>910</v>
      </c>
      <c r="K1817">
        <v>685</v>
      </c>
      <c r="L1817">
        <v>83</v>
      </c>
      <c r="M1817">
        <v>109</v>
      </c>
    </row>
    <row r="1818" spans="2:13" x14ac:dyDescent="0.25">
      <c r="B1818" s="50" t="s">
        <v>3522</v>
      </c>
      <c r="C1818">
        <v>35</v>
      </c>
      <c r="D1818">
        <v>35</v>
      </c>
      <c r="E1818">
        <v>1.5</v>
      </c>
      <c r="F1818" s="16">
        <v>1.5</v>
      </c>
      <c r="G1818">
        <v>77</v>
      </c>
      <c r="H1818">
        <v>0</v>
      </c>
      <c r="I1818" t="s">
        <v>1331</v>
      </c>
      <c r="J1818" t="s">
        <v>910</v>
      </c>
      <c r="K1818">
        <v>670</v>
      </c>
      <c r="L1818">
        <v>83</v>
      </c>
      <c r="M1818">
        <v>110</v>
      </c>
    </row>
    <row r="1819" spans="2:13" x14ac:dyDescent="0.25">
      <c r="B1819" s="50" t="s">
        <v>3520</v>
      </c>
      <c r="C1819">
        <v>35</v>
      </c>
      <c r="D1819">
        <v>35</v>
      </c>
      <c r="E1819">
        <v>1.5</v>
      </c>
      <c r="F1819" s="16">
        <v>1.5</v>
      </c>
      <c r="G1819">
        <v>77</v>
      </c>
      <c r="H1819">
        <v>0</v>
      </c>
      <c r="I1819" t="s">
        <v>1293</v>
      </c>
      <c r="J1819" t="s">
        <v>900</v>
      </c>
      <c r="K1819">
        <v>694</v>
      </c>
      <c r="L1819">
        <v>83</v>
      </c>
      <c r="M1819">
        <v>111</v>
      </c>
    </row>
    <row r="1820" spans="2:13" x14ac:dyDescent="0.25">
      <c r="B1820" s="50" t="s">
        <v>3518</v>
      </c>
      <c r="C1820">
        <v>35</v>
      </c>
      <c r="D1820">
        <v>35</v>
      </c>
      <c r="E1820">
        <v>1.5</v>
      </c>
      <c r="F1820" s="16">
        <v>1.5</v>
      </c>
      <c r="G1820">
        <v>77</v>
      </c>
      <c r="H1820">
        <v>0</v>
      </c>
      <c r="I1820" t="s">
        <v>1221</v>
      </c>
      <c r="J1820" t="s">
        <v>900</v>
      </c>
      <c r="K1820">
        <v>723</v>
      </c>
      <c r="L1820">
        <v>83</v>
      </c>
      <c r="M1820">
        <v>137.5</v>
      </c>
    </row>
    <row r="1821" spans="2:13" x14ac:dyDescent="0.25">
      <c r="B1821" s="50" t="s">
        <v>3565</v>
      </c>
      <c r="C1821">
        <v>500</v>
      </c>
      <c r="D1821">
        <v>500</v>
      </c>
      <c r="E1821">
        <v>6.3</v>
      </c>
      <c r="F1821" s="16">
        <v>6.3</v>
      </c>
      <c r="G1821">
        <v>34</v>
      </c>
      <c r="H1821">
        <v>0</v>
      </c>
      <c r="I1821" t="s">
        <v>1229</v>
      </c>
      <c r="J1821" t="s">
        <v>910</v>
      </c>
      <c r="K1821">
        <v>705</v>
      </c>
      <c r="L1821">
        <v>95</v>
      </c>
      <c r="M1821">
        <v>120</v>
      </c>
    </row>
    <row r="1822" spans="2:13" x14ac:dyDescent="0.25">
      <c r="B1822" s="50" t="s">
        <v>3564</v>
      </c>
      <c r="C1822">
        <v>500</v>
      </c>
      <c r="D1822">
        <v>500</v>
      </c>
      <c r="E1822">
        <v>6.3</v>
      </c>
      <c r="F1822" s="16">
        <v>6.3</v>
      </c>
      <c r="G1822">
        <v>34</v>
      </c>
      <c r="H1822">
        <v>0</v>
      </c>
      <c r="I1822" t="s">
        <v>1298</v>
      </c>
      <c r="J1822" t="s">
        <v>910</v>
      </c>
      <c r="K1822">
        <v>705</v>
      </c>
      <c r="L1822">
        <v>95</v>
      </c>
      <c r="M1822">
        <v>120</v>
      </c>
    </row>
    <row r="1823" spans="2:13" x14ac:dyDescent="0.25">
      <c r="B1823" s="50" t="s">
        <v>4059</v>
      </c>
      <c r="C1823">
        <v>500</v>
      </c>
      <c r="D1823">
        <v>500</v>
      </c>
      <c r="E1823">
        <v>6.3</v>
      </c>
      <c r="F1823" s="16">
        <v>6.3</v>
      </c>
      <c r="G1823">
        <v>34</v>
      </c>
      <c r="H1823">
        <v>0</v>
      </c>
      <c r="I1823" t="s">
        <v>8</v>
      </c>
      <c r="J1823" t="s">
        <v>910</v>
      </c>
      <c r="K1823">
        <v>705</v>
      </c>
      <c r="L1823">
        <v>95</v>
      </c>
      <c r="M1823">
        <v>120</v>
      </c>
    </row>
    <row r="1824" spans="2:13" x14ac:dyDescent="0.25">
      <c r="B1824" s="50" t="s">
        <v>3563</v>
      </c>
      <c r="C1824">
        <v>500</v>
      </c>
      <c r="D1824">
        <v>500</v>
      </c>
      <c r="E1824">
        <v>6.3</v>
      </c>
      <c r="F1824" s="16">
        <v>6.3</v>
      </c>
      <c r="G1824">
        <v>34</v>
      </c>
      <c r="H1824">
        <v>0</v>
      </c>
      <c r="I1824" t="s">
        <v>1331</v>
      </c>
      <c r="J1824" t="s">
        <v>910</v>
      </c>
      <c r="K1824">
        <v>705</v>
      </c>
      <c r="L1824">
        <v>95</v>
      </c>
      <c r="M1824">
        <v>120</v>
      </c>
    </row>
    <row r="1825" spans="2:13" x14ac:dyDescent="0.25">
      <c r="B1825" s="50" t="s">
        <v>3562</v>
      </c>
      <c r="C1825">
        <v>500</v>
      </c>
      <c r="D1825">
        <v>500</v>
      </c>
      <c r="E1825">
        <v>6.3</v>
      </c>
      <c r="F1825" s="16">
        <v>6.3</v>
      </c>
      <c r="G1825">
        <v>34</v>
      </c>
      <c r="H1825">
        <v>0</v>
      </c>
      <c r="I1825" t="s">
        <v>1333</v>
      </c>
      <c r="J1825" t="s">
        <v>900</v>
      </c>
      <c r="K1825">
        <v>705</v>
      </c>
      <c r="L1825">
        <v>95</v>
      </c>
      <c r="M1825">
        <v>120</v>
      </c>
    </row>
    <row r="1826" spans="2:13" x14ac:dyDescent="0.25">
      <c r="B1826" s="50" t="s">
        <v>4058</v>
      </c>
      <c r="C1826">
        <v>500</v>
      </c>
      <c r="D1826">
        <v>500</v>
      </c>
      <c r="E1826">
        <v>6.3</v>
      </c>
      <c r="F1826" s="16">
        <v>6.3</v>
      </c>
      <c r="G1826">
        <v>34</v>
      </c>
      <c r="H1826">
        <v>0</v>
      </c>
      <c r="I1826" t="s">
        <v>1293</v>
      </c>
      <c r="J1826" t="s">
        <v>900</v>
      </c>
      <c r="K1826">
        <v>705</v>
      </c>
      <c r="L1826">
        <v>95</v>
      </c>
      <c r="M1826">
        <v>120</v>
      </c>
    </row>
    <row r="1827" spans="2:13" x14ac:dyDescent="0.25">
      <c r="B1827" s="50" t="s">
        <v>3561</v>
      </c>
      <c r="C1827">
        <v>500</v>
      </c>
      <c r="D1827">
        <v>500</v>
      </c>
      <c r="E1827">
        <v>6.3</v>
      </c>
      <c r="F1827" s="16">
        <v>6.3</v>
      </c>
      <c r="G1827">
        <v>34</v>
      </c>
      <c r="H1827">
        <v>0</v>
      </c>
      <c r="I1827" t="s">
        <v>1221</v>
      </c>
      <c r="J1827" t="s">
        <v>900</v>
      </c>
      <c r="K1827">
        <v>630</v>
      </c>
      <c r="L1827">
        <v>95</v>
      </c>
      <c r="M1827">
        <v>110</v>
      </c>
    </row>
    <row r="1828" spans="2:13" x14ac:dyDescent="0.25">
      <c r="B1828" s="50" t="s">
        <v>4057</v>
      </c>
      <c r="C1828">
        <v>500</v>
      </c>
      <c r="D1828">
        <v>500</v>
      </c>
      <c r="E1828">
        <v>6.3</v>
      </c>
      <c r="F1828" s="16">
        <v>6.3</v>
      </c>
      <c r="G1828">
        <v>34</v>
      </c>
      <c r="H1828">
        <v>0</v>
      </c>
      <c r="I1828">
        <v>0</v>
      </c>
      <c r="J1828" t="s">
        <v>910</v>
      </c>
      <c r="K1828">
        <v>705</v>
      </c>
      <c r="L1828">
        <v>95</v>
      </c>
      <c r="M1828">
        <v>120</v>
      </c>
    </row>
    <row r="1829" spans="2:13" x14ac:dyDescent="0.25">
      <c r="B1829" s="50" t="s">
        <v>3558</v>
      </c>
      <c r="C1829">
        <v>500</v>
      </c>
      <c r="D1829">
        <v>500</v>
      </c>
      <c r="E1829">
        <v>8</v>
      </c>
      <c r="F1829" s="16">
        <v>8</v>
      </c>
      <c r="G1829">
        <v>30.5</v>
      </c>
      <c r="H1829">
        <v>0</v>
      </c>
      <c r="I1829">
        <v>0</v>
      </c>
      <c r="J1829" t="s">
        <v>910</v>
      </c>
      <c r="K1829">
        <v>320</v>
      </c>
      <c r="L1829">
        <v>76</v>
      </c>
      <c r="M1829">
        <v>86.5</v>
      </c>
    </row>
    <row r="1830" spans="2:13" x14ac:dyDescent="0.25">
      <c r="B1830" s="50" t="s">
        <v>4069</v>
      </c>
      <c r="C1830">
        <v>50</v>
      </c>
      <c r="D1830">
        <v>50</v>
      </c>
      <c r="E1830">
        <v>1.2</v>
      </c>
      <c r="F1830" s="16">
        <v>1.2</v>
      </c>
      <c r="G1830">
        <v>62</v>
      </c>
      <c r="H1830">
        <v>0</v>
      </c>
      <c r="I1830" t="s">
        <v>1286</v>
      </c>
      <c r="J1830" t="s">
        <v>900</v>
      </c>
      <c r="K1830">
        <v>380</v>
      </c>
      <c r="L1830">
        <v>67.5</v>
      </c>
      <c r="M1830">
        <v>74</v>
      </c>
    </row>
    <row r="1831" spans="2:13" x14ac:dyDescent="0.25">
      <c r="B1831" s="50" t="s">
        <v>2876</v>
      </c>
      <c r="C1831">
        <v>50</v>
      </c>
      <c r="D1831">
        <v>50</v>
      </c>
      <c r="E1831">
        <v>1.2</v>
      </c>
      <c r="F1831" s="16">
        <v>1.2</v>
      </c>
      <c r="G1831">
        <v>62</v>
      </c>
      <c r="H1831">
        <v>0</v>
      </c>
      <c r="I1831" t="s">
        <v>1227</v>
      </c>
      <c r="J1831" t="s">
        <v>1228</v>
      </c>
      <c r="K1831">
        <v>375</v>
      </c>
      <c r="L1831">
        <v>67.5</v>
      </c>
      <c r="M1831">
        <v>73</v>
      </c>
    </row>
    <row r="1832" spans="2:13" x14ac:dyDescent="0.25">
      <c r="B1832" s="50" t="s">
        <v>3516</v>
      </c>
      <c r="C1832">
        <v>50</v>
      </c>
      <c r="D1832">
        <v>50</v>
      </c>
      <c r="E1832">
        <v>1.2</v>
      </c>
      <c r="F1832" s="16">
        <v>1.2</v>
      </c>
      <c r="G1832">
        <v>62</v>
      </c>
      <c r="H1832">
        <v>0</v>
      </c>
      <c r="I1832" t="s">
        <v>1221</v>
      </c>
      <c r="J1832" t="s">
        <v>900</v>
      </c>
      <c r="K1832">
        <v>385</v>
      </c>
      <c r="L1832">
        <v>67.5</v>
      </c>
      <c r="M1832">
        <v>74</v>
      </c>
    </row>
    <row r="1833" spans="2:13" x14ac:dyDescent="0.25">
      <c r="B1833" s="50" t="s">
        <v>3514</v>
      </c>
      <c r="C1833">
        <v>50</v>
      </c>
      <c r="D1833">
        <v>50</v>
      </c>
      <c r="E1833">
        <v>1.5</v>
      </c>
      <c r="F1833" s="16">
        <v>1.5</v>
      </c>
      <c r="G1833">
        <v>77</v>
      </c>
      <c r="H1833">
        <v>0</v>
      </c>
      <c r="I1833" t="s">
        <v>1228</v>
      </c>
      <c r="J1833" t="s">
        <v>1228</v>
      </c>
      <c r="K1833">
        <v>580</v>
      </c>
      <c r="L1833">
        <v>82</v>
      </c>
      <c r="M1833">
        <v>80</v>
      </c>
    </row>
    <row r="1834" spans="2:13" x14ac:dyDescent="0.25">
      <c r="B1834" s="50" t="s">
        <v>3512</v>
      </c>
      <c r="C1834">
        <v>50</v>
      </c>
      <c r="D1834">
        <v>50</v>
      </c>
      <c r="E1834">
        <v>1.5</v>
      </c>
      <c r="F1834" s="16">
        <v>1.5</v>
      </c>
      <c r="G1834">
        <v>77</v>
      </c>
      <c r="H1834">
        <v>0</v>
      </c>
      <c r="I1834" t="s">
        <v>1286</v>
      </c>
      <c r="J1834" t="s">
        <v>1228</v>
      </c>
      <c r="K1834">
        <v>640</v>
      </c>
      <c r="L1834">
        <v>82</v>
      </c>
      <c r="M1834">
        <v>101</v>
      </c>
    </row>
    <row r="1835" spans="2:13" x14ac:dyDescent="0.25">
      <c r="B1835" s="50" t="s">
        <v>3510</v>
      </c>
      <c r="C1835">
        <v>50</v>
      </c>
      <c r="D1835">
        <v>50</v>
      </c>
      <c r="E1835">
        <v>1.5</v>
      </c>
      <c r="F1835" s="16">
        <v>1.5</v>
      </c>
      <c r="G1835">
        <v>77</v>
      </c>
      <c r="H1835">
        <v>0</v>
      </c>
      <c r="I1835" t="s">
        <v>1227</v>
      </c>
      <c r="J1835" t="s">
        <v>1228</v>
      </c>
      <c r="K1835">
        <v>590</v>
      </c>
      <c r="L1835">
        <v>82</v>
      </c>
      <c r="M1835">
        <v>99.5</v>
      </c>
    </row>
    <row r="1836" spans="2:13" x14ac:dyDescent="0.25">
      <c r="B1836" s="50" t="s">
        <v>3682</v>
      </c>
      <c r="C1836">
        <v>50</v>
      </c>
      <c r="D1836">
        <v>50</v>
      </c>
      <c r="E1836">
        <v>1.5</v>
      </c>
      <c r="F1836" s="16">
        <v>1.5</v>
      </c>
      <c r="G1836">
        <v>77</v>
      </c>
      <c r="H1836">
        <v>0</v>
      </c>
      <c r="I1836" t="s">
        <v>1333</v>
      </c>
      <c r="J1836" t="s">
        <v>900</v>
      </c>
      <c r="K1836">
        <v>590</v>
      </c>
      <c r="L1836">
        <v>82</v>
      </c>
      <c r="M1836">
        <v>93.2</v>
      </c>
    </row>
    <row r="1837" spans="2:13" x14ac:dyDescent="0.25">
      <c r="B1837" s="50" t="s">
        <v>3681</v>
      </c>
      <c r="C1837">
        <v>50</v>
      </c>
      <c r="D1837">
        <v>50</v>
      </c>
      <c r="E1837">
        <v>1.5</v>
      </c>
      <c r="F1837" s="16">
        <v>1.5</v>
      </c>
      <c r="G1837">
        <v>77</v>
      </c>
      <c r="H1837">
        <v>0</v>
      </c>
      <c r="I1837" t="s">
        <v>1229</v>
      </c>
      <c r="J1837" t="s">
        <v>910</v>
      </c>
      <c r="K1837">
        <v>550</v>
      </c>
      <c r="L1837">
        <v>82</v>
      </c>
      <c r="M1837">
        <v>74.7</v>
      </c>
    </row>
    <row r="1838" spans="2:13" x14ac:dyDescent="0.25">
      <c r="B1838" s="50" t="s">
        <v>3680</v>
      </c>
      <c r="C1838">
        <v>50</v>
      </c>
      <c r="D1838">
        <v>50</v>
      </c>
      <c r="E1838">
        <v>1.5</v>
      </c>
      <c r="F1838" s="16">
        <v>1.5</v>
      </c>
      <c r="G1838">
        <v>77</v>
      </c>
      <c r="H1838">
        <v>0</v>
      </c>
      <c r="I1838" t="s">
        <v>1298</v>
      </c>
      <c r="J1838">
        <v>0</v>
      </c>
      <c r="K1838">
        <v>550</v>
      </c>
      <c r="L1838">
        <v>82</v>
      </c>
      <c r="M1838">
        <v>74.7</v>
      </c>
    </row>
    <row r="1839" spans="2:13" x14ac:dyDescent="0.25">
      <c r="B1839" s="50" t="s">
        <v>3679</v>
      </c>
      <c r="C1839">
        <v>50</v>
      </c>
      <c r="D1839">
        <v>50</v>
      </c>
      <c r="E1839">
        <v>1.5</v>
      </c>
      <c r="F1839" s="16">
        <v>1.5</v>
      </c>
      <c r="G1839">
        <v>77</v>
      </c>
      <c r="H1839">
        <v>0</v>
      </c>
      <c r="I1839" t="s">
        <v>8</v>
      </c>
      <c r="J1839" t="s">
        <v>910</v>
      </c>
      <c r="K1839">
        <v>550</v>
      </c>
      <c r="L1839">
        <v>82</v>
      </c>
      <c r="M1839">
        <v>74.7</v>
      </c>
    </row>
    <row r="1840" spans="2:13" x14ac:dyDescent="0.25">
      <c r="B1840" s="50" t="s">
        <v>4067</v>
      </c>
      <c r="C1840">
        <v>50</v>
      </c>
      <c r="D1840">
        <v>50</v>
      </c>
      <c r="E1840">
        <v>1.5</v>
      </c>
      <c r="F1840" s="16">
        <v>1.5</v>
      </c>
      <c r="G1840">
        <v>77</v>
      </c>
      <c r="H1840">
        <v>0</v>
      </c>
      <c r="I1840" t="s">
        <v>1331</v>
      </c>
      <c r="J1840" t="s">
        <v>900</v>
      </c>
      <c r="K1840">
        <v>545</v>
      </c>
      <c r="L1840">
        <v>82</v>
      </c>
      <c r="M1840">
        <v>73.2</v>
      </c>
    </row>
    <row r="1841" spans="2:13" x14ac:dyDescent="0.25">
      <c r="B1841" s="50" t="s">
        <v>4066</v>
      </c>
      <c r="C1841">
        <v>50</v>
      </c>
      <c r="D1841">
        <v>50</v>
      </c>
      <c r="E1841">
        <v>1.5</v>
      </c>
      <c r="F1841" s="16">
        <v>1.5</v>
      </c>
      <c r="G1841">
        <v>77</v>
      </c>
      <c r="H1841">
        <v>0</v>
      </c>
      <c r="I1841" t="s">
        <v>1221</v>
      </c>
      <c r="J1841" t="s">
        <v>910</v>
      </c>
      <c r="K1841">
        <v>600</v>
      </c>
      <c r="L1841">
        <v>82</v>
      </c>
      <c r="M1841">
        <v>100.7</v>
      </c>
    </row>
    <row r="1842" spans="2:13" x14ac:dyDescent="0.25">
      <c r="B1842" s="50" t="s">
        <v>3557</v>
      </c>
      <c r="C1842">
        <v>650</v>
      </c>
      <c r="D1842">
        <v>1300</v>
      </c>
      <c r="E1842">
        <v>8</v>
      </c>
      <c r="F1842" s="16">
        <v>8</v>
      </c>
      <c r="G1842">
        <v>95</v>
      </c>
      <c r="H1842">
        <v>0</v>
      </c>
      <c r="I1842" t="s">
        <v>1229</v>
      </c>
      <c r="J1842" t="s">
        <v>900</v>
      </c>
      <c r="K1842">
        <v>2000</v>
      </c>
      <c r="L1842">
        <v>105</v>
      </c>
      <c r="M1842">
        <v>463</v>
      </c>
    </row>
    <row r="1843" spans="2:13" x14ac:dyDescent="0.25">
      <c r="B1843" s="50" t="s">
        <v>3556</v>
      </c>
      <c r="C1843">
        <v>650</v>
      </c>
      <c r="D1843">
        <v>1300</v>
      </c>
      <c r="E1843">
        <v>8</v>
      </c>
      <c r="F1843" s="16">
        <v>8</v>
      </c>
      <c r="G1843">
        <v>95</v>
      </c>
      <c r="H1843">
        <v>0</v>
      </c>
      <c r="I1843" t="s">
        <v>1229</v>
      </c>
      <c r="J1843" t="s">
        <v>900</v>
      </c>
      <c r="K1843">
        <v>2000</v>
      </c>
      <c r="L1843">
        <v>105</v>
      </c>
      <c r="M1843">
        <v>463</v>
      </c>
    </row>
    <row r="1844" spans="2:13" x14ac:dyDescent="0.25">
      <c r="B1844" s="50" t="s">
        <v>3555</v>
      </c>
      <c r="C1844">
        <v>650</v>
      </c>
      <c r="D1844">
        <v>1300</v>
      </c>
      <c r="E1844">
        <v>8</v>
      </c>
      <c r="F1844" s="16">
        <v>8</v>
      </c>
      <c r="G1844">
        <v>95</v>
      </c>
      <c r="H1844">
        <v>0</v>
      </c>
      <c r="I1844" t="s">
        <v>1298</v>
      </c>
      <c r="J1844" t="s">
        <v>900</v>
      </c>
      <c r="K1844">
        <v>2000</v>
      </c>
      <c r="L1844">
        <v>105</v>
      </c>
      <c r="M1844">
        <v>463</v>
      </c>
    </row>
    <row r="1845" spans="2:13" x14ac:dyDescent="0.25">
      <c r="B1845" s="50" t="s">
        <v>3554</v>
      </c>
      <c r="C1845">
        <v>650</v>
      </c>
      <c r="D1845">
        <v>1300</v>
      </c>
      <c r="E1845">
        <v>8</v>
      </c>
      <c r="F1845" s="16">
        <v>8</v>
      </c>
      <c r="G1845">
        <v>95</v>
      </c>
      <c r="H1845">
        <v>0</v>
      </c>
      <c r="I1845">
        <v>0</v>
      </c>
      <c r="J1845" t="s">
        <v>900</v>
      </c>
      <c r="K1845">
        <v>2000</v>
      </c>
      <c r="L1845">
        <v>105</v>
      </c>
      <c r="M1845">
        <v>463</v>
      </c>
    </row>
    <row r="1846" spans="2:13" x14ac:dyDescent="0.25">
      <c r="B1846" s="50" t="s">
        <v>4056</v>
      </c>
      <c r="C1846">
        <v>650</v>
      </c>
      <c r="D1846">
        <v>1300</v>
      </c>
      <c r="E1846">
        <v>8</v>
      </c>
      <c r="F1846" s="16">
        <v>8</v>
      </c>
      <c r="G1846">
        <v>95</v>
      </c>
      <c r="H1846">
        <v>0</v>
      </c>
      <c r="I1846" t="s">
        <v>8</v>
      </c>
      <c r="J1846" t="s">
        <v>900</v>
      </c>
      <c r="K1846">
        <v>2000</v>
      </c>
      <c r="L1846">
        <v>105</v>
      </c>
      <c r="M1846">
        <v>463</v>
      </c>
    </row>
    <row r="1847" spans="2:13" x14ac:dyDescent="0.25">
      <c r="B1847" s="50" t="s">
        <v>3099</v>
      </c>
      <c r="C1847">
        <v>650</v>
      </c>
      <c r="D1847">
        <v>1300</v>
      </c>
      <c r="E1847">
        <v>8</v>
      </c>
      <c r="F1847" s="16">
        <v>8</v>
      </c>
      <c r="G1847">
        <v>95</v>
      </c>
      <c r="H1847">
        <v>0</v>
      </c>
      <c r="I1847" t="s">
        <v>1293</v>
      </c>
      <c r="J1847" t="s">
        <v>900</v>
      </c>
      <c r="K1847">
        <v>2000</v>
      </c>
      <c r="L1847">
        <v>105</v>
      </c>
      <c r="M1847">
        <v>463</v>
      </c>
    </row>
    <row r="1848" spans="2:13" x14ac:dyDescent="0.25">
      <c r="B1848" s="50" t="s">
        <v>4337</v>
      </c>
      <c r="C1848">
        <v>650</v>
      </c>
      <c r="D1848">
        <v>1300</v>
      </c>
      <c r="E1848">
        <v>8</v>
      </c>
      <c r="F1848" s="16">
        <v>8</v>
      </c>
      <c r="G1848">
        <v>95</v>
      </c>
      <c r="H1848">
        <v>0</v>
      </c>
      <c r="I1848" t="s">
        <v>1221</v>
      </c>
      <c r="J1848" t="s">
        <v>900</v>
      </c>
      <c r="K1848">
        <v>2000</v>
      </c>
      <c r="L1848">
        <v>105</v>
      </c>
      <c r="M1848">
        <v>463</v>
      </c>
    </row>
    <row r="1849" spans="2:13" x14ac:dyDescent="0.25">
      <c r="B1849" s="50" t="s">
        <v>3553</v>
      </c>
      <c r="C1849">
        <v>650</v>
      </c>
      <c r="D1849">
        <v>1300</v>
      </c>
      <c r="E1849">
        <v>8</v>
      </c>
      <c r="F1849" s="16">
        <v>8</v>
      </c>
      <c r="G1849">
        <v>95</v>
      </c>
      <c r="H1849">
        <v>0</v>
      </c>
      <c r="I1849" t="s">
        <v>1229</v>
      </c>
      <c r="J1849" t="s">
        <v>900</v>
      </c>
      <c r="K1849">
        <v>2000</v>
      </c>
      <c r="L1849">
        <v>105</v>
      </c>
      <c r="M1849">
        <v>463</v>
      </c>
    </row>
    <row r="1850" spans="2:13" x14ac:dyDescent="0.25">
      <c r="B1850" s="50" t="s">
        <v>2870</v>
      </c>
      <c r="C1850">
        <v>650</v>
      </c>
      <c r="D1850">
        <v>1300</v>
      </c>
      <c r="E1850">
        <v>8</v>
      </c>
      <c r="F1850" s="16">
        <v>8</v>
      </c>
      <c r="G1850">
        <v>0</v>
      </c>
      <c r="H1850">
        <v>0</v>
      </c>
      <c r="I1850">
        <v>0</v>
      </c>
      <c r="J1850" t="s">
        <v>910</v>
      </c>
      <c r="K1850">
        <v>0</v>
      </c>
      <c r="L1850">
        <v>0</v>
      </c>
      <c r="M1850">
        <v>0</v>
      </c>
    </row>
    <row r="1851" spans="2:13" x14ac:dyDescent="0.25">
      <c r="B1851" s="50" t="s">
        <v>946</v>
      </c>
      <c r="C1851">
        <v>7.5</v>
      </c>
      <c r="D1851">
        <v>7.5</v>
      </c>
      <c r="E1851">
        <v>3.5</v>
      </c>
      <c r="F1851" s="16">
        <v>3.5</v>
      </c>
      <c r="G1851">
        <v>0</v>
      </c>
      <c r="H1851">
        <v>0</v>
      </c>
      <c r="I1851" t="s">
        <v>1227</v>
      </c>
      <c r="J1851" t="s">
        <v>1228</v>
      </c>
      <c r="K1851">
        <v>170</v>
      </c>
      <c r="L1851">
        <v>60</v>
      </c>
      <c r="M1851">
        <v>50</v>
      </c>
    </row>
    <row r="1852" spans="2:13" x14ac:dyDescent="0.25">
      <c r="B1852" s="50" t="s">
        <v>978</v>
      </c>
      <c r="C1852">
        <v>7.5</v>
      </c>
      <c r="D1852">
        <v>7.5</v>
      </c>
      <c r="E1852">
        <v>3.5</v>
      </c>
      <c r="F1852" s="16">
        <v>3.5</v>
      </c>
      <c r="G1852">
        <v>0</v>
      </c>
      <c r="H1852">
        <v>0</v>
      </c>
      <c r="I1852" t="s">
        <v>1227</v>
      </c>
      <c r="J1852" t="s">
        <v>1228</v>
      </c>
      <c r="K1852">
        <v>170</v>
      </c>
      <c r="L1852">
        <v>60</v>
      </c>
      <c r="M1852">
        <v>50</v>
      </c>
    </row>
    <row r="1853" spans="2:13" x14ac:dyDescent="0.25">
      <c r="B1853" s="50" t="s">
        <v>3098</v>
      </c>
      <c r="C1853">
        <v>800</v>
      </c>
      <c r="D1853">
        <v>800</v>
      </c>
      <c r="E1853">
        <v>8</v>
      </c>
      <c r="F1853" s="16">
        <v>8</v>
      </c>
      <c r="G1853">
        <v>35</v>
      </c>
      <c r="H1853">
        <v>0</v>
      </c>
      <c r="I1853" t="s">
        <v>1229</v>
      </c>
      <c r="J1853" t="s">
        <v>910</v>
      </c>
      <c r="K1853">
        <v>946</v>
      </c>
      <c r="L1853">
        <v>111</v>
      </c>
      <c r="M1853">
        <v>113</v>
      </c>
    </row>
    <row r="1854" spans="2:13" x14ac:dyDescent="0.25">
      <c r="B1854" s="50" t="s">
        <v>3552</v>
      </c>
      <c r="C1854">
        <v>800</v>
      </c>
      <c r="D1854">
        <v>800</v>
      </c>
      <c r="E1854">
        <v>8</v>
      </c>
      <c r="F1854" s="16">
        <v>8</v>
      </c>
      <c r="G1854">
        <v>35</v>
      </c>
      <c r="H1854">
        <v>0</v>
      </c>
      <c r="I1854" t="s">
        <v>1298</v>
      </c>
      <c r="J1854" t="s">
        <v>900</v>
      </c>
      <c r="K1854">
        <v>877</v>
      </c>
      <c r="L1854">
        <v>111</v>
      </c>
      <c r="M1854">
        <v>113</v>
      </c>
    </row>
    <row r="1855" spans="2:13" x14ac:dyDescent="0.25">
      <c r="B1855" s="50" t="s">
        <v>1087</v>
      </c>
      <c r="C1855">
        <v>800</v>
      </c>
      <c r="D1855">
        <v>800</v>
      </c>
      <c r="E1855">
        <v>8</v>
      </c>
      <c r="F1855" s="16">
        <v>8</v>
      </c>
      <c r="G1855">
        <v>35</v>
      </c>
      <c r="H1855">
        <v>0</v>
      </c>
      <c r="I1855" t="s">
        <v>1228</v>
      </c>
      <c r="J1855" t="s">
        <v>1228</v>
      </c>
      <c r="K1855">
        <v>946</v>
      </c>
      <c r="L1855">
        <v>111</v>
      </c>
      <c r="M1855">
        <v>113</v>
      </c>
    </row>
    <row r="1856" spans="2:13" x14ac:dyDescent="0.25">
      <c r="B1856" s="50" t="s">
        <v>1092</v>
      </c>
      <c r="C1856">
        <v>800</v>
      </c>
      <c r="D1856">
        <v>800</v>
      </c>
      <c r="E1856">
        <v>8</v>
      </c>
      <c r="F1856" s="16">
        <v>8</v>
      </c>
      <c r="G1856">
        <v>35</v>
      </c>
      <c r="H1856">
        <v>0</v>
      </c>
      <c r="I1856" t="s">
        <v>1286</v>
      </c>
      <c r="J1856" t="s">
        <v>910</v>
      </c>
      <c r="K1856">
        <v>946</v>
      </c>
      <c r="L1856">
        <v>111</v>
      </c>
      <c r="M1856">
        <v>113</v>
      </c>
    </row>
    <row r="1857" spans="2:13" x14ac:dyDescent="0.25">
      <c r="B1857" s="50" t="s">
        <v>4369</v>
      </c>
      <c r="C1857">
        <v>800</v>
      </c>
      <c r="D1857">
        <v>800</v>
      </c>
      <c r="E1857">
        <v>8</v>
      </c>
      <c r="F1857" s="16">
        <v>8</v>
      </c>
      <c r="G1857">
        <v>35</v>
      </c>
      <c r="H1857">
        <v>0</v>
      </c>
      <c r="I1857" t="s">
        <v>1227</v>
      </c>
      <c r="J1857" t="s">
        <v>1228</v>
      </c>
      <c r="K1857">
        <v>946</v>
      </c>
      <c r="L1857">
        <v>111</v>
      </c>
      <c r="M1857">
        <v>113</v>
      </c>
    </row>
    <row r="1858" spans="2:13" x14ac:dyDescent="0.25">
      <c r="B1858" s="50" t="s">
        <v>3652</v>
      </c>
      <c r="C1858">
        <v>800</v>
      </c>
      <c r="D1858">
        <v>800</v>
      </c>
      <c r="E1858">
        <v>8</v>
      </c>
      <c r="F1858" s="16">
        <v>8</v>
      </c>
      <c r="G1858">
        <v>35</v>
      </c>
      <c r="H1858">
        <v>0</v>
      </c>
      <c r="I1858" t="s">
        <v>8</v>
      </c>
      <c r="J1858" t="s">
        <v>910</v>
      </c>
      <c r="K1858">
        <v>946</v>
      </c>
      <c r="L1858">
        <v>111</v>
      </c>
      <c r="M1858">
        <v>113</v>
      </c>
    </row>
    <row r="1859" spans="2:13" x14ac:dyDescent="0.25">
      <c r="B1859" s="50" t="s">
        <v>3097</v>
      </c>
      <c r="C1859">
        <v>800</v>
      </c>
      <c r="D1859">
        <v>800</v>
      </c>
      <c r="E1859">
        <v>8</v>
      </c>
      <c r="F1859" s="16">
        <v>8</v>
      </c>
      <c r="G1859">
        <v>35</v>
      </c>
      <c r="H1859">
        <v>0</v>
      </c>
      <c r="I1859" t="s">
        <v>1331</v>
      </c>
      <c r="J1859" t="s">
        <v>910</v>
      </c>
      <c r="K1859">
        <v>946</v>
      </c>
      <c r="L1859">
        <v>111</v>
      </c>
      <c r="M1859">
        <v>113</v>
      </c>
    </row>
    <row r="1860" spans="2:13" x14ac:dyDescent="0.25">
      <c r="B1860" s="50" t="s">
        <v>3651</v>
      </c>
      <c r="C1860">
        <v>800</v>
      </c>
      <c r="D1860">
        <v>800</v>
      </c>
      <c r="E1860">
        <v>8</v>
      </c>
      <c r="F1860" s="16">
        <v>8</v>
      </c>
      <c r="G1860">
        <v>35</v>
      </c>
      <c r="H1860">
        <v>0</v>
      </c>
      <c r="I1860" t="s">
        <v>1482</v>
      </c>
      <c r="J1860" t="s">
        <v>1482</v>
      </c>
      <c r="K1860">
        <v>946</v>
      </c>
      <c r="L1860">
        <v>111</v>
      </c>
      <c r="M1860">
        <v>113</v>
      </c>
    </row>
    <row r="1861" spans="2:13" x14ac:dyDescent="0.25">
      <c r="B1861" s="50" t="s">
        <v>3650</v>
      </c>
      <c r="C1861">
        <v>800</v>
      </c>
      <c r="D1861">
        <v>800</v>
      </c>
      <c r="E1861">
        <v>8</v>
      </c>
      <c r="F1861" s="16">
        <v>8</v>
      </c>
      <c r="G1861">
        <v>35</v>
      </c>
      <c r="H1861">
        <v>0</v>
      </c>
      <c r="I1861" t="s">
        <v>1333</v>
      </c>
      <c r="J1861" t="s">
        <v>900</v>
      </c>
      <c r="K1861">
        <v>946</v>
      </c>
      <c r="L1861">
        <v>111</v>
      </c>
      <c r="M1861">
        <v>113</v>
      </c>
    </row>
    <row r="1862" spans="2:13" x14ac:dyDescent="0.25">
      <c r="B1862" s="50" t="s">
        <v>3649</v>
      </c>
      <c r="C1862">
        <v>800</v>
      </c>
      <c r="D1862">
        <v>800</v>
      </c>
      <c r="E1862">
        <v>8</v>
      </c>
      <c r="F1862" s="16">
        <v>8</v>
      </c>
      <c r="G1862">
        <v>35</v>
      </c>
      <c r="H1862">
        <v>0</v>
      </c>
      <c r="I1862" t="s">
        <v>1293</v>
      </c>
      <c r="J1862" t="s">
        <v>900</v>
      </c>
      <c r="K1862">
        <v>946</v>
      </c>
      <c r="L1862">
        <v>111</v>
      </c>
      <c r="M1862">
        <v>113</v>
      </c>
    </row>
    <row r="1863" spans="2:13" x14ac:dyDescent="0.25">
      <c r="B1863" s="50" t="s">
        <v>2800</v>
      </c>
      <c r="C1863">
        <v>800</v>
      </c>
      <c r="D1863">
        <v>800</v>
      </c>
      <c r="E1863">
        <v>8</v>
      </c>
      <c r="F1863" s="16">
        <v>8</v>
      </c>
      <c r="G1863">
        <v>35</v>
      </c>
      <c r="H1863">
        <v>0</v>
      </c>
      <c r="I1863" t="s">
        <v>1221</v>
      </c>
      <c r="J1863" t="s">
        <v>900</v>
      </c>
      <c r="K1863">
        <v>946</v>
      </c>
      <c r="L1863">
        <v>111</v>
      </c>
      <c r="M1863">
        <v>113</v>
      </c>
    </row>
    <row r="1864" spans="2:13" x14ac:dyDescent="0.25">
      <c r="B1864" s="50" t="s">
        <v>2869</v>
      </c>
      <c r="C1864">
        <v>800</v>
      </c>
      <c r="D1864">
        <v>800</v>
      </c>
      <c r="E1864">
        <v>8</v>
      </c>
      <c r="F1864" s="16">
        <v>8</v>
      </c>
      <c r="G1864">
        <v>35</v>
      </c>
      <c r="H1864">
        <v>0</v>
      </c>
      <c r="I1864">
        <v>0</v>
      </c>
      <c r="J1864" t="s">
        <v>910</v>
      </c>
      <c r="K1864">
        <v>946</v>
      </c>
      <c r="L1864">
        <v>111</v>
      </c>
      <c r="M1864">
        <v>113</v>
      </c>
    </row>
    <row r="1865" spans="2:13" x14ac:dyDescent="0.25">
      <c r="B1865" s="50" t="s">
        <v>2875</v>
      </c>
      <c r="C1865">
        <v>85</v>
      </c>
      <c r="D1865">
        <v>85</v>
      </c>
      <c r="E1865">
        <v>1.4</v>
      </c>
      <c r="F1865" s="16">
        <v>1.4</v>
      </c>
      <c r="G1865">
        <v>72</v>
      </c>
      <c r="H1865">
        <v>0</v>
      </c>
      <c r="I1865" t="s">
        <v>1221</v>
      </c>
      <c r="J1865" t="s">
        <v>910</v>
      </c>
      <c r="K1865">
        <v>570</v>
      </c>
      <c r="L1865">
        <v>78</v>
      </c>
      <c r="M1865">
        <v>100.7</v>
      </c>
    </row>
    <row r="1866" spans="2:13" x14ac:dyDescent="0.25">
      <c r="B1866" s="50" t="s">
        <v>3678</v>
      </c>
      <c r="C1866">
        <v>85</v>
      </c>
      <c r="D1866">
        <v>85</v>
      </c>
      <c r="E1866">
        <v>1.4</v>
      </c>
      <c r="F1866" s="16">
        <v>1.4</v>
      </c>
      <c r="G1866">
        <v>72</v>
      </c>
      <c r="H1866">
        <v>0</v>
      </c>
      <c r="I1866" t="s">
        <v>1229</v>
      </c>
      <c r="J1866" t="s">
        <v>910</v>
      </c>
      <c r="K1866">
        <v>540</v>
      </c>
      <c r="L1866">
        <v>78</v>
      </c>
      <c r="M1866">
        <v>74.7</v>
      </c>
    </row>
    <row r="1867" spans="2:13" x14ac:dyDescent="0.25">
      <c r="B1867" s="50" t="s">
        <v>2874</v>
      </c>
      <c r="C1867">
        <v>85</v>
      </c>
      <c r="D1867">
        <v>85</v>
      </c>
      <c r="E1867">
        <v>1.4</v>
      </c>
      <c r="F1867" s="16">
        <v>1.4</v>
      </c>
      <c r="G1867">
        <v>72</v>
      </c>
      <c r="H1867">
        <v>0</v>
      </c>
      <c r="I1867" t="s">
        <v>1228</v>
      </c>
      <c r="J1867" t="s">
        <v>1228</v>
      </c>
      <c r="K1867">
        <v>520</v>
      </c>
      <c r="L1867">
        <v>78</v>
      </c>
      <c r="M1867">
        <v>80</v>
      </c>
    </row>
    <row r="1868" spans="2:13" x14ac:dyDescent="0.25">
      <c r="B1868" s="50" t="s">
        <v>4065</v>
      </c>
      <c r="C1868">
        <v>85</v>
      </c>
      <c r="D1868">
        <v>85</v>
      </c>
      <c r="E1868">
        <v>1.4</v>
      </c>
      <c r="F1868" s="16">
        <v>1.4</v>
      </c>
      <c r="G1868">
        <v>72</v>
      </c>
      <c r="H1868">
        <v>0</v>
      </c>
      <c r="I1868" t="s">
        <v>1227</v>
      </c>
      <c r="J1868" t="s">
        <v>1228</v>
      </c>
      <c r="K1868">
        <v>520</v>
      </c>
      <c r="L1868">
        <v>78</v>
      </c>
      <c r="M1868">
        <v>80</v>
      </c>
    </row>
    <row r="1869" spans="2:13" x14ac:dyDescent="0.25">
      <c r="B1869" s="50" t="s">
        <v>2873</v>
      </c>
      <c r="C1869">
        <v>85</v>
      </c>
      <c r="D1869">
        <v>85</v>
      </c>
      <c r="E1869">
        <v>1.4</v>
      </c>
      <c r="F1869" s="16">
        <v>1.4</v>
      </c>
      <c r="G1869">
        <v>72</v>
      </c>
      <c r="H1869">
        <v>0</v>
      </c>
      <c r="I1869" t="s">
        <v>8</v>
      </c>
      <c r="J1869" t="s">
        <v>910</v>
      </c>
      <c r="K1869">
        <v>510</v>
      </c>
      <c r="L1869">
        <v>78</v>
      </c>
      <c r="M1869">
        <v>72.2</v>
      </c>
    </row>
    <row r="1870" spans="2:13" x14ac:dyDescent="0.25">
      <c r="B1870" s="50" t="s">
        <v>3677</v>
      </c>
      <c r="C1870">
        <v>85</v>
      </c>
      <c r="D1870">
        <v>85</v>
      </c>
      <c r="E1870">
        <v>1.4</v>
      </c>
      <c r="F1870" s="16">
        <v>1.4</v>
      </c>
      <c r="G1870">
        <v>72</v>
      </c>
      <c r="H1870">
        <v>0</v>
      </c>
      <c r="I1870" t="s">
        <v>1293</v>
      </c>
      <c r="J1870" t="s">
        <v>900</v>
      </c>
      <c r="K1870">
        <v>530</v>
      </c>
      <c r="L1870">
        <v>78</v>
      </c>
      <c r="M1870">
        <v>74.2</v>
      </c>
    </row>
    <row r="1871" spans="2:13" x14ac:dyDescent="0.25">
      <c r="B1871" s="50" t="s">
        <v>3676</v>
      </c>
      <c r="C1871">
        <v>85</v>
      </c>
      <c r="D1871">
        <v>85</v>
      </c>
      <c r="E1871">
        <v>1.5</v>
      </c>
      <c r="F1871" s="16">
        <v>1.5</v>
      </c>
      <c r="G1871">
        <v>72</v>
      </c>
      <c r="H1871">
        <v>0</v>
      </c>
      <c r="I1871" t="s">
        <v>1298</v>
      </c>
      <c r="J1871" t="s">
        <v>910</v>
      </c>
      <c r="K1871">
        <v>640</v>
      </c>
      <c r="L1871">
        <v>78</v>
      </c>
      <c r="M1871">
        <v>100.6</v>
      </c>
    </row>
    <row r="1872" spans="2:13" x14ac:dyDescent="0.25">
      <c r="B1872" s="50" t="s">
        <v>3675</v>
      </c>
      <c r="C1872">
        <v>85</v>
      </c>
      <c r="D1872">
        <v>85</v>
      </c>
      <c r="E1872">
        <v>1.5</v>
      </c>
      <c r="F1872" s="16">
        <v>1.5</v>
      </c>
      <c r="G1872">
        <v>72</v>
      </c>
      <c r="H1872">
        <v>0</v>
      </c>
      <c r="I1872" t="s">
        <v>1286</v>
      </c>
      <c r="J1872" t="s">
        <v>910</v>
      </c>
      <c r="K1872">
        <v>645</v>
      </c>
      <c r="L1872">
        <v>78</v>
      </c>
      <c r="M1872">
        <v>101</v>
      </c>
    </row>
    <row r="1873" spans="2:13" x14ac:dyDescent="0.25">
      <c r="B1873" s="50" t="s">
        <v>4064</v>
      </c>
      <c r="C1873">
        <v>85</v>
      </c>
      <c r="D1873">
        <v>85</v>
      </c>
      <c r="E1873">
        <v>1.5</v>
      </c>
      <c r="F1873" s="16">
        <v>1.5</v>
      </c>
      <c r="G1873">
        <v>72</v>
      </c>
      <c r="H1873">
        <v>0</v>
      </c>
      <c r="I1873" t="s">
        <v>1229</v>
      </c>
      <c r="J1873" t="s">
        <v>910</v>
      </c>
      <c r="K1873">
        <v>570</v>
      </c>
      <c r="L1873">
        <v>78</v>
      </c>
      <c r="M1873">
        <v>80</v>
      </c>
    </row>
    <row r="1874" spans="2:13" x14ac:dyDescent="0.25">
      <c r="B1874" s="50" t="s">
        <v>3674</v>
      </c>
      <c r="C1874">
        <v>85</v>
      </c>
      <c r="D1874">
        <v>85</v>
      </c>
      <c r="E1874">
        <v>1.5</v>
      </c>
      <c r="F1874" s="16">
        <v>1.5</v>
      </c>
      <c r="G1874">
        <v>72</v>
      </c>
      <c r="H1874">
        <v>0</v>
      </c>
      <c r="I1874" t="s">
        <v>1228</v>
      </c>
      <c r="J1874" t="s">
        <v>1228</v>
      </c>
      <c r="K1874">
        <v>580</v>
      </c>
      <c r="L1874">
        <v>78</v>
      </c>
      <c r="M1874">
        <v>80</v>
      </c>
    </row>
    <row r="1875" spans="2:13" x14ac:dyDescent="0.25">
      <c r="B1875" s="50" t="s">
        <v>3673</v>
      </c>
      <c r="C1875">
        <v>85</v>
      </c>
      <c r="D1875">
        <v>85</v>
      </c>
      <c r="E1875">
        <v>1.5</v>
      </c>
      <c r="F1875" s="16">
        <v>1.5</v>
      </c>
      <c r="G1875">
        <v>72</v>
      </c>
      <c r="H1875">
        <v>0</v>
      </c>
      <c r="I1875" t="s">
        <v>1227</v>
      </c>
      <c r="J1875" t="s">
        <v>1228</v>
      </c>
      <c r="K1875">
        <v>580</v>
      </c>
      <c r="L1875">
        <v>78</v>
      </c>
      <c r="M1875">
        <v>80</v>
      </c>
    </row>
    <row r="1876" spans="2:13" x14ac:dyDescent="0.25">
      <c r="B1876" s="50" t="s">
        <v>3672</v>
      </c>
      <c r="C1876">
        <v>85</v>
      </c>
      <c r="D1876">
        <v>85</v>
      </c>
      <c r="E1876">
        <v>1.5</v>
      </c>
      <c r="F1876" s="16">
        <v>1.5</v>
      </c>
      <c r="G1876">
        <v>72</v>
      </c>
      <c r="H1876">
        <v>0</v>
      </c>
      <c r="I1876" t="s">
        <v>1314</v>
      </c>
      <c r="J1876" t="s">
        <v>910</v>
      </c>
      <c r="K1876">
        <v>550</v>
      </c>
      <c r="L1876">
        <v>78</v>
      </c>
      <c r="M1876">
        <v>80</v>
      </c>
    </row>
    <row r="1877" spans="2:13" x14ac:dyDescent="0.25">
      <c r="B1877" s="50" t="s">
        <v>4300</v>
      </c>
      <c r="C1877">
        <v>85</v>
      </c>
      <c r="D1877">
        <v>85</v>
      </c>
      <c r="E1877">
        <v>1.5</v>
      </c>
      <c r="F1877" s="16">
        <v>1.5</v>
      </c>
      <c r="G1877">
        <v>72</v>
      </c>
      <c r="H1877">
        <v>0</v>
      </c>
      <c r="I1877" t="s">
        <v>8</v>
      </c>
      <c r="J1877" t="s">
        <v>910</v>
      </c>
      <c r="K1877">
        <v>550</v>
      </c>
      <c r="L1877">
        <v>78</v>
      </c>
      <c r="M1877">
        <v>80</v>
      </c>
    </row>
    <row r="1878" spans="2:13" x14ac:dyDescent="0.25">
      <c r="B1878" s="50" t="s">
        <v>3671</v>
      </c>
      <c r="C1878">
        <v>85</v>
      </c>
      <c r="D1878">
        <v>85</v>
      </c>
      <c r="E1878">
        <v>1.5</v>
      </c>
      <c r="F1878" s="16">
        <v>1.5</v>
      </c>
      <c r="G1878">
        <v>72</v>
      </c>
      <c r="H1878">
        <v>0</v>
      </c>
      <c r="I1878" t="s">
        <v>1333</v>
      </c>
      <c r="J1878" t="s">
        <v>900</v>
      </c>
      <c r="K1878">
        <v>590</v>
      </c>
      <c r="L1878">
        <v>78</v>
      </c>
      <c r="M1878">
        <v>80</v>
      </c>
    </row>
    <row r="1879" spans="2:13" x14ac:dyDescent="0.25">
      <c r="B1879" s="50" t="s">
        <v>3670</v>
      </c>
      <c r="C1879">
        <v>85</v>
      </c>
      <c r="D1879">
        <v>85</v>
      </c>
      <c r="E1879">
        <v>1.5</v>
      </c>
      <c r="F1879" s="16">
        <v>1.5</v>
      </c>
      <c r="G1879">
        <v>72</v>
      </c>
      <c r="H1879">
        <v>0</v>
      </c>
      <c r="I1879" t="s">
        <v>1293</v>
      </c>
      <c r="J1879" t="s">
        <v>900</v>
      </c>
      <c r="K1879">
        <v>600</v>
      </c>
      <c r="L1879">
        <v>78</v>
      </c>
      <c r="M1879">
        <v>80</v>
      </c>
    </row>
    <row r="1880" spans="2:13" x14ac:dyDescent="0.25">
      <c r="B1880" s="50" t="s">
        <v>3669</v>
      </c>
      <c r="C1880">
        <v>85</v>
      </c>
      <c r="D1880">
        <v>85</v>
      </c>
      <c r="E1880">
        <v>1.5</v>
      </c>
      <c r="F1880" s="16">
        <v>1.5</v>
      </c>
      <c r="G1880">
        <v>72</v>
      </c>
      <c r="H1880">
        <v>0</v>
      </c>
      <c r="I1880" t="s">
        <v>1221</v>
      </c>
      <c r="J1880" t="s">
        <v>900</v>
      </c>
      <c r="K1880">
        <v>600</v>
      </c>
      <c r="L1880">
        <v>78</v>
      </c>
      <c r="M1880">
        <v>80</v>
      </c>
    </row>
    <row r="1881" spans="2:13" x14ac:dyDescent="0.25">
      <c r="B1881" s="50" t="s">
        <v>3756</v>
      </c>
      <c r="C1881">
        <v>8</v>
      </c>
      <c r="D1881">
        <v>8</v>
      </c>
      <c r="E1881">
        <v>2.8</v>
      </c>
      <c r="F1881" s="16">
        <v>2.8</v>
      </c>
      <c r="G1881">
        <v>0</v>
      </c>
      <c r="H1881">
        <v>0</v>
      </c>
      <c r="I1881" t="s">
        <v>1286</v>
      </c>
      <c r="J1881" t="s">
        <v>900</v>
      </c>
      <c r="K1881">
        <v>260</v>
      </c>
      <c r="L1881">
        <v>60</v>
      </c>
      <c r="M1881">
        <v>56.1</v>
      </c>
    </row>
    <row r="1882" spans="2:13" x14ac:dyDescent="0.25">
      <c r="B1882" s="50" t="s">
        <v>3755</v>
      </c>
      <c r="C1882">
        <v>8</v>
      </c>
      <c r="D1882">
        <v>8</v>
      </c>
      <c r="E1882">
        <v>2.8</v>
      </c>
      <c r="F1882" s="16">
        <v>2.8</v>
      </c>
      <c r="G1882">
        <v>0</v>
      </c>
      <c r="H1882">
        <v>0</v>
      </c>
      <c r="I1882" t="s">
        <v>1221</v>
      </c>
      <c r="J1882" t="s">
        <v>900</v>
      </c>
      <c r="K1882">
        <v>215</v>
      </c>
      <c r="L1882">
        <v>60</v>
      </c>
      <c r="M1882">
        <v>55.8</v>
      </c>
    </row>
    <row r="1883" spans="2:13" x14ac:dyDescent="0.25">
      <c r="B1883" s="50" t="s">
        <v>3754</v>
      </c>
      <c r="C1883">
        <v>8</v>
      </c>
      <c r="D1883">
        <v>8</v>
      </c>
      <c r="E1883">
        <v>2.8</v>
      </c>
      <c r="F1883" s="16">
        <v>2.8</v>
      </c>
      <c r="G1883">
        <v>0</v>
      </c>
      <c r="H1883">
        <v>0</v>
      </c>
      <c r="I1883" t="s">
        <v>1221</v>
      </c>
      <c r="J1883" t="s">
        <v>900</v>
      </c>
      <c r="K1883">
        <v>215</v>
      </c>
      <c r="L1883">
        <v>60</v>
      </c>
      <c r="M1883">
        <v>55.8</v>
      </c>
    </row>
    <row r="1884" spans="2:13" x14ac:dyDescent="0.25">
      <c r="B1884" s="50" t="s">
        <v>3753</v>
      </c>
      <c r="C1884">
        <v>8</v>
      </c>
      <c r="D1884">
        <v>8</v>
      </c>
      <c r="E1884">
        <v>2.8</v>
      </c>
      <c r="F1884" s="16">
        <v>2.8</v>
      </c>
      <c r="G1884">
        <v>0</v>
      </c>
      <c r="H1884">
        <v>0</v>
      </c>
      <c r="I1884" t="s">
        <v>1333</v>
      </c>
      <c r="J1884" t="s">
        <v>900</v>
      </c>
      <c r="K1884">
        <v>210</v>
      </c>
      <c r="L1884">
        <v>60</v>
      </c>
      <c r="M1884">
        <v>48.3</v>
      </c>
    </row>
    <row r="1885" spans="2:13" x14ac:dyDescent="0.25">
      <c r="B1885" s="50" t="s">
        <v>3077</v>
      </c>
      <c r="C1885">
        <v>8</v>
      </c>
      <c r="D1885">
        <v>8</v>
      </c>
      <c r="E1885">
        <v>2.8</v>
      </c>
      <c r="F1885" s="16">
        <v>2.8</v>
      </c>
      <c r="G1885">
        <v>0</v>
      </c>
      <c r="H1885">
        <v>0</v>
      </c>
      <c r="I1885" t="s">
        <v>1298</v>
      </c>
      <c r="J1885" t="s">
        <v>900</v>
      </c>
      <c r="K1885">
        <v>290</v>
      </c>
      <c r="L1885">
        <v>60</v>
      </c>
      <c r="M1885">
        <v>65</v>
      </c>
    </row>
    <row r="1886" spans="2:13" x14ac:dyDescent="0.25">
      <c r="B1886" s="50" t="s">
        <v>3752</v>
      </c>
      <c r="C1886">
        <v>8</v>
      </c>
      <c r="D1886">
        <v>8</v>
      </c>
      <c r="E1886">
        <v>2.8</v>
      </c>
      <c r="F1886" s="16">
        <v>2.8</v>
      </c>
      <c r="G1886">
        <v>0</v>
      </c>
      <c r="H1886">
        <v>0</v>
      </c>
      <c r="I1886" t="s">
        <v>1286</v>
      </c>
      <c r="J1886" t="s">
        <v>900</v>
      </c>
      <c r="K1886">
        <v>290</v>
      </c>
      <c r="L1886">
        <v>60</v>
      </c>
      <c r="M1886">
        <v>65</v>
      </c>
    </row>
    <row r="1887" spans="2:13" x14ac:dyDescent="0.25">
      <c r="B1887" s="50" t="s">
        <v>3751</v>
      </c>
      <c r="C1887">
        <v>8</v>
      </c>
      <c r="D1887">
        <v>8</v>
      </c>
      <c r="E1887">
        <v>2.8</v>
      </c>
      <c r="F1887" s="16">
        <v>2.8</v>
      </c>
      <c r="G1887">
        <v>0</v>
      </c>
      <c r="H1887">
        <v>0</v>
      </c>
      <c r="I1887" t="s">
        <v>1333</v>
      </c>
      <c r="J1887" t="s">
        <v>900</v>
      </c>
      <c r="K1887">
        <v>290</v>
      </c>
      <c r="L1887">
        <v>60</v>
      </c>
      <c r="M1887">
        <v>65</v>
      </c>
    </row>
    <row r="1888" spans="2:13" x14ac:dyDescent="0.25">
      <c r="B1888" s="50" t="s">
        <v>3750</v>
      </c>
      <c r="C1888">
        <v>8</v>
      </c>
      <c r="D1888">
        <v>8</v>
      </c>
      <c r="E1888">
        <v>2.8</v>
      </c>
      <c r="F1888" s="16">
        <v>2.8</v>
      </c>
      <c r="G1888">
        <v>0</v>
      </c>
      <c r="H1888">
        <v>0</v>
      </c>
      <c r="I1888" t="s">
        <v>1221</v>
      </c>
      <c r="J1888" t="s">
        <v>900</v>
      </c>
      <c r="K1888">
        <v>290</v>
      </c>
      <c r="L1888">
        <v>60</v>
      </c>
      <c r="M1888">
        <v>65</v>
      </c>
    </row>
    <row r="1889" spans="2:13" x14ac:dyDescent="0.25">
      <c r="B1889" s="50" t="s">
        <v>3749</v>
      </c>
      <c r="C1889">
        <v>8</v>
      </c>
      <c r="D1889">
        <v>8</v>
      </c>
      <c r="E1889">
        <v>2.8</v>
      </c>
      <c r="F1889" s="16">
        <v>2.8</v>
      </c>
      <c r="G1889">
        <v>0</v>
      </c>
      <c r="H1889">
        <v>0</v>
      </c>
      <c r="I1889" t="s">
        <v>1221</v>
      </c>
      <c r="J1889" t="s">
        <v>900</v>
      </c>
      <c r="K1889">
        <v>290</v>
      </c>
      <c r="L1889">
        <v>60</v>
      </c>
      <c r="M1889">
        <v>65</v>
      </c>
    </row>
    <row r="1890" spans="2:13" x14ac:dyDescent="0.25">
      <c r="B1890" s="50" t="s">
        <v>3458</v>
      </c>
      <c r="C1890">
        <v>8</v>
      </c>
      <c r="D1890">
        <v>8</v>
      </c>
      <c r="E1890">
        <v>3.1</v>
      </c>
      <c r="F1890" s="16">
        <v>3.1</v>
      </c>
      <c r="G1890">
        <v>0</v>
      </c>
      <c r="H1890">
        <v>0</v>
      </c>
      <c r="I1890" t="s">
        <v>1298</v>
      </c>
      <c r="J1890" t="s">
        <v>900</v>
      </c>
      <c r="K1890">
        <v>265</v>
      </c>
      <c r="L1890">
        <v>73.599999999999994</v>
      </c>
      <c r="M1890">
        <v>64.400000000000006</v>
      </c>
    </row>
    <row r="1891" spans="2:13" x14ac:dyDescent="0.25">
      <c r="B1891" s="50" t="s">
        <v>3457</v>
      </c>
      <c r="C1891">
        <v>8</v>
      </c>
      <c r="D1891">
        <v>8</v>
      </c>
      <c r="E1891">
        <v>3.1</v>
      </c>
      <c r="F1891" s="16">
        <v>3.1</v>
      </c>
      <c r="G1891">
        <v>0</v>
      </c>
      <c r="H1891">
        <v>0</v>
      </c>
      <c r="I1891" t="s">
        <v>1286</v>
      </c>
      <c r="J1891" t="s">
        <v>900</v>
      </c>
      <c r="K1891">
        <v>265</v>
      </c>
      <c r="L1891">
        <v>73.599999999999994</v>
      </c>
      <c r="M1891">
        <v>64.400000000000006</v>
      </c>
    </row>
    <row r="1892" spans="2:13" x14ac:dyDescent="0.25">
      <c r="B1892" s="50" t="s">
        <v>3456</v>
      </c>
      <c r="C1892">
        <v>8</v>
      </c>
      <c r="D1892">
        <v>8</v>
      </c>
      <c r="E1892">
        <v>3.1</v>
      </c>
      <c r="F1892" s="16">
        <v>3.1</v>
      </c>
      <c r="G1892">
        <v>0</v>
      </c>
      <c r="H1892">
        <v>0</v>
      </c>
      <c r="I1892" t="s">
        <v>1333</v>
      </c>
      <c r="J1892" t="s">
        <v>900</v>
      </c>
      <c r="K1892">
        <v>265</v>
      </c>
      <c r="L1892">
        <v>73.599999999999994</v>
      </c>
      <c r="M1892">
        <v>64.400000000000006</v>
      </c>
    </row>
    <row r="1893" spans="2:13" x14ac:dyDescent="0.25">
      <c r="B1893" s="50" t="s">
        <v>3455</v>
      </c>
      <c r="C1893">
        <v>8</v>
      </c>
      <c r="D1893">
        <v>8</v>
      </c>
      <c r="E1893">
        <v>3.1</v>
      </c>
      <c r="F1893" s="16">
        <v>3.1</v>
      </c>
      <c r="G1893">
        <v>0</v>
      </c>
      <c r="H1893">
        <v>0</v>
      </c>
      <c r="I1893" t="s">
        <v>1221</v>
      </c>
      <c r="J1893" t="s">
        <v>900</v>
      </c>
      <c r="K1893">
        <v>265</v>
      </c>
      <c r="L1893">
        <v>73.599999999999994</v>
      </c>
      <c r="M1893">
        <v>64.400000000000006</v>
      </c>
    </row>
    <row r="1894" spans="2:13" x14ac:dyDescent="0.25">
      <c r="B1894" s="50" t="s">
        <v>3454</v>
      </c>
      <c r="C1894">
        <v>8</v>
      </c>
      <c r="D1894">
        <v>8</v>
      </c>
      <c r="E1894">
        <v>3.5</v>
      </c>
      <c r="F1894" s="16">
        <v>3.5</v>
      </c>
      <c r="G1894">
        <v>0</v>
      </c>
      <c r="H1894">
        <v>0</v>
      </c>
      <c r="I1894" t="s">
        <v>1229</v>
      </c>
      <c r="J1894" t="s">
        <v>900</v>
      </c>
      <c r="K1894">
        <v>440</v>
      </c>
      <c r="L1894">
        <v>75</v>
      </c>
      <c r="M1894">
        <v>77.3</v>
      </c>
    </row>
    <row r="1895" spans="2:13" x14ac:dyDescent="0.25">
      <c r="B1895" s="50" t="s">
        <v>3453</v>
      </c>
      <c r="C1895">
        <v>8</v>
      </c>
      <c r="D1895">
        <v>8</v>
      </c>
      <c r="E1895">
        <v>3.5</v>
      </c>
      <c r="F1895" s="16">
        <v>3.5</v>
      </c>
      <c r="G1895">
        <v>0</v>
      </c>
      <c r="H1895">
        <v>0</v>
      </c>
      <c r="I1895" t="s">
        <v>1227</v>
      </c>
      <c r="J1895" t="s">
        <v>1228</v>
      </c>
      <c r="K1895">
        <v>400</v>
      </c>
      <c r="L1895">
        <v>75</v>
      </c>
      <c r="M1895">
        <v>100</v>
      </c>
    </row>
    <row r="1896" spans="2:13" x14ac:dyDescent="0.25">
      <c r="B1896" s="50" t="s">
        <v>3452</v>
      </c>
      <c r="C1896">
        <v>8</v>
      </c>
      <c r="D1896">
        <v>8</v>
      </c>
      <c r="E1896">
        <v>3.5</v>
      </c>
      <c r="F1896" s="16">
        <v>3.5</v>
      </c>
      <c r="G1896">
        <v>0</v>
      </c>
      <c r="H1896">
        <v>0</v>
      </c>
      <c r="I1896" t="s">
        <v>8</v>
      </c>
      <c r="J1896" t="s">
        <v>900</v>
      </c>
      <c r="K1896">
        <v>400</v>
      </c>
      <c r="L1896">
        <v>75</v>
      </c>
      <c r="M1896">
        <v>100</v>
      </c>
    </row>
    <row r="1897" spans="2:13" x14ac:dyDescent="0.25">
      <c r="B1897" s="50" t="s">
        <v>3451</v>
      </c>
      <c r="C1897">
        <v>8</v>
      </c>
      <c r="D1897">
        <v>8</v>
      </c>
      <c r="E1897">
        <v>3.5</v>
      </c>
      <c r="F1897" s="16">
        <v>3.5</v>
      </c>
      <c r="G1897">
        <v>0</v>
      </c>
      <c r="H1897">
        <v>0</v>
      </c>
      <c r="I1897" t="s">
        <v>1331</v>
      </c>
      <c r="J1897" t="s">
        <v>900</v>
      </c>
      <c r="K1897">
        <v>400</v>
      </c>
      <c r="L1897">
        <v>75</v>
      </c>
      <c r="M1897">
        <v>100</v>
      </c>
    </row>
    <row r="1898" spans="2:13" x14ac:dyDescent="0.25">
      <c r="B1898" s="50" t="s">
        <v>3450</v>
      </c>
      <c r="C1898">
        <v>8</v>
      </c>
      <c r="D1898">
        <v>8</v>
      </c>
      <c r="E1898">
        <v>3.5</v>
      </c>
      <c r="F1898" s="16">
        <v>3.5</v>
      </c>
      <c r="G1898">
        <v>0</v>
      </c>
      <c r="H1898">
        <v>0</v>
      </c>
      <c r="I1898" t="s">
        <v>1221</v>
      </c>
      <c r="J1898" t="s">
        <v>900</v>
      </c>
      <c r="K1898">
        <v>400</v>
      </c>
      <c r="L1898">
        <v>75</v>
      </c>
      <c r="M1898">
        <v>100</v>
      </c>
    </row>
    <row r="1899" spans="2:13" x14ac:dyDescent="0.25">
      <c r="B1899" s="50" t="s">
        <v>2879</v>
      </c>
      <c r="C1899">
        <v>8</v>
      </c>
      <c r="D1899">
        <v>8</v>
      </c>
      <c r="E1899">
        <v>3.5</v>
      </c>
      <c r="F1899" s="16">
        <v>3.5</v>
      </c>
      <c r="G1899">
        <v>0</v>
      </c>
      <c r="H1899">
        <v>0</v>
      </c>
      <c r="I1899" t="s">
        <v>1229</v>
      </c>
      <c r="J1899" t="s">
        <v>900</v>
      </c>
      <c r="K1899">
        <v>440</v>
      </c>
      <c r="L1899">
        <v>75</v>
      </c>
      <c r="M1899">
        <v>77.3</v>
      </c>
    </row>
    <row r="1900" spans="2:13" x14ac:dyDescent="0.25">
      <c r="B1900" s="50" t="s">
        <v>3449</v>
      </c>
      <c r="C1900">
        <v>8</v>
      </c>
      <c r="D1900">
        <v>8</v>
      </c>
      <c r="E1900">
        <v>3.5</v>
      </c>
      <c r="F1900" s="16">
        <v>3.5</v>
      </c>
      <c r="G1900">
        <v>0</v>
      </c>
      <c r="H1900">
        <v>0</v>
      </c>
      <c r="I1900" t="s">
        <v>1298</v>
      </c>
      <c r="J1900">
        <v>0</v>
      </c>
      <c r="K1900">
        <v>440</v>
      </c>
      <c r="L1900">
        <v>75</v>
      </c>
      <c r="M1900">
        <v>77.3</v>
      </c>
    </row>
    <row r="1901" spans="2:13" x14ac:dyDescent="0.25">
      <c r="B1901" s="50" t="s">
        <v>3447</v>
      </c>
      <c r="C1901">
        <v>8</v>
      </c>
      <c r="D1901">
        <v>8</v>
      </c>
      <c r="E1901">
        <v>3.5</v>
      </c>
      <c r="F1901" s="16">
        <v>3.5</v>
      </c>
      <c r="G1901">
        <v>0</v>
      </c>
      <c r="H1901">
        <v>0</v>
      </c>
      <c r="I1901" t="s">
        <v>1228</v>
      </c>
      <c r="J1901" t="s">
        <v>900</v>
      </c>
      <c r="K1901">
        <v>430</v>
      </c>
      <c r="L1901">
        <v>75</v>
      </c>
      <c r="M1901">
        <v>80</v>
      </c>
    </row>
    <row r="1902" spans="2:13" x14ac:dyDescent="0.25">
      <c r="B1902" s="50" t="s">
        <v>3446</v>
      </c>
      <c r="C1902">
        <v>8</v>
      </c>
      <c r="D1902">
        <v>8</v>
      </c>
      <c r="E1902">
        <v>3.5</v>
      </c>
      <c r="F1902" s="16">
        <v>3.5</v>
      </c>
      <c r="G1902">
        <v>0</v>
      </c>
      <c r="H1902">
        <v>0</v>
      </c>
      <c r="I1902" t="s">
        <v>1286</v>
      </c>
      <c r="J1902" t="s">
        <v>900</v>
      </c>
      <c r="K1902">
        <v>440</v>
      </c>
      <c r="L1902">
        <v>75</v>
      </c>
      <c r="M1902">
        <v>77.3</v>
      </c>
    </row>
    <row r="1903" spans="2:13" x14ac:dyDescent="0.25">
      <c r="B1903" s="50" t="s">
        <v>3445</v>
      </c>
      <c r="C1903">
        <v>8</v>
      </c>
      <c r="D1903">
        <v>8</v>
      </c>
      <c r="E1903">
        <v>3.5</v>
      </c>
      <c r="F1903" s="16">
        <v>3.5</v>
      </c>
      <c r="G1903">
        <v>0</v>
      </c>
      <c r="H1903">
        <v>0</v>
      </c>
      <c r="I1903" t="s">
        <v>1314</v>
      </c>
      <c r="J1903" t="s">
        <v>900</v>
      </c>
      <c r="K1903">
        <v>400</v>
      </c>
      <c r="L1903">
        <v>75</v>
      </c>
      <c r="M1903">
        <v>100</v>
      </c>
    </row>
    <row r="1904" spans="2:13" x14ac:dyDescent="0.25">
      <c r="B1904" s="50" t="s">
        <v>3444</v>
      </c>
      <c r="C1904">
        <v>8</v>
      </c>
      <c r="D1904">
        <v>8</v>
      </c>
      <c r="E1904">
        <v>3.5</v>
      </c>
      <c r="F1904" s="16">
        <v>3.5</v>
      </c>
      <c r="G1904">
        <v>0</v>
      </c>
      <c r="H1904">
        <v>0</v>
      </c>
      <c r="I1904" t="s">
        <v>8</v>
      </c>
      <c r="J1904" t="s">
        <v>900</v>
      </c>
      <c r="K1904">
        <v>400</v>
      </c>
      <c r="L1904">
        <v>75</v>
      </c>
      <c r="M1904">
        <v>100</v>
      </c>
    </row>
    <row r="1905" spans="2:13" x14ac:dyDescent="0.25">
      <c r="B1905" s="50" t="s">
        <v>3442</v>
      </c>
      <c r="C1905">
        <v>8</v>
      </c>
      <c r="D1905">
        <v>8</v>
      </c>
      <c r="E1905">
        <v>3.5</v>
      </c>
      <c r="F1905" s="16">
        <v>3.5</v>
      </c>
      <c r="G1905">
        <v>0</v>
      </c>
      <c r="H1905">
        <v>0</v>
      </c>
      <c r="I1905" t="s">
        <v>1331</v>
      </c>
      <c r="J1905" t="s">
        <v>900</v>
      </c>
      <c r="K1905">
        <v>410</v>
      </c>
      <c r="L1905">
        <v>75</v>
      </c>
      <c r="M1905">
        <v>75.8</v>
      </c>
    </row>
    <row r="1906" spans="2:13" x14ac:dyDescent="0.25">
      <c r="B1906" s="50" t="s">
        <v>3440</v>
      </c>
      <c r="C1906">
        <v>8</v>
      </c>
      <c r="D1906">
        <v>8</v>
      </c>
      <c r="E1906">
        <v>3.5</v>
      </c>
      <c r="F1906" s="16">
        <v>3.5</v>
      </c>
      <c r="G1906">
        <v>0</v>
      </c>
      <c r="H1906">
        <v>0</v>
      </c>
      <c r="I1906" t="s">
        <v>1333</v>
      </c>
      <c r="J1906" t="s">
        <v>900</v>
      </c>
      <c r="K1906">
        <v>460</v>
      </c>
      <c r="L1906">
        <v>75</v>
      </c>
      <c r="M1906">
        <v>98.3</v>
      </c>
    </row>
    <row r="1907" spans="2:13" x14ac:dyDescent="0.25">
      <c r="B1907" s="50" t="s">
        <v>3748</v>
      </c>
      <c r="C1907">
        <v>8</v>
      </c>
      <c r="D1907">
        <v>8</v>
      </c>
      <c r="E1907">
        <v>3.5</v>
      </c>
      <c r="F1907" s="16">
        <v>3.5</v>
      </c>
      <c r="G1907">
        <v>0</v>
      </c>
      <c r="H1907">
        <v>0</v>
      </c>
      <c r="I1907" t="s">
        <v>1293</v>
      </c>
      <c r="J1907" t="s">
        <v>900</v>
      </c>
      <c r="K1907">
        <v>420</v>
      </c>
      <c r="L1907">
        <v>75</v>
      </c>
      <c r="M1907">
        <v>76.8</v>
      </c>
    </row>
    <row r="1908" spans="2:13" x14ac:dyDescent="0.25">
      <c r="B1908" s="50" t="s">
        <v>3747</v>
      </c>
      <c r="C1908">
        <v>8</v>
      </c>
      <c r="D1908">
        <v>8</v>
      </c>
      <c r="E1908">
        <v>3.5</v>
      </c>
      <c r="F1908" s="16">
        <v>3.5</v>
      </c>
      <c r="G1908">
        <v>0</v>
      </c>
      <c r="H1908">
        <v>0</v>
      </c>
      <c r="I1908" t="s">
        <v>1221</v>
      </c>
      <c r="J1908" t="s">
        <v>900</v>
      </c>
      <c r="K1908">
        <v>420</v>
      </c>
      <c r="L1908">
        <v>75</v>
      </c>
      <c r="M1908">
        <v>76.8</v>
      </c>
    </row>
    <row r="1909" spans="2:13" x14ac:dyDescent="0.25">
      <c r="B1909" s="50" t="s">
        <v>3746</v>
      </c>
      <c r="C1909">
        <v>8</v>
      </c>
      <c r="D1909">
        <v>8</v>
      </c>
      <c r="E1909">
        <v>3.8</v>
      </c>
      <c r="F1909" s="16">
        <v>3.8</v>
      </c>
      <c r="G1909">
        <v>0</v>
      </c>
      <c r="H1909">
        <v>0</v>
      </c>
      <c r="I1909" t="s">
        <v>1229</v>
      </c>
      <c r="J1909" t="s">
        <v>900</v>
      </c>
      <c r="K1909">
        <v>420</v>
      </c>
      <c r="L1909">
        <v>75</v>
      </c>
      <c r="M1909">
        <v>77.3</v>
      </c>
    </row>
    <row r="1910" spans="2:13" x14ac:dyDescent="0.25">
      <c r="B1910" s="50" t="s">
        <v>3745</v>
      </c>
      <c r="C1910">
        <v>8</v>
      </c>
      <c r="D1910">
        <v>8</v>
      </c>
      <c r="E1910">
        <v>3.8</v>
      </c>
      <c r="F1910" s="16">
        <v>3.8</v>
      </c>
      <c r="G1910">
        <v>0</v>
      </c>
      <c r="H1910">
        <v>0</v>
      </c>
      <c r="I1910" t="s">
        <v>1298</v>
      </c>
      <c r="J1910" t="s">
        <v>900</v>
      </c>
      <c r="K1910">
        <v>420</v>
      </c>
      <c r="L1910">
        <v>75</v>
      </c>
      <c r="M1910">
        <v>77.3</v>
      </c>
    </row>
    <row r="1911" spans="2:13" x14ac:dyDescent="0.25">
      <c r="B1911" s="50" t="s">
        <v>3744</v>
      </c>
      <c r="C1911">
        <v>8</v>
      </c>
      <c r="D1911">
        <v>8</v>
      </c>
      <c r="E1911">
        <v>3.8</v>
      </c>
      <c r="F1911" s="16">
        <v>3.8</v>
      </c>
      <c r="G1911">
        <v>0</v>
      </c>
      <c r="H1911">
        <v>0</v>
      </c>
      <c r="I1911" t="s">
        <v>1228</v>
      </c>
      <c r="J1911" t="s">
        <v>900</v>
      </c>
      <c r="K1911">
        <v>430</v>
      </c>
      <c r="L1911">
        <v>75</v>
      </c>
      <c r="M1911">
        <v>80</v>
      </c>
    </row>
    <row r="1912" spans="2:13" x14ac:dyDescent="0.25">
      <c r="B1912" s="50" t="s">
        <v>3743</v>
      </c>
      <c r="C1912">
        <v>8</v>
      </c>
      <c r="D1912">
        <v>8</v>
      </c>
      <c r="E1912">
        <v>3.8</v>
      </c>
      <c r="F1912" s="16">
        <v>3.8</v>
      </c>
      <c r="G1912">
        <v>0</v>
      </c>
      <c r="H1912">
        <v>0</v>
      </c>
      <c r="I1912" t="s">
        <v>1227</v>
      </c>
      <c r="J1912" t="s">
        <v>1228</v>
      </c>
      <c r="K1912">
        <v>430</v>
      </c>
      <c r="L1912">
        <v>75</v>
      </c>
      <c r="M1912">
        <v>80</v>
      </c>
    </row>
    <row r="1913" spans="2:13" x14ac:dyDescent="0.25">
      <c r="B1913" s="50" t="s">
        <v>3742</v>
      </c>
      <c r="C1913">
        <v>8</v>
      </c>
      <c r="D1913">
        <v>8</v>
      </c>
      <c r="E1913">
        <v>3.8</v>
      </c>
      <c r="F1913" s="16">
        <v>3.8</v>
      </c>
      <c r="G1913">
        <v>0</v>
      </c>
      <c r="H1913">
        <v>0</v>
      </c>
      <c r="I1913" t="s">
        <v>1314</v>
      </c>
      <c r="J1913" t="s">
        <v>900</v>
      </c>
      <c r="K1913">
        <v>395</v>
      </c>
      <c r="L1913">
        <v>75</v>
      </c>
      <c r="M1913">
        <v>74.8</v>
      </c>
    </row>
    <row r="1914" spans="2:13" x14ac:dyDescent="0.25">
      <c r="B1914" s="50" t="s">
        <v>3741</v>
      </c>
      <c r="C1914">
        <v>8</v>
      </c>
      <c r="D1914">
        <v>8</v>
      </c>
      <c r="E1914">
        <v>3.8</v>
      </c>
      <c r="F1914" s="16">
        <v>3.8</v>
      </c>
      <c r="G1914">
        <v>0</v>
      </c>
      <c r="H1914">
        <v>0</v>
      </c>
      <c r="I1914" t="s">
        <v>8</v>
      </c>
      <c r="J1914" t="s">
        <v>900</v>
      </c>
      <c r="K1914">
        <v>395</v>
      </c>
      <c r="L1914">
        <v>75</v>
      </c>
      <c r="M1914">
        <v>74.8</v>
      </c>
    </row>
    <row r="1915" spans="2:13" x14ac:dyDescent="0.25">
      <c r="B1915" s="50" t="s">
        <v>3740</v>
      </c>
      <c r="C1915">
        <v>8</v>
      </c>
      <c r="D1915">
        <v>8</v>
      </c>
      <c r="E1915">
        <v>3.8</v>
      </c>
      <c r="F1915" s="16">
        <v>3.8</v>
      </c>
      <c r="G1915">
        <v>0</v>
      </c>
      <c r="H1915">
        <v>0</v>
      </c>
      <c r="I1915" t="s">
        <v>1333</v>
      </c>
      <c r="J1915" t="s">
        <v>900</v>
      </c>
      <c r="K1915">
        <v>440</v>
      </c>
      <c r="L1915">
        <v>75</v>
      </c>
      <c r="M1915">
        <v>98.3</v>
      </c>
    </row>
    <row r="1916" spans="2:13" x14ac:dyDescent="0.25">
      <c r="B1916" s="50" t="s">
        <v>3739</v>
      </c>
      <c r="C1916">
        <v>8</v>
      </c>
      <c r="D1916">
        <v>8</v>
      </c>
      <c r="E1916">
        <v>3.8</v>
      </c>
      <c r="F1916" s="16">
        <v>3.8</v>
      </c>
      <c r="G1916">
        <v>0</v>
      </c>
      <c r="H1916">
        <v>0</v>
      </c>
      <c r="I1916" t="s">
        <v>1293</v>
      </c>
      <c r="J1916" t="s">
        <v>900</v>
      </c>
      <c r="K1916">
        <v>410</v>
      </c>
      <c r="L1916">
        <v>75</v>
      </c>
      <c r="M1916">
        <v>76.8</v>
      </c>
    </row>
    <row r="1917" spans="2:13" x14ac:dyDescent="0.25">
      <c r="B1917" s="50" t="s">
        <v>3738</v>
      </c>
      <c r="C1917">
        <v>8</v>
      </c>
      <c r="D1917">
        <v>8</v>
      </c>
      <c r="E1917">
        <v>3.8</v>
      </c>
      <c r="F1917" s="16">
        <v>3.8</v>
      </c>
      <c r="G1917">
        <v>0</v>
      </c>
      <c r="H1917">
        <v>0</v>
      </c>
      <c r="I1917" t="s">
        <v>1229</v>
      </c>
      <c r="J1917" t="s">
        <v>900</v>
      </c>
      <c r="K1917">
        <v>420</v>
      </c>
      <c r="L1917">
        <v>75</v>
      </c>
      <c r="M1917">
        <v>77.3</v>
      </c>
    </row>
    <row r="1918" spans="2:13" x14ac:dyDescent="0.25">
      <c r="B1918" s="50" t="s">
        <v>3737</v>
      </c>
      <c r="C1918">
        <v>8</v>
      </c>
      <c r="D1918">
        <v>8</v>
      </c>
      <c r="E1918">
        <v>3.8</v>
      </c>
      <c r="F1918" s="16">
        <v>3.8</v>
      </c>
      <c r="G1918">
        <v>0</v>
      </c>
      <c r="H1918">
        <v>0</v>
      </c>
      <c r="I1918" t="s">
        <v>1228</v>
      </c>
      <c r="J1918" t="s">
        <v>900</v>
      </c>
      <c r="K1918">
        <v>430</v>
      </c>
      <c r="L1918">
        <v>75</v>
      </c>
      <c r="M1918">
        <v>80</v>
      </c>
    </row>
    <row r="1919" spans="2:13" x14ac:dyDescent="0.25">
      <c r="B1919" s="50" t="s">
        <v>3736</v>
      </c>
      <c r="C1919">
        <v>8</v>
      </c>
      <c r="D1919">
        <v>8</v>
      </c>
      <c r="E1919">
        <v>3.8</v>
      </c>
      <c r="F1919" s="16">
        <v>3.8</v>
      </c>
      <c r="G1919">
        <v>0</v>
      </c>
      <c r="H1919">
        <v>0</v>
      </c>
      <c r="I1919" t="s">
        <v>8</v>
      </c>
      <c r="J1919" t="s">
        <v>900</v>
      </c>
      <c r="K1919">
        <v>395</v>
      </c>
      <c r="L1919">
        <v>75</v>
      </c>
      <c r="M1919">
        <v>74.8</v>
      </c>
    </row>
    <row r="1920" spans="2:13" x14ac:dyDescent="0.25">
      <c r="B1920" s="50" t="s">
        <v>3734</v>
      </c>
      <c r="C1920">
        <v>8</v>
      </c>
      <c r="D1920">
        <v>8</v>
      </c>
      <c r="E1920">
        <v>3.8</v>
      </c>
      <c r="F1920" s="16">
        <v>3.8</v>
      </c>
      <c r="G1920">
        <v>0</v>
      </c>
      <c r="H1920">
        <v>0</v>
      </c>
      <c r="I1920" t="s">
        <v>1293</v>
      </c>
      <c r="J1920" t="s">
        <v>900</v>
      </c>
      <c r="K1920">
        <v>410</v>
      </c>
      <c r="L1920">
        <v>75</v>
      </c>
      <c r="M1920">
        <v>76.8</v>
      </c>
    </row>
    <row r="1921" spans="2:13" x14ac:dyDescent="0.25">
      <c r="B1921" s="50" t="s">
        <v>3648</v>
      </c>
      <c r="C1921">
        <v>0</v>
      </c>
      <c r="D1921">
        <v>0</v>
      </c>
      <c r="E1921">
        <v>0</v>
      </c>
      <c r="F1921" s="16">
        <v>0</v>
      </c>
      <c r="G1921">
        <v>0</v>
      </c>
      <c r="H1921">
        <v>0</v>
      </c>
      <c r="I1921" t="s">
        <v>1229</v>
      </c>
      <c r="J1921">
        <v>0</v>
      </c>
      <c r="K1921">
        <v>0</v>
      </c>
      <c r="L1921">
        <v>0</v>
      </c>
      <c r="M1921">
        <v>0</v>
      </c>
    </row>
    <row r="1922" spans="2:13" x14ac:dyDescent="0.25">
      <c r="B1922" s="50" t="s">
        <v>3647</v>
      </c>
      <c r="C1922">
        <v>0</v>
      </c>
      <c r="D1922">
        <v>0</v>
      </c>
      <c r="E1922">
        <v>0</v>
      </c>
      <c r="F1922" s="16">
        <v>0</v>
      </c>
      <c r="G1922">
        <v>0</v>
      </c>
      <c r="H1922">
        <v>0</v>
      </c>
      <c r="I1922" t="s">
        <v>8</v>
      </c>
      <c r="J1922">
        <v>0</v>
      </c>
      <c r="K1922">
        <v>0</v>
      </c>
      <c r="L1922">
        <v>0</v>
      </c>
      <c r="M1922">
        <v>0</v>
      </c>
    </row>
    <row r="1923" spans="2:13" x14ac:dyDescent="0.25">
      <c r="B1923" s="50" t="s">
        <v>3096</v>
      </c>
      <c r="C1923">
        <v>0</v>
      </c>
      <c r="D1923">
        <v>0</v>
      </c>
      <c r="E1923">
        <v>0</v>
      </c>
      <c r="F1923" s="16">
        <v>0</v>
      </c>
      <c r="G1923">
        <v>0</v>
      </c>
      <c r="H1923">
        <v>0</v>
      </c>
      <c r="I1923" t="s">
        <v>8</v>
      </c>
      <c r="J1923">
        <v>0</v>
      </c>
      <c r="K1923">
        <v>0</v>
      </c>
      <c r="L1923">
        <v>0</v>
      </c>
      <c r="M1923">
        <v>0</v>
      </c>
    </row>
    <row r="1924" spans="2:13" x14ac:dyDescent="0.25">
      <c r="B1924" s="50" t="s">
        <v>3646</v>
      </c>
      <c r="C1924">
        <v>0</v>
      </c>
      <c r="D1924">
        <v>0</v>
      </c>
      <c r="E1924">
        <v>0</v>
      </c>
      <c r="F1924" s="16">
        <v>0</v>
      </c>
      <c r="G1924">
        <v>0</v>
      </c>
      <c r="H1924">
        <v>0</v>
      </c>
      <c r="I1924" t="s">
        <v>8</v>
      </c>
      <c r="J1924">
        <v>0</v>
      </c>
      <c r="K1924">
        <v>0</v>
      </c>
      <c r="L1924">
        <v>0</v>
      </c>
      <c r="M1924">
        <v>0</v>
      </c>
    </row>
    <row r="1925" spans="2:13" x14ac:dyDescent="0.25">
      <c r="B1925" s="50" t="s">
        <v>3645</v>
      </c>
      <c r="C1925">
        <v>0</v>
      </c>
      <c r="D1925">
        <v>0</v>
      </c>
      <c r="E1925">
        <v>0</v>
      </c>
      <c r="F1925" s="16">
        <v>0</v>
      </c>
      <c r="G1925">
        <v>0</v>
      </c>
      <c r="H1925">
        <v>0</v>
      </c>
      <c r="I1925" t="s">
        <v>1229</v>
      </c>
      <c r="J1925">
        <v>0</v>
      </c>
      <c r="K1925">
        <v>0</v>
      </c>
      <c r="L1925">
        <v>0</v>
      </c>
      <c r="M1925">
        <v>0</v>
      </c>
    </row>
    <row r="1926" spans="2:13" x14ac:dyDescent="0.25">
      <c r="B1926" s="50" t="s">
        <v>3644</v>
      </c>
      <c r="C1926">
        <v>0</v>
      </c>
      <c r="D1926">
        <v>0</v>
      </c>
      <c r="E1926">
        <v>0</v>
      </c>
      <c r="F1926" s="16">
        <v>0</v>
      </c>
      <c r="G1926">
        <v>0</v>
      </c>
      <c r="H1926">
        <v>0</v>
      </c>
      <c r="I1926" t="s">
        <v>8</v>
      </c>
      <c r="J1926">
        <v>0</v>
      </c>
      <c r="K1926">
        <v>0</v>
      </c>
      <c r="L1926">
        <v>0</v>
      </c>
      <c r="M1926">
        <v>0</v>
      </c>
    </row>
    <row r="1927" spans="2:13" x14ac:dyDescent="0.25">
      <c r="B1927" s="50" t="s">
        <v>3643</v>
      </c>
      <c r="C1927">
        <v>0</v>
      </c>
      <c r="D1927">
        <v>0</v>
      </c>
      <c r="E1927">
        <v>0</v>
      </c>
      <c r="F1927" s="16">
        <v>0</v>
      </c>
      <c r="G1927">
        <v>0</v>
      </c>
      <c r="H1927">
        <v>0</v>
      </c>
      <c r="I1927" t="s">
        <v>8</v>
      </c>
      <c r="J1927">
        <v>0</v>
      </c>
      <c r="K1927">
        <v>0</v>
      </c>
      <c r="L1927">
        <v>0</v>
      </c>
      <c r="M1927">
        <v>0</v>
      </c>
    </row>
    <row r="1928" spans="2:13" x14ac:dyDescent="0.25">
      <c r="B1928" s="50" t="s">
        <v>3642</v>
      </c>
      <c r="C1928">
        <v>0</v>
      </c>
      <c r="D1928">
        <v>0</v>
      </c>
      <c r="E1928">
        <v>0</v>
      </c>
      <c r="F1928" s="16">
        <v>0</v>
      </c>
      <c r="G1928">
        <v>0</v>
      </c>
      <c r="H1928">
        <v>0</v>
      </c>
      <c r="I1928" t="s">
        <v>1229</v>
      </c>
      <c r="J1928">
        <v>0</v>
      </c>
      <c r="K1928">
        <v>0</v>
      </c>
      <c r="L1928">
        <v>0</v>
      </c>
      <c r="M1928">
        <v>0</v>
      </c>
    </row>
    <row r="1929" spans="2:13" x14ac:dyDescent="0.25">
      <c r="B1929" s="50" t="s">
        <v>3641</v>
      </c>
      <c r="C1929">
        <v>0</v>
      </c>
      <c r="D1929">
        <v>0</v>
      </c>
      <c r="E1929">
        <v>0</v>
      </c>
      <c r="F1929" s="16">
        <v>0</v>
      </c>
      <c r="G1929">
        <v>0</v>
      </c>
      <c r="H1929">
        <v>0</v>
      </c>
      <c r="I1929" t="s">
        <v>8</v>
      </c>
      <c r="J1929">
        <v>0</v>
      </c>
      <c r="K1929">
        <v>0</v>
      </c>
      <c r="L1929">
        <v>0</v>
      </c>
      <c r="M1929">
        <v>0</v>
      </c>
    </row>
    <row r="1930" spans="2:13" x14ac:dyDescent="0.25">
      <c r="B1930" s="50" t="s">
        <v>3589</v>
      </c>
      <c r="C1930">
        <v>0</v>
      </c>
      <c r="D1930">
        <v>0</v>
      </c>
      <c r="E1930">
        <v>0</v>
      </c>
      <c r="F1930" s="16">
        <v>0</v>
      </c>
      <c r="G1930">
        <v>0</v>
      </c>
      <c r="H1930">
        <v>0</v>
      </c>
      <c r="I1930" t="s">
        <v>1293</v>
      </c>
      <c r="J1930">
        <v>0</v>
      </c>
      <c r="K1930">
        <v>0</v>
      </c>
      <c r="L1930">
        <v>0</v>
      </c>
      <c r="M1930">
        <v>0</v>
      </c>
    </row>
    <row r="1931" spans="2:13" x14ac:dyDescent="0.25">
      <c r="B1931" s="50" t="s">
        <v>3588</v>
      </c>
      <c r="C1931">
        <v>0</v>
      </c>
      <c r="D1931">
        <v>0</v>
      </c>
      <c r="E1931">
        <v>0</v>
      </c>
      <c r="F1931" s="16">
        <v>0</v>
      </c>
      <c r="G1931">
        <v>0</v>
      </c>
      <c r="H1931">
        <v>0</v>
      </c>
      <c r="I1931" t="s">
        <v>1221</v>
      </c>
      <c r="J1931">
        <v>0</v>
      </c>
      <c r="K1931">
        <v>0</v>
      </c>
      <c r="L1931">
        <v>0</v>
      </c>
      <c r="M1931">
        <v>0</v>
      </c>
    </row>
    <row r="1932" spans="2:13" x14ac:dyDescent="0.25">
      <c r="B1932" s="50" t="s">
        <v>3094</v>
      </c>
      <c r="C1932">
        <v>24</v>
      </c>
      <c r="D1932">
        <v>24</v>
      </c>
      <c r="E1932">
        <v>3.5</v>
      </c>
      <c r="F1932" s="16">
        <v>3.5</v>
      </c>
      <c r="G1932">
        <v>82</v>
      </c>
      <c r="H1932">
        <v>0</v>
      </c>
      <c r="I1932" t="s">
        <v>1298</v>
      </c>
      <c r="J1932" t="s">
        <v>900</v>
      </c>
      <c r="K1932">
        <v>737</v>
      </c>
      <c r="L1932">
        <v>86</v>
      </c>
      <c r="M1932">
        <v>136</v>
      </c>
    </row>
    <row r="1933" spans="2:13" x14ac:dyDescent="0.25">
      <c r="B1933" s="50" t="s">
        <v>3587</v>
      </c>
      <c r="C1933">
        <v>24</v>
      </c>
      <c r="D1933">
        <v>24</v>
      </c>
      <c r="E1933">
        <v>3.5</v>
      </c>
      <c r="F1933" s="16">
        <v>3.5</v>
      </c>
      <c r="G1933">
        <v>82</v>
      </c>
      <c r="H1933">
        <v>0</v>
      </c>
      <c r="I1933" t="s">
        <v>1286</v>
      </c>
      <c r="J1933" t="s">
        <v>900</v>
      </c>
      <c r="K1933">
        <v>745</v>
      </c>
      <c r="L1933">
        <v>86</v>
      </c>
      <c r="M1933">
        <v>136</v>
      </c>
    </row>
    <row r="1934" spans="2:13" x14ac:dyDescent="0.25">
      <c r="B1934" s="50" t="s">
        <v>3093</v>
      </c>
      <c r="C1934">
        <v>24</v>
      </c>
      <c r="D1934">
        <v>24</v>
      </c>
      <c r="E1934">
        <v>3.5</v>
      </c>
      <c r="F1934" s="16">
        <v>3.5</v>
      </c>
      <c r="G1934">
        <v>82</v>
      </c>
      <c r="H1934">
        <v>0</v>
      </c>
      <c r="I1934" t="s">
        <v>1227</v>
      </c>
      <c r="J1934" t="s">
        <v>900</v>
      </c>
      <c r="K1934">
        <v>730</v>
      </c>
      <c r="L1934">
        <v>86</v>
      </c>
      <c r="M1934">
        <v>134</v>
      </c>
    </row>
    <row r="1935" spans="2:13" x14ac:dyDescent="0.25">
      <c r="B1935" s="50" t="s">
        <v>3585</v>
      </c>
      <c r="C1935">
        <v>24</v>
      </c>
      <c r="D1935">
        <v>24</v>
      </c>
      <c r="E1935">
        <v>3.5</v>
      </c>
      <c r="F1935" s="16">
        <v>3.5</v>
      </c>
      <c r="G1935">
        <v>82</v>
      </c>
      <c r="H1935">
        <v>0</v>
      </c>
      <c r="I1935" t="s">
        <v>1229</v>
      </c>
      <c r="J1935" t="s">
        <v>910</v>
      </c>
      <c r="K1935">
        <v>670</v>
      </c>
      <c r="L1935">
        <v>86</v>
      </c>
      <c r="M1935">
        <v>113</v>
      </c>
    </row>
    <row r="1936" spans="2:13" x14ac:dyDescent="0.25">
      <c r="B1936" s="50" t="s">
        <v>3583</v>
      </c>
      <c r="C1936">
        <v>24</v>
      </c>
      <c r="D1936">
        <v>24</v>
      </c>
      <c r="E1936">
        <v>3.5</v>
      </c>
      <c r="F1936" s="16">
        <v>3.5</v>
      </c>
      <c r="G1936">
        <v>82</v>
      </c>
      <c r="H1936">
        <v>0</v>
      </c>
      <c r="I1936" t="s">
        <v>1228</v>
      </c>
      <c r="J1936" t="s">
        <v>900</v>
      </c>
      <c r="K1936">
        <v>720</v>
      </c>
      <c r="L1936">
        <v>86</v>
      </c>
      <c r="M1936">
        <v>115</v>
      </c>
    </row>
    <row r="1937" spans="2:13" x14ac:dyDescent="0.25">
      <c r="B1937" s="50" t="s">
        <v>3092</v>
      </c>
      <c r="C1937">
        <v>24</v>
      </c>
      <c r="D1937">
        <v>24</v>
      </c>
      <c r="E1937">
        <v>3.5</v>
      </c>
      <c r="F1937" s="16">
        <v>3.5</v>
      </c>
      <c r="G1937">
        <v>82</v>
      </c>
      <c r="H1937">
        <v>0</v>
      </c>
      <c r="I1937" t="s">
        <v>8</v>
      </c>
      <c r="J1937" t="s">
        <v>910</v>
      </c>
      <c r="K1937">
        <v>670</v>
      </c>
      <c r="L1937">
        <v>86</v>
      </c>
      <c r="M1937">
        <v>111</v>
      </c>
    </row>
    <row r="1938" spans="2:13" x14ac:dyDescent="0.25">
      <c r="B1938" s="50" t="s">
        <v>3582</v>
      </c>
      <c r="C1938">
        <v>24</v>
      </c>
      <c r="D1938">
        <v>24</v>
      </c>
      <c r="E1938">
        <v>3.5</v>
      </c>
      <c r="F1938" s="16">
        <v>3.5</v>
      </c>
      <c r="G1938">
        <v>82</v>
      </c>
      <c r="H1938">
        <v>0</v>
      </c>
      <c r="I1938" t="s">
        <v>1331</v>
      </c>
      <c r="J1938" t="s">
        <v>910</v>
      </c>
      <c r="K1938">
        <v>670</v>
      </c>
      <c r="L1938">
        <v>86</v>
      </c>
      <c r="M1938">
        <v>111</v>
      </c>
    </row>
    <row r="1939" spans="2:13" x14ac:dyDescent="0.25">
      <c r="B1939" s="50" t="s">
        <v>3581</v>
      </c>
      <c r="C1939">
        <v>24</v>
      </c>
      <c r="D1939">
        <v>24</v>
      </c>
      <c r="E1939">
        <v>3.5</v>
      </c>
      <c r="F1939" s="16">
        <v>3.5</v>
      </c>
      <c r="G1939">
        <v>82</v>
      </c>
      <c r="H1939">
        <v>0</v>
      </c>
      <c r="I1939" t="s">
        <v>1293</v>
      </c>
      <c r="J1939" t="s">
        <v>900</v>
      </c>
      <c r="K1939">
        <v>670</v>
      </c>
      <c r="L1939">
        <v>86</v>
      </c>
      <c r="M1939">
        <v>111</v>
      </c>
    </row>
    <row r="1940" spans="2:13" x14ac:dyDescent="0.25">
      <c r="B1940" s="50" t="s">
        <v>3091</v>
      </c>
      <c r="C1940">
        <v>24</v>
      </c>
      <c r="D1940">
        <v>24</v>
      </c>
      <c r="E1940">
        <v>3.5</v>
      </c>
      <c r="F1940" s="16">
        <v>3.5</v>
      </c>
      <c r="G1940">
        <v>82</v>
      </c>
      <c r="H1940">
        <v>0</v>
      </c>
      <c r="I1940" t="s">
        <v>1221</v>
      </c>
      <c r="J1940" t="s">
        <v>910</v>
      </c>
      <c r="K1940">
        <v>734</v>
      </c>
      <c r="L1940">
        <v>86</v>
      </c>
      <c r="M1940">
        <v>139</v>
      </c>
    </row>
    <row r="1941" spans="2:13" x14ac:dyDescent="0.25">
      <c r="B1941" s="50" t="s">
        <v>2867</v>
      </c>
      <c r="C1941">
        <v>100</v>
      </c>
      <c r="D1941">
        <v>100</v>
      </c>
      <c r="E1941">
        <v>2</v>
      </c>
      <c r="F1941" s="16">
        <v>2</v>
      </c>
      <c r="G1941">
        <v>58</v>
      </c>
      <c r="H1941">
        <v>7.14</v>
      </c>
      <c r="I1941" t="s">
        <v>1229</v>
      </c>
      <c r="J1941" t="s">
        <v>910</v>
      </c>
      <c r="K1941">
        <v>387</v>
      </c>
      <c r="L1941">
        <v>76</v>
      </c>
      <c r="M1941">
        <v>83</v>
      </c>
    </row>
    <row r="1942" spans="2:13" x14ac:dyDescent="0.25">
      <c r="B1942" s="50" t="s">
        <v>2799</v>
      </c>
      <c r="C1942">
        <v>35</v>
      </c>
      <c r="D1942">
        <v>35</v>
      </c>
      <c r="E1942">
        <v>2</v>
      </c>
      <c r="F1942" s="16">
        <v>2</v>
      </c>
      <c r="G1942">
        <v>52</v>
      </c>
      <c r="H1942">
        <v>4.3499999999999996</v>
      </c>
      <c r="I1942" t="s">
        <v>1229</v>
      </c>
      <c r="J1942" t="s">
        <v>900</v>
      </c>
      <c r="K1942">
        <v>155</v>
      </c>
      <c r="L1942">
        <v>73</v>
      </c>
      <c r="M1942">
        <v>59</v>
      </c>
    </row>
    <row r="1943" spans="2:13" x14ac:dyDescent="0.25">
      <c r="B1943" s="50" t="s">
        <v>2603</v>
      </c>
      <c r="C1943">
        <v>50</v>
      </c>
      <c r="D1943">
        <v>50</v>
      </c>
      <c r="E1943">
        <v>1.8</v>
      </c>
      <c r="F1943" s="16">
        <v>1.8</v>
      </c>
      <c r="G1943">
        <v>52</v>
      </c>
      <c r="H1943">
        <v>6.67</v>
      </c>
      <c r="I1943" t="s">
        <v>1229</v>
      </c>
      <c r="J1943" t="s">
        <v>900</v>
      </c>
      <c r="K1943">
        <v>120</v>
      </c>
      <c r="L1943">
        <v>74</v>
      </c>
      <c r="M1943">
        <v>60</v>
      </c>
    </row>
    <row r="1944" spans="2:13" x14ac:dyDescent="0.25">
      <c r="B1944" s="50" t="s">
        <v>2798</v>
      </c>
      <c r="C1944">
        <v>85</v>
      </c>
      <c r="D1944">
        <v>85</v>
      </c>
      <c r="E1944">
        <v>1.8</v>
      </c>
      <c r="F1944" s="16">
        <v>1.8</v>
      </c>
      <c r="G1944">
        <v>58</v>
      </c>
      <c r="H1944">
        <v>7.69</v>
      </c>
      <c r="I1944" t="s">
        <v>1229</v>
      </c>
      <c r="J1944" t="s">
        <v>910</v>
      </c>
      <c r="K1944">
        <v>460</v>
      </c>
      <c r="L1944">
        <v>81</v>
      </c>
      <c r="M1944">
        <v>79.5</v>
      </c>
    </row>
    <row r="1945" spans="2:13" x14ac:dyDescent="0.25">
      <c r="B1945" s="50" t="s">
        <v>4428</v>
      </c>
      <c r="C1945">
        <v>135</v>
      </c>
      <c r="D1945">
        <v>135</v>
      </c>
      <c r="E1945">
        <v>2.8</v>
      </c>
      <c r="F1945" s="16">
        <v>2.8</v>
      </c>
      <c r="G1945">
        <v>67</v>
      </c>
      <c r="H1945">
        <v>5.3</v>
      </c>
      <c r="I1945" t="s">
        <v>1221</v>
      </c>
      <c r="J1945" t="s">
        <v>910</v>
      </c>
      <c r="K1945">
        <v>614</v>
      </c>
      <c r="L1945">
        <v>98</v>
      </c>
      <c r="M1945">
        <v>120</v>
      </c>
    </row>
    <row r="1946" spans="2:13" x14ac:dyDescent="0.25">
      <c r="B1946" s="50" t="s">
        <v>4430</v>
      </c>
      <c r="C1946">
        <v>18</v>
      </c>
      <c r="D1946">
        <v>18</v>
      </c>
      <c r="E1946">
        <v>2.8</v>
      </c>
      <c r="F1946" s="16">
        <v>2.8</v>
      </c>
      <c r="G1946">
        <v>77</v>
      </c>
      <c r="H1946">
        <v>9.5</v>
      </c>
      <c r="I1946" t="s">
        <v>1221</v>
      </c>
      <c r="J1946" t="s">
        <v>910</v>
      </c>
      <c r="K1946">
        <v>330</v>
      </c>
      <c r="L1946">
        <v>100</v>
      </c>
      <c r="M1946">
        <v>80</v>
      </c>
    </row>
    <row r="1947" spans="2:13" x14ac:dyDescent="0.25">
      <c r="B1947" s="50" t="s">
        <v>4429</v>
      </c>
      <c r="C1947">
        <v>25</v>
      </c>
      <c r="D1947">
        <v>25</v>
      </c>
      <c r="E1947">
        <v>2</v>
      </c>
      <c r="F1947" s="16">
        <v>2</v>
      </c>
      <c r="G1947">
        <v>67</v>
      </c>
      <c r="H1947">
        <v>5.2</v>
      </c>
      <c r="I1947" t="s">
        <v>1221</v>
      </c>
      <c r="J1947" t="s">
        <v>910</v>
      </c>
      <c r="K1947">
        <v>335</v>
      </c>
      <c r="L1947">
        <v>78</v>
      </c>
      <c r="M1947">
        <v>78</v>
      </c>
    </row>
    <row r="1948" spans="2:13" x14ac:dyDescent="0.25">
      <c r="B1948" s="50" t="s">
        <v>2673</v>
      </c>
      <c r="C1948">
        <v>85</v>
      </c>
      <c r="D1948">
        <v>85</v>
      </c>
      <c r="E1948">
        <v>1.8</v>
      </c>
      <c r="F1948" s="16">
        <v>1.8</v>
      </c>
      <c r="G1948">
        <v>67</v>
      </c>
      <c r="H1948">
        <v>7.9</v>
      </c>
      <c r="I1948" t="s">
        <v>1221</v>
      </c>
      <c r="J1948" t="s">
        <v>910</v>
      </c>
      <c r="K1948">
        <v>475</v>
      </c>
      <c r="L1948">
        <v>78</v>
      </c>
      <c r="M1948">
        <v>92</v>
      </c>
    </row>
    <row r="1949" spans="2:13" x14ac:dyDescent="0.25">
      <c r="B1949" s="50" t="s">
        <v>4336</v>
      </c>
      <c r="C1949">
        <v>21</v>
      </c>
      <c r="D1949">
        <v>21</v>
      </c>
      <c r="E1949">
        <v>2.8</v>
      </c>
      <c r="F1949" s="16">
        <v>2.8</v>
      </c>
      <c r="G1949">
        <v>52</v>
      </c>
      <c r="H1949">
        <v>7.81</v>
      </c>
      <c r="I1949" t="s">
        <v>1221</v>
      </c>
      <c r="J1949" t="s">
        <v>910</v>
      </c>
      <c r="K1949">
        <v>394</v>
      </c>
      <c r="L1949">
        <v>62.1</v>
      </c>
      <c r="M1949">
        <v>72</v>
      </c>
    </row>
    <row r="1950" spans="2:13" x14ac:dyDescent="0.25">
      <c r="B1950" s="50" t="s">
        <v>2797</v>
      </c>
      <c r="C1950">
        <v>35</v>
      </c>
      <c r="D1950">
        <v>35</v>
      </c>
      <c r="E1950">
        <v>2</v>
      </c>
      <c r="F1950" s="16">
        <v>2</v>
      </c>
      <c r="G1950">
        <v>52</v>
      </c>
      <c r="H1950">
        <v>5.8</v>
      </c>
      <c r="I1950" t="s">
        <v>1221</v>
      </c>
      <c r="J1950" t="s">
        <v>910</v>
      </c>
      <c r="K1950">
        <v>340</v>
      </c>
      <c r="L1950">
        <v>62</v>
      </c>
      <c r="M1950">
        <v>59</v>
      </c>
    </row>
    <row r="1951" spans="2:13" x14ac:dyDescent="0.25">
      <c r="B1951" s="50" t="s">
        <v>3580</v>
      </c>
      <c r="C1951">
        <v>50</v>
      </c>
      <c r="D1951">
        <v>50</v>
      </c>
      <c r="E1951">
        <v>2</v>
      </c>
      <c r="F1951" s="16">
        <v>2</v>
      </c>
      <c r="G1951">
        <v>52</v>
      </c>
      <c r="H1951">
        <v>6.9</v>
      </c>
      <c r="I1951" t="s">
        <v>1221</v>
      </c>
      <c r="J1951" t="s">
        <v>910</v>
      </c>
      <c r="K1951">
        <v>320</v>
      </c>
      <c r="L1951">
        <v>62</v>
      </c>
      <c r="M1951">
        <v>59</v>
      </c>
    </row>
    <row r="1952" spans="2:13" x14ac:dyDescent="0.25">
      <c r="B1952" s="50" t="s">
        <v>2794</v>
      </c>
      <c r="C1952">
        <v>85</v>
      </c>
      <c r="D1952">
        <v>85</v>
      </c>
      <c r="E1952">
        <v>2.4</v>
      </c>
      <c r="F1952" s="16">
        <v>2.4</v>
      </c>
      <c r="G1952">
        <v>52</v>
      </c>
      <c r="H1952">
        <v>7.2</v>
      </c>
      <c r="I1952" t="s">
        <v>1221</v>
      </c>
      <c r="J1952" t="s">
        <v>910</v>
      </c>
      <c r="K1952">
        <v>594</v>
      </c>
      <c r="L1952">
        <v>62.5</v>
      </c>
      <c r="M1952">
        <v>94.8</v>
      </c>
    </row>
    <row r="1953" spans="2:13" x14ac:dyDescent="0.25">
      <c r="B1953" s="50" t="s">
        <v>4229</v>
      </c>
      <c r="C1953">
        <v>12</v>
      </c>
      <c r="D1953">
        <v>12</v>
      </c>
      <c r="E1953">
        <v>2.8</v>
      </c>
      <c r="F1953" s="16">
        <v>2.8</v>
      </c>
      <c r="G1953">
        <v>67</v>
      </c>
      <c r="H1953">
        <v>9</v>
      </c>
      <c r="I1953" t="s">
        <v>1286</v>
      </c>
      <c r="J1953" t="s">
        <v>900</v>
      </c>
      <c r="K1953">
        <v>270</v>
      </c>
      <c r="L1953">
        <v>88</v>
      </c>
      <c r="M1953">
        <v>68</v>
      </c>
    </row>
    <row r="1954" spans="2:13" x14ac:dyDescent="0.25">
      <c r="B1954" s="50" t="s">
        <v>2793</v>
      </c>
      <c r="C1954">
        <v>12</v>
      </c>
      <c r="D1954">
        <v>12</v>
      </c>
      <c r="E1954">
        <v>2.8</v>
      </c>
      <c r="F1954" s="16">
        <v>2.8</v>
      </c>
      <c r="G1954">
        <v>67</v>
      </c>
      <c r="H1954">
        <v>9</v>
      </c>
      <c r="I1954" t="s">
        <v>1221</v>
      </c>
      <c r="J1954" t="s">
        <v>900</v>
      </c>
      <c r="K1954">
        <v>260</v>
      </c>
      <c r="L1954">
        <v>88</v>
      </c>
      <c r="M1954">
        <v>68</v>
      </c>
    </row>
    <row r="1955" spans="2:13" x14ac:dyDescent="0.25">
      <c r="B1955" s="50" t="s">
        <v>4335</v>
      </c>
      <c r="C1955">
        <v>32</v>
      </c>
      <c r="D1955">
        <v>32</v>
      </c>
      <c r="E1955">
        <v>1.8</v>
      </c>
      <c r="F1955" s="16">
        <v>1.8</v>
      </c>
      <c r="G1955">
        <v>52</v>
      </c>
      <c r="H1955">
        <v>9</v>
      </c>
      <c r="I1955" t="s">
        <v>1286</v>
      </c>
      <c r="J1955" t="s">
        <v>900</v>
      </c>
      <c r="K1955">
        <v>210</v>
      </c>
      <c r="L1955">
        <v>65</v>
      </c>
      <c r="M1955">
        <v>58</v>
      </c>
    </row>
    <row r="1956" spans="2:13" x14ac:dyDescent="0.25">
      <c r="B1956" s="50" t="s">
        <v>2791</v>
      </c>
      <c r="C1956">
        <v>32</v>
      </c>
      <c r="D1956">
        <v>32</v>
      </c>
      <c r="E1956">
        <v>1.8</v>
      </c>
      <c r="F1956" s="16">
        <v>1.8</v>
      </c>
      <c r="G1956">
        <v>52</v>
      </c>
      <c r="H1956">
        <v>9</v>
      </c>
      <c r="I1956" t="s">
        <v>1221</v>
      </c>
      <c r="J1956" t="s">
        <v>900</v>
      </c>
      <c r="K1956">
        <v>200</v>
      </c>
      <c r="L1956">
        <v>65</v>
      </c>
      <c r="M1956">
        <v>60</v>
      </c>
    </row>
    <row r="1957" spans="2:13" x14ac:dyDescent="0.25">
      <c r="B1957" s="50" t="s">
        <v>4228</v>
      </c>
      <c r="C1957">
        <v>50</v>
      </c>
      <c r="D1957">
        <v>50</v>
      </c>
      <c r="E1957">
        <v>2.8</v>
      </c>
      <c r="F1957" s="16">
        <v>2.8</v>
      </c>
      <c r="G1957">
        <v>52</v>
      </c>
      <c r="H1957">
        <v>1</v>
      </c>
      <c r="I1957" t="s">
        <v>1286</v>
      </c>
      <c r="J1957" t="s">
        <v>900</v>
      </c>
      <c r="K1957">
        <v>290</v>
      </c>
      <c r="L1957">
        <v>65</v>
      </c>
      <c r="M1957">
        <v>91</v>
      </c>
    </row>
    <row r="1958" spans="2:13" x14ac:dyDescent="0.25">
      <c r="B1958" s="50" t="s">
        <v>3579</v>
      </c>
      <c r="C1958">
        <v>50</v>
      </c>
      <c r="D1958">
        <v>50</v>
      </c>
      <c r="E1958">
        <v>2.8</v>
      </c>
      <c r="F1958" s="16">
        <v>2.8</v>
      </c>
      <c r="G1958">
        <v>52</v>
      </c>
      <c r="H1958">
        <v>1</v>
      </c>
      <c r="I1958" t="s">
        <v>1221</v>
      </c>
      <c r="J1958" t="s">
        <v>900</v>
      </c>
      <c r="K1958">
        <v>290</v>
      </c>
      <c r="L1958">
        <v>65</v>
      </c>
      <c r="M1958">
        <v>91</v>
      </c>
    </row>
    <row r="1959" spans="2:13" x14ac:dyDescent="0.25">
      <c r="B1959" s="50" t="s">
        <v>3577</v>
      </c>
      <c r="C1959">
        <v>135</v>
      </c>
      <c r="D1959">
        <v>135</v>
      </c>
      <c r="E1959">
        <v>2</v>
      </c>
      <c r="F1959" s="16">
        <v>2</v>
      </c>
      <c r="G1959">
        <v>77</v>
      </c>
      <c r="H1959">
        <v>4</v>
      </c>
      <c r="I1959" t="s">
        <v>1229</v>
      </c>
      <c r="J1959" t="s">
        <v>910</v>
      </c>
      <c r="K1959">
        <v>930</v>
      </c>
      <c r="L1959">
        <v>84</v>
      </c>
      <c r="M1959">
        <v>108</v>
      </c>
    </row>
    <row r="1960" spans="2:13" x14ac:dyDescent="0.25">
      <c r="B1960" s="50" t="s">
        <v>3576</v>
      </c>
      <c r="C1960">
        <v>15</v>
      </c>
      <c r="D1960">
        <v>15</v>
      </c>
      <c r="E1960">
        <v>2.8</v>
      </c>
      <c r="F1960" s="16">
        <v>2.8</v>
      </c>
      <c r="G1960">
        <v>95</v>
      </c>
      <c r="H1960">
        <v>18.18</v>
      </c>
      <c r="I1960" t="s">
        <v>1229</v>
      </c>
      <c r="J1960" t="s">
        <v>910</v>
      </c>
      <c r="K1960">
        <v>820</v>
      </c>
      <c r="L1960">
        <v>103</v>
      </c>
      <c r="M1960">
        <v>135</v>
      </c>
    </row>
    <row r="1961" spans="2:13" x14ac:dyDescent="0.25">
      <c r="B1961" s="50" t="s">
        <v>3090</v>
      </c>
      <c r="C1961">
        <v>18</v>
      </c>
      <c r="D1961">
        <v>18</v>
      </c>
      <c r="E1961">
        <v>3.5</v>
      </c>
      <c r="F1961" s="16">
        <v>3.5</v>
      </c>
      <c r="G1961">
        <v>82</v>
      </c>
      <c r="H1961">
        <v>12.05</v>
      </c>
      <c r="I1961" t="s">
        <v>1229</v>
      </c>
      <c r="J1961" t="s">
        <v>910</v>
      </c>
      <c r="K1961">
        <v>470</v>
      </c>
      <c r="L1961">
        <v>87</v>
      </c>
      <c r="M1961">
        <v>84</v>
      </c>
    </row>
    <row r="1962" spans="2:13" x14ac:dyDescent="0.25">
      <c r="B1962" s="50" t="s">
        <v>3575</v>
      </c>
      <c r="C1962">
        <v>21</v>
      </c>
      <c r="D1962">
        <v>21</v>
      </c>
      <c r="E1962">
        <v>2.8</v>
      </c>
      <c r="F1962" s="16">
        <v>2.8</v>
      </c>
      <c r="G1962">
        <v>82</v>
      </c>
      <c r="H1962">
        <v>0</v>
      </c>
      <c r="I1962" t="s">
        <v>1229</v>
      </c>
      <c r="J1962" t="s">
        <v>910</v>
      </c>
      <c r="K1962">
        <v>600</v>
      </c>
      <c r="L1962">
        <v>87</v>
      </c>
      <c r="M1962">
        <v>109</v>
      </c>
    </row>
    <row r="1963" spans="2:13" x14ac:dyDescent="0.25">
      <c r="B1963" s="50" t="s">
        <v>3573</v>
      </c>
      <c r="C1963">
        <v>25</v>
      </c>
      <c r="D1963">
        <v>25</v>
      </c>
      <c r="E1963">
        <v>2</v>
      </c>
      <c r="F1963" s="16">
        <v>2</v>
      </c>
      <c r="G1963">
        <v>67</v>
      </c>
      <c r="H1963">
        <v>5.88</v>
      </c>
      <c r="I1963" t="s">
        <v>1229</v>
      </c>
      <c r="J1963" t="s">
        <v>910</v>
      </c>
      <c r="K1963">
        <v>600</v>
      </c>
      <c r="L1963">
        <v>73</v>
      </c>
      <c r="M1963">
        <v>98</v>
      </c>
    </row>
    <row r="1964" spans="2:13" x14ac:dyDescent="0.25">
      <c r="B1964" s="50" t="s">
        <v>3572</v>
      </c>
      <c r="C1964">
        <v>28</v>
      </c>
      <c r="D1964">
        <v>28</v>
      </c>
      <c r="E1964">
        <v>2</v>
      </c>
      <c r="F1964" s="16">
        <v>2</v>
      </c>
      <c r="G1964">
        <v>0</v>
      </c>
      <c r="H1964">
        <v>4</v>
      </c>
      <c r="I1964" t="s">
        <v>1229</v>
      </c>
      <c r="J1964" t="s">
        <v>910</v>
      </c>
      <c r="K1964">
        <v>530</v>
      </c>
      <c r="L1964">
        <v>65</v>
      </c>
      <c r="M1964">
        <v>94</v>
      </c>
    </row>
    <row r="1965" spans="2:13" x14ac:dyDescent="0.25">
      <c r="B1965" s="50" t="s">
        <v>3089</v>
      </c>
      <c r="C1965">
        <v>35</v>
      </c>
      <c r="D1965">
        <v>35</v>
      </c>
      <c r="E1965">
        <v>1.4</v>
      </c>
      <c r="F1965" s="16">
        <v>1.4</v>
      </c>
      <c r="G1965">
        <v>72</v>
      </c>
      <c r="H1965">
        <v>5</v>
      </c>
      <c r="I1965" t="s">
        <v>1229</v>
      </c>
      <c r="J1965" t="s">
        <v>910</v>
      </c>
      <c r="K1965">
        <v>900</v>
      </c>
      <c r="L1965">
        <v>78</v>
      </c>
      <c r="M1965">
        <v>120</v>
      </c>
    </row>
    <row r="1966" spans="2:13" x14ac:dyDescent="0.25">
      <c r="B1966" s="50" t="s">
        <v>3571</v>
      </c>
      <c r="C1966">
        <v>35</v>
      </c>
      <c r="D1966">
        <v>35</v>
      </c>
      <c r="E1966">
        <v>2</v>
      </c>
      <c r="F1966" s="16">
        <v>2</v>
      </c>
      <c r="G1966">
        <v>58</v>
      </c>
      <c r="H1966">
        <v>0</v>
      </c>
      <c r="I1966" t="s">
        <v>1229</v>
      </c>
      <c r="J1966" t="s">
        <v>910</v>
      </c>
      <c r="K1966">
        <v>530</v>
      </c>
      <c r="L1966">
        <v>65</v>
      </c>
      <c r="M1966">
        <v>73</v>
      </c>
    </row>
    <row r="1967" spans="2:13" x14ac:dyDescent="0.25">
      <c r="B1967" s="50" t="s">
        <v>3570</v>
      </c>
      <c r="C1967">
        <v>100</v>
      </c>
      <c r="D1967">
        <v>100</v>
      </c>
      <c r="E1967">
        <v>2</v>
      </c>
      <c r="F1967" s="16">
        <v>2</v>
      </c>
      <c r="G1967">
        <v>67</v>
      </c>
      <c r="H1967">
        <v>2</v>
      </c>
      <c r="I1967" t="s">
        <v>1229</v>
      </c>
      <c r="J1967" t="s">
        <v>910</v>
      </c>
      <c r="K1967">
        <v>680</v>
      </c>
      <c r="L1967">
        <v>76</v>
      </c>
      <c r="M1967">
        <v>89</v>
      </c>
    </row>
    <row r="1968" spans="2:13" x14ac:dyDescent="0.25">
      <c r="B1968" s="50" t="s">
        <v>4227</v>
      </c>
      <c r="C1968">
        <v>50</v>
      </c>
      <c r="D1968">
        <v>50</v>
      </c>
      <c r="E1968">
        <v>2</v>
      </c>
      <c r="F1968" s="16">
        <v>2</v>
      </c>
      <c r="G1968">
        <v>67</v>
      </c>
      <c r="H1968">
        <v>0</v>
      </c>
      <c r="I1968" t="s">
        <v>1229</v>
      </c>
      <c r="J1968" t="s">
        <v>910</v>
      </c>
      <c r="K1968">
        <v>530</v>
      </c>
      <c r="L1968">
        <v>72</v>
      </c>
      <c r="M1968">
        <v>65</v>
      </c>
    </row>
    <row r="1969" spans="2:13" x14ac:dyDescent="0.25">
      <c r="B1969" s="50" t="s">
        <v>3625</v>
      </c>
      <c r="C1969">
        <v>100</v>
      </c>
      <c r="D1969">
        <v>100</v>
      </c>
      <c r="E1969">
        <v>2</v>
      </c>
      <c r="F1969" s="16">
        <v>2</v>
      </c>
      <c r="G1969">
        <v>67</v>
      </c>
      <c r="H1969">
        <v>2</v>
      </c>
      <c r="I1969" t="s">
        <v>1229</v>
      </c>
      <c r="J1969" t="s">
        <v>910</v>
      </c>
      <c r="K1969">
        <v>843</v>
      </c>
      <c r="L1969">
        <v>80.5</v>
      </c>
      <c r="M1969">
        <v>104</v>
      </c>
    </row>
    <row r="1970" spans="2:13" x14ac:dyDescent="0.25">
      <c r="B1970" s="50" t="s">
        <v>3082</v>
      </c>
      <c r="C1970">
        <v>135</v>
      </c>
      <c r="D1970">
        <v>135</v>
      </c>
      <c r="E1970">
        <v>2</v>
      </c>
      <c r="F1970" s="16">
        <v>2</v>
      </c>
      <c r="G1970">
        <v>77</v>
      </c>
      <c r="H1970">
        <v>4</v>
      </c>
      <c r="I1970" t="s">
        <v>1229</v>
      </c>
      <c r="J1970" t="s">
        <v>910</v>
      </c>
      <c r="K1970">
        <v>1120</v>
      </c>
      <c r="L1970">
        <v>89.7</v>
      </c>
      <c r="M1970">
        <v>115</v>
      </c>
    </row>
    <row r="1971" spans="2:13" x14ac:dyDescent="0.25">
      <c r="B1971" s="50" t="s">
        <v>3638</v>
      </c>
      <c r="C1971">
        <v>15</v>
      </c>
      <c r="D1971">
        <v>15</v>
      </c>
      <c r="E1971">
        <v>2.8</v>
      </c>
      <c r="F1971" s="16">
        <v>2.8</v>
      </c>
      <c r="G1971">
        <v>95</v>
      </c>
      <c r="H1971">
        <v>9</v>
      </c>
      <c r="I1971" t="s">
        <v>1229</v>
      </c>
      <c r="J1971" t="s">
        <v>910</v>
      </c>
      <c r="K1971">
        <v>947</v>
      </c>
      <c r="L1971">
        <v>102.3</v>
      </c>
      <c r="M1971">
        <v>100.2</v>
      </c>
    </row>
    <row r="1972" spans="2:13" x14ac:dyDescent="0.25">
      <c r="B1972" s="50" t="s">
        <v>4225</v>
      </c>
      <c r="C1972">
        <v>18</v>
      </c>
      <c r="D1972">
        <v>18</v>
      </c>
      <c r="E1972">
        <v>2.8</v>
      </c>
      <c r="F1972" s="16">
        <v>2.8</v>
      </c>
      <c r="G1972">
        <v>77</v>
      </c>
      <c r="H1972">
        <v>7.4</v>
      </c>
      <c r="I1972" t="s">
        <v>1229</v>
      </c>
      <c r="J1972" t="s">
        <v>910</v>
      </c>
      <c r="K1972">
        <v>721</v>
      </c>
      <c r="L1972">
        <v>90</v>
      </c>
      <c r="M1972">
        <v>93</v>
      </c>
    </row>
    <row r="1973" spans="2:13" x14ac:dyDescent="0.25">
      <c r="B1973" s="50" t="s">
        <v>3637</v>
      </c>
      <c r="C1973">
        <v>21</v>
      </c>
      <c r="D1973">
        <v>21</v>
      </c>
      <c r="E1973">
        <v>2.8</v>
      </c>
      <c r="F1973" s="16">
        <v>2.8</v>
      </c>
      <c r="G1973">
        <v>82</v>
      </c>
      <c r="H1973">
        <v>5</v>
      </c>
      <c r="I1973" t="s">
        <v>1229</v>
      </c>
      <c r="J1973" t="s">
        <v>910</v>
      </c>
      <c r="K1973">
        <v>851</v>
      </c>
      <c r="L1973">
        <v>95.5</v>
      </c>
      <c r="M1973">
        <v>95</v>
      </c>
    </row>
    <row r="1974" spans="2:13" x14ac:dyDescent="0.25">
      <c r="B1974" s="50" t="s">
        <v>3634</v>
      </c>
      <c r="C1974">
        <v>25</v>
      </c>
      <c r="D1974">
        <v>25</v>
      </c>
      <c r="E1974">
        <v>1.4</v>
      </c>
      <c r="F1974" s="16">
        <v>1.4</v>
      </c>
      <c r="G1974">
        <v>82</v>
      </c>
      <c r="H1974">
        <v>4.5999999999999996</v>
      </c>
      <c r="I1974" t="s">
        <v>1229</v>
      </c>
      <c r="J1974" t="s">
        <v>910</v>
      </c>
      <c r="K1974">
        <v>1230</v>
      </c>
      <c r="L1974">
        <v>95.2</v>
      </c>
      <c r="M1974">
        <v>122.5</v>
      </c>
    </row>
    <row r="1975" spans="2:13" x14ac:dyDescent="0.25">
      <c r="B1975" s="50" t="s">
        <v>3087</v>
      </c>
      <c r="C1975">
        <v>35</v>
      </c>
      <c r="D1975">
        <v>35</v>
      </c>
      <c r="E1975">
        <v>1.4</v>
      </c>
      <c r="F1975" s="16">
        <v>1.4</v>
      </c>
      <c r="G1975">
        <v>72</v>
      </c>
      <c r="H1975">
        <v>4.5999999999999996</v>
      </c>
      <c r="I1975" t="s">
        <v>1229</v>
      </c>
      <c r="J1975" t="s">
        <v>910</v>
      </c>
      <c r="K1975">
        <v>1170</v>
      </c>
      <c r="L1975">
        <v>84.8</v>
      </c>
      <c r="M1975">
        <v>125.6</v>
      </c>
    </row>
    <row r="1976" spans="2:13" x14ac:dyDescent="0.25">
      <c r="B1976" s="50" t="s">
        <v>3633</v>
      </c>
      <c r="C1976">
        <v>35</v>
      </c>
      <c r="D1976">
        <v>35</v>
      </c>
      <c r="E1976">
        <v>2</v>
      </c>
      <c r="F1976" s="16">
        <v>2</v>
      </c>
      <c r="G1976">
        <v>58</v>
      </c>
      <c r="H1976">
        <v>5.3</v>
      </c>
      <c r="I1976" t="s">
        <v>1229</v>
      </c>
      <c r="J1976" t="s">
        <v>910</v>
      </c>
      <c r="K1976">
        <v>702</v>
      </c>
      <c r="L1976">
        <v>77</v>
      </c>
      <c r="M1976">
        <v>83</v>
      </c>
    </row>
    <row r="1977" spans="2:13" x14ac:dyDescent="0.25">
      <c r="B1977" s="50" t="s">
        <v>3084</v>
      </c>
      <c r="C1977">
        <v>50</v>
      </c>
      <c r="D1977">
        <v>50</v>
      </c>
      <c r="E1977">
        <v>1.4</v>
      </c>
      <c r="F1977" s="16">
        <v>1.4</v>
      </c>
      <c r="G1977">
        <v>67</v>
      </c>
      <c r="H1977">
        <v>6.7</v>
      </c>
      <c r="I1977" t="s">
        <v>1229</v>
      </c>
      <c r="J1977" t="s">
        <v>910</v>
      </c>
      <c r="K1977">
        <v>922</v>
      </c>
      <c r="L1977">
        <v>82.5</v>
      </c>
      <c r="M1977">
        <v>97.5</v>
      </c>
    </row>
    <row r="1978" spans="2:13" x14ac:dyDescent="0.25">
      <c r="B1978" s="50" t="s">
        <v>3631</v>
      </c>
      <c r="C1978">
        <v>50</v>
      </c>
      <c r="D1978">
        <v>50</v>
      </c>
      <c r="E1978">
        <v>2</v>
      </c>
      <c r="F1978" s="16">
        <v>2</v>
      </c>
      <c r="G1978">
        <v>67</v>
      </c>
      <c r="H1978">
        <v>2</v>
      </c>
      <c r="I1978" t="s">
        <v>1229</v>
      </c>
      <c r="J1978" t="s">
        <v>910</v>
      </c>
      <c r="K1978">
        <v>730</v>
      </c>
      <c r="L1978">
        <v>81</v>
      </c>
      <c r="M1978">
        <v>75.3</v>
      </c>
    </row>
    <row r="1979" spans="2:13" x14ac:dyDescent="0.25">
      <c r="B1979" s="50" t="s">
        <v>3628</v>
      </c>
      <c r="C1979">
        <v>85</v>
      </c>
      <c r="D1979">
        <v>85</v>
      </c>
      <c r="E1979">
        <v>1.4</v>
      </c>
      <c r="F1979" s="16">
        <v>1.4</v>
      </c>
      <c r="G1979">
        <v>77</v>
      </c>
      <c r="H1979">
        <v>8.3000000000000007</v>
      </c>
      <c r="I1979" t="s">
        <v>1229</v>
      </c>
      <c r="J1979" t="s">
        <v>910</v>
      </c>
      <c r="K1979">
        <v>1280</v>
      </c>
      <c r="L1979">
        <v>90</v>
      </c>
      <c r="M1979">
        <v>113</v>
      </c>
    </row>
    <row r="1980" spans="2:13" x14ac:dyDescent="0.25">
      <c r="B1980" s="50" t="s">
        <v>3080</v>
      </c>
      <c r="C1980">
        <v>28</v>
      </c>
      <c r="D1980">
        <v>28</v>
      </c>
      <c r="E1980">
        <v>1.4</v>
      </c>
      <c r="F1980" s="16">
        <v>1.4</v>
      </c>
      <c r="G1980">
        <v>95</v>
      </c>
      <c r="H1980">
        <v>6.25</v>
      </c>
      <c r="I1980" t="s">
        <v>1229</v>
      </c>
      <c r="J1980" t="s">
        <v>910</v>
      </c>
      <c r="K1980">
        <v>1390</v>
      </c>
      <c r="L1980">
        <v>108.9</v>
      </c>
      <c r="M1980">
        <v>129.5</v>
      </c>
    </row>
    <row r="1981" spans="2:13" x14ac:dyDescent="0.25">
      <c r="B1981" s="50" t="s">
        <v>3079</v>
      </c>
      <c r="C1981">
        <v>55</v>
      </c>
      <c r="D1981">
        <v>55</v>
      </c>
      <c r="E1981">
        <v>1.4</v>
      </c>
      <c r="F1981" s="16">
        <v>1.4</v>
      </c>
      <c r="G1981">
        <v>77</v>
      </c>
      <c r="H1981">
        <v>6.8</v>
      </c>
      <c r="I1981" t="s">
        <v>1229</v>
      </c>
      <c r="J1981" t="s">
        <v>910</v>
      </c>
      <c r="K1981">
        <v>1030</v>
      </c>
      <c r="L1981">
        <v>83</v>
      </c>
      <c r="M1981">
        <v>120</v>
      </c>
    </row>
    <row r="1982" spans="2:13" x14ac:dyDescent="0.25">
      <c r="B1982" s="50" t="s">
        <v>3078</v>
      </c>
      <c r="C1982">
        <v>85</v>
      </c>
      <c r="D1982">
        <v>85</v>
      </c>
      <c r="E1982">
        <v>1.4</v>
      </c>
      <c r="F1982" s="16">
        <v>1.4</v>
      </c>
      <c r="G1982">
        <v>86</v>
      </c>
      <c r="H1982">
        <v>7.7</v>
      </c>
      <c r="I1982" t="s">
        <v>1229</v>
      </c>
      <c r="J1982" t="s">
        <v>910</v>
      </c>
      <c r="K1982">
        <v>1200</v>
      </c>
      <c r="L1982">
        <v>101</v>
      </c>
      <c r="M1982">
        <v>116</v>
      </c>
    </row>
    <row r="1983" spans="2:13" x14ac:dyDescent="0.25">
      <c r="B1983" s="50" t="s">
        <v>4055</v>
      </c>
      <c r="C1983">
        <v>50</v>
      </c>
      <c r="D1983">
        <v>50</v>
      </c>
      <c r="E1983">
        <v>1.4</v>
      </c>
      <c r="F1983" s="16">
        <v>1.4</v>
      </c>
      <c r="G1983">
        <v>58</v>
      </c>
      <c r="H1983">
        <v>0</v>
      </c>
      <c r="I1983" t="s">
        <v>1229</v>
      </c>
      <c r="J1983" t="s">
        <v>910</v>
      </c>
      <c r="K1983">
        <v>330</v>
      </c>
      <c r="L1983">
        <v>66</v>
      </c>
      <c r="M1983">
        <v>45</v>
      </c>
    </row>
    <row r="1984" spans="2:13" x14ac:dyDescent="0.25">
      <c r="B1984" s="50" t="s">
        <v>3624</v>
      </c>
      <c r="C1984">
        <v>85</v>
      </c>
      <c r="D1984">
        <v>85</v>
      </c>
      <c r="E1984">
        <v>1.4</v>
      </c>
      <c r="F1984" s="16">
        <v>1.4</v>
      </c>
      <c r="G1984">
        <v>72</v>
      </c>
      <c r="H1984">
        <v>0</v>
      </c>
      <c r="I1984" t="s">
        <v>1229</v>
      </c>
      <c r="J1984" t="s">
        <v>910</v>
      </c>
      <c r="K1984">
        <v>570</v>
      </c>
      <c r="L1984">
        <v>77</v>
      </c>
      <c r="M1984">
        <v>62</v>
      </c>
    </row>
    <row r="1985" spans="2:13" x14ac:dyDescent="0.25">
      <c r="B1985" s="50" t="s">
        <v>3623</v>
      </c>
      <c r="C1985">
        <v>15</v>
      </c>
      <c r="D1985">
        <v>15</v>
      </c>
      <c r="E1985">
        <v>2.8</v>
      </c>
      <c r="F1985" s="16">
        <v>2.8</v>
      </c>
      <c r="G1985">
        <v>95</v>
      </c>
      <c r="H1985">
        <v>18.18</v>
      </c>
      <c r="I1985" t="s">
        <v>8</v>
      </c>
      <c r="J1985" t="s">
        <v>910</v>
      </c>
      <c r="K1985">
        <v>730</v>
      </c>
      <c r="L1985">
        <v>103</v>
      </c>
      <c r="M1985">
        <v>132</v>
      </c>
    </row>
    <row r="1986" spans="2:13" x14ac:dyDescent="0.25">
      <c r="B1986" s="50" t="s">
        <v>4224</v>
      </c>
      <c r="C1986">
        <v>50</v>
      </c>
      <c r="D1986">
        <v>50</v>
      </c>
      <c r="E1986">
        <v>2</v>
      </c>
      <c r="F1986" s="16">
        <v>2</v>
      </c>
      <c r="G1986">
        <v>67</v>
      </c>
      <c r="H1986">
        <v>0</v>
      </c>
      <c r="I1986" t="s">
        <v>8</v>
      </c>
      <c r="J1986" t="s">
        <v>910</v>
      </c>
      <c r="K1986">
        <v>530</v>
      </c>
      <c r="L1986">
        <v>72</v>
      </c>
      <c r="M1986">
        <v>65</v>
      </c>
    </row>
    <row r="1987" spans="2:13" x14ac:dyDescent="0.25">
      <c r="B1987" s="50" t="s">
        <v>3622</v>
      </c>
      <c r="C1987">
        <v>85</v>
      </c>
      <c r="D1987">
        <v>85</v>
      </c>
      <c r="E1987">
        <v>1.4</v>
      </c>
      <c r="F1987" s="16">
        <v>1.4</v>
      </c>
      <c r="G1987">
        <v>72</v>
      </c>
      <c r="H1987">
        <v>0</v>
      </c>
      <c r="I1987" t="s">
        <v>8</v>
      </c>
      <c r="J1987" t="s">
        <v>910</v>
      </c>
      <c r="K1987">
        <v>570</v>
      </c>
      <c r="L1987">
        <v>77</v>
      </c>
      <c r="M1987">
        <v>62</v>
      </c>
    </row>
    <row r="1988" spans="2:13" x14ac:dyDescent="0.25">
      <c r="B1988" s="50" t="s">
        <v>4222</v>
      </c>
      <c r="C1988">
        <v>135</v>
      </c>
      <c r="D1988">
        <v>135</v>
      </c>
      <c r="E1988">
        <v>2</v>
      </c>
      <c r="F1988" s="16">
        <v>2</v>
      </c>
      <c r="G1988">
        <v>77</v>
      </c>
      <c r="H1988">
        <v>4</v>
      </c>
      <c r="I1988" t="s">
        <v>8</v>
      </c>
      <c r="J1988" t="s">
        <v>910</v>
      </c>
      <c r="K1988">
        <v>920</v>
      </c>
      <c r="L1988">
        <v>84</v>
      </c>
      <c r="M1988">
        <v>105</v>
      </c>
    </row>
    <row r="1989" spans="2:13" x14ac:dyDescent="0.25">
      <c r="B1989" s="50" t="s">
        <v>3621</v>
      </c>
      <c r="C1989">
        <v>18</v>
      </c>
      <c r="D1989">
        <v>18</v>
      </c>
      <c r="E1989">
        <v>3.5</v>
      </c>
      <c r="F1989" s="16">
        <v>3.5</v>
      </c>
      <c r="G1989">
        <v>82</v>
      </c>
      <c r="H1989">
        <v>12.05</v>
      </c>
      <c r="I1989" t="s">
        <v>8</v>
      </c>
      <c r="J1989" t="s">
        <v>910</v>
      </c>
      <c r="K1989">
        <v>470</v>
      </c>
      <c r="L1989">
        <v>87</v>
      </c>
      <c r="M1989">
        <v>84</v>
      </c>
    </row>
    <row r="1990" spans="2:13" x14ac:dyDescent="0.25">
      <c r="B1990" s="50" t="s">
        <v>4054</v>
      </c>
      <c r="C1990">
        <v>21</v>
      </c>
      <c r="D1990">
        <v>21</v>
      </c>
      <c r="E1990">
        <v>2.8</v>
      </c>
      <c r="F1990" s="16">
        <v>2.8</v>
      </c>
      <c r="G1990">
        <v>82</v>
      </c>
      <c r="H1990">
        <v>0</v>
      </c>
      <c r="I1990" t="s">
        <v>8</v>
      </c>
      <c r="J1990" t="s">
        <v>910</v>
      </c>
      <c r="K1990">
        <v>600</v>
      </c>
      <c r="L1990">
        <v>87</v>
      </c>
      <c r="M1990">
        <v>109</v>
      </c>
    </row>
    <row r="1991" spans="2:13" x14ac:dyDescent="0.25">
      <c r="B1991" s="50" t="s">
        <v>4053</v>
      </c>
      <c r="C1991">
        <v>25</v>
      </c>
      <c r="D1991">
        <v>25</v>
      </c>
      <c r="E1991">
        <v>2</v>
      </c>
      <c r="F1991" s="16">
        <v>2</v>
      </c>
      <c r="G1991">
        <v>67</v>
      </c>
      <c r="H1991">
        <v>5.88</v>
      </c>
      <c r="I1991" t="s">
        <v>8</v>
      </c>
      <c r="J1991" t="s">
        <v>910</v>
      </c>
      <c r="K1991">
        <v>570</v>
      </c>
      <c r="L1991">
        <v>71</v>
      </c>
      <c r="M1991">
        <v>95</v>
      </c>
    </row>
    <row r="1992" spans="2:13" x14ac:dyDescent="0.25">
      <c r="B1992" s="50" t="s">
        <v>4052</v>
      </c>
      <c r="C1992">
        <v>25</v>
      </c>
      <c r="D1992">
        <v>25</v>
      </c>
      <c r="E1992">
        <v>2.8</v>
      </c>
      <c r="F1992" s="16">
        <v>2.8</v>
      </c>
      <c r="G1992">
        <v>58</v>
      </c>
      <c r="H1992">
        <v>0</v>
      </c>
      <c r="I1992" t="s">
        <v>8</v>
      </c>
      <c r="J1992" t="s">
        <v>910</v>
      </c>
      <c r="K1992">
        <v>480</v>
      </c>
      <c r="L1992">
        <v>65</v>
      </c>
      <c r="M1992">
        <v>66</v>
      </c>
    </row>
    <row r="1993" spans="2:13" x14ac:dyDescent="0.25">
      <c r="B1993" s="50" t="s">
        <v>3620</v>
      </c>
      <c r="C1993">
        <v>28</v>
      </c>
      <c r="D1993">
        <v>28</v>
      </c>
      <c r="E1993">
        <v>2</v>
      </c>
      <c r="F1993" s="16">
        <v>2</v>
      </c>
      <c r="G1993">
        <v>0</v>
      </c>
      <c r="H1993">
        <v>4</v>
      </c>
      <c r="I1993" t="s">
        <v>8</v>
      </c>
      <c r="J1993" t="s">
        <v>910</v>
      </c>
      <c r="K1993">
        <v>530</v>
      </c>
      <c r="L1993">
        <v>65</v>
      </c>
      <c r="M1993">
        <v>94</v>
      </c>
    </row>
    <row r="1994" spans="2:13" x14ac:dyDescent="0.25">
      <c r="B1994" s="50" t="s">
        <v>4051</v>
      </c>
      <c r="C1994">
        <v>35</v>
      </c>
      <c r="D1994">
        <v>35</v>
      </c>
      <c r="E1994">
        <v>1.4</v>
      </c>
      <c r="F1994" s="16">
        <v>1.4</v>
      </c>
      <c r="G1994">
        <v>72</v>
      </c>
      <c r="H1994">
        <v>5</v>
      </c>
      <c r="I1994" t="s">
        <v>8</v>
      </c>
      <c r="J1994" t="s">
        <v>910</v>
      </c>
      <c r="K1994">
        <v>830</v>
      </c>
      <c r="L1994">
        <v>72.7</v>
      </c>
      <c r="M1994">
        <v>120</v>
      </c>
    </row>
    <row r="1995" spans="2:13" x14ac:dyDescent="0.25">
      <c r="B1995" s="50" t="s">
        <v>3619</v>
      </c>
      <c r="C1995">
        <v>35</v>
      </c>
      <c r="D1995">
        <v>35</v>
      </c>
      <c r="E1995">
        <v>2</v>
      </c>
      <c r="F1995" s="16">
        <v>2</v>
      </c>
      <c r="G1995">
        <v>58</v>
      </c>
      <c r="H1995">
        <v>0</v>
      </c>
      <c r="I1995" t="s">
        <v>8</v>
      </c>
      <c r="J1995" t="s">
        <v>910</v>
      </c>
      <c r="K1995">
        <v>530</v>
      </c>
      <c r="L1995">
        <v>65</v>
      </c>
      <c r="M1995">
        <v>73</v>
      </c>
    </row>
    <row r="1996" spans="2:13" x14ac:dyDescent="0.25">
      <c r="B1996" s="50" t="s">
        <v>3618</v>
      </c>
      <c r="C1996">
        <v>100</v>
      </c>
      <c r="D1996">
        <v>100</v>
      </c>
      <c r="E1996">
        <v>2</v>
      </c>
      <c r="F1996" s="16">
        <v>2</v>
      </c>
      <c r="G1996">
        <v>67</v>
      </c>
      <c r="H1996">
        <v>2</v>
      </c>
      <c r="I1996" t="s">
        <v>8</v>
      </c>
      <c r="J1996" t="s">
        <v>910</v>
      </c>
      <c r="K1996">
        <v>680</v>
      </c>
      <c r="L1996">
        <v>76</v>
      </c>
      <c r="M1996">
        <v>89</v>
      </c>
    </row>
    <row r="1997" spans="2:13" x14ac:dyDescent="0.25">
      <c r="B1997" s="50" t="s">
        <v>4048</v>
      </c>
      <c r="C1997">
        <v>100</v>
      </c>
      <c r="D1997">
        <v>100</v>
      </c>
      <c r="E1997">
        <v>2</v>
      </c>
      <c r="F1997" s="16">
        <v>2</v>
      </c>
      <c r="G1997">
        <v>67</v>
      </c>
      <c r="H1997">
        <v>2</v>
      </c>
      <c r="I1997" t="s">
        <v>8</v>
      </c>
      <c r="J1997" t="s">
        <v>910</v>
      </c>
      <c r="K1997">
        <v>807</v>
      </c>
      <c r="L1997">
        <v>80.5</v>
      </c>
      <c r="M1997">
        <v>103</v>
      </c>
    </row>
    <row r="1998" spans="2:13" x14ac:dyDescent="0.25">
      <c r="B1998" s="50" t="s">
        <v>4047</v>
      </c>
      <c r="C1998">
        <v>135</v>
      </c>
      <c r="D1998">
        <v>135</v>
      </c>
      <c r="E1998">
        <v>2</v>
      </c>
      <c r="F1998" s="16">
        <v>2</v>
      </c>
      <c r="G1998">
        <v>77</v>
      </c>
      <c r="H1998">
        <v>4</v>
      </c>
      <c r="I1998" t="s">
        <v>8</v>
      </c>
      <c r="J1998" t="s">
        <v>910</v>
      </c>
      <c r="K1998">
        <v>1060</v>
      </c>
      <c r="L1998">
        <v>89.7</v>
      </c>
      <c r="M1998">
        <v>114</v>
      </c>
    </row>
    <row r="1999" spans="2:13" x14ac:dyDescent="0.25">
      <c r="B1999" s="50" t="s">
        <v>4050</v>
      </c>
      <c r="C1999">
        <v>15</v>
      </c>
      <c r="D1999">
        <v>15</v>
      </c>
      <c r="E1999">
        <v>2.8</v>
      </c>
      <c r="F1999" s="16">
        <v>2.8</v>
      </c>
      <c r="G1999">
        <v>95</v>
      </c>
      <c r="H1999">
        <v>9</v>
      </c>
      <c r="I1999" t="s">
        <v>8</v>
      </c>
      <c r="J1999" t="s">
        <v>910</v>
      </c>
      <c r="K1999">
        <v>880</v>
      </c>
      <c r="L1999">
        <v>102.3</v>
      </c>
      <c r="M1999">
        <v>99</v>
      </c>
    </row>
    <row r="2000" spans="2:13" x14ac:dyDescent="0.25">
      <c r="B2000" s="50" t="s">
        <v>4221</v>
      </c>
      <c r="C2000">
        <v>18</v>
      </c>
      <c r="D2000">
        <v>18</v>
      </c>
      <c r="E2000">
        <v>2.8</v>
      </c>
      <c r="F2000" s="16">
        <v>2.8</v>
      </c>
      <c r="G2000">
        <v>77</v>
      </c>
      <c r="H2000">
        <v>7.4</v>
      </c>
      <c r="I2000" t="s">
        <v>8</v>
      </c>
      <c r="J2000" t="s">
        <v>910</v>
      </c>
      <c r="K2000">
        <v>675</v>
      </c>
      <c r="L2000">
        <v>90</v>
      </c>
      <c r="M2000">
        <v>92</v>
      </c>
    </row>
    <row r="2001" spans="2:13" x14ac:dyDescent="0.25">
      <c r="B2001" s="50" t="s">
        <v>3615</v>
      </c>
      <c r="C2001">
        <v>21</v>
      </c>
      <c r="D2001">
        <v>21</v>
      </c>
      <c r="E2001">
        <v>2.8</v>
      </c>
      <c r="F2001" s="16">
        <v>2.8</v>
      </c>
      <c r="G2001">
        <v>82</v>
      </c>
      <c r="H2001">
        <v>5</v>
      </c>
      <c r="I2001" t="s">
        <v>8</v>
      </c>
      <c r="J2001" t="s">
        <v>910</v>
      </c>
      <c r="K2001">
        <v>735</v>
      </c>
      <c r="L2001">
        <v>95.3</v>
      </c>
      <c r="M2001">
        <v>92.5</v>
      </c>
    </row>
    <row r="2002" spans="2:13" x14ac:dyDescent="0.25">
      <c r="B2002" s="50" t="s">
        <v>2789</v>
      </c>
      <c r="C2002">
        <v>25</v>
      </c>
      <c r="D2002">
        <v>25</v>
      </c>
      <c r="E2002">
        <v>1.4</v>
      </c>
      <c r="F2002" s="16">
        <v>1.4</v>
      </c>
      <c r="G2002">
        <v>82</v>
      </c>
      <c r="H2002">
        <v>4.5999999999999996</v>
      </c>
      <c r="I2002" t="s">
        <v>8</v>
      </c>
      <c r="J2002" t="s">
        <v>910</v>
      </c>
      <c r="K2002">
        <v>1170</v>
      </c>
      <c r="L2002">
        <v>95.2</v>
      </c>
      <c r="M2002">
        <v>123.3</v>
      </c>
    </row>
    <row r="2003" spans="2:13" x14ac:dyDescent="0.25">
      <c r="B2003" s="50" t="s">
        <v>2788</v>
      </c>
      <c r="C2003">
        <v>35</v>
      </c>
      <c r="D2003">
        <v>35</v>
      </c>
      <c r="E2003">
        <v>1.4</v>
      </c>
      <c r="F2003" s="16">
        <v>1.4</v>
      </c>
      <c r="G2003">
        <v>72</v>
      </c>
      <c r="H2003">
        <v>4.5999999999999996</v>
      </c>
      <c r="I2003" t="s">
        <v>8</v>
      </c>
      <c r="J2003" t="s">
        <v>910</v>
      </c>
      <c r="K2003">
        <v>1130</v>
      </c>
      <c r="L2003">
        <v>84.8</v>
      </c>
      <c r="M2003">
        <v>124.8</v>
      </c>
    </row>
    <row r="2004" spans="2:13" x14ac:dyDescent="0.25">
      <c r="B2004" s="50" t="s">
        <v>3614</v>
      </c>
      <c r="C2004">
        <v>35</v>
      </c>
      <c r="D2004">
        <v>35</v>
      </c>
      <c r="E2004">
        <v>2</v>
      </c>
      <c r="F2004" s="16">
        <v>2</v>
      </c>
      <c r="G2004">
        <v>58</v>
      </c>
      <c r="H2004">
        <v>5.3</v>
      </c>
      <c r="I2004" t="s">
        <v>8</v>
      </c>
      <c r="J2004" t="s">
        <v>910</v>
      </c>
      <c r="K2004">
        <v>649</v>
      </c>
      <c r="L2004">
        <v>77</v>
      </c>
      <c r="M2004">
        <v>81.3</v>
      </c>
    </row>
    <row r="2005" spans="2:13" x14ac:dyDescent="0.25">
      <c r="B2005" s="50" t="s">
        <v>4049</v>
      </c>
      <c r="C2005">
        <v>50</v>
      </c>
      <c r="D2005">
        <v>50</v>
      </c>
      <c r="E2005">
        <v>1.4</v>
      </c>
      <c r="F2005" s="16">
        <v>1.4</v>
      </c>
      <c r="G2005">
        <v>67</v>
      </c>
      <c r="H2005">
        <v>6.7</v>
      </c>
      <c r="I2005" t="s">
        <v>8</v>
      </c>
      <c r="J2005" t="s">
        <v>910</v>
      </c>
      <c r="K2005">
        <v>875</v>
      </c>
      <c r="L2005">
        <v>82.9</v>
      </c>
      <c r="M2005">
        <v>94</v>
      </c>
    </row>
    <row r="2006" spans="2:13" x14ac:dyDescent="0.25">
      <c r="B2006" s="50" t="s">
        <v>3613</v>
      </c>
      <c r="C2006">
        <v>50</v>
      </c>
      <c r="D2006">
        <v>50</v>
      </c>
      <c r="E2006">
        <v>2</v>
      </c>
      <c r="F2006" s="16">
        <v>2</v>
      </c>
      <c r="G2006">
        <v>67</v>
      </c>
      <c r="H2006">
        <v>2</v>
      </c>
      <c r="I2006" t="s">
        <v>8</v>
      </c>
      <c r="J2006" t="s">
        <v>910</v>
      </c>
      <c r="K2006">
        <v>660</v>
      </c>
      <c r="L2006">
        <v>80.7</v>
      </c>
      <c r="M2006">
        <v>72.8</v>
      </c>
    </row>
    <row r="2007" spans="2:13" x14ac:dyDescent="0.25">
      <c r="B2007" s="50" t="s">
        <v>3612</v>
      </c>
      <c r="C2007">
        <v>85</v>
      </c>
      <c r="D2007">
        <v>85</v>
      </c>
      <c r="E2007">
        <v>1.4</v>
      </c>
      <c r="F2007" s="16">
        <v>1.4</v>
      </c>
      <c r="G2007">
        <v>77</v>
      </c>
      <c r="H2007">
        <v>8.3000000000000007</v>
      </c>
      <c r="I2007" t="s">
        <v>8</v>
      </c>
      <c r="J2007" t="s">
        <v>910</v>
      </c>
      <c r="K2007">
        <v>1210</v>
      </c>
      <c r="L2007">
        <v>90</v>
      </c>
      <c r="M2007">
        <v>110</v>
      </c>
    </row>
    <row r="2008" spans="2:13" x14ac:dyDescent="0.25">
      <c r="B2008" s="50" t="s">
        <v>4046</v>
      </c>
      <c r="C2008">
        <v>28</v>
      </c>
      <c r="D2008">
        <v>28</v>
      </c>
      <c r="E2008">
        <v>1.4</v>
      </c>
      <c r="F2008" s="16">
        <v>1.4</v>
      </c>
      <c r="G2008">
        <v>95</v>
      </c>
      <c r="H2008">
        <v>6.25</v>
      </c>
      <c r="I2008" t="s">
        <v>8</v>
      </c>
      <c r="J2008" t="s">
        <v>910</v>
      </c>
      <c r="K2008">
        <v>1350</v>
      </c>
      <c r="L2008">
        <v>108.9</v>
      </c>
      <c r="M2008">
        <v>127</v>
      </c>
    </row>
    <row r="2009" spans="2:13" x14ac:dyDescent="0.25">
      <c r="B2009" s="50" t="s">
        <v>4045</v>
      </c>
      <c r="C2009">
        <v>55</v>
      </c>
      <c r="D2009">
        <v>55</v>
      </c>
      <c r="E2009">
        <v>1.4</v>
      </c>
      <c r="F2009" s="16">
        <v>1.4</v>
      </c>
      <c r="G2009">
        <v>77</v>
      </c>
      <c r="H2009">
        <v>6.8</v>
      </c>
      <c r="I2009" t="s">
        <v>8</v>
      </c>
      <c r="J2009" t="s">
        <v>910</v>
      </c>
      <c r="K2009">
        <v>970</v>
      </c>
      <c r="L2009">
        <v>83</v>
      </c>
      <c r="M2009">
        <v>117.5</v>
      </c>
    </row>
    <row r="2010" spans="2:13" x14ac:dyDescent="0.25">
      <c r="B2010" s="50" t="s">
        <v>4044</v>
      </c>
      <c r="C2010">
        <v>85</v>
      </c>
      <c r="D2010">
        <v>85</v>
      </c>
      <c r="E2010">
        <v>1.4</v>
      </c>
      <c r="F2010" s="16">
        <v>1.4</v>
      </c>
      <c r="G2010">
        <v>86</v>
      </c>
      <c r="H2010">
        <v>7.7</v>
      </c>
      <c r="I2010" t="s">
        <v>8</v>
      </c>
      <c r="J2010" t="s">
        <v>910</v>
      </c>
      <c r="K2010">
        <v>1140</v>
      </c>
      <c r="L2010">
        <v>101</v>
      </c>
      <c r="M2010">
        <v>113.5</v>
      </c>
    </row>
    <row r="2011" spans="2:13" x14ac:dyDescent="0.25">
      <c r="B2011" s="50" t="s">
        <v>3610</v>
      </c>
      <c r="C2011">
        <v>50</v>
      </c>
      <c r="D2011">
        <v>50</v>
      </c>
      <c r="E2011">
        <v>1.4</v>
      </c>
      <c r="F2011" s="16">
        <v>1.4</v>
      </c>
      <c r="G2011">
        <v>58</v>
      </c>
      <c r="H2011">
        <v>0</v>
      </c>
      <c r="I2011" t="s">
        <v>8</v>
      </c>
      <c r="J2011" t="s">
        <v>910</v>
      </c>
      <c r="K2011">
        <v>350</v>
      </c>
      <c r="L2011">
        <v>66</v>
      </c>
      <c r="M2011">
        <v>69</v>
      </c>
    </row>
    <row r="2012" spans="2:13" x14ac:dyDescent="0.25">
      <c r="B2012" s="50" t="s">
        <v>3609</v>
      </c>
      <c r="C2012">
        <v>85</v>
      </c>
      <c r="D2012">
        <v>85</v>
      </c>
      <c r="E2012">
        <v>1.4</v>
      </c>
      <c r="F2012" s="16">
        <v>1.4</v>
      </c>
      <c r="G2012">
        <v>72</v>
      </c>
      <c r="H2012">
        <v>0</v>
      </c>
      <c r="I2012" t="s">
        <v>8</v>
      </c>
      <c r="J2012" t="s">
        <v>910</v>
      </c>
      <c r="K2012">
        <v>570</v>
      </c>
      <c r="L2012">
        <v>77</v>
      </c>
      <c r="M2012">
        <v>62</v>
      </c>
    </row>
    <row r="2013" spans="2:13" x14ac:dyDescent="0.25">
      <c r="B2013" s="50" t="s">
        <v>3607</v>
      </c>
      <c r="C2013">
        <v>21</v>
      </c>
      <c r="D2013">
        <v>21</v>
      </c>
      <c r="E2013">
        <v>2.8</v>
      </c>
      <c r="F2013" s="16">
        <v>2.8</v>
      </c>
      <c r="G2013">
        <v>46</v>
      </c>
      <c r="H2013">
        <v>21.28</v>
      </c>
      <c r="I2013" t="s">
        <v>1343</v>
      </c>
      <c r="J2013" t="s">
        <v>910</v>
      </c>
      <c r="K2013">
        <v>300</v>
      </c>
      <c r="L2013">
        <v>0</v>
      </c>
      <c r="M2013">
        <v>0</v>
      </c>
    </row>
    <row r="2014" spans="2:13" x14ac:dyDescent="0.25">
      <c r="B2014" s="50" t="s">
        <v>3606</v>
      </c>
      <c r="C2014">
        <v>21</v>
      </c>
      <c r="D2014">
        <v>21</v>
      </c>
      <c r="E2014">
        <v>4.5</v>
      </c>
      <c r="F2014" s="16">
        <v>4.5</v>
      </c>
      <c r="G2014">
        <v>46</v>
      </c>
      <c r="H2014">
        <v>20</v>
      </c>
      <c r="I2014" t="s">
        <v>1343</v>
      </c>
      <c r="J2014" t="s">
        <v>910</v>
      </c>
      <c r="K2014">
        <v>190</v>
      </c>
      <c r="L2014">
        <v>0</v>
      </c>
      <c r="M2014">
        <v>0</v>
      </c>
    </row>
    <row r="2015" spans="2:13" x14ac:dyDescent="0.25">
      <c r="B2015" s="50" t="s">
        <v>3604</v>
      </c>
      <c r="C2015">
        <v>25</v>
      </c>
      <c r="D2015">
        <v>25</v>
      </c>
      <c r="E2015">
        <v>2.8</v>
      </c>
      <c r="F2015" s="16">
        <v>2.8</v>
      </c>
      <c r="G2015">
        <v>46</v>
      </c>
      <c r="H2015">
        <v>1.8</v>
      </c>
      <c r="I2015" t="s">
        <v>1343</v>
      </c>
      <c r="J2015" t="s">
        <v>910</v>
      </c>
      <c r="K2015">
        <v>260</v>
      </c>
      <c r="L2015">
        <v>0</v>
      </c>
      <c r="M2015">
        <v>0</v>
      </c>
    </row>
    <row r="2016" spans="2:13" x14ac:dyDescent="0.25">
      <c r="B2016" s="50" t="s">
        <v>3602</v>
      </c>
      <c r="C2016">
        <v>28</v>
      </c>
      <c r="D2016">
        <v>28</v>
      </c>
      <c r="E2016">
        <v>2.8</v>
      </c>
      <c r="F2016" s="16">
        <v>2.8</v>
      </c>
      <c r="G2016">
        <v>46</v>
      </c>
      <c r="H2016">
        <v>16</v>
      </c>
      <c r="I2016" t="s">
        <v>1343</v>
      </c>
      <c r="J2016" t="s">
        <v>910</v>
      </c>
      <c r="K2016">
        <v>220</v>
      </c>
      <c r="L2016">
        <v>0</v>
      </c>
      <c r="M2016">
        <v>0</v>
      </c>
    </row>
    <row r="2017" spans="2:13" x14ac:dyDescent="0.25">
      <c r="B2017" s="50" t="s">
        <v>3600</v>
      </c>
      <c r="C2017">
        <v>35</v>
      </c>
      <c r="D2017">
        <v>35</v>
      </c>
      <c r="E2017">
        <v>2</v>
      </c>
      <c r="F2017" s="16">
        <v>2</v>
      </c>
      <c r="G2017">
        <v>43</v>
      </c>
      <c r="H2017">
        <v>18.02</v>
      </c>
      <c r="I2017" t="s">
        <v>1343</v>
      </c>
      <c r="J2017" t="s">
        <v>910</v>
      </c>
      <c r="K2017">
        <v>240</v>
      </c>
      <c r="L2017">
        <v>0</v>
      </c>
      <c r="M2017">
        <v>0</v>
      </c>
    </row>
    <row r="2018" spans="2:13" x14ac:dyDescent="0.25">
      <c r="B2018" s="50" t="s">
        <v>3598</v>
      </c>
      <c r="C2018">
        <v>35</v>
      </c>
      <c r="D2018">
        <v>35</v>
      </c>
      <c r="E2018">
        <v>2.8</v>
      </c>
      <c r="F2018" s="16">
        <v>2.8</v>
      </c>
      <c r="G2018">
        <v>43</v>
      </c>
      <c r="H2018">
        <v>17.010000000000002</v>
      </c>
      <c r="I2018" t="s">
        <v>1343</v>
      </c>
      <c r="J2018" t="s">
        <v>910</v>
      </c>
      <c r="K2018">
        <v>200</v>
      </c>
      <c r="L2018">
        <v>0</v>
      </c>
      <c r="M2018">
        <v>0</v>
      </c>
    </row>
    <row r="2019" spans="2:13" x14ac:dyDescent="0.25">
      <c r="B2019" s="50" t="s">
        <v>3597</v>
      </c>
      <c r="C2019">
        <v>50</v>
      </c>
      <c r="D2019">
        <v>50</v>
      </c>
      <c r="E2019">
        <v>1.5</v>
      </c>
      <c r="F2019" s="16">
        <v>1.5</v>
      </c>
      <c r="G2019">
        <v>46</v>
      </c>
      <c r="H2019">
        <v>0</v>
      </c>
      <c r="I2019" t="s">
        <v>1343</v>
      </c>
      <c r="J2019" t="s">
        <v>910</v>
      </c>
      <c r="K2019">
        <v>250</v>
      </c>
      <c r="L2019">
        <v>0</v>
      </c>
      <c r="M2019">
        <v>0</v>
      </c>
    </row>
    <row r="2020" spans="2:13" x14ac:dyDescent="0.25">
      <c r="B2020" s="50" t="s">
        <v>3596</v>
      </c>
      <c r="C2020">
        <v>15</v>
      </c>
      <c r="D2020">
        <v>15</v>
      </c>
      <c r="E2020">
        <v>2.8</v>
      </c>
      <c r="F2020" s="16">
        <v>2.8</v>
      </c>
      <c r="G2020">
        <v>72</v>
      </c>
      <c r="H2020">
        <v>18.18</v>
      </c>
      <c r="I2020" t="s">
        <v>1343</v>
      </c>
      <c r="J2020" t="s">
        <v>910</v>
      </c>
      <c r="K2020">
        <v>500</v>
      </c>
      <c r="L2020">
        <v>0</v>
      </c>
      <c r="M2020">
        <v>0</v>
      </c>
    </row>
    <row r="2021" spans="2:13" x14ac:dyDescent="0.25">
      <c r="B2021" s="50" t="s">
        <v>3594</v>
      </c>
      <c r="C2021">
        <v>18</v>
      </c>
      <c r="D2021">
        <v>18</v>
      </c>
      <c r="E2021">
        <v>4</v>
      </c>
      <c r="F2021" s="16">
        <v>4</v>
      </c>
      <c r="G2021">
        <v>58</v>
      </c>
      <c r="H2021">
        <v>23.04</v>
      </c>
      <c r="I2021" t="s">
        <v>1343</v>
      </c>
      <c r="J2021" t="s">
        <v>910</v>
      </c>
      <c r="K2021">
        <v>320</v>
      </c>
      <c r="L2021">
        <v>0</v>
      </c>
      <c r="M2021">
        <v>0</v>
      </c>
    </row>
    <row r="2022" spans="2:13" x14ac:dyDescent="0.25">
      <c r="B2022" s="50" t="s">
        <v>3590</v>
      </c>
      <c r="C2022">
        <v>35</v>
      </c>
      <c r="D2022">
        <v>35</v>
      </c>
      <c r="E2022">
        <v>1.4</v>
      </c>
      <c r="F2022" s="16">
        <v>1.4</v>
      </c>
      <c r="G2022">
        <v>72</v>
      </c>
      <c r="H2022">
        <v>16.899999999999999</v>
      </c>
      <c r="I2022" t="s">
        <v>1343</v>
      </c>
      <c r="J2022" t="s">
        <v>910</v>
      </c>
      <c r="K2022">
        <v>381</v>
      </c>
      <c r="L2022">
        <v>63</v>
      </c>
      <c r="M2022">
        <v>65</v>
      </c>
    </row>
    <row r="2023" spans="2:13" x14ac:dyDescent="0.25">
      <c r="B2023" s="50" t="s">
        <v>3617</v>
      </c>
      <c r="C2023">
        <v>35</v>
      </c>
      <c r="D2023">
        <v>35</v>
      </c>
      <c r="E2023">
        <v>1.4</v>
      </c>
      <c r="F2023" s="16">
        <v>1.4</v>
      </c>
      <c r="G2023">
        <v>72</v>
      </c>
      <c r="H2023">
        <v>16.899999999999999</v>
      </c>
      <c r="I2023" t="s">
        <v>1343</v>
      </c>
      <c r="J2023" t="s">
        <v>910</v>
      </c>
      <c r="K2023">
        <v>381</v>
      </c>
      <c r="L2023">
        <v>63</v>
      </c>
      <c r="M2023">
        <v>65</v>
      </c>
    </row>
    <row r="2024" spans="2:13" x14ac:dyDescent="0.25">
      <c r="B2024" s="50" t="s">
        <v>4043</v>
      </c>
      <c r="C2024">
        <v>50</v>
      </c>
      <c r="D2024">
        <v>50</v>
      </c>
      <c r="E2024">
        <v>2</v>
      </c>
      <c r="F2024" s="16">
        <v>2</v>
      </c>
      <c r="G2024">
        <v>43</v>
      </c>
      <c r="H2024">
        <v>12.05</v>
      </c>
      <c r="I2024" t="s">
        <v>1343</v>
      </c>
      <c r="J2024" t="s">
        <v>910</v>
      </c>
      <c r="K2024">
        <v>210</v>
      </c>
      <c r="L2024">
        <v>0</v>
      </c>
      <c r="M2024">
        <v>0</v>
      </c>
    </row>
    <row r="2025" spans="2:13" x14ac:dyDescent="0.25">
      <c r="B2025" s="50" t="s">
        <v>3616</v>
      </c>
      <c r="C2025">
        <v>85</v>
      </c>
      <c r="D2025">
        <v>85</v>
      </c>
      <c r="E2025">
        <v>4</v>
      </c>
      <c r="F2025" s="16">
        <v>4</v>
      </c>
      <c r="G2025">
        <v>43</v>
      </c>
      <c r="H2025">
        <v>0</v>
      </c>
      <c r="I2025" t="s">
        <v>1343</v>
      </c>
      <c r="J2025" t="s">
        <v>910</v>
      </c>
      <c r="K2025">
        <v>310</v>
      </c>
      <c r="L2025">
        <v>0</v>
      </c>
      <c r="M2025">
        <v>0</v>
      </c>
    </row>
  </sheetData>
  <dataConsolidate/>
  <mergeCells count="5">
    <mergeCell ref="B1:O1"/>
    <mergeCell ref="G2:O2"/>
    <mergeCell ref="I10:L11"/>
    <mergeCell ref="B14:M14"/>
    <mergeCell ref="I12:L12"/>
  </mergeCells>
  <hyperlinks>
    <hyperlink ref="G4" location="Overview!$G$4" display="APS-C/ Kleinbild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Filters">
                <anchor moveWithCells="1" sizeWithCells="1">
                  <from>
                    <xdr:col>4</xdr:col>
                    <xdr:colOff>552450</xdr:colOff>
                    <xdr:row>8</xdr:row>
                    <xdr:rowOff>76200</xdr:rowOff>
                  </from>
                  <to>
                    <xdr:col>6</xdr:col>
                    <xdr:colOff>447675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1</xdr:col>
                    <xdr:colOff>1914525</xdr:colOff>
                    <xdr:row>9</xdr:row>
                    <xdr:rowOff>38100</xdr:rowOff>
                  </from>
                  <to>
                    <xdr:col>2</xdr:col>
                    <xdr:colOff>666750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R2011"/>
  <sheetViews>
    <sheetView workbookViewId="0">
      <pane xSplit="1" topLeftCell="L1" activePane="topRight" state="frozen"/>
      <selection activeCell="A197" sqref="A197"/>
      <selection pane="topRight" activeCell="O2" sqref="O2"/>
    </sheetView>
  </sheetViews>
  <sheetFormatPr baseColWidth="10" defaultRowHeight="15" x14ac:dyDescent="0.25"/>
  <cols>
    <col min="1" max="1" width="44.5703125" bestFit="1" customWidth="1"/>
    <col min="2" max="2" width="16.140625" bestFit="1" customWidth="1"/>
    <col min="3" max="3" width="10.140625" style="2" customWidth="1"/>
    <col min="4" max="4" width="9" style="2" customWidth="1"/>
    <col min="5" max="5" width="12" bestFit="1" customWidth="1"/>
    <col min="6" max="6" width="11" style="7" customWidth="1"/>
    <col min="7" max="7" width="9.85546875" style="7" customWidth="1"/>
    <col min="8" max="8" width="8.85546875" bestFit="1" customWidth="1"/>
    <col min="9" max="9" width="8.85546875" style="2" customWidth="1"/>
    <col min="10" max="10" width="25.42578125" style="2" customWidth="1"/>
    <col min="11" max="11" width="27.28515625" bestFit="1" customWidth="1"/>
    <col min="12" max="12" width="9.42578125" bestFit="1" customWidth="1"/>
    <col min="13" max="13" width="15.5703125" bestFit="1" customWidth="1"/>
    <col min="14" max="14" width="11.28515625" bestFit="1" customWidth="1"/>
    <col min="15" max="15" width="9.85546875" style="2" customWidth="1"/>
    <col min="16" max="16" width="15.42578125" bestFit="1" customWidth="1"/>
    <col min="17" max="17" width="12.28515625" style="23" customWidth="1"/>
    <col min="18" max="18" width="9.28515625" style="23" customWidth="1"/>
  </cols>
  <sheetData>
    <row r="1" spans="1:18" ht="19.5" x14ac:dyDescent="0.25">
      <c r="A1" s="24" t="s">
        <v>879</v>
      </c>
      <c r="B1" s="24" t="s">
        <v>880</v>
      </c>
      <c r="C1" s="24" t="s">
        <v>881</v>
      </c>
      <c r="D1" s="24" t="s">
        <v>882</v>
      </c>
      <c r="E1" s="24" t="s">
        <v>883</v>
      </c>
      <c r="F1" s="25" t="s">
        <v>884</v>
      </c>
      <c r="G1" s="25" t="s">
        <v>885</v>
      </c>
      <c r="H1" s="24" t="s">
        <v>897</v>
      </c>
      <c r="I1" s="24" t="s">
        <v>896</v>
      </c>
      <c r="J1" s="24" t="s">
        <v>898</v>
      </c>
      <c r="K1" s="24" t="s">
        <v>4508</v>
      </c>
      <c r="L1" s="24" t="s">
        <v>1</v>
      </c>
      <c r="M1" s="24" t="s">
        <v>886</v>
      </c>
      <c r="N1" s="24" t="s">
        <v>894</v>
      </c>
      <c r="O1" s="24" t="s">
        <v>895</v>
      </c>
      <c r="P1" s="24" t="s">
        <v>867</v>
      </c>
      <c r="Q1" s="26" t="s">
        <v>888</v>
      </c>
      <c r="R1" s="26" t="s">
        <v>887</v>
      </c>
    </row>
    <row r="2" spans="1:18" x14ac:dyDescent="0.25">
      <c r="A2" t="str">
        <f>'(Raw) LensesGH'!A2</f>
        <v>Canon EF 100-400mm 4.5-5.6 L IS II USM weiß</v>
      </c>
      <c r="B2" t="str">
        <f>'(Raw) LensesGH'!B2</f>
        <v>100 - 400mm</v>
      </c>
      <c r="C2" s="5">
        <f>getFocalLengthStart(B2)</f>
        <v>100</v>
      </c>
      <c r="D2" s="5">
        <f>getFocalLengthEnd(B2)</f>
        <v>400</v>
      </c>
      <c r="E2" t="str">
        <f>'(Raw) LensesGH'!C2</f>
        <v>1:4.5-1:5.6</v>
      </c>
      <c r="F2" s="9">
        <f>getApertureStart(E2)</f>
        <v>4.5</v>
      </c>
      <c r="G2" s="9">
        <f>getApertureEnd(F2)</f>
        <v>4.5</v>
      </c>
      <c r="H2" t="s">
        <v>27</v>
      </c>
      <c r="I2" s="2">
        <f>getFiltersizeAsDouble(H2)</f>
        <v>77</v>
      </c>
      <c r="J2" s="2" t="str">
        <f>'(Raw) LensesGH'!E2</f>
        <v>1:3.23</v>
      </c>
      <c r="K2" s="40">
        <f>getMagnification(J2)</f>
        <v>3.23</v>
      </c>
      <c r="L2" t="s">
        <v>1229</v>
      </c>
      <c r="M2" t="s">
        <v>910</v>
      </c>
      <c r="N2" t="s">
        <v>810</v>
      </c>
      <c r="O2" s="5">
        <f t="shared" ref="O2:O66" si="0">getWeightAsDouble(N2)</f>
        <v>1570</v>
      </c>
      <c r="P2" t="s">
        <v>1652</v>
      </c>
      <c r="Q2" s="39">
        <f t="shared" ref="Q2:Q66" si="1">getSizeDiameter(P2)</f>
        <v>94</v>
      </c>
      <c r="R2" s="39">
        <f t="shared" ref="R2:R65" si="2">getSizeLength(P2)</f>
        <v>193</v>
      </c>
    </row>
    <row r="3" spans="1:18" x14ac:dyDescent="0.25">
      <c r="A3" t="str">
        <f>'(Raw) LensesGH'!A3</f>
        <v>Canon EF 100-400mm 4.5-5.6 L IS USM weiß</v>
      </c>
      <c r="B3" t="str">
        <f>'(Raw) LensesGH'!B3</f>
        <v>100 - 400mm</v>
      </c>
      <c r="C3" s="5">
        <f t="shared" ref="C3:C66" si="3">getFocalLengthStart(B3)</f>
        <v>100</v>
      </c>
      <c r="D3" s="5">
        <f t="shared" ref="D3:D66" si="4">getFocalLengthEnd(B3)</f>
        <v>400</v>
      </c>
      <c r="E3" t="str">
        <f>'(Raw) LensesGH'!C3</f>
        <v>1:4.5-1:5.6</v>
      </c>
      <c r="F3" s="9">
        <f t="shared" ref="F3:F66" si="5">getApertureStart(E3)</f>
        <v>4.5</v>
      </c>
      <c r="G3" s="9">
        <f t="shared" ref="G3:G66" si="6">getApertureEnd(F3)</f>
        <v>4.5</v>
      </c>
      <c r="H3" t="s">
        <v>27</v>
      </c>
      <c r="I3" s="2">
        <f t="shared" ref="I3:I66" si="7">getFiltersizeAsDouble(H3)</f>
        <v>77</v>
      </c>
      <c r="J3" s="2" t="str">
        <f>'(Raw) LensesGH'!E3</f>
        <v>1:5.00</v>
      </c>
      <c r="K3" s="40">
        <f t="shared" ref="K3:K66" si="8">getMagnification(J3)</f>
        <v>5</v>
      </c>
      <c r="L3" t="s">
        <v>1229</v>
      </c>
      <c r="M3" t="s">
        <v>910</v>
      </c>
      <c r="N3" t="s">
        <v>807</v>
      </c>
      <c r="O3" s="5">
        <f t="shared" si="0"/>
        <v>1360</v>
      </c>
      <c r="P3" t="s">
        <v>2467</v>
      </c>
      <c r="Q3" s="39">
        <f t="shared" si="1"/>
        <v>92</v>
      </c>
      <c r="R3" s="39">
        <f t="shared" si="2"/>
        <v>189</v>
      </c>
    </row>
    <row r="4" spans="1:18" x14ac:dyDescent="0.25">
      <c r="A4" t="str">
        <f>'(Raw) LensesGH'!A4</f>
        <v>Canon EF 100mm 2.0 USM schwarz</v>
      </c>
      <c r="B4" t="str">
        <f>'(Raw) LensesGH'!B4</f>
        <v>100mm</v>
      </c>
      <c r="C4" s="5">
        <f t="shared" si="3"/>
        <v>100</v>
      </c>
      <c r="D4" s="5">
        <f t="shared" si="4"/>
        <v>100</v>
      </c>
      <c r="E4" t="str">
        <f>'(Raw) LensesGH'!C4</f>
        <v>1:2.0</v>
      </c>
      <c r="F4" s="9">
        <f t="shared" si="5"/>
        <v>2</v>
      </c>
      <c r="G4" s="9">
        <f t="shared" si="6"/>
        <v>2</v>
      </c>
      <c r="H4" t="s">
        <v>91</v>
      </c>
      <c r="I4" s="2">
        <f t="shared" si="7"/>
        <v>58</v>
      </c>
      <c r="J4" s="2" t="str">
        <f>'(Raw) LensesGH'!E4</f>
        <v>1:7.14</v>
      </c>
      <c r="K4" s="40">
        <f t="shared" si="8"/>
        <v>7.14</v>
      </c>
      <c r="L4" t="s">
        <v>1229</v>
      </c>
      <c r="M4" t="s">
        <v>910</v>
      </c>
      <c r="N4" t="s">
        <v>33</v>
      </c>
      <c r="O4" s="5">
        <f t="shared" si="0"/>
        <v>460</v>
      </c>
      <c r="P4" t="s">
        <v>1819</v>
      </c>
      <c r="Q4" s="39">
        <f t="shared" si="1"/>
        <v>75</v>
      </c>
      <c r="R4" s="39">
        <f t="shared" si="2"/>
        <v>73.5</v>
      </c>
    </row>
    <row r="5" spans="1:18" x14ac:dyDescent="0.25">
      <c r="A5" t="str">
        <f>'(Raw) LensesGH'!A5</f>
        <v>Canon EF 100mm 2.8 L Makro IS USM schwarz</v>
      </c>
      <c r="B5" t="str">
        <f>'(Raw) LensesGH'!B5</f>
        <v>100mm</v>
      </c>
      <c r="C5" s="5">
        <f t="shared" si="3"/>
        <v>100</v>
      </c>
      <c r="D5" s="5">
        <f t="shared" si="4"/>
        <v>100</v>
      </c>
      <c r="E5" t="str">
        <f>'(Raw) LensesGH'!C5</f>
        <v>1:2.8</v>
      </c>
      <c r="F5" s="9">
        <f t="shared" si="5"/>
        <v>2.8</v>
      </c>
      <c r="G5" s="9">
        <f t="shared" si="6"/>
        <v>2.8</v>
      </c>
      <c r="H5" t="s">
        <v>56</v>
      </c>
      <c r="I5" s="2">
        <f t="shared" si="7"/>
        <v>67</v>
      </c>
      <c r="J5" s="2" t="str">
        <f>'(Raw) LensesGH'!E5</f>
        <v>1:1.00</v>
      </c>
      <c r="K5" s="40">
        <f t="shared" si="8"/>
        <v>1</v>
      </c>
      <c r="L5" t="s">
        <v>1229</v>
      </c>
      <c r="M5" t="s">
        <v>910</v>
      </c>
      <c r="N5" t="s">
        <v>96</v>
      </c>
      <c r="O5" s="5">
        <f t="shared" si="0"/>
        <v>625</v>
      </c>
      <c r="P5" t="s">
        <v>1690</v>
      </c>
      <c r="Q5" s="39">
        <f t="shared" si="1"/>
        <v>77.7</v>
      </c>
      <c r="R5" s="39">
        <f t="shared" si="2"/>
        <v>123</v>
      </c>
    </row>
    <row r="6" spans="1:18" x14ac:dyDescent="0.25">
      <c r="A6" t="str">
        <f>'(Raw) LensesGH'!A6</f>
        <v>Canon EF 100mm 2.8 Makro USM schwarz</v>
      </c>
      <c r="B6" t="str">
        <f>'(Raw) LensesGH'!B6</f>
        <v>100mm</v>
      </c>
      <c r="C6" s="5">
        <f t="shared" si="3"/>
        <v>100</v>
      </c>
      <c r="D6" s="5">
        <f t="shared" si="4"/>
        <v>100</v>
      </c>
      <c r="E6" t="str">
        <f>'(Raw) LensesGH'!C6</f>
        <v>1:2.8</v>
      </c>
      <c r="F6" s="9">
        <f t="shared" si="5"/>
        <v>2.8</v>
      </c>
      <c r="G6" s="9">
        <f t="shared" si="6"/>
        <v>2.8</v>
      </c>
      <c r="H6" t="s">
        <v>91</v>
      </c>
      <c r="I6" s="2">
        <f t="shared" si="7"/>
        <v>58</v>
      </c>
      <c r="J6" s="2" t="str">
        <f>'(Raw) LensesGH'!E6</f>
        <v>1:1.00</v>
      </c>
      <c r="K6" s="40">
        <f t="shared" si="8"/>
        <v>1</v>
      </c>
      <c r="L6" t="s">
        <v>1229</v>
      </c>
      <c r="M6" t="s">
        <v>910</v>
      </c>
      <c r="N6" t="s">
        <v>123</v>
      </c>
      <c r="O6" s="5">
        <f t="shared" si="0"/>
        <v>600</v>
      </c>
      <c r="P6" t="s">
        <v>2424</v>
      </c>
      <c r="Q6" s="39">
        <f t="shared" si="1"/>
        <v>79</v>
      </c>
      <c r="R6" s="39">
        <f t="shared" si="2"/>
        <v>119</v>
      </c>
    </row>
    <row r="7" spans="1:18" x14ac:dyDescent="0.25">
      <c r="A7" t="str">
        <f>'(Raw) LensesGH'!A7</f>
        <v>Canon EF 11-24mm 4.0 L USM schwarz</v>
      </c>
      <c r="B7" t="str">
        <f>'(Raw) LensesGH'!B7</f>
        <v>11 - 24mm</v>
      </c>
      <c r="C7" s="5">
        <f t="shared" si="3"/>
        <v>11</v>
      </c>
      <c r="D7" s="5">
        <f t="shared" si="4"/>
        <v>24</v>
      </c>
      <c r="E7" t="str">
        <f>'(Raw) LensesGH'!C7</f>
        <v>1:4.0</v>
      </c>
      <c r="F7" s="9">
        <f t="shared" si="5"/>
        <v>4</v>
      </c>
      <c r="G7" s="9">
        <f t="shared" si="6"/>
        <v>4</v>
      </c>
      <c r="H7">
        <v>0</v>
      </c>
      <c r="I7" s="2">
        <f t="shared" si="7"/>
        <v>0</v>
      </c>
      <c r="J7" s="2" t="str">
        <f>'(Raw) LensesGH'!E7</f>
        <v>1:6.25</v>
      </c>
      <c r="K7" s="40">
        <f t="shared" si="8"/>
        <v>6.25</v>
      </c>
      <c r="L7" t="s">
        <v>1229</v>
      </c>
      <c r="M7" t="s">
        <v>910</v>
      </c>
      <c r="N7" t="s">
        <v>2787</v>
      </c>
      <c r="O7" s="5">
        <f t="shared" si="0"/>
        <v>1180</v>
      </c>
      <c r="P7" t="s">
        <v>2439</v>
      </c>
      <c r="Q7" s="39">
        <f t="shared" si="1"/>
        <v>108</v>
      </c>
      <c r="R7" s="39">
        <f t="shared" si="2"/>
        <v>132</v>
      </c>
    </row>
    <row r="8" spans="1:18" x14ac:dyDescent="0.25">
      <c r="A8" t="str">
        <f>'(Raw) LensesGH'!A8</f>
        <v>Canon EF 135mm 2.0 L USM schwarz</v>
      </c>
      <c r="B8" t="str">
        <f>'(Raw) LensesGH'!B8</f>
        <v>135mm</v>
      </c>
      <c r="C8" s="5">
        <f t="shared" si="3"/>
        <v>135</v>
      </c>
      <c r="D8" s="5">
        <f t="shared" si="4"/>
        <v>135</v>
      </c>
      <c r="E8" t="str">
        <f>'(Raw) LensesGH'!C8</f>
        <v>1:2.0</v>
      </c>
      <c r="F8" s="9">
        <f t="shared" si="5"/>
        <v>2</v>
      </c>
      <c r="G8" s="9">
        <f t="shared" si="6"/>
        <v>2</v>
      </c>
      <c r="H8" t="s">
        <v>15</v>
      </c>
      <c r="I8" s="2">
        <f t="shared" si="7"/>
        <v>72</v>
      </c>
      <c r="J8" s="2" t="str">
        <f>'(Raw) LensesGH'!E8</f>
        <v>1:5.26</v>
      </c>
      <c r="K8" s="40">
        <f t="shared" si="8"/>
        <v>5.26</v>
      </c>
      <c r="L8" t="s">
        <v>1229</v>
      </c>
      <c r="M8" t="s">
        <v>910</v>
      </c>
      <c r="N8" t="s">
        <v>1376</v>
      </c>
      <c r="O8" s="5">
        <f t="shared" si="0"/>
        <v>750</v>
      </c>
      <c r="P8" t="s">
        <v>2425</v>
      </c>
      <c r="Q8" s="39">
        <f t="shared" si="1"/>
        <v>82.5</v>
      </c>
      <c r="R8" s="39">
        <f t="shared" si="2"/>
        <v>112</v>
      </c>
    </row>
    <row r="9" spans="1:18" x14ac:dyDescent="0.25">
      <c r="A9" t="str">
        <f>'(Raw) LensesGH'!A9</f>
        <v>Canon EF 135mm 2.8 Soft-Focus schwarz</v>
      </c>
      <c r="B9" t="str">
        <f>'(Raw) LensesGH'!B9</f>
        <v>135mm</v>
      </c>
      <c r="C9" s="5">
        <f t="shared" si="3"/>
        <v>135</v>
      </c>
      <c r="D9" s="5">
        <f t="shared" si="4"/>
        <v>135</v>
      </c>
      <c r="E9" t="str">
        <f>'(Raw) LensesGH'!C9</f>
        <v>1:2.8</v>
      </c>
      <c r="F9" s="9">
        <f t="shared" si="5"/>
        <v>2.8</v>
      </c>
      <c r="G9" s="9">
        <f t="shared" si="6"/>
        <v>2.8</v>
      </c>
      <c r="H9" t="s">
        <v>318</v>
      </c>
      <c r="I9" s="2">
        <f t="shared" si="7"/>
        <v>52</v>
      </c>
      <c r="J9" s="2" t="str">
        <f>'(Raw) LensesGH'!E9</f>
        <v>1:8.33</v>
      </c>
      <c r="K9" s="40">
        <f t="shared" si="8"/>
        <v>8.33</v>
      </c>
      <c r="L9" t="s">
        <v>1229</v>
      </c>
      <c r="M9" t="s">
        <v>910</v>
      </c>
      <c r="N9" t="s">
        <v>395</v>
      </c>
      <c r="O9" s="5">
        <f t="shared" si="0"/>
        <v>390</v>
      </c>
      <c r="P9" t="s">
        <v>1820</v>
      </c>
      <c r="Q9" s="39">
        <f t="shared" si="1"/>
        <v>69.2</v>
      </c>
      <c r="R9" s="39">
        <f t="shared" si="2"/>
        <v>98.4</v>
      </c>
    </row>
    <row r="10" spans="1:18" x14ac:dyDescent="0.25">
      <c r="A10" t="str">
        <f>'(Raw) LensesGH'!A10</f>
        <v>Canon EF 14mm 2.8 L II USM schwarz</v>
      </c>
      <c r="B10" t="str">
        <f>'(Raw) LensesGH'!B10</f>
        <v>14mm</v>
      </c>
      <c r="C10" s="5">
        <f t="shared" si="3"/>
        <v>14</v>
      </c>
      <c r="D10" s="5">
        <f t="shared" si="4"/>
        <v>14</v>
      </c>
      <c r="E10" t="str">
        <f>'(Raw) LensesGH'!C10</f>
        <v>1:2.8</v>
      </c>
      <c r="F10" s="9">
        <f t="shared" si="5"/>
        <v>2.8</v>
      </c>
      <c r="G10" s="9">
        <f t="shared" si="6"/>
        <v>2.8</v>
      </c>
      <c r="H10">
        <v>0</v>
      </c>
      <c r="I10" s="2">
        <f t="shared" si="7"/>
        <v>0</v>
      </c>
      <c r="J10" s="2" t="str">
        <f>'(Raw) LensesGH'!E10</f>
        <v>1:6.67</v>
      </c>
      <c r="K10" s="40">
        <f t="shared" si="8"/>
        <v>6.67</v>
      </c>
      <c r="L10" t="s">
        <v>1229</v>
      </c>
      <c r="M10" t="s">
        <v>910</v>
      </c>
      <c r="N10" t="s">
        <v>555</v>
      </c>
      <c r="O10" s="5">
        <f t="shared" si="0"/>
        <v>645</v>
      </c>
      <c r="P10" t="s">
        <v>2465</v>
      </c>
      <c r="Q10" s="39">
        <f t="shared" si="1"/>
        <v>80</v>
      </c>
      <c r="R10" s="39">
        <f t="shared" si="2"/>
        <v>94</v>
      </c>
    </row>
    <row r="11" spans="1:18" x14ac:dyDescent="0.25">
      <c r="A11" t="str">
        <f>'(Raw) LensesGH'!A11</f>
        <v>Canon EF 16-35mm 2.8 L II USM schwarz</v>
      </c>
      <c r="B11" t="str">
        <f>'(Raw) LensesGH'!B11</f>
        <v>16 - 35mm</v>
      </c>
      <c r="C11" s="5">
        <f t="shared" si="3"/>
        <v>16</v>
      </c>
      <c r="D11" s="5">
        <f t="shared" si="4"/>
        <v>35</v>
      </c>
      <c r="E11" t="str">
        <f>'(Raw) LensesGH'!C11</f>
        <v>1:2.8</v>
      </c>
      <c r="F11" s="9">
        <f t="shared" si="5"/>
        <v>2.8</v>
      </c>
      <c r="G11" s="9">
        <f t="shared" si="6"/>
        <v>2.8</v>
      </c>
      <c r="H11" t="s">
        <v>21</v>
      </c>
      <c r="I11" s="2">
        <f t="shared" si="7"/>
        <v>82</v>
      </c>
      <c r="J11" s="2" t="str">
        <f>'(Raw) LensesGH'!E11</f>
        <v>1:4.55</v>
      </c>
      <c r="K11" s="40">
        <f t="shared" si="8"/>
        <v>4.55</v>
      </c>
      <c r="L11" t="s">
        <v>1229</v>
      </c>
      <c r="M11" t="s">
        <v>910</v>
      </c>
      <c r="N11" t="s">
        <v>834</v>
      </c>
      <c r="O11" s="5">
        <f t="shared" si="0"/>
        <v>635</v>
      </c>
      <c r="P11" t="s">
        <v>2459</v>
      </c>
      <c r="Q11" s="39">
        <f t="shared" si="1"/>
        <v>88.5</v>
      </c>
      <c r="R11" s="39">
        <f t="shared" si="2"/>
        <v>111.6</v>
      </c>
    </row>
    <row r="12" spans="1:18" x14ac:dyDescent="0.25">
      <c r="A12" t="str">
        <f>'(Raw) LensesGH'!A12</f>
        <v>Canon EF 16-35mm 2.8 L III USM schwarz</v>
      </c>
      <c r="B12" t="str">
        <f>'(Raw) LensesGH'!B12</f>
        <v>16 - 35mm</v>
      </c>
      <c r="C12" s="5">
        <f t="shared" si="3"/>
        <v>16</v>
      </c>
      <c r="D12" s="5">
        <f t="shared" si="4"/>
        <v>35</v>
      </c>
      <c r="E12" t="str">
        <f>'(Raw) LensesGH'!C12</f>
        <v>1:2.8</v>
      </c>
      <c r="F12" s="9">
        <f t="shared" si="5"/>
        <v>2.8</v>
      </c>
      <c r="G12" s="9">
        <f t="shared" si="6"/>
        <v>2.8</v>
      </c>
      <c r="H12" t="s">
        <v>21</v>
      </c>
      <c r="I12" s="2">
        <f t="shared" si="7"/>
        <v>82</v>
      </c>
      <c r="J12" s="2" t="str">
        <f>'(Raw) LensesGH'!E12</f>
        <v>1:4.00</v>
      </c>
      <c r="K12" s="40">
        <f t="shared" si="8"/>
        <v>4</v>
      </c>
      <c r="L12" t="s">
        <v>1229</v>
      </c>
      <c r="M12" t="s">
        <v>910</v>
      </c>
      <c r="N12" t="s">
        <v>85</v>
      </c>
      <c r="O12" s="5">
        <f t="shared" si="0"/>
        <v>790</v>
      </c>
      <c r="P12" t="s">
        <v>1718</v>
      </c>
      <c r="Q12" s="39">
        <f t="shared" si="1"/>
        <v>88.5</v>
      </c>
      <c r="R12" s="39">
        <f t="shared" si="2"/>
        <v>127.5</v>
      </c>
    </row>
    <row r="13" spans="1:18" x14ac:dyDescent="0.25">
      <c r="A13" t="str">
        <f>'(Raw) LensesGH'!A13</f>
        <v>Canon EF 16-35mm 4.0 L IS USM schwarz</v>
      </c>
      <c r="B13" t="str">
        <f>'(Raw) LensesGH'!B13</f>
        <v>16 - 35mm</v>
      </c>
      <c r="C13" s="5">
        <f t="shared" si="3"/>
        <v>16</v>
      </c>
      <c r="D13" s="5">
        <f t="shared" si="4"/>
        <v>35</v>
      </c>
      <c r="E13" t="str">
        <f>'(Raw) LensesGH'!C13</f>
        <v>1:4.0</v>
      </c>
      <c r="F13" s="9">
        <f t="shared" si="5"/>
        <v>4</v>
      </c>
      <c r="G13" s="9">
        <f t="shared" si="6"/>
        <v>4</v>
      </c>
      <c r="H13" t="str">
        <f>'(Raw) LensesGH'!D13</f>
        <v>77mm</v>
      </c>
      <c r="I13" s="2">
        <f t="shared" si="7"/>
        <v>77</v>
      </c>
      <c r="J13" s="2" t="str">
        <f>'(Raw) LensesGH'!E13</f>
        <v>1:4.35</v>
      </c>
      <c r="K13" s="40">
        <f t="shared" si="8"/>
        <v>4.3499999999999996</v>
      </c>
      <c r="L13" t="str">
        <f>'(Raw) LensesGH'!F13</f>
        <v>Canon EF</v>
      </c>
      <c r="M13" t="str">
        <f>'(Raw) LensesGH'!G13</f>
        <v>APS-C/ Kleinbild</v>
      </c>
      <c r="N13" t="str">
        <f>'(Raw) LensesGH'!H13</f>
        <v>615g</v>
      </c>
      <c r="O13" s="5">
        <f t="shared" si="0"/>
        <v>615</v>
      </c>
      <c r="P13" t="str">
        <f>'(Raw) LensesGH'!I13</f>
        <v>82.6 x 112.8mm</v>
      </c>
      <c r="Q13" s="39">
        <f t="shared" si="1"/>
        <v>82.6</v>
      </c>
      <c r="R13" s="39">
        <f t="shared" si="2"/>
        <v>112.8</v>
      </c>
    </row>
    <row r="14" spans="1:18" x14ac:dyDescent="0.25">
      <c r="A14" t="str">
        <f>'(Raw) LensesGH'!A14</f>
        <v>Canon EF 17-40mm 4.0 L USM schwarz</v>
      </c>
      <c r="B14" t="str">
        <f>'(Raw) LensesGH'!B14</f>
        <v>17 - 40mm</v>
      </c>
      <c r="C14" s="5">
        <f t="shared" si="3"/>
        <v>17</v>
      </c>
      <c r="D14" s="5">
        <f t="shared" si="4"/>
        <v>40</v>
      </c>
      <c r="E14" t="str">
        <f>'(Raw) LensesGH'!C14</f>
        <v>1:4.0</v>
      </c>
      <c r="F14" s="9">
        <f t="shared" si="5"/>
        <v>4</v>
      </c>
      <c r="G14" s="9">
        <f t="shared" si="6"/>
        <v>4</v>
      </c>
      <c r="H14" t="str">
        <f>'(Raw) LensesGH'!D14</f>
        <v>77mm</v>
      </c>
      <c r="I14" s="2">
        <f t="shared" si="7"/>
        <v>77</v>
      </c>
      <c r="J14" s="2" t="str">
        <f>'(Raw) LensesGH'!E14</f>
        <v>1:4.17</v>
      </c>
      <c r="K14" s="40">
        <f t="shared" si="8"/>
        <v>4.17</v>
      </c>
      <c r="L14" t="str">
        <f>'(Raw) LensesGH'!F14</f>
        <v>Canon EF</v>
      </c>
      <c r="M14" t="str">
        <f>'(Raw) LensesGH'!G14</f>
        <v>APS-C/ Kleinbild</v>
      </c>
      <c r="N14" t="str">
        <f>'(Raw) LensesGH'!H14</f>
        <v>500g</v>
      </c>
      <c r="O14" s="5">
        <f t="shared" si="0"/>
        <v>500</v>
      </c>
      <c r="P14" t="str">
        <f>'(Raw) LensesGH'!I14</f>
        <v>83.5 x 96.8mm</v>
      </c>
      <c r="Q14" s="39">
        <f t="shared" si="1"/>
        <v>83.5</v>
      </c>
      <c r="R14" s="39">
        <f t="shared" si="2"/>
        <v>96.8</v>
      </c>
    </row>
    <row r="15" spans="1:18" x14ac:dyDescent="0.25">
      <c r="A15" t="str">
        <f>'(Raw) LensesGH'!A15</f>
        <v>Canon EF 180mm 3.5 L Makro USM schwarz</v>
      </c>
      <c r="B15" t="str">
        <f>'(Raw) LensesGH'!B15</f>
        <v>180mm</v>
      </c>
      <c r="C15" s="5">
        <f t="shared" si="3"/>
        <v>180</v>
      </c>
      <c r="D15" s="5">
        <f t="shared" si="4"/>
        <v>180</v>
      </c>
      <c r="E15" t="str">
        <f>'(Raw) LensesGH'!C15</f>
        <v>1:3.5</v>
      </c>
      <c r="F15" s="9">
        <f t="shared" si="5"/>
        <v>3.5</v>
      </c>
      <c r="G15" s="9">
        <f t="shared" si="6"/>
        <v>3.5</v>
      </c>
      <c r="H15" t="str">
        <f>'(Raw) LensesGH'!D15</f>
        <v>72mm</v>
      </c>
      <c r="I15" s="2">
        <f t="shared" si="7"/>
        <v>72</v>
      </c>
      <c r="J15" s="2" t="str">
        <f>'(Raw) LensesGH'!E15</f>
        <v>1:1.00</v>
      </c>
      <c r="K15" s="40">
        <f t="shared" si="8"/>
        <v>1</v>
      </c>
      <c r="L15" t="str">
        <f>'(Raw) LensesGH'!F15</f>
        <v>Canon EF</v>
      </c>
      <c r="M15" t="str">
        <f>'(Raw) LensesGH'!G15</f>
        <v>APS-C/ Kleinbild</v>
      </c>
      <c r="N15" t="str">
        <f>'(Raw) LensesGH'!H15</f>
        <v>1090g</v>
      </c>
      <c r="O15" s="5">
        <f t="shared" si="0"/>
        <v>1090</v>
      </c>
      <c r="P15" t="str">
        <f>'(Raw) LensesGH'!I15</f>
        <v>82.5 x 186.5mm</v>
      </c>
      <c r="Q15" s="39">
        <f t="shared" si="1"/>
        <v>82.5</v>
      </c>
      <c r="R15" s="39">
        <f t="shared" si="2"/>
        <v>186.5</v>
      </c>
    </row>
    <row r="16" spans="1:18" x14ac:dyDescent="0.25">
      <c r="A16" t="str">
        <f>'(Raw) LensesGH'!A16</f>
        <v>Canon EF 200-400mm 4.0 L IS USM Extender 1.4x weiß</v>
      </c>
      <c r="B16" t="str">
        <f>'(Raw) LensesGH'!B16</f>
        <v>200 - 400mm</v>
      </c>
      <c r="C16" s="5">
        <f t="shared" si="3"/>
        <v>200</v>
      </c>
      <c r="D16" s="5">
        <f t="shared" si="4"/>
        <v>400</v>
      </c>
      <c r="E16" t="str">
        <f>'(Raw) LensesGH'!C16</f>
        <v>1:4.0</v>
      </c>
      <c r="F16" s="9">
        <f t="shared" si="5"/>
        <v>4</v>
      </c>
      <c r="G16" s="9">
        <f t="shared" si="6"/>
        <v>4</v>
      </c>
      <c r="H16" t="str">
        <f>'(Raw) LensesGH'!D16</f>
        <v>52mm</v>
      </c>
      <c r="I16" s="2">
        <f t="shared" si="7"/>
        <v>52</v>
      </c>
      <c r="J16" s="2" t="str">
        <f>'(Raw) LensesGH'!E16</f>
        <v>1:6.67</v>
      </c>
      <c r="K16" s="40">
        <f t="shared" si="8"/>
        <v>6.67</v>
      </c>
      <c r="L16" t="str">
        <f>'(Raw) LensesGH'!F16</f>
        <v>Canon EF</v>
      </c>
      <c r="M16" t="str">
        <f>'(Raw) LensesGH'!G16</f>
        <v>APS-C/ Kleinbild</v>
      </c>
      <c r="N16" t="str">
        <f>'(Raw) LensesGH'!H16</f>
        <v>3620g</v>
      </c>
      <c r="O16" s="5">
        <f t="shared" si="0"/>
        <v>3620</v>
      </c>
      <c r="P16" t="str">
        <f>'(Raw) LensesGH'!I16</f>
        <v>128 x 366mm</v>
      </c>
      <c r="Q16" s="39">
        <f t="shared" si="1"/>
        <v>128</v>
      </c>
      <c r="R16" s="39">
        <f t="shared" si="2"/>
        <v>366</v>
      </c>
    </row>
    <row r="17" spans="1:18" x14ac:dyDescent="0.25">
      <c r="A17" t="str">
        <f>'(Raw) LensesGH'!A17</f>
        <v>Canon EF 200mm 2.0 L IS USM weiß</v>
      </c>
      <c r="B17" t="str">
        <f>'(Raw) LensesGH'!B17</f>
        <v>200mm</v>
      </c>
      <c r="C17" s="5">
        <f t="shared" si="3"/>
        <v>200</v>
      </c>
      <c r="D17" s="5">
        <f t="shared" si="4"/>
        <v>200</v>
      </c>
      <c r="E17" t="str">
        <f>'(Raw) LensesGH'!C17</f>
        <v>1:2.0</v>
      </c>
      <c r="F17" s="9">
        <f t="shared" si="5"/>
        <v>2</v>
      </c>
      <c r="G17" s="9">
        <f t="shared" si="6"/>
        <v>2</v>
      </c>
      <c r="H17" t="str">
        <f>'(Raw) LensesGH'!D17</f>
        <v>52mm</v>
      </c>
      <c r="I17" s="2">
        <f t="shared" si="7"/>
        <v>52</v>
      </c>
      <c r="J17" s="2" t="str">
        <f>'(Raw) LensesGH'!E17</f>
        <v>1:8.33</v>
      </c>
      <c r="K17" s="40">
        <f t="shared" si="8"/>
        <v>8.33</v>
      </c>
      <c r="L17" t="str">
        <f>'(Raw) LensesGH'!F17</f>
        <v>Canon EF</v>
      </c>
      <c r="M17" t="str">
        <f>'(Raw) LensesGH'!G17</f>
        <v>APS-C/ Kleinbild</v>
      </c>
      <c r="N17" t="str">
        <f>'(Raw) LensesGH'!H17</f>
        <v>2520g</v>
      </c>
      <c r="O17" s="5">
        <f t="shared" si="0"/>
        <v>2520</v>
      </c>
      <c r="P17" t="str">
        <f>'(Raw) LensesGH'!I17</f>
        <v>128 x 208mm</v>
      </c>
      <c r="Q17" s="39">
        <f t="shared" si="1"/>
        <v>128</v>
      </c>
      <c r="R17" s="39">
        <f t="shared" si="2"/>
        <v>208</v>
      </c>
    </row>
    <row r="18" spans="1:18" x14ac:dyDescent="0.25">
      <c r="A18" t="str">
        <f>'(Raw) LensesGH'!A18</f>
        <v>Canon EF 200mm 2.8 L II USM schwarz</v>
      </c>
      <c r="B18" t="str">
        <f>'(Raw) LensesGH'!B18</f>
        <v>200mm</v>
      </c>
      <c r="C18" s="5">
        <f t="shared" si="3"/>
        <v>200</v>
      </c>
      <c r="D18" s="5">
        <f t="shared" si="4"/>
        <v>200</v>
      </c>
      <c r="E18" t="str">
        <f>'(Raw) LensesGH'!C18</f>
        <v>1:2.8</v>
      </c>
      <c r="F18" s="9">
        <f t="shared" si="5"/>
        <v>2.8</v>
      </c>
      <c r="G18" s="9">
        <f t="shared" si="6"/>
        <v>2.8</v>
      </c>
      <c r="H18" t="str">
        <f>'(Raw) LensesGH'!D18</f>
        <v>72mm</v>
      </c>
      <c r="I18" s="2">
        <f t="shared" si="7"/>
        <v>72</v>
      </c>
      <c r="J18" s="2" t="str">
        <f>'(Raw) LensesGH'!E18</f>
        <v>1:6.25</v>
      </c>
      <c r="K18" s="40">
        <f t="shared" si="8"/>
        <v>6.25</v>
      </c>
      <c r="L18" t="str">
        <f>'(Raw) LensesGH'!F18</f>
        <v>Canon EF</v>
      </c>
      <c r="M18" t="str">
        <f>'(Raw) LensesGH'!G18</f>
        <v>APS-C/ Kleinbild</v>
      </c>
      <c r="N18" t="str">
        <f>'(Raw) LensesGH'!H18</f>
        <v>765g</v>
      </c>
      <c r="O18" s="5">
        <f t="shared" si="0"/>
        <v>765</v>
      </c>
      <c r="P18" t="str">
        <f>'(Raw) LensesGH'!I18</f>
        <v>83.2 x 136mm</v>
      </c>
      <c r="Q18" s="39">
        <f t="shared" si="1"/>
        <v>83.2</v>
      </c>
      <c r="R18" s="39">
        <f t="shared" si="2"/>
        <v>136</v>
      </c>
    </row>
    <row r="19" spans="1:18" x14ac:dyDescent="0.25">
      <c r="A19" t="str">
        <f>'(Raw) LensesGH'!A19</f>
        <v>Canon EF 20mm 2.8 USM schwarz</v>
      </c>
      <c r="B19" t="str">
        <f>'(Raw) LensesGH'!B19</f>
        <v>20mm</v>
      </c>
      <c r="C19" s="5">
        <f t="shared" si="3"/>
        <v>20</v>
      </c>
      <c r="D19" s="5">
        <f t="shared" si="4"/>
        <v>20</v>
      </c>
      <c r="E19" t="str">
        <f>'(Raw) LensesGH'!C19</f>
        <v>1:2.8</v>
      </c>
      <c r="F19" s="9">
        <f t="shared" si="5"/>
        <v>2.8</v>
      </c>
      <c r="G19" s="9">
        <f t="shared" si="6"/>
        <v>2.8</v>
      </c>
      <c r="H19" t="str">
        <f>'(Raw) LensesGH'!D19</f>
        <v>72mm</v>
      </c>
      <c r="I19" s="2">
        <f t="shared" si="7"/>
        <v>72</v>
      </c>
      <c r="J19" s="2" t="str">
        <f>'(Raw) LensesGH'!E19</f>
        <v>1:7.14</v>
      </c>
      <c r="K19" s="40">
        <f t="shared" si="8"/>
        <v>7.14</v>
      </c>
      <c r="L19" t="str">
        <f>'(Raw) LensesGH'!F19</f>
        <v>Canon EF</v>
      </c>
      <c r="M19" t="str">
        <f>'(Raw) LensesGH'!G19</f>
        <v>APS-C/ Kleinbild</v>
      </c>
      <c r="N19" t="str">
        <f>'(Raw) LensesGH'!H19</f>
        <v>405g</v>
      </c>
      <c r="O19" s="5">
        <f t="shared" si="0"/>
        <v>405</v>
      </c>
      <c r="P19" t="str">
        <f>'(Raw) LensesGH'!I19</f>
        <v>77.5 x 70.6mm</v>
      </c>
      <c r="Q19" s="39">
        <f t="shared" si="1"/>
        <v>77.5</v>
      </c>
      <c r="R19" s="39">
        <f t="shared" si="2"/>
        <v>70.599999999999994</v>
      </c>
    </row>
    <row r="20" spans="1:18" x14ac:dyDescent="0.25">
      <c r="A20" t="str">
        <f>'(Raw) LensesGH'!A20</f>
        <v>Canon EF 24-105mm 3.5-5.6 IS STM schwarz</v>
      </c>
      <c r="B20" t="str">
        <f>'(Raw) LensesGH'!B20</f>
        <v>24 - 105mm</v>
      </c>
      <c r="C20" s="5">
        <f t="shared" si="3"/>
        <v>24</v>
      </c>
      <c r="D20" s="5">
        <f t="shared" si="4"/>
        <v>105</v>
      </c>
      <c r="E20" t="str">
        <f>'(Raw) LensesGH'!C20</f>
        <v>1:3.5-1:5.6</v>
      </c>
      <c r="F20" s="9">
        <f t="shared" si="5"/>
        <v>3.5</v>
      </c>
      <c r="G20" s="9">
        <f t="shared" si="6"/>
        <v>3.5</v>
      </c>
      <c r="H20" t="str">
        <f>'(Raw) LensesGH'!D20</f>
        <v>77mm</v>
      </c>
      <c r="I20" s="2">
        <f t="shared" si="7"/>
        <v>77</v>
      </c>
      <c r="J20" s="2" t="str">
        <f>'(Raw) LensesGH'!E20</f>
        <v>1:3.33</v>
      </c>
      <c r="K20" s="40">
        <f t="shared" si="8"/>
        <v>3.33</v>
      </c>
      <c r="L20" t="str">
        <f>'(Raw) LensesGH'!F20</f>
        <v>Canon EF</v>
      </c>
      <c r="M20" t="str">
        <f>'(Raw) LensesGH'!G20</f>
        <v>APS-C/ Kleinbild</v>
      </c>
      <c r="N20" t="str">
        <f>'(Raw) LensesGH'!H20</f>
        <v>525g</v>
      </c>
      <c r="O20" s="5">
        <f t="shared" si="0"/>
        <v>525</v>
      </c>
      <c r="P20" t="str">
        <f>'(Raw) LensesGH'!I20</f>
        <v>83.4 x 104mm</v>
      </c>
      <c r="Q20" s="39">
        <f t="shared" si="1"/>
        <v>83.4</v>
      </c>
      <c r="R20" s="39">
        <f t="shared" si="2"/>
        <v>104</v>
      </c>
    </row>
    <row r="21" spans="1:18" x14ac:dyDescent="0.25">
      <c r="A21" t="str">
        <f>'(Raw) LensesGH'!A21</f>
        <v>Canon EF 24-105mm 4.0 L IS II USM schwarz</v>
      </c>
      <c r="B21" t="str">
        <f>'(Raw) LensesGH'!B21</f>
        <v>24 - 105mm</v>
      </c>
      <c r="C21" s="5">
        <f t="shared" si="3"/>
        <v>24</v>
      </c>
      <c r="D21" s="5">
        <f t="shared" si="4"/>
        <v>105</v>
      </c>
      <c r="E21" t="str">
        <f>'(Raw) LensesGH'!C21</f>
        <v>1:4.0</v>
      </c>
      <c r="F21" s="9">
        <f t="shared" si="5"/>
        <v>4</v>
      </c>
      <c r="G21" s="9">
        <f t="shared" si="6"/>
        <v>4</v>
      </c>
      <c r="H21" t="str">
        <f>'(Raw) LensesGH'!D21</f>
        <v>77mm</v>
      </c>
      <c r="I21" s="2">
        <f t="shared" si="7"/>
        <v>77</v>
      </c>
      <c r="J21" s="2" t="str">
        <f>'(Raw) LensesGH'!E21</f>
        <v>1:4.17</v>
      </c>
      <c r="K21" s="40">
        <f t="shared" si="8"/>
        <v>4.17</v>
      </c>
      <c r="L21" t="str">
        <f>'(Raw) LensesGH'!F21</f>
        <v>Canon EF</v>
      </c>
      <c r="M21" t="str">
        <f>'(Raw) LensesGH'!G21</f>
        <v>APS-C/ Kleinbild</v>
      </c>
      <c r="N21" t="str">
        <f>'(Raw) LensesGH'!H21</f>
        <v>795g</v>
      </c>
      <c r="O21" s="5">
        <f t="shared" si="0"/>
        <v>795</v>
      </c>
      <c r="P21" t="str">
        <f>'(Raw) LensesGH'!I21</f>
        <v>83.5 x 118mm</v>
      </c>
      <c r="Q21" s="39">
        <f t="shared" si="1"/>
        <v>83.5</v>
      </c>
      <c r="R21" s="39">
        <f t="shared" si="2"/>
        <v>118</v>
      </c>
    </row>
    <row r="22" spans="1:18" x14ac:dyDescent="0.25">
      <c r="A22" t="str">
        <f>'(Raw) LensesGH'!A22</f>
        <v>Canon EF 24-105mm 4.0 L IS USM schwarz</v>
      </c>
      <c r="B22" t="str">
        <f>'(Raw) LensesGH'!B22</f>
        <v>24 - 105mm</v>
      </c>
      <c r="C22" s="5">
        <f t="shared" si="3"/>
        <v>24</v>
      </c>
      <c r="D22" s="5">
        <f t="shared" si="4"/>
        <v>105</v>
      </c>
      <c r="E22" t="str">
        <f>'(Raw) LensesGH'!C22</f>
        <v>1:4.0</v>
      </c>
      <c r="F22" s="9">
        <f t="shared" si="5"/>
        <v>4</v>
      </c>
      <c r="G22" s="9">
        <f t="shared" si="6"/>
        <v>4</v>
      </c>
      <c r="H22" t="str">
        <f>'(Raw) LensesGH'!D22</f>
        <v>77mm</v>
      </c>
      <c r="I22" s="2">
        <f t="shared" si="7"/>
        <v>77</v>
      </c>
      <c r="J22" s="2" t="str">
        <f>'(Raw) LensesGH'!E22</f>
        <v>1:4.30</v>
      </c>
      <c r="K22" s="40">
        <f t="shared" si="8"/>
        <v>4.3</v>
      </c>
      <c r="L22" t="str">
        <f>'(Raw) LensesGH'!F22</f>
        <v>Canon EF</v>
      </c>
      <c r="M22" t="str">
        <f>'(Raw) LensesGH'!G22</f>
        <v>APS-C/ Kleinbild</v>
      </c>
      <c r="N22" t="str">
        <f>'(Raw) LensesGH'!H22</f>
        <v>670g</v>
      </c>
      <c r="O22" s="5">
        <f t="shared" si="0"/>
        <v>670</v>
      </c>
      <c r="P22" t="str">
        <f>'(Raw) LensesGH'!I22</f>
        <v>83.5 x 107mm</v>
      </c>
      <c r="Q22" s="39">
        <f t="shared" si="1"/>
        <v>83.5</v>
      </c>
      <c r="R22" s="39">
        <f t="shared" si="2"/>
        <v>107</v>
      </c>
    </row>
    <row r="23" spans="1:18" x14ac:dyDescent="0.25">
      <c r="A23" t="str">
        <f>'(Raw) LensesGH'!A23</f>
        <v>Canon EF 24-70mm 2.8 II L USM schwarz</v>
      </c>
      <c r="B23" t="str">
        <f>'(Raw) LensesGH'!B23</f>
        <v>24 - 70mm</v>
      </c>
      <c r="C23" s="5">
        <f t="shared" si="3"/>
        <v>24</v>
      </c>
      <c r="D23" s="5">
        <f t="shared" si="4"/>
        <v>70</v>
      </c>
      <c r="E23" t="str">
        <f>'(Raw) LensesGH'!C23</f>
        <v>1:2.8</v>
      </c>
      <c r="F23" s="9">
        <f t="shared" si="5"/>
        <v>2.8</v>
      </c>
      <c r="G23" s="9">
        <f t="shared" si="6"/>
        <v>2.8</v>
      </c>
      <c r="H23" t="str">
        <f>'(Raw) LensesGH'!D23</f>
        <v>82mm</v>
      </c>
      <c r="I23" s="2">
        <f t="shared" si="7"/>
        <v>82</v>
      </c>
      <c r="J23" s="2" t="str">
        <f>'(Raw) LensesGH'!E23</f>
        <v>1:4.76</v>
      </c>
      <c r="K23" s="40">
        <f t="shared" si="8"/>
        <v>4.76</v>
      </c>
      <c r="L23" t="str">
        <f>'(Raw) LensesGH'!F23</f>
        <v>Canon EF</v>
      </c>
      <c r="M23" t="str">
        <f>'(Raw) LensesGH'!G23</f>
        <v>APS-C/ Kleinbild</v>
      </c>
      <c r="N23" t="str">
        <f>'(Raw) LensesGH'!H23</f>
        <v>805g</v>
      </c>
      <c r="O23" s="5">
        <f t="shared" si="0"/>
        <v>805</v>
      </c>
      <c r="P23" t="str">
        <f>'(Raw) LensesGH'!I23</f>
        <v>88.5 x 113mm</v>
      </c>
      <c r="Q23" s="39">
        <f t="shared" si="1"/>
        <v>88.5</v>
      </c>
      <c r="R23" s="39">
        <f t="shared" si="2"/>
        <v>113</v>
      </c>
    </row>
    <row r="24" spans="1:18" x14ac:dyDescent="0.25">
      <c r="A24" t="str">
        <f>'(Raw) LensesGH'!A24</f>
        <v>Canon EF 24-70mm 4.0 L IS USM schwarz</v>
      </c>
      <c r="B24" t="str">
        <f>'(Raw) LensesGH'!B24</f>
        <v>24 - 70mm</v>
      </c>
      <c r="C24" s="5">
        <f t="shared" si="3"/>
        <v>24</v>
      </c>
      <c r="D24" s="5">
        <f t="shared" si="4"/>
        <v>70</v>
      </c>
      <c r="E24" t="str">
        <f>'(Raw) LensesGH'!C24</f>
        <v>1:4.0</v>
      </c>
      <c r="F24" s="9">
        <f t="shared" si="5"/>
        <v>4</v>
      </c>
      <c r="G24" s="9">
        <f t="shared" si="6"/>
        <v>4</v>
      </c>
      <c r="H24" t="str">
        <f>'(Raw) LensesGH'!D24</f>
        <v>77mm</v>
      </c>
      <c r="I24" s="2">
        <f t="shared" si="7"/>
        <v>77</v>
      </c>
      <c r="J24" s="2" t="str">
        <f>'(Raw) LensesGH'!E24</f>
        <v>1:1.43</v>
      </c>
      <c r="K24" s="40">
        <f t="shared" si="8"/>
        <v>1.43</v>
      </c>
      <c r="L24" t="str">
        <f>'(Raw) LensesGH'!F24</f>
        <v>Canon EF</v>
      </c>
      <c r="M24" t="str">
        <f>'(Raw) LensesGH'!G24</f>
        <v>APS-C/ Kleinbild</v>
      </c>
      <c r="N24" t="str">
        <f>'(Raw) LensesGH'!H24</f>
        <v>600g</v>
      </c>
      <c r="O24" s="5">
        <f t="shared" si="0"/>
        <v>600</v>
      </c>
      <c r="P24" t="str">
        <f>'(Raw) LensesGH'!I24</f>
        <v>83.4 x 93mm</v>
      </c>
      <c r="Q24" s="39">
        <f t="shared" si="1"/>
        <v>83.4</v>
      </c>
      <c r="R24" s="39">
        <f t="shared" si="2"/>
        <v>93</v>
      </c>
    </row>
    <row r="25" spans="1:18" x14ac:dyDescent="0.25">
      <c r="A25" t="str">
        <f>'(Raw) LensesGH'!A25</f>
        <v>Canon EF 24-85mm 3.5-4.5 USM schwarz</v>
      </c>
      <c r="B25" t="str">
        <f>'(Raw) LensesGH'!B25</f>
        <v>24 - 85mm</v>
      </c>
      <c r="C25" s="5">
        <f t="shared" si="3"/>
        <v>24</v>
      </c>
      <c r="D25" s="5">
        <f t="shared" si="4"/>
        <v>85</v>
      </c>
      <c r="E25" t="str">
        <f>'(Raw) LensesGH'!C25</f>
        <v>1:3.5-1:4.5</v>
      </c>
      <c r="F25" s="9">
        <f t="shared" si="5"/>
        <v>3.5</v>
      </c>
      <c r="G25" s="9">
        <f t="shared" si="6"/>
        <v>3.5</v>
      </c>
      <c r="H25" t="str">
        <f>'(Raw) LensesGH'!D25</f>
        <v>67mm</v>
      </c>
      <c r="I25" s="2">
        <f t="shared" si="7"/>
        <v>67</v>
      </c>
      <c r="J25" s="2" t="str">
        <f>'(Raw) LensesGH'!E25</f>
        <v>1:6.25</v>
      </c>
      <c r="K25" s="40">
        <f t="shared" si="8"/>
        <v>6.25</v>
      </c>
      <c r="L25" t="str">
        <f>'(Raw) LensesGH'!F25</f>
        <v>Canon EF</v>
      </c>
      <c r="M25" t="str">
        <f>'(Raw) LensesGH'!G25</f>
        <v>APS-C/ Kleinbild</v>
      </c>
      <c r="N25" t="str">
        <f>'(Raw) LensesGH'!H25</f>
        <v>380g</v>
      </c>
      <c r="O25" s="5">
        <f t="shared" si="0"/>
        <v>380</v>
      </c>
      <c r="P25" t="str">
        <f>'(Raw) LensesGH'!I25</f>
        <v>73 x 69.5mm</v>
      </c>
      <c r="Q25" s="39">
        <f t="shared" si="1"/>
        <v>73</v>
      </c>
      <c r="R25" s="39">
        <f t="shared" si="2"/>
        <v>69.5</v>
      </c>
    </row>
    <row r="26" spans="1:18" x14ac:dyDescent="0.25">
      <c r="A26" t="str">
        <f>'(Raw) LensesGH'!A26</f>
        <v>Canon EF 24mm 1.4 L USM II schwarz</v>
      </c>
      <c r="B26" t="str">
        <f>'(Raw) LensesGH'!B26</f>
        <v>24mm</v>
      </c>
      <c r="C26" s="5">
        <f t="shared" si="3"/>
        <v>24</v>
      </c>
      <c r="D26" s="5">
        <f t="shared" si="4"/>
        <v>24</v>
      </c>
      <c r="E26" t="str">
        <f>'(Raw) LensesGH'!C26</f>
        <v>1:1.4</v>
      </c>
      <c r="F26" s="9">
        <f t="shared" si="5"/>
        <v>1.4</v>
      </c>
      <c r="G26" s="9">
        <f t="shared" si="6"/>
        <v>1.4</v>
      </c>
      <c r="H26" t="str">
        <f>'(Raw) LensesGH'!D26</f>
        <v>77mm</v>
      </c>
      <c r="I26" s="2">
        <f t="shared" si="7"/>
        <v>77</v>
      </c>
      <c r="J26" s="2" t="str">
        <f>'(Raw) LensesGH'!E26</f>
        <v>1:5.88</v>
      </c>
      <c r="K26" s="40">
        <f t="shared" si="8"/>
        <v>5.88</v>
      </c>
      <c r="L26" t="str">
        <f>'(Raw) LensesGH'!F26</f>
        <v>Canon EF</v>
      </c>
      <c r="M26" t="str">
        <f>'(Raw) LensesGH'!G26</f>
        <v>APS-C/ Kleinbild</v>
      </c>
      <c r="N26" t="str">
        <f>'(Raw) LensesGH'!H26</f>
        <v>650g</v>
      </c>
      <c r="O26" s="5">
        <f t="shared" si="0"/>
        <v>650</v>
      </c>
      <c r="P26" t="str">
        <f>'(Raw) LensesGH'!I26</f>
        <v>93.5 x 86.9mm</v>
      </c>
      <c r="Q26" s="39">
        <f t="shared" si="1"/>
        <v>93.5</v>
      </c>
      <c r="R26" s="39">
        <f t="shared" si="2"/>
        <v>86.9</v>
      </c>
    </row>
    <row r="27" spans="1:18" x14ac:dyDescent="0.25">
      <c r="A27" t="str">
        <f>'(Raw) LensesGH'!A27</f>
        <v>Canon EF 24mm 2.8 IS USM schwarz</v>
      </c>
      <c r="B27" t="str">
        <f>'(Raw) LensesGH'!B27</f>
        <v>24mm</v>
      </c>
      <c r="C27" s="5">
        <f t="shared" si="3"/>
        <v>24</v>
      </c>
      <c r="D27" s="5">
        <f t="shared" si="4"/>
        <v>24</v>
      </c>
      <c r="E27" t="str">
        <f>'(Raw) LensesGH'!C27</f>
        <v>1:2.8</v>
      </c>
      <c r="F27" s="9">
        <f t="shared" si="5"/>
        <v>2.8</v>
      </c>
      <c r="G27" s="9">
        <f t="shared" si="6"/>
        <v>2.8</v>
      </c>
      <c r="H27" t="str">
        <f>'(Raw) LensesGH'!D27</f>
        <v>58mm</v>
      </c>
      <c r="I27" s="2">
        <f t="shared" si="7"/>
        <v>58</v>
      </c>
      <c r="J27" s="2" t="str">
        <f>'(Raw) LensesGH'!E27</f>
        <v>1:4.35</v>
      </c>
      <c r="K27" s="40">
        <f t="shared" si="8"/>
        <v>4.3499999999999996</v>
      </c>
      <c r="L27" t="str">
        <f>'(Raw) LensesGH'!F27</f>
        <v>Canon EF</v>
      </c>
      <c r="M27" t="str">
        <f>'(Raw) LensesGH'!G27</f>
        <v>APS-C/ Kleinbild</v>
      </c>
      <c r="N27" t="str">
        <f>'(Raw) LensesGH'!H27</f>
        <v>280g</v>
      </c>
      <c r="O27" s="5">
        <f t="shared" si="0"/>
        <v>280</v>
      </c>
      <c r="P27" t="str">
        <f>'(Raw) LensesGH'!I27</f>
        <v>68.4 x 55.7mm</v>
      </c>
      <c r="Q27" s="39">
        <f t="shared" si="1"/>
        <v>68.400000000000006</v>
      </c>
      <c r="R27" s="39">
        <f t="shared" si="2"/>
        <v>55.7</v>
      </c>
    </row>
    <row r="28" spans="1:18" x14ac:dyDescent="0.25">
      <c r="A28" t="str">
        <f>'(Raw) LensesGH'!A28</f>
        <v>Canon EF 24mm 2.8 schwarz</v>
      </c>
      <c r="B28" t="str">
        <f>'(Raw) LensesGH'!B28</f>
        <v>24mm</v>
      </c>
      <c r="C28" s="5">
        <f t="shared" si="3"/>
        <v>24</v>
      </c>
      <c r="D28" s="5">
        <f t="shared" si="4"/>
        <v>24</v>
      </c>
      <c r="E28" t="str">
        <f>'(Raw) LensesGH'!C28</f>
        <v>1:2.8</v>
      </c>
      <c r="F28" s="9">
        <f t="shared" si="5"/>
        <v>2.8</v>
      </c>
      <c r="G28" s="9">
        <f t="shared" si="6"/>
        <v>2.8</v>
      </c>
      <c r="H28" t="str">
        <f>'(Raw) LensesGH'!D28</f>
        <v>58mm</v>
      </c>
      <c r="I28" s="2">
        <f t="shared" si="7"/>
        <v>58</v>
      </c>
      <c r="J28" s="2" t="str">
        <f>'(Raw) LensesGH'!E28</f>
        <v>1:6.25</v>
      </c>
      <c r="K28" s="40">
        <f t="shared" si="8"/>
        <v>6.25</v>
      </c>
      <c r="L28" t="str">
        <f>'(Raw) LensesGH'!F28</f>
        <v>Canon EF</v>
      </c>
      <c r="M28" t="str">
        <f>'(Raw) LensesGH'!G28</f>
        <v>APS-C/ Kleinbild</v>
      </c>
      <c r="N28" t="str">
        <f>'(Raw) LensesGH'!H28</f>
        <v>270g</v>
      </c>
      <c r="O28" s="5">
        <f t="shared" si="0"/>
        <v>270</v>
      </c>
      <c r="P28" t="str">
        <f>'(Raw) LensesGH'!I28</f>
        <v>67.5 x 48.5mm</v>
      </c>
      <c r="Q28" s="39">
        <f t="shared" si="1"/>
        <v>67.5</v>
      </c>
      <c r="R28" s="39">
        <f t="shared" si="2"/>
        <v>48.5</v>
      </c>
    </row>
    <row r="29" spans="1:18" x14ac:dyDescent="0.25">
      <c r="A29" t="str">
        <f>'(Raw) LensesGH'!A29</f>
        <v>Canon EF 28-135mm 3.5-5.6 IS USM schwarz</v>
      </c>
      <c r="B29" t="str">
        <f>'(Raw) LensesGH'!B29</f>
        <v>28 - 135mm</v>
      </c>
      <c r="C29" s="5">
        <f t="shared" si="3"/>
        <v>28</v>
      </c>
      <c r="D29" s="5">
        <f t="shared" si="4"/>
        <v>135</v>
      </c>
      <c r="E29" t="str">
        <f>'(Raw) LensesGH'!C29</f>
        <v>1:3.5-1:5.6</v>
      </c>
      <c r="F29" s="9">
        <f t="shared" si="5"/>
        <v>3.5</v>
      </c>
      <c r="G29" s="9">
        <f t="shared" si="6"/>
        <v>3.5</v>
      </c>
      <c r="H29" t="str">
        <f>'(Raw) LensesGH'!D29</f>
        <v>72mm</v>
      </c>
      <c r="I29" s="2">
        <f t="shared" si="7"/>
        <v>72</v>
      </c>
      <c r="J29" s="2" t="str">
        <f>'(Raw) LensesGH'!E29</f>
        <v>1:5.26</v>
      </c>
      <c r="K29" s="40">
        <f t="shared" si="8"/>
        <v>5.26</v>
      </c>
      <c r="L29" t="str">
        <f>'(Raw) LensesGH'!F29</f>
        <v>Canon EF</v>
      </c>
      <c r="M29" t="str">
        <f>'(Raw) LensesGH'!G29</f>
        <v>APS-C/ Kleinbild</v>
      </c>
      <c r="N29" t="str">
        <f>'(Raw) LensesGH'!H29</f>
        <v>540g</v>
      </c>
      <c r="O29" s="5">
        <f t="shared" si="0"/>
        <v>540</v>
      </c>
      <c r="P29" t="str">
        <f>'(Raw) LensesGH'!I29</f>
        <v>78.4 x 96.8mm</v>
      </c>
      <c r="Q29" s="39">
        <f t="shared" si="1"/>
        <v>78.400000000000006</v>
      </c>
      <c r="R29" s="39">
        <f t="shared" si="2"/>
        <v>96.8</v>
      </c>
    </row>
    <row r="30" spans="1:18" x14ac:dyDescent="0.25">
      <c r="A30" t="str">
        <f>'(Raw) LensesGH'!A30</f>
        <v>Canon EF 28-300mm 3.5-5.6 L IS USM weiß</v>
      </c>
      <c r="B30" t="str">
        <f>'(Raw) LensesGH'!B30</f>
        <v>28 - 300mm</v>
      </c>
      <c r="C30" s="5">
        <f t="shared" si="3"/>
        <v>28</v>
      </c>
      <c r="D30" s="5">
        <f t="shared" si="4"/>
        <v>300</v>
      </c>
      <c r="E30" t="str">
        <f>'(Raw) LensesGH'!C30</f>
        <v>1:3.5-1:5.6</v>
      </c>
      <c r="F30" s="9">
        <f t="shared" si="5"/>
        <v>3.5</v>
      </c>
      <c r="G30" s="9">
        <f t="shared" si="6"/>
        <v>3.5</v>
      </c>
      <c r="H30" t="str">
        <f>'(Raw) LensesGH'!D30</f>
        <v>77mm</v>
      </c>
      <c r="I30" s="2">
        <f t="shared" si="7"/>
        <v>77</v>
      </c>
      <c r="J30" s="2" t="str">
        <f>'(Raw) LensesGH'!E30</f>
        <v>1:3.33</v>
      </c>
      <c r="K30" s="40">
        <f t="shared" si="8"/>
        <v>3.33</v>
      </c>
      <c r="L30" t="str">
        <f>'(Raw) LensesGH'!F30</f>
        <v>Canon EF</v>
      </c>
      <c r="M30" t="str">
        <f>'(Raw) LensesGH'!G30</f>
        <v>APS-C/ Kleinbild</v>
      </c>
      <c r="N30" t="str">
        <f>'(Raw) LensesGH'!H30</f>
        <v>1670g</v>
      </c>
      <c r="O30" s="5">
        <f t="shared" si="0"/>
        <v>1670</v>
      </c>
      <c r="P30" t="str">
        <f>'(Raw) LensesGH'!I30</f>
        <v>92 x 184mm</v>
      </c>
      <c r="Q30" s="39">
        <f t="shared" si="1"/>
        <v>92</v>
      </c>
      <c r="R30" s="39">
        <f t="shared" si="2"/>
        <v>184</v>
      </c>
    </row>
    <row r="31" spans="1:18" x14ac:dyDescent="0.25">
      <c r="A31" t="str">
        <f>'(Raw) LensesGH'!A31</f>
        <v>Canon EF 28mm 1.8 USM schwarz</v>
      </c>
      <c r="B31" t="str">
        <f>'(Raw) LensesGH'!B31</f>
        <v>28mm</v>
      </c>
      <c r="C31" s="5">
        <f t="shared" si="3"/>
        <v>28</v>
      </c>
      <c r="D31" s="5">
        <f t="shared" si="4"/>
        <v>28</v>
      </c>
      <c r="E31" t="str">
        <f>'(Raw) LensesGH'!C31</f>
        <v>1:1.8</v>
      </c>
      <c r="F31" s="9">
        <f t="shared" si="5"/>
        <v>1.8</v>
      </c>
      <c r="G31" s="9">
        <f t="shared" si="6"/>
        <v>1.8</v>
      </c>
      <c r="H31" t="str">
        <f>'(Raw) LensesGH'!D31</f>
        <v>58mm</v>
      </c>
      <c r="I31" s="2">
        <f t="shared" si="7"/>
        <v>58</v>
      </c>
      <c r="J31" s="2" t="str">
        <f>'(Raw) LensesGH'!E31</f>
        <v>1:5.56</v>
      </c>
      <c r="K31" s="40">
        <f t="shared" si="8"/>
        <v>5.56</v>
      </c>
      <c r="L31" t="str">
        <f>'(Raw) LensesGH'!F31</f>
        <v>Canon EF</v>
      </c>
      <c r="M31" t="str">
        <f>'(Raw) LensesGH'!G31</f>
        <v>APS-C/ Kleinbild</v>
      </c>
      <c r="N31" t="str">
        <f>'(Raw) LensesGH'!H31</f>
        <v>310g</v>
      </c>
      <c r="O31" s="5">
        <f t="shared" si="0"/>
        <v>310</v>
      </c>
      <c r="P31" t="str">
        <f>'(Raw) LensesGH'!I31</f>
        <v>73.6 x 55.6mm</v>
      </c>
      <c r="Q31" s="39">
        <f t="shared" si="1"/>
        <v>73.599999999999994</v>
      </c>
      <c r="R31" s="39">
        <f t="shared" si="2"/>
        <v>55.6</v>
      </c>
    </row>
    <row r="32" spans="1:18" x14ac:dyDescent="0.25">
      <c r="A32" t="str">
        <f>'(Raw) LensesGH'!A32</f>
        <v>Canon EF 28mm 2.8 IS USM schwarz</v>
      </c>
      <c r="B32" t="str">
        <f>'(Raw) LensesGH'!B32</f>
        <v>28mm</v>
      </c>
      <c r="C32" s="5">
        <f t="shared" si="3"/>
        <v>28</v>
      </c>
      <c r="D32" s="5">
        <f t="shared" si="4"/>
        <v>28</v>
      </c>
      <c r="E32" t="str">
        <f>'(Raw) LensesGH'!C32</f>
        <v>1:2.8</v>
      </c>
      <c r="F32" s="9">
        <f t="shared" si="5"/>
        <v>2.8</v>
      </c>
      <c r="G32" s="9">
        <f t="shared" si="6"/>
        <v>2.8</v>
      </c>
      <c r="H32" t="str">
        <f>'(Raw) LensesGH'!D32</f>
        <v>58mm</v>
      </c>
      <c r="I32" s="2">
        <f t="shared" si="7"/>
        <v>58</v>
      </c>
      <c r="J32" s="2" t="str">
        <f>'(Raw) LensesGH'!E32</f>
        <v>1:5.00</v>
      </c>
      <c r="K32" s="40">
        <f t="shared" si="8"/>
        <v>5</v>
      </c>
      <c r="L32" t="str">
        <f>'(Raw) LensesGH'!F32</f>
        <v>Canon EF</v>
      </c>
      <c r="M32" t="str">
        <f>'(Raw) LensesGH'!G32</f>
        <v>APS-C/ Kleinbild</v>
      </c>
      <c r="N32" t="str">
        <f>'(Raw) LensesGH'!H32</f>
        <v>260g</v>
      </c>
      <c r="O32" s="5">
        <f t="shared" si="0"/>
        <v>260</v>
      </c>
      <c r="P32" t="str">
        <f>'(Raw) LensesGH'!I32</f>
        <v>68.4 x 51.5mm</v>
      </c>
      <c r="Q32" s="39">
        <f t="shared" si="1"/>
        <v>68.400000000000006</v>
      </c>
      <c r="R32" s="39">
        <f t="shared" si="2"/>
        <v>51.5</v>
      </c>
    </row>
    <row r="33" spans="1:18" x14ac:dyDescent="0.25">
      <c r="A33" t="str">
        <f>'(Raw) LensesGH'!A33</f>
        <v>Canon EF 300mm 2.8 L IS II USM weiß</v>
      </c>
      <c r="B33" t="str">
        <f>'(Raw) LensesGH'!B33</f>
        <v>300mm</v>
      </c>
      <c r="C33" s="5">
        <f t="shared" si="3"/>
        <v>300</v>
      </c>
      <c r="D33" s="5">
        <f t="shared" si="4"/>
        <v>300</v>
      </c>
      <c r="E33" t="str">
        <f>'(Raw) LensesGH'!C33</f>
        <v>1:2.8</v>
      </c>
      <c r="F33" s="9">
        <f t="shared" si="5"/>
        <v>2.8</v>
      </c>
      <c r="G33" s="9">
        <f t="shared" si="6"/>
        <v>2.8</v>
      </c>
      <c r="H33" t="str">
        <f>'(Raw) LensesGH'!D33</f>
        <v>52mm</v>
      </c>
      <c r="I33" s="2">
        <f t="shared" si="7"/>
        <v>52</v>
      </c>
      <c r="J33" s="2" t="str">
        <f>'(Raw) LensesGH'!E33</f>
        <v>1:5.56</v>
      </c>
      <c r="K33" s="40">
        <f t="shared" si="8"/>
        <v>5.56</v>
      </c>
      <c r="L33" t="str">
        <f>'(Raw) LensesGH'!F33</f>
        <v>Canon EF</v>
      </c>
      <c r="M33" t="str">
        <f>'(Raw) LensesGH'!G33</f>
        <v>APS-C/ Kleinbild</v>
      </c>
      <c r="N33" t="str">
        <f>'(Raw) LensesGH'!H33</f>
        <v>2400g</v>
      </c>
      <c r="O33" s="5">
        <f t="shared" si="0"/>
        <v>2400</v>
      </c>
      <c r="P33" t="str">
        <f>'(Raw) LensesGH'!I33</f>
        <v>128 x 248mm</v>
      </c>
      <c r="Q33" s="39">
        <f t="shared" si="1"/>
        <v>128</v>
      </c>
      <c r="R33" s="39">
        <f t="shared" si="2"/>
        <v>248</v>
      </c>
    </row>
    <row r="34" spans="1:18" x14ac:dyDescent="0.25">
      <c r="A34" t="str">
        <f>'(Raw) LensesGH'!A34</f>
        <v>Canon EF 300mm 4.0 L IS USM weiß</v>
      </c>
      <c r="B34" t="str">
        <f>'(Raw) LensesGH'!B34</f>
        <v>300mm</v>
      </c>
      <c r="C34" s="5">
        <f t="shared" si="3"/>
        <v>300</v>
      </c>
      <c r="D34" s="5">
        <f t="shared" si="4"/>
        <v>300</v>
      </c>
      <c r="E34" t="str">
        <f>'(Raw) LensesGH'!C34</f>
        <v>1:4.0</v>
      </c>
      <c r="F34" s="9">
        <f t="shared" si="5"/>
        <v>4</v>
      </c>
      <c r="G34" s="9">
        <f t="shared" si="6"/>
        <v>4</v>
      </c>
      <c r="H34" t="str">
        <f>'(Raw) LensesGH'!D34</f>
        <v>77mm</v>
      </c>
      <c r="I34" s="2">
        <f t="shared" si="7"/>
        <v>77</v>
      </c>
      <c r="J34" s="2" t="str">
        <f>'(Raw) LensesGH'!E34</f>
        <v>1:4.17</v>
      </c>
      <c r="K34" s="40">
        <f t="shared" si="8"/>
        <v>4.17</v>
      </c>
      <c r="L34" t="str">
        <f>'(Raw) LensesGH'!F34</f>
        <v>Canon EF</v>
      </c>
      <c r="M34" t="str">
        <f>'(Raw) LensesGH'!G34</f>
        <v>APS-C/ Kleinbild</v>
      </c>
      <c r="N34" t="str">
        <f>'(Raw) LensesGH'!H34</f>
        <v>1190g</v>
      </c>
      <c r="O34" s="5">
        <f t="shared" si="0"/>
        <v>1190</v>
      </c>
      <c r="P34" t="str">
        <f>'(Raw) LensesGH'!I34</f>
        <v>90 x 221mm</v>
      </c>
      <c r="Q34" s="39">
        <f t="shared" si="1"/>
        <v>90</v>
      </c>
      <c r="R34" s="39">
        <f t="shared" si="2"/>
        <v>221</v>
      </c>
    </row>
    <row r="35" spans="1:18" x14ac:dyDescent="0.25">
      <c r="A35" t="str">
        <f>'(Raw) LensesGH'!A35</f>
        <v>Canon EF 35mm 1.4 L II USM schwarz</v>
      </c>
      <c r="B35" t="str">
        <f>'(Raw) LensesGH'!B35</f>
        <v>35mm</v>
      </c>
      <c r="C35" s="5">
        <f t="shared" si="3"/>
        <v>35</v>
      </c>
      <c r="D35" s="5">
        <f t="shared" si="4"/>
        <v>35</v>
      </c>
      <c r="E35" t="str">
        <f>'(Raw) LensesGH'!C35</f>
        <v>1:1.4</v>
      </c>
      <c r="F35" s="9">
        <f t="shared" si="5"/>
        <v>1.4</v>
      </c>
      <c r="G35" s="9">
        <f t="shared" si="6"/>
        <v>1.4</v>
      </c>
      <c r="H35" t="str">
        <f>'(Raw) LensesGH'!D35</f>
        <v>72mm</v>
      </c>
      <c r="I35" s="2">
        <f t="shared" si="7"/>
        <v>72</v>
      </c>
      <c r="J35" s="2" t="str">
        <f>'(Raw) LensesGH'!E35</f>
        <v>1:4.76</v>
      </c>
      <c r="K35" s="40">
        <f t="shared" si="8"/>
        <v>4.76</v>
      </c>
      <c r="L35" t="str">
        <f>'(Raw) LensesGH'!F35</f>
        <v>Canon EF</v>
      </c>
      <c r="M35" t="str">
        <f>'(Raw) LensesGH'!G35</f>
        <v>APS-C/ Kleinbild</v>
      </c>
      <c r="N35" t="str">
        <f>'(Raw) LensesGH'!H35</f>
        <v>760g</v>
      </c>
      <c r="O35" s="5">
        <f t="shared" si="0"/>
        <v>760</v>
      </c>
      <c r="P35" t="str">
        <f>'(Raw) LensesGH'!I35</f>
        <v>80.4 x 105.5mm</v>
      </c>
      <c r="Q35" s="39">
        <f t="shared" si="1"/>
        <v>80.400000000000006</v>
      </c>
      <c r="R35" s="39">
        <f t="shared" si="2"/>
        <v>105.5</v>
      </c>
    </row>
    <row r="36" spans="1:18" x14ac:dyDescent="0.25">
      <c r="A36" t="str">
        <f>'(Raw) LensesGH'!A36</f>
        <v>Canon EF 35mm 1.4 L USM schwarz</v>
      </c>
      <c r="B36" t="str">
        <f>'(Raw) LensesGH'!B36</f>
        <v>35mm</v>
      </c>
      <c r="C36" s="5">
        <f t="shared" si="3"/>
        <v>35</v>
      </c>
      <c r="D36" s="5">
        <f t="shared" si="4"/>
        <v>35</v>
      </c>
      <c r="E36" t="str">
        <f>'(Raw) LensesGH'!C36</f>
        <v>1:1.4</v>
      </c>
      <c r="F36" s="9">
        <f t="shared" si="5"/>
        <v>1.4</v>
      </c>
      <c r="G36" s="9">
        <f t="shared" si="6"/>
        <v>1.4</v>
      </c>
      <c r="H36" t="str">
        <f>'(Raw) LensesGH'!D36</f>
        <v>72mm</v>
      </c>
      <c r="I36" s="2">
        <f t="shared" si="7"/>
        <v>72</v>
      </c>
      <c r="J36" s="2" t="str">
        <f>'(Raw) LensesGH'!E36</f>
        <v>1:5.56</v>
      </c>
      <c r="K36" s="40">
        <f t="shared" si="8"/>
        <v>5.56</v>
      </c>
      <c r="L36" t="str">
        <f>'(Raw) LensesGH'!F36</f>
        <v>Canon EF</v>
      </c>
      <c r="M36" t="str">
        <f>'(Raw) LensesGH'!G36</f>
        <v>APS-C/ Kleinbild</v>
      </c>
      <c r="N36" t="str">
        <f>'(Raw) LensesGH'!H36</f>
        <v>580g</v>
      </c>
      <c r="O36" s="5">
        <f t="shared" si="0"/>
        <v>580</v>
      </c>
      <c r="P36" t="str">
        <f>'(Raw) LensesGH'!I36</f>
        <v>79 x 86mm</v>
      </c>
      <c r="Q36" s="39">
        <f t="shared" si="1"/>
        <v>79</v>
      </c>
      <c r="R36" s="39">
        <f t="shared" si="2"/>
        <v>86</v>
      </c>
    </row>
    <row r="37" spans="1:18" x14ac:dyDescent="0.25">
      <c r="A37" t="str">
        <f>'(Raw) LensesGH'!A37</f>
        <v>Canon EF 35mm 2.0 IS USM schwarz</v>
      </c>
      <c r="B37" t="str">
        <f>'(Raw) LensesGH'!B37</f>
        <v>35mm</v>
      </c>
      <c r="C37" s="5">
        <f t="shared" si="3"/>
        <v>35</v>
      </c>
      <c r="D37" s="5">
        <f t="shared" si="4"/>
        <v>35</v>
      </c>
      <c r="E37" t="str">
        <f>'(Raw) LensesGH'!C37</f>
        <v>1:2.0</v>
      </c>
      <c r="F37" s="9">
        <f t="shared" si="5"/>
        <v>2</v>
      </c>
      <c r="G37" s="9">
        <f t="shared" si="6"/>
        <v>2</v>
      </c>
      <c r="H37" t="str">
        <f>'(Raw) LensesGH'!D37</f>
        <v>67mm</v>
      </c>
      <c r="I37" s="2">
        <f t="shared" si="7"/>
        <v>67</v>
      </c>
      <c r="J37" s="2" t="str">
        <f>'(Raw) LensesGH'!E37</f>
        <v>1:4.17</v>
      </c>
      <c r="K37" s="40">
        <f t="shared" si="8"/>
        <v>4.17</v>
      </c>
      <c r="L37" t="str">
        <f>'(Raw) LensesGH'!F37</f>
        <v>Canon EF</v>
      </c>
      <c r="M37" t="str">
        <f>'(Raw) LensesGH'!G37</f>
        <v>APS-C/ Kleinbild</v>
      </c>
      <c r="N37" t="str">
        <f>'(Raw) LensesGH'!H37</f>
        <v>335g</v>
      </c>
      <c r="O37" s="5">
        <f t="shared" si="0"/>
        <v>335</v>
      </c>
      <c r="P37" t="str">
        <f>'(Raw) LensesGH'!I37</f>
        <v>77.9 x 62.6mm</v>
      </c>
      <c r="Q37" s="39">
        <f t="shared" si="1"/>
        <v>77.900000000000006</v>
      </c>
      <c r="R37" s="39">
        <f t="shared" si="2"/>
        <v>62.6</v>
      </c>
    </row>
    <row r="38" spans="1:18" x14ac:dyDescent="0.25">
      <c r="A38" t="str">
        <f>'(Raw) LensesGH'!A38</f>
        <v>Canon EF 400mm 2.8 L IS II USM weiß</v>
      </c>
      <c r="B38" t="str">
        <f>'(Raw) LensesGH'!B38</f>
        <v>400mm</v>
      </c>
      <c r="C38" s="5">
        <f t="shared" si="3"/>
        <v>400</v>
      </c>
      <c r="D38" s="5">
        <f t="shared" si="4"/>
        <v>400</v>
      </c>
      <c r="E38" t="str">
        <f>'(Raw) LensesGH'!C38</f>
        <v>1:2.8</v>
      </c>
      <c r="F38" s="9">
        <f t="shared" si="5"/>
        <v>2.8</v>
      </c>
      <c r="G38" s="9">
        <f t="shared" si="6"/>
        <v>2.8</v>
      </c>
      <c r="H38" t="str">
        <f>'(Raw) LensesGH'!D38</f>
        <v>52mm</v>
      </c>
      <c r="I38" s="2">
        <f t="shared" si="7"/>
        <v>52</v>
      </c>
      <c r="J38" s="2" t="str">
        <f>'(Raw) LensesGH'!E38</f>
        <v>1:5.88</v>
      </c>
      <c r="K38" s="40">
        <f t="shared" si="8"/>
        <v>5.88</v>
      </c>
      <c r="L38" t="str">
        <f>'(Raw) LensesGH'!F38</f>
        <v>Canon EF</v>
      </c>
      <c r="M38" t="str">
        <f>'(Raw) LensesGH'!G38</f>
        <v>APS-C/ Kleinbild</v>
      </c>
      <c r="N38" t="str">
        <f>'(Raw) LensesGH'!H38</f>
        <v>3850g</v>
      </c>
      <c r="O38" s="5">
        <f t="shared" si="0"/>
        <v>3850</v>
      </c>
      <c r="P38" t="str">
        <f>'(Raw) LensesGH'!I38</f>
        <v>163 x 343mm</v>
      </c>
      <c r="Q38" s="39">
        <f t="shared" si="1"/>
        <v>163</v>
      </c>
      <c r="R38" s="39">
        <f t="shared" si="2"/>
        <v>343</v>
      </c>
    </row>
    <row r="39" spans="1:18" x14ac:dyDescent="0.25">
      <c r="A39" t="str">
        <f>'(Raw) LensesGH'!A39</f>
        <v>Canon EF 400mm 4.0 DO IS II USM weiß</v>
      </c>
      <c r="B39" t="str">
        <f>'(Raw) LensesGH'!B39</f>
        <v>400mm</v>
      </c>
      <c r="C39" s="5">
        <f t="shared" si="3"/>
        <v>400</v>
      </c>
      <c r="D39" s="5">
        <f t="shared" si="4"/>
        <v>400</v>
      </c>
      <c r="E39" t="str">
        <f>'(Raw) LensesGH'!C39</f>
        <v>1:4.0</v>
      </c>
      <c r="F39" s="9">
        <f t="shared" si="5"/>
        <v>4</v>
      </c>
      <c r="G39" s="9">
        <f t="shared" si="6"/>
        <v>4</v>
      </c>
      <c r="H39" t="str">
        <f>'(Raw) LensesGH'!D39</f>
        <v>52mm</v>
      </c>
      <c r="I39" s="2">
        <f t="shared" si="7"/>
        <v>52</v>
      </c>
      <c r="J39" s="2" t="str">
        <f>'(Raw) LensesGH'!E39</f>
        <v>1:7.69</v>
      </c>
      <c r="K39" s="40">
        <f t="shared" si="8"/>
        <v>7.69</v>
      </c>
      <c r="L39" t="str">
        <f>'(Raw) LensesGH'!F39</f>
        <v>Canon EF</v>
      </c>
      <c r="M39" t="str">
        <f>'(Raw) LensesGH'!G39</f>
        <v>APS-C/ Kleinbild</v>
      </c>
      <c r="N39" t="str">
        <f>'(Raw) LensesGH'!H39</f>
        <v>2100g</v>
      </c>
      <c r="O39" s="5">
        <f t="shared" si="0"/>
        <v>2100</v>
      </c>
      <c r="P39" t="str">
        <f>'(Raw) LensesGH'!I39</f>
        <v>128 x 232.7mm</v>
      </c>
      <c r="Q39" s="39">
        <f t="shared" si="1"/>
        <v>128</v>
      </c>
      <c r="R39" s="39">
        <f t="shared" si="2"/>
        <v>232.7</v>
      </c>
    </row>
    <row r="40" spans="1:18" x14ac:dyDescent="0.25">
      <c r="A40" t="str">
        <f>'(Raw) LensesGH'!A40</f>
        <v>Canon EF 400mm 5.6 L USM weiß</v>
      </c>
      <c r="B40" t="str">
        <f>'(Raw) LensesGH'!B40</f>
        <v>400mm</v>
      </c>
      <c r="C40" s="5">
        <f t="shared" si="3"/>
        <v>400</v>
      </c>
      <c r="D40" s="5">
        <f t="shared" si="4"/>
        <v>400</v>
      </c>
      <c r="E40" t="str">
        <f>'(Raw) LensesGH'!C40</f>
        <v>1:5.6</v>
      </c>
      <c r="F40" s="9">
        <f t="shared" si="5"/>
        <v>5.6</v>
      </c>
      <c r="G40" s="9">
        <f t="shared" si="6"/>
        <v>5.6</v>
      </c>
      <c r="H40" t="str">
        <f>'(Raw) LensesGH'!D40</f>
        <v>77mm</v>
      </c>
      <c r="I40" s="2">
        <f t="shared" si="7"/>
        <v>77</v>
      </c>
      <c r="J40" s="2" t="str">
        <f>'(Raw) LensesGH'!E40</f>
        <v>1:8.33</v>
      </c>
      <c r="K40" s="40">
        <f t="shared" si="8"/>
        <v>8.33</v>
      </c>
      <c r="L40" t="str">
        <f>'(Raw) LensesGH'!F40</f>
        <v>Canon EF</v>
      </c>
      <c r="M40" t="str">
        <f>'(Raw) LensesGH'!G40</f>
        <v>APS-C/ Kleinbild</v>
      </c>
      <c r="N40" t="str">
        <f>'(Raw) LensesGH'!H40</f>
        <v>1250g</v>
      </c>
      <c r="O40" s="5">
        <f t="shared" si="0"/>
        <v>1250</v>
      </c>
      <c r="P40" t="str">
        <f>'(Raw) LensesGH'!I40</f>
        <v>90 x 256.5mm</v>
      </c>
      <c r="Q40" s="39">
        <f t="shared" si="1"/>
        <v>90</v>
      </c>
      <c r="R40" s="39">
        <f t="shared" si="2"/>
        <v>256.5</v>
      </c>
    </row>
    <row r="41" spans="1:18" x14ac:dyDescent="0.25">
      <c r="A41" t="str">
        <f>'(Raw) LensesGH'!A41</f>
        <v>Canon EF 40mm 2.8 STM schwarz</v>
      </c>
      <c r="B41" t="str">
        <f>'(Raw) LensesGH'!B41</f>
        <v>40mm</v>
      </c>
      <c r="C41" s="5">
        <f t="shared" si="3"/>
        <v>40</v>
      </c>
      <c r="D41" s="5">
        <f t="shared" si="4"/>
        <v>40</v>
      </c>
      <c r="E41" t="str">
        <f>'(Raw) LensesGH'!C41</f>
        <v>1:2.8</v>
      </c>
      <c r="F41" s="9">
        <f t="shared" si="5"/>
        <v>2.8</v>
      </c>
      <c r="G41" s="9">
        <f t="shared" si="6"/>
        <v>2.8</v>
      </c>
      <c r="H41" t="str">
        <f>'(Raw) LensesGH'!D41</f>
        <v>52mm</v>
      </c>
      <c r="I41" s="2">
        <f t="shared" si="7"/>
        <v>52</v>
      </c>
      <c r="J41" s="2" t="str">
        <f>'(Raw) LensesGH'!E41</f>
        <v>1:5.56</v>
      </c>
      <c r="K41" s="40">
        <f t="shared" si="8"/>
        <v>5.56</v>
      </c>
      <c r="L41" t="str">
        <f>'(Raw) LensesGH'!F41</f>
        <v>Canon EF</v>
      </c>
      <c r="M41" t="str">
        <f>'(Raw) LensesGH'!G41</f>
        <v>APS-C/ Kleinbild</v>
      </c>
      <c r="N41" t="str">
        <f>'(Raw) LensesGH'!H41</f>
        <v>130g</v>
      </c>
      <c r="O41" s="5">
        <f t="shared" si="0"/>
        <v>130</v>
      </c>
      <c r="P41" t="str">
        <f>'(Raw) LensesGH'!I41</f>
        <v>68.2 x 22.8mm</v>
      </c>
      <c r="Q41" s="39">
        <f t="shared" si="1"/>
        <v>68.2</v>
      </c>
      <c r="R41" s="39">
        <f t="shared" si="2"/>
        <v>22.8</v>
      </c>
    </row>
    <row r="42" spans="1:18" x14ac:dyDescent="0.25">
      <c r="A42" t="str">
        <f>'(Raw) LensesGH'!A42</f>
        <v>Canon EF 500mm 4.0 L IS II USM weiß</v>
      </c>
      <c r="B42" t="str">
        <f>'(Raw) LensesGH'!B42</f>
        <v>500mm</v>
      </c>
      <c r="C42" s="5">
        <f t="shared" si="3"/>
        <v>500</v>
      </c>
      <c r="D42" s="5">
        <f t="shared" si="4"/>
        <v>500</v>
      </c>
      <c r="E42" t="str">
        <f>'(Raw) LensesGH'!C42</f>
        <v>1:4.0</v>
      </c>
      <c r="F42" s="9">
        <f t="shared" si="5"/>
        <v>4</v>
      </c>
      <c r="G42" s="9">
        <f t="shared" si="6"/>
        <v>4</v>
      </c>
      <c r="H42" t="str">
        <f>'(Raw) LensesGH'!D42</f>
        <v>52mm</v>
      </c>
      <c r="I42" s="2">
        <f t="shared" si="7"/>
        <v>52</v>
      </c>
      <c r="J42" s="2" t="str">
        <f>'(Raw) LensesGH'!E42</f>
        <v>1:6.67</v>
      </c>
      <c r="K42" s="40">
        <f t="shared" si="8"/>
        <v>6.67</v>
      </c>
      <c r="L42" t="str">
        <f>'(Raw) LensesGH'!F42</f>
        <v>Canon EF</v>
      </c>
      <c r="M42" t="str">
        <f>'(Raw) LensesGH'!G42</f>
        <v>APS-C/ Kleinbild</v>
      </c>
      <c r="N42" t="str">
        <f>'(Raw) LensesGH'!H42</f>
        <v>3190g</v>
      </c>
      <c r="O42" s="5">
        <f t="shared" si="0"/>
        <v>3190</v>
      </c>
      <c r="P42" t="str">
        <f>'(Raw) LensesGH'!I42</f>
        <v>146 x 383mm</v>
      </c>
      <c r="Q42" s="39">
        <f t="shared" si="1"/>
        <v>146</v>
      </c>
      <c r="R42" s="39">
        <f t="shared" si="2"/>
        <v>383</v>
      </c>
    </row>
    <row r="43" spans="1:18" x14ac:dyDescent="0.25">
      <c r="A43" t="str">
        <f>'(Raw) LensesGH'!A43</f>
        <v>Canon EF 50mm 1.2 L USM schwarz</v>
      </c>
      <c r="B43" t="str">
        <f>'(Raw) LensesGH'!B43</f>
        <v>50mm</v>
      </c>
      <c r="C43" s="5">
        <f t="shared" si="3"/>
        <v>50</v>
      </c>
      <c r="D43" s="5">
        <f t="shared" si="4"/>
        <v>50</v>
      </c>
      <c r="E43" t="str">
        <f>'(Raw) LensesGH'!C43</f>
        <v>1:1.2</v>
      </c>
      <c r="F43" s="9">
        <f t="shared" si="5"/>
        <v>1.2</v>
      </c>
      <c r="G43" s="9">
        <f t="shared" si="6"/>
        <v>1.2</v>
      </c>
      <c r="H43" t="str">
        <f>'(Raw) LensesGH'!D43</f>
        <v>72mm</v>
      </c>
      <c r="I43" s="2">
        <f t="shared" si="7"/>
        <v>72</v>
      </c>
      <c r="J43" s="2" t="str">
        <f>'(Raw) LensesGH'!E43</f>
        <v>1:6.67</v>
      </c>
      <c r="K43" s="40">
        <f t="shared" si="8"/>
        <v>6.67</v>
      </c>
      <c r="L43" t="str">
        <f>'(Raw) LensesGH'!F43</f>
        <v>Canon EF</v>
      </c>
      <c r="M43" t="str">
        <f>'(Raw) LensesGH'!G43</f>
        <v>APS-C/ Kleinbild</v>
      </c>
      <c r="N43" t="str">
        <f>'(Raw) LensesGH'!H43</f>
        <v>580g</v>
      </c>
      <c r="O43" s="5">
        <f t="shared" si="0"/>
        <v>580</v>
      </c>
      <c r="P43" t="str">
        <f>'(Raw) LensesGH'!I43</f>
        <v>85.8 x 65.5mm</v>
      </c>
      <c r="Q43" s="39">
        <f t="shared" si="1"/>
        <v>85.8</v>
      </c>
      <c r="R43" s="39">
        <f t="shared" si="2"/>
        <v>65.5</v>
      </c>
    </row>
    <row r="44" spans="1:18" x14ac:dyDescent="0.25">
      <c r="A44" t="str">
        <f>'(Raw) LensesGH'!A44</f>
        <v>Canon EF 50mm 1.4 USM schwarz</v>
      </c>
      <c r="B44" t="str">
        <f>'(Raw) LensesGH'!B44</f>
        <v>50mm</v>
      </c>
      <c r="C44" s="5">
        <f t="shared" si="3"/>
        <v>50</v>
      </c>
      <c r="D44" s="5">
        <f t="shared" si="4"/>
        <v>50</v>
      </c>
      <c r="E44" t="str">
        <f>'(Raw) LensesGH'!C44</f>
        <v>1:1.4</v>
      </c>
      <c r="F44" s="9">
        <f t="shared" si="5"/>
        <v>1.4</v>
      </c>
      <c r="G44" s="9">
        <f t="shared" si="6"/>
        <v>1.4</v>
      </c>
      <c r="H44" t="str">
        <f>'(Raw) LensesGH'!D44</f>
        <v>58mm</v>
      </c>
      <c r="I44" s="2">
        <f t="shared" si="7"/>
        <v>58</v>
      </c>
      <c r="J44" s="2" t="str">
        <f>'(Raw) LensesGH'!E44</f>
        <v>1:6.67</v>
      </c>
      <c r="K44" s="40">
        <f t="shared" si="8"/>
        <v>6.67</v>
      </c>
      <c r="L44" t="str">
        <f>'(Raw) LensesGH'!F44</f>
        <v>Canon EF</v>
      </c>
      <c r="M44" t="str">
        <f>'(Raw) LensesGH'!G44</f>
        <v>APS-C/ Kleinbild</v>
      </c>
      <c r="N44" t="str">
        <f>'(Raw) LensesGH'!H44</f>
        <v>290g</v>
      </c>
      <c r="O44" s="5">
        <f t="shared" si="0"/>
        <v>290</v>
      </c>
      <c r="P44" t="str">
        <f>'(Raw) LensesGH'!I44</f>
        <v>73.8 x 50.5mm</v>
      </c>
      <c r="Q44" s="39">
        <f t="shared" si="1"/>
        <v>73.8</v>
      </c>
      <c r="R44" s="39">
        <f t="shared" si="2"/>
        <v>50.5</v>
      </c>
    </row>
    <row r="45" spans="1:18" x14ac:dyDescent="0.25">
      <c r="A45" t="str">
        <f>'(Raw) LensesGH'!A45</f>
        <v>Canon EF 50mm 1.8 II schwarz</v>
      </c>
      <c r="B45" t="str">
        <f>'(Raw) LensesGH'!B45</f>
        <v>50mm</v>
      </c>
      <c r="C45" s="5">
        <f t="shared" si="3"/>
        <v>50</v>
      </c>
      <c r="D45" s="5">
        <f t="shared" si="4"/>
        <v>50</v>
      </c>
      <c r="E45" t="str">
        <f>'(Raw) LensesGH'!C45</f>
        <v>1:1.8</v>
      </c>
      <c r="F45" s="9">
        <f t="shared" si="5"/>
        <v>1.8</v>
      </c>
      <c r="G45" s="9">
        <f t="shared" si="6"/>
        <v>1.8</v>
      </c>
      <c r="H45" t="str">
        <f>'(Raw) LensesGH'!D45</f>
        <v>52mm</v>
      </c>
      <c r="I45" s="2">
        <f t="shared" si="7"/>
        <v>52</v>
      </c>
      <c r="J45" s="2" t="str">
        <f>'(Raw) LensesGH'!E45</f>
        <v>1:6.67</v>
      </c>
      <c r="K45" s="40">
        <f t="shared" si="8"/>
        <v>6.67</v>
      </c>
      <c r="L45" t="str">
        <f>'(Raw) LensesGH'!F45</f>
        <v>Canon EF</v>
      </c>
      <c r="M45" t="str">
        <f>'(Raw) LensesGH'!G45</f>
        <v>APS-C/ Kleinbild</v>
      </c>
      <c r="N45" t="str">
        <f>'(Raw) LensesGH'!H45</f>
        <v>130g</v>
      </c>
      <c r="O45" s="5">
        <f t="shared" si="0"/>
        <v>130</v>
      </c>
      <c r="P45" t="str">
        <f>'(Raw) LensesGH'!I45</f>
        <v>68.2 x 41mm</v>
      </c>
      <c r="Q45" s="39">
        <f t="shared" si="1"/>
        <v>68.2</v>
      </c>
      <c r="R45" s="39">
        <f t="shared" si="2"/>
        <v>41</v>
      </c>
    </row>
    <row r="46" spans="1:18" x14ac:dyDescent="0.25">
      <c r="A46" t="str">
        <f>'(Raw) LensesGH'!A46</f>
        <v>Canon EF 50mm 1.8 STM schwarz</v>
      </c>
      <c r="B46" t="str">
        <f>'(Raw) LensesGH'!B46</f>
        <v>50mm</v>
      </c>
      <c r="C46" s="5">
        <f t="shared" si="3"/>
        <v>50</v>
      </c>
      <c r="D46" s="5">
        <f t="shared" si="4"/>
        <v>50</v>
      </c>
      <c r="E46" t="str">
        <f>'(Raw) LensesGH'!C46</f>
        <v>1:1.8</v>
      </c>
      <c r="F46" s="9">
        <f t="shared" si="5"/>
        <v>1.8</v>
      </c>
      <c r="G46" s="9">
        <f t="shared" si="6"/>
        <v>1.8</v>
      </c>
      <c r="H46" t="str">
        <f>'(Raw) LensesGH'!D46</f>
        <v>49mm</v>
      </c>
      <c r="I46" s="2">
        <f t="shared" si="7"/>
        <v>49</v>
      </c>
      <c r="J46" s="2" t="str">
        <f>'(Raw) LensesGH'!E46</f>
        <v>1:4.76</v>
      </c>
      <c r="K46" s="40">
        <f t="shared" si="8"/>
        <v>4.76</v>
      </c>
      <c r="L46" t="str">
        <f>'(Raw) LensesGH'!F46</f>
        <v>Canon EF</v>
      </c>
      <c r="M46" t="str">
        <f>'(Raw) LensesGH'!G46</f>
        <v>APS-C/ Kleinbild</v>
      </c>
      <c r="N46" t="str">
        <f>'(Raw) LensesGH'!H46</f>
        <v>159g</v>
      </c>
      <c r="O46" s="5">
        <f t="shared" si="0"/>
        <v>159</v>
      </c>
      <c r="P46" t="str">
        <f>'(Raw) LensesGH'!I46</f>
        <v>69.2 x 39.3mm</v>
      </c>
      <c r="Q46" s="39">
        <f t="shared" si="1"/>
        <v>69.2</v>
      </c>
      <c r="R46" s="39">
        <f t="shared" si="2"/>
        <v>39.299999999999997</v>
      </c>
    </row>
    <row r="47" spans="1:18" x14ac:dyDescent="0.25">
      <c r="A47" t="str">
        <f>'(Raw) LensesGH'!A47</f>
        <v>Canon EF 50mm 2.5 Compact Makro schwarz</v>
      </c>
      <c r="B47" t="str">
        <f>'(Raw) LensesGH'!B47</f>
        <v>50mm</v>
      </c>
      <c r="C47" s="5">
        <f t="shared" si="3"/>
        <v>50</v>
      </c>
      <c r="D47" s="5">
        <f t="shared" si="4"/>
        <v>50</v>
      </c>
      <c r="E47" t="str">
        <f>'(Raw) LensesGH'!C47</f>
        <v>1:2.5</v>
      </c>
      <c r="F47" s="9">
        <f t="shared" si="5"/>
        <v>2.5</v>
      </c>
      <c r="G47" s="9">
        <f t="shared" si="6"/>
        <v>2.5</v>
      </c>
      <c r="H47" t="str">
        <f>'(Raw) LensesGH'!D47</f>
        <v>52mm</v>
      </c>
      <c r="I47" s="2">
        <f t="shared" si="7"/>
        <v>52</v>
      </c>
      <c r="J47" s="2" t="str">
        <f>'(Raw) LensesGH'!E47</f>
        <v>1:2.00</v>
      </c>
      <c r="K47" s="40">
        <f t="shared" si="8"/>
        <v>2</v>
      </c>
      <c r="L47" t="str">
        <f>'(Raw) LensesGH'!F47</f>
        <v>Canon EF</v>
      </c>
      <c r="M47" t="str">
        <f>'(Raw) LensesGH'!G47</f>
        <v>APS-C/ Kleinbild</v>
      </c>
      <c r="N47" t="str">
        <f>'(Raw) LensesGH'!H47</f>
        <v>280g</v>
      </c>
      <c r="O47" s="5">
        <f t="shared" si="0"/>
        <v>280</v>
      </c>
      <c r="P47" t="str">
        <f>'(Raw) LensesGH'!I47</f>
        <v>67.6 x 63mm</v>
      </c>
      <c r="Q47" s="39">
        <f t="shared" si="1"/>
        <v>67.599999999999994</v>
      </c>
      <c r="R47" s="39">
        <f t="shared" si="2"/>
        <v>63</v>
      </c>
    </row>
    <row r="48" spans="1:18" x14ac:dyDescent="0.25">
      <c r="A48" t="str">
        <f>'(Raw) LensesGH'!A48</f>
        <v>Canon EF 600mm 4.0 L IS II USM weiß</v>
      </c>
      <c r="B48" t="str">
        <f>'(Raw) LensesGH'!B48</f>
        <v>600mm</v>
      </c>
      <c r="C48" s="5">
        <f t="shared" si="3"/>
        <v>600</v>
      </c>
      <c r="D48" s="5">
        <f t="shared" si="4"/>
        <v>600</v>
      </c>
      <c r="E48" t="str">
        <f>'(Raw) LensesGH'!C48</f>
        <v>1:4.0</v>
      </c>
      <c r="F48" s="9">
        <f t="shared" si="5"/>
        <v>4</v>
      </c>
      <c r="G48" s="9">
        <f t="shared" si="6"/>
        <v>4</v>
      </c>
      <c r="H48" t="str">
        <f>'(Raw) LensesGH'!D48</f>
        <v>52mm</v>
      </c>
      <c r="I48" s="2">
        <f t="shared" si="7"/>
        <v>52</v>
      </c>
      <c r="J48" s="2" t="str">
        <f>'(Raw) LensesGH'!E48</f>
        <v>1:6.67</v>
      </c>
      <c r="K48" s="40">
        <f t="shared" si="8"/>
        <v>6.67</v>
      </c>
      <c r="L48" t="str">
        <f>'(Raw) LensesGH'!F48</f>
        <v>Canon EF</v>
      </c>
      <c r="M48" t="str">
        <f>'(Raw) LensesGH'!G48</f>
        <v>APS-C/ Kleinbild</v>
      </c>
      <c r="N48" t="str">
        <f>'(Raw) LensesGH'!H48</f>
        <v>3920g</v>
      </c>
      <c r="O48" s="5">
        <f t="shared" si="0"/>
        <v>3920</v>
      </c>
      <c r="P48" t="str">
        <f>'(Raw) LensesGH'!I48</f>
        <v>168 x 448mm</v>
      </c>
      <c r="Q48" s="39">
        <f t="shared" si="1"/>
        <v>168</v>
      </c>
      <c r="R48" s="39">
        <f t="shared" si="2"/>
        <v>448</v>
      </c>
    </row>
    <row r="49" spans="1:18" x14ac:dyDescent="0.25">
      <c r="A49" t="str">
        <f>'(Raw) LensesGH'!A49</f>
        <v>Canon EF 70-200mm 2.8 L IS II USM weiß</v>
      </c>
      <c r="B49" t="str">
        <f>'(Raw) LensesGH'!B49</f>
        <v>70 - 200mm</v>
      </c>
      <c r="C49" s="5">
        <f t="shared" si="3"/>
        <v>70</v>
      </c>
      <c r="D49" s="5">
        <f t="shared" si="4"/>
        <v>200</v>
      </c>
      <c r="E49" t="str">
        <f>'(Raw) LensesGH'!C49</f>
        <v>1:2.8</v>
      </c>
      <c r="F49" s="9">
        <f t="shared" si="5"/>
        <v>2.8</v>
      </c>
      <c r="G49" s="9">
        <f t="shared" si="6"/>
        <v>2.8</v>
      </c>
      <c r="H49" t="str">
        <f>'(Raw) LensesGH'!D49</f>
        <v>77mm</v>
      </c>
      <c r="I49" s="2">
        <f t="shared" si="7"/>
        <v>77</v>
      </c>
      <c r="J49" s="2" t="str">
        <f>'(Raw) LensesGH'!E49</f>
        <v>1:4.76</v>
      </c>
      <c r="K49" s="40">
        <f t="shared" si="8"/>
        <v>4.76</v>
      </c>
      <c r="L49" t="str">
        <f>'(Raw) LensesGH'!F49</f>
        <v>Canon EF</v>
      </c>
      <c r="M49" t="str">
        <f>'(Raw) LensesGH'!G49</f>
        <v>APS-C/ Kleinbild</v>
      </c>
      <c r="N49" t="str">
        <f>'(Raw) LensesGH'!H49</f>
        <v>1490g</v>
      </c>
      <c r="O49" s="5">
        <f t="shared" si="0"/>
        <v>1490</v>
      </c>
      <c r="P49" t="str">
        <f>'(Raw) LensesGH'!I49</f>
        <v>88.8 x 199mm</v>
      </c>
      <c r="Q49" s="39">
        <f t="shared" si="1"/>
        <v>88.8</v>
      </c>
      <c r="R49" s="39">
        <f t="shared" si="2"/>
        <v>199</v>
      </c>
    </row>
    <row r="50" spans="1:18" x14ac:dyDescent="0.25">
      <c r="A50" t="str">
        <f>'(Raw) LensesGH'!A50</f>
        <v>Canon EF 70-200mm 2.8 L USM weiß</v>
      </c>
      <c r="B50" t="str">
        <f>'(Raw) LensesGH'!B50</f>
        <v>70 - 200mm</v>
      </c>
      <c r="C50" s="5">
        <f t="shared" si="3"/>
        <v>70</v>
      </c>
      <c r="D50" s="5">
        <f t="shared" si="4"/>
        <v>200</v>
      </c>
      <c r="E50" t="str">
        <f>'(Raw) LensesGH'!C50</f>
        <v>1:2.8</v>
      </c>
      <c r="F50" s="9">
        <f t="shared" si="5"/>
        <v>2.8</v>
      </c>
      <c r="G50" s="9">
        <f t="shared" si="6"/>
        <v>2.8</v>
      </c>
      <c r="H50" t="str">
        <f>'(Raw) LensesGH'!D50</f>
        <v>77mm</v>
      </c>
      <c r="I50" s="2">
        <f t="shared" si="7"/>
        <v>77</v>
      </c>
      <c r="J50" s="2" t="str">
        <f>'(Raw) LensesGH'!E50</f>
        <v>1:6.25</v>
      </c>
      <c r="K50" s="40">
        <f t="shared" si="8"/>
        <v>6.25</v>
      </c>
      <c r="L50" t="str">
        <f>'(Raw) LensesGH'!F50</f>
        <v>Canon EF</v>
      </c>
      <c r="M50" t="str">
        <f>'(Raw) LensesGH'!G50</f>
        <v>APS-C/ Kleinbild</v>
      </c>
      <c r="N50" t="str">
        <f>'(Raw) LensesGH'!H50</f>
        <v>1310g</v>
      </c>
      <c r="O50" s="5">
        <f t="shared" si="0"/>
        <v>1310</v>
      </c>
      <c r="P50" t="str">
        <f>'(Raw) LensesGH'!I50</f>
        <v>84.6 x 193.6mm</v>
      </c>
      <c r="Q50" s="39">
        <f t="shared" si="1"/>
        <v>84.6</v>
      </c>
      <c r="R50" s="39">
        <f t="shared" si="2"/>
        <v>193.6</v>
      </c>
    </row>
    <row r="51" spans="1:18" x14ac:dyDescent="0.25">
      <c r="A51" t="str">
        <f>'(Raw) LensesGH'!A51</f>
        <v>Canon EF 70-200mm 4.0 L IS USM weiß</v>
      </c>
      <c r="B51" t="str">
        <f>'(Raw) LensesGH'!B51</f>
        <v>70 - 200mm</v>
      </c>
      <c r="C51" s="5">
        <f t="shared" si="3"/>
        <v>70</v>
      </c>
      <c r="D51" s="5">
        <f t="shared" si="4"/>
        <v>200</v>
      </c>
      <c r="E51" t="str">
        <f>'(Raw) LensesGH'!C51</f>
        <v>1:4.0</v>
      </c>
      <c r="F51" s="9">
        <f t="shared" si="5"/>
        <v>4</v>
      </c>
      <c r="G51" s="9">
        <f t="shared" si="6"/>
        <v>4</v>
      </c>
      <c r="H51" t="str">
        <f>'(Raw) LensesGH'!D51</f>
        <v>67mm</v>
      </c>
      <c r="I51" s="2">
        <f t="shared" si="7"/>
        <v>67</v>
      </c>
      <c r="J51" s="2" t="str">
        <f>'(Raw) LensesGH'!E51</f>
        <v>1:4.80</v>
      </c>
      <c r="K51" s="40">
        <f t="shared" si="8"/>
        <v>4.8</v>
      </c>
      <c r="L51" t="str">
        <f>'(Raw) LensesGH'!F51</f>
        <v>Canon EF</v>
      </c>
      <c r="M51" t="str">
        <f>'(Raw) LensesGH'!G51</f>
        <v>APS-C/ Kleinbild</v>
      </c>
      <c r="N51" t="str">
        <f>'(Raw) LensesGH'!H51</f>
        <v>760g</v>
      </c>
      <c r="O51" s="5">
        <f t="shared" si="0"/>
        <v>760</v>
      </c>
      <c r="P51" t="str">
        <f>'(Raw) LensesGH'!I51</f>
        <v>76 x 172mm</v>
      </c>
      <c r="Q51" s="39">
        <f t="shared" si="1"/>
        <v>76</v>
      </c>
      <c r="R51" s="39">
        <f t="shared" si="2"/>
        <v>172</v>
      </c>
    </row>
    <row r="52" spans="1:18" x14ac:dyDescent="0.25">
      <c r="A52" t="str">
        <f>'(Raw) LensesGH'!A52</f>
        <v>Canon EF 70-200mm 4.0 L USM weiß</v>
      </c>
      <c r="B52" t="str">
        <f>'(Raw) LensesGH'!B52</f>
        <v>70 - 200mm</v>
      </c>
      <c r="C52" s="5">
        <f t="shared" si="3"/>
        <v>70</v>
      </c>
      <c r="D52" s="5">
        <f t="shared" si="4"/>
        <v>200</v>
      </c>
      <c r="E52" t="str">
        <f>'(Raw) LensesGH'!C52</f>
        <v>1:4.0</v>
      </c>
      <c r="F52" s="9">
        <f t="shared" si="5"/>
        <v>4</v>
      </c>
      <c r="G52" s="9">
        <f t="shared" si="6"/>
        <v>4</v>
      </c>
      <c r="H52" t="str">
        <f>'(Raw) LensesGH'!D52</f>
        <v>67mm</v>
      </c>
      <c r="I52" s="2">
        <f t="shared" si="7"/>
        <v>67</v>
      </c>
      <c r="J52" s="2" t="str">
        <f>'(Raw) LensesGH'!E52</f>
        <v>1:4.76</v>
      </c>
      <c r="K52" s="40">
        <f t="shared" si="8"/>
        <v>4.76</v>
      </c>
      <c r="L52" t="str">
        <f>'(Raw) LensesGH'!F52</f>
        <v>Canon EF</v>
      </c>
      <c r="M52" t="str">
        <f>'(Raw) LensesGH'!G52</f>
        <v>APS-C/ Kleinbild</v>
      </c>
      <c r="N52" t="str">
        <f>'(Raw) LensesGH'!H52</f>
        <v>705g</v>
      </c>
      <c r="O52" s="5">
        <f t="shared" si="0"/>
        <v>705</v>
      </c>
      <c r="P52" t="str">
        <f>'(Raw) LensesGH'!I52</f>
        <v>76 x 172mm</v>
      </c>
      <c r="Q52" s="39">
        <f t="shared" si="1"/>
        <v>76</v>
      </c>
      <c r="R52" s="39">
        <f t="shared" si="2"/>
        <v>172</v>
      </c>
    </row>
    <row r="53" spans="1:18" x14ac:dyDescent="0.25">
      <c r="A53" t="str">
        <f>'(Raw) LensesGH'!A53</f>
        <v>Canon EF 70-300mm 4.0-5.6 IS II USM schwarz</v>
      </c>
      <c r="B53" t="str">
        <f>'(Raw) LensesGH'!B53</f>
        <v>70 - 300mm</v>
      </c>
      <c r="C53" s="5">
        <f t="shared" si="3"/>
        <v>70</v>
      </c>
      <c r="D53" s="5">
        <f t="shared" si="4"/>
        <v>300</v>
      </c>
      <c r="E53" t="str">
        <f>'(Raw) LensesGH'!C53</f>
        <v>1:4.0-1:5.6</v>
      </c>
      <c r="F53" s="9">
        <f t="shared" si="5"/>
        <v>4</v>
      </c>
      <c r="G53" s="9">
        <f t="shared" si="6"/>
        <v>4</v>
      </c>
      <c r="H53" t="str">
        <f>'(Raw) LensesGH'!D53</f>
        <v>67mm</v>
      </c>
      <c r="I53" s="2">
        <f t="shared" si="7"/>
        <v>67</v>
      </c>
      <c r="J53" s="2" t="str">
        <f>'(Raw) LensesGH'!E53</f>
        <v>1:4.00</v>
      </c>
      <c r="K53" s="40">
        <f t="shared" si="8"/>
        <v>4</v>
      </c>
      <c r="L53" t="str">
        <f>'(Raw) LensesGH'!F53</f>
        <v>Canon EF</v>
      </c>
      <c r="M53" t="str">
        <f>'(Raw) LensesGH'!G53</f>
        <v>APS-C/ Kleinbild</v>
      </c>
      <c r="N53" t="str">
        <f>'(Raw) LensesGH'!H53</f>
        <v>710g</v>
      </c>
      <c r="O53" s="5">
        <f t="shared" si="0"/>
        <v>710</v>
      </c>
      <c r="P53" t="str">
        <f>'(Raw) LensesGH'!I53</f>
        <v>80 x 145.5mm</v>
      </c>
      <c r="Q53" s="39">
        <f t="shared" si="1"/>
        <v>80</v>
      </c>
      <c r="R53" s="39">
        <f t="shared" si="2"/>
        <v>145.5</v>
      </c>
    </row>
    <row r="54" spans="1:18" x14ac:dyDescent="0.25">
      <c r="A54" t="str">
        <f>'(Raw) LensesGH'!A54</f>
        <v>Canon EF 70-300mm 4.0-5.6 IS USM schwarz</v>
      </c>
      <c r="B54" t="str">
        <f>'(Raw) LensesGH'!B54</f>
        <v>70 - 300mm</v>
      </c>
      <c r="C54" s="5">
        <f t="shared" si="3"/>
        <v>70</v>
      </c>
      <c r="D54" s="5">
        <f t="shared" si="4"/>
        <v>300</v>
      </c>
      <c r="E54" t="str">
        <f>'(Raw) LensesGH'!C54</f>
        <v>1:4.0-1:5.6</v>
      </c>
      <c r="F54" s="9">
        <f t="shared" si="5"/>
        <v>4</v>
      </c>
      <c r="G54" s="9">
        <f t="shared" si="6"/>
        <v>4</v>
      </c>
      <c r="H54" t="str">
        <f>'(Raw) LensesGH'!D54</f>
        <v>58mm</v>
      </c>
      <c r="I54" s="2">
        <f t="shared" si="7"/>
        <v>58</v>
      </c>
      <c r="J54" s="2" t="str">
        <f>'(Raw) LensesGH'!E54</f>
        <v>1:3.80</v>
      </c>
      <c r="K54" s="40">
        <f t="shared" si="8"/>
        <v>3.8</v>
      </c>
      <c r="L54" t="str">
        <f>'(Raw) LensesGH'!F54</f>
        <v>Canon EF</v>
      </c>
      <c r="M54" t="str">
        <f>'(Raw) LensesGH'!G54</f>
        <v>APS-C/ Kleinbild</v>
      </c>
      <c r="N54" t="str">
        <f>'(Raw) LensesGH'!H54</f>
        <v>630g</v>
      </c>
      <c r="O54" s="5">
        <f t="shared" si="0"/>
        <v>630</v>
      </c>
      <c r="P54" t="str">
        <f>'(Raw) LensesGH'!I54</f>
        <v>76.5 x 142.8mm</v>
      </c>
      <c r="Q54" s="39">
        <f t="shared" si="1"/>
        <v>76.5</v>
      </c>
      <c r="R54" s="39">
        <f t="shared" si="2"/>
        <v>142.80000000000001</v>
      </c>
    </row>
    <row r="55" spans="1:18" x14ac:dyDescent="0.25">
      <c r="A55" t="str">
        <f>'(Raw) LensesGH'!A55</f>
        <v>Canon EF 70-300mm 4.0-5.6 L IS USM weiß</v>
      </c>
      <c r="B55" t="str">
        <f>'(Raw) LensesGH'!B55</f>
        <v>70 - 300mm</v>
      </c>
      <c r="C55" s="5">
        <f t="shared" si="3"/>
        <v>70</v>
      </c>
      <c r="D55" s="5">
        <f t="shared" si="4"/>
        <v>300</v>
      </c>
      <c r="E55" t="str">
        <f>'(Raw) LensesGH'!C55</f>
        <v>1:4.0-1:5.6</v>
      </c>
      <c r="F55" s="9">
        <f t="shared" si="5"/>
        <v>4</v>
      </c>
      <c r="G55" s="9">
        <f t="shared" si="6"/>
        <v>4</v>
      </c>
      <c r="H55" t="str">
        <f>'(Raw) LensesGH'!D55</f>
        <v>67mm</v>
      </c>
      <c r="I55" s="2">
        <f t="shared" si="7"/>
        <v>67</v>
      </c>
      <c r="J55" s="2" t="str">
        <f>'(Raw) LensesGH'!E55</f>
        <v>1:4.76</v>
      </c>
      <c r="K55" s="40">
        <f t="shared" si="8"/>
        <v>4.76</v>
      </c>
      <c r="L55" t="str">
        <f>'(Raw) LensesGH'!F55</f>
        <v>Canon EF</v>
      </c>
      <c r="M55" t="str">
        <f>'(Raw) LensesGH'!G55</f>
        <v>APS-C/ Kleinbild</v>
      </c>
      <c r="N55" t="str">
        <f>'(Raw) LensesGH'!H55</f>
        <v>1050g</v>
      </c>
      <c r="O55" s="5">
        <f t="shared" si="0"/>
        <v>1050</v>
      </c>
      <c r="P55" t="str">
        <f>'(Raw) LensesGH'!I55</f>
        <v>89 x 143mm</v>
      </c>
      <c r="Q55" s="39">
        <f t="shared" si="1"/>
        <v>89</v>
      </c>
      <c r="R55" s="39">
        <f t="shared" si="2"/>
        <v>143</v>
      </c>
    </row>
    <row r="56" spans="1:18" x14ac:dyDescent="0.25">
      <c r="A56" t="str">
        <f>'(Raw) LensesGH'!A56</f>
        <v>Canon EF 70-300mm 4.5-5.6 DO IS USM schwarz</v>
      </c>
      <c r="B56" t="str">
        <f>'(Raw) LensesGH'!B56</f>
        <v>70 - 300mm</v>
      </c>
      <c r="C56" s="5">
        <f t="shared" si="3"/>
        <v>70</v>
      </c>
      <c r="D56" s="5">
        <f t="shared" si="4"/>
        <v>300</v>
      </c>
      <c r="E56" t="str">
        <f>'(Raw) LensesGH'!C56</f>
        <v>1:4.5-1:5.6</v>
      </c>
      <c r="F56" s="9">
        <f t="shared" si="5"/>
        <v>4.5</v>
      </c>
      <c r="G56" s="9">
        <f t="shared" si="6"/>
        <v>4.5</v>
      </c>
      <c r="H56" t="str">
        <f>'(Raw) LensesGH'!D56</f>
        <v>58mm</v>
      </c>
      <c r="I56" s="2">
        <f t="shared" si="7"/>
        <v>58</v>
      </c>
      <c r="J56" s="2" t="str">
        <f>'(Raw) LensesGH'!E56</f>
        <v>1:5.26</v>
      </c>
      <c r="K56" s="40">
        <f t="shared" si="8"/>
        <v>5.26</v>
      </c>
      <c r="L56" t="str">
        <f>'(Raw) LensesGH'!F56</f>
        <v>Canon EF</v>
      </c>
      <c r="M56" t="str">
        <f>'(Raw) LensesGH'!G56</f>
        <v>APS-C/ Kleinbild</v>
      </c>
      <c r="N56" t="str">
        <f>'(Raw) LensesGH'!H56</f>
        <v>720g</v>
      </c>
      <c r="O56" s="5">
        <f t="shared" si="0"/>
        <v>720</v>
      </c>
      <c r="P56" t="str">
        <f>'(Raw) LensesGH'!I56</f>
        <v>82.4 x 99.9mm</v>
      </c>
      <c r="Q56" s="39">
        <f t="shared" si="1"/>
        <v>82.4</v>
      </c>
      <c r="R56" s="39">
        <f t="shared" si="2"/>
        <v>99.9</v>
      </c>
    </row>
    <row r="57" spans="1:18" x14ac:dyDescent="0.25">
      <c r="A57" t="str">
        <f>'(Raw) LensesGH'!A57</f>
        <v>Canon EF 75-300mm 4.0-5.6 III schwarz</v>
      </c>
      <c r="B57" t="str">
        <f>'(Raw) LensesGH'!B57</f>
        <v>75 - 300mm</v>
      </c>
      <c r="C57" s="5">
        <f t="shared" si="3"/>
        <v>75</v>
      </c>
      <c r="D57" s="5">
        <f t="shared" si="4"/>
        <v>300</v>
      </c>
      <c r="E57" t="str">
        <f>'(Raw) LensesGH'!C57</f>
        <v>1:4.0-1:5.6</v>
      </c>
      <c r="F57" s="9">
        <f t="shared" si="5"/>
        <v>4</v>
      </c>
      <c r="G57" s="9">
        <f t="shared" si="6"/>
        <v>4</v>
      </c>
      <c r="H57" t="str">
        <f>'(Raw) LensesGH'!D57</f>
        <v>58mm</v>
      </c>
      <c r="I57" s="2">
        <f t="shared" si="7"/>
        <v>58</v>
      </c>
      <c r="J57" s="2" t="str">
        <f>'(Raw) LensesGH'!E57</f>
        <v>1:4.00</v>
      </c>
      <c r="K57" s="40">
        <f t="shared" si="8"/>
        <v>4</v>
      </c>
      <c r="L57" t="str">
        <f>'(Raw) LensesGH'!F57</f>
        <v>Canon EF</v>
      </c>
      <c r="M57" t="str">
        <f>'(Raw) LensesGH'!G57</f>
        <v>APS-C/ Kleinbild</v>
      </c>
      <c r="N57" t="str">
        <f>'(Raw) LensesGH'!H57</f>
        <v>480g</v>
      </c>
      <c r="O57" s="5">
        <f t="shared" si="0"/>
        <v>480</v>
      </c>
      <c r="P57" t="str">
        <f>'(Raw) LensesGH'!I57</f>
        <v>71 x 122mm</v>
      </c>
      <c r="Q57" s="39">
        <f t="shared" si="1"/>
        <v>71</v>
      </c>
      <c r="R57" s="39">
        <f t="shared" si="2"/>
        <v>122</v>
      </c>
    </row>
    <row r="58" spans="1:18" x14ac:dyDescent="0.25">
      <c r="A58" t="str">
        <f>'(Raw) LensesGH'!A58</f>
        <v>Canon EF 75-300mm 4.0-5.6 III USM schwarz</v>
      </c>
      <c r="B58" t="str">
        <f>'(Raw) LensesGH'!B58</f>
        <v>75 - 300mm</v>
      </c>
      <c r="C58" s="5">
        <f t="shared" si="3"/>
        <v>75</v>
      </c>
      <c r="D58" s="5">
        <f t="shared" si="4"/>
        <v>300</v>
      </c>
      <c r="E58" t="str">
        <f>'(Raw) LensesGH'!C58</f>
        <v>1:4.0-1:5.6</v>
      </c>
      <c r="F58" s="9">
        <f t="shared" si="5"/>
        <v>4</v>
      </c>
      <c r="G58" s="9">
        <f t="shared" si="6"/>
        <v>4</v>
      </c>
      <c r="H58" t="str">
        <f>'(Raw) LensesGH'!D58</f>
        <v>58mm</v>
      </c>
      <c r="I58" s="2">
        <f t="shared" si="7"/>
        <v>58</v>
      </c>
      <c r="J58" s="2" t="str">
        <f>'(Raw) LensesGH'!E58</f>
        <v>1:4.00</v>
      </c>
      <c r="K58" s="40">
        <f t="shared" si="8"/>
        <v>4</v>
      </c>
      <c r="L58" t="str">
        <f>'(Raw) LensesGH'!F58</f>
        <v>Canon EF</v>
      </c>
      <c r="M58" t="str">
        <f>'(Raw) LensesGH'!G58</f>
        <v>APS-C/ Kleinbild</v>
      </c>
      <c r="N58" t="str">
        <f>'(Raw) LensesGH'!H58</f>
        <v>480g</v>
      </c>
      <c r="O58" s="5">
        <f t="shared" si="0"/>
        <v>480</v>
      </c>
      <c r="P58" t="str">
        <f>'(Raw) LensesGH'!I58</f>
        <v>71 x 122mm</v>
      </c>
      <c r="Q58" s="39">
        <f t="shared" si="1"/>
        <v>71</v>
      </c>
      <c r="R58" s="39">
        <f t="shared" si="2"/>
        <v>122</v>
      </c>
    </row>
    <row r="59" spans="1:18" x14ac:dyDescent="0.25">
      <c r="A59" t="str">
        <f>'(Raw) LensesGH'!A59</f>
        <v>Canon EF 800mm 5.6 L IS USM weiß</v>
      </c>
      <c r="B59" t="str">
        <f>'(Raw) LensesGH'!B59</f>
        <v>800mm</v>
      </c>
      <c r="C59" s="5">
        <f t="shared" si="3"/>
        <v>800</v>
      </c>
      <c r="D59" s="5">
        <f t="shared" si="4"/>
        <v>800</v>
      </c>
      <c r="E59" t="str">
        <f>'(Raw) LensesGH'!C59</f>
        <v>1:5.6</v>
      </c>
      <c r="F59" s="9">
        <f t="shared" si="5"/>
        <v>5.6</v>
      </c>
      <c r="G59" s="9">
        <f t="shared" si="6"/>
        <v>5.6</v>
      </c>
      <c r="H59" t="str">
        <f>'(Raw) LensesGH'!D59</f>
        <v>52mm</v>
      </c>
      <c r="I59" s="2">
        <f t="shared" si="7"/>
        <v>52</v>
      </c>
      <c r="J59" s="2" t="str">
        <f>'(Raw) LensesGH'!E59</f>
        <v>1:7.14</v>
      </c>
      <c r="K59" s="40">
        <f t="shared" si="8"/>
        <v>7.14</v>
      </c>
      <c r="L59" t="str">
        <f>'(Raw) LensesGH'!F59</f>
        <v>Canon EF</v>
      </c>
      <c r="M59" t="str">
        <f>'(Raw) LensesGH'!G59</f>
        <v>APS-C/ Kleinbild</v>
      </c>
      <c r="N59" t="str">
        <f>'(Raw) LensesGH'!H59</f>
        <v>4500g</v>
      </c>
      <c r="O59" s="5">
        <f t="shared" si="0"/>
        <v>4500</v>
      </c>
      <c r="P59" t="str">
        <f>'(Raw) LensesGH'!I59</f>
        <v>163 x 461mm</v>
      </c>
      <c r="Q59" s="39">
        <f t="shared" si="1"/>
        <v>163</v>
      </c>
      <c r="R59" s="39">
        <f t="shared" si="2"/>
        <v>461</v>
      </c>
    </row>
    <row r="60" spans="1:18" x14ac:dyDescent="0.25">
      <c r="A60" t="str">
        <f>'(Raw) LensesGH'!A60</f>
        <v>Canon EF 8-15mm 4.0 L Fisheye schwarz</v>
      </c>
      <c r="B60" t="str">
        <f>'(Raw) LensesGH'!B60</f>
        <v>8 - 15mm</v>
      </c>
      <c r="C60" s="5">
        <f t="shared" si="3"/>
        <v>8</v>
      </c>
      <c r="D60" s="5">
        <f t="shared" si="4"/>
        <v>15</v>
      </c>
      <c r="E60" t="str">
        <f>'(Raw) LensesGH'!C60</f>
        <v>1:4.0</v>
      </c>
      <c r="F60" s="9">
        <f t="shared" si="5"/>
        <v>4</v>
      </c>
      <c r="G60" s="9">
        <f t="shared" si="6"/>
        <v>4</v>
      </c>
      <c r="H60">
        <f>'(Raw) LensesGH'!D60</f>
        <v>0</v>
      </c>
      <c r="I60" s="2">
        <f t="shared" si="7"/>
        <v>0</v>
      </c>
      <c r="J60" s="2" t="str">
        <f>'(Raw) LensesGH'!E60</f>
        <v>1:2.94</v>
      </c>
      <c r="K60" s="40">
        <f t="shared" si="8"/>
        <v>2.94</v>
      </c>
      <c r="L60" t="str">
        <f>'(Raw) LensesGH'!F60</f>
        <v>Canon EF</v>
      </c>
      <c r="M60" t="str">
        <f>'(Raw) LensesGH'!G60</f>
        <v>APS-C/ Kleinbild</v>
      </c>
      <c r="N60" t="str">
        <f>'(Raw) LensesGH'!H60</f>
        <v>540g</v>
      </c>
      <c r="O60" s="5">
        <f t="shared" si="0"/>
        <v>540</v>
      </c>
      <c r="P60" t="str">
        <f>'(Raw) LensesGH'!I60</f>
        <v>78.5 x 83mm</v>
      </c>
      <c r="Q60" s="39">
        <f t="shared" si="1"/>
        <v>78.5</v>
      </c>
      <c r="R60" s="39">
        <f t="shared" si="2"/>
        <v>83</v>
      </c>
    </row>
    <row r="61" spans="1:18" x14ac:dyDescent="0.25">
      <c r="A61" t="str">
        <f>'(Raw) LensesGH'!A61</f>
        <v>Canon EF 85mm 1.2 II L USM schwarz</v>
      </c>
      <c r="B61" t="str">
        <f>'(Raw) LensesGH'!B61</f>
        <v>85mm</v>
      </c>
      <c r="C61" s="5">
        <f t="shared" si="3"/>
        <v>85</v>
      </c>
      <c r="D61" s="5">
        <f t="shared" si="4"/>
        <v>85</v>
      </c>
      <c r="E61" t="str">
        <f>'(Raw) LensesGH'!C61</f>
        <v>1:1.2</v>
      </c>
      <c r="F61" s="9">
        <f t="shared" si="5"/>
        <v>1.2</v>
      </c>
      <c r="G61" s="9">
        <f t="shared" si="6"/>
        <v>1.2</v>
      </c>
      <c r="H61" t="str">
        <f>'(Raw) LensesGH'!D61</f>
        <v>72mm</v>
      </c>
      <c r="I61" s="2">
        <f t="shared" si="7"/>
        <v>72</v>
      </c>
      <c r="J61" s="2" t="str">
        <f>'(Raw) LensesGH'!E61</f>
        <v>1:9.09</v>
      </c>
      <c r="K61" s="40">
        <f t="shared" si="8"/>
        <v>9.09</v>
      </c>
      <c r="L61" t="str">
        <f>'(Raw) LensesGH'!F61</f>
        <v>Canon EF</v>
      </c>
      <c r="M61" t="str">
        <f>'(Raw) LensesGH'!G61</f>
        <v>APS-C/ Kleinbild</v>
      </c>
      <c r="N61" t="str">
        <f>'(Raw) LensesGH'!H61</f>
        <v>1020g</v>
      </c>
      <c r="O61" s="5">
        <f t="shared" si="0"/>
        <v>1020</v>
      </c>
      <c r="P61" t="str">
        <f>'(Raw) LensesGH'!I61</f>
        <v>91.5 x 84mm</v>
      </c>
      <c r="Q61" s="39">
        <f t="shared" si="1"/>
        <v>91.5</v>
      </c>
      <c r="R61" s="39">
        <f t="shared" si="2"/>
        <v>84</v>
      </c>
    </row>
    <row r="62" spans="1:18" x14ac:dyDescent="0.25">
      <c r="A62" t="str">
        <f>'(Raw) LensesGH'!A62</f>
        <v>Canon EF 85mm 1.4 L IS USM schwarz</v>
      </c>
      <c r="B62" t="str">
        <f>'(Raw) LensesGH'!B62</f>
        <v>85mm</v>
      </c>
      <c r="C62" s="5">
        <f t="shared" si="3"/>
        <v>85</v>
      </c>
      <c r="D62" s="5">
        <f t="shared" si="4"/>
        <v>85</v>
      </c>
      <c r="E62" t="str">
        <f>'(Raw) LensesGH'!C62</f>
        <v>1:1.4</v>
      </c>
      <c r="F62" s="9">
        <f t="shared" si="5"/>
        <v>1.4</v>
      </c>
      <c r="G62" s="9">
        <f t="shared" si="6"/>
        <v>1.4</v>
      </c>
      <c r="H62" t="str">
        <f>'(Raw) LensesGH'!D62</f>
        <v>77mm</v>
      </c>
      <c r="I62" s="2">
        <f t="shared" si="7"/>
        <v>77</v>
      </c>
      <c r="J62" s="2" t="str">
        <f>'(Raw) LensesGH'!E62</f>
        <v>1:8.33</v>
      </c>
      <c r="K62" s="40">
        <f t="shared" si="8"/>
        <v>8.33</v>
      </c>
      <c r="L62" t="str">
        <f>'(Raw) LensesGH'!F62</f>
        <v>Canon EF</v>
      </c>
      <c r="M62" t="str">
        <f>'(Raw) LensesGH'!G62</f>
        <v>APS-C/ Kleinbild</v>
      </c>
      <c r="N62" t="str">
        <f>'(Raw) LensesGH'!H62</f>
        <v>960g</v>
      </c>
      <c r="O62" s="5">
        <f t="shared" si="0"/>
        <v>960</v>
      </c>
      <c r="P62" t="str">
        <f>'(Raw) LensesGH'!I62</f>
        <v>88.6 x 105.4mm</v>
      </c>
      <c r="Q62" s="39">
        <f t="shared" si="1"/>
        <v>88.6</v>
      </c>
      <c r="R62" s="39">
        <f t="shared" si="2"/>
        <v>105.4</v>
      </c>
    </row>
    <row r="63" spans="1:18" x14ac:dyDescent="0.25">
      <c r="A63" t="str">
        <f>'(Raw) LensesGH'!A63</f>
        <v>Canon EF 85mm 1.8 USM schwarz</v>
      </c>
      <c r="B63" t="str">
        <f>'(Raw) LensesGH'!B63</f>
        <v>85mm</v>
      </c>
      <c r="C63" s="5">
        <f t="shared" si="3"/>
        <v>85</v>
      </c>
      <c r="D63" s="5">
        <f t="shared" si="4"/>
        <v>85</v>
      </c>
      <c r="E63" t="str">
        <f>'(Raw) LensesGH'!C63</f>
        <v>1:1.8</v>
      </c>
      <c r="F63" s="9">
        <f t="shared" si="5"/>
        <v>1.8</v>
      </c>
      <c r="G63" s="9">
        <f t="shared" si="6"/>
        <v>1.8</v>
      </c>
      <c r="H63" t="str">
        <f>'(Raw) LensesGH'!D63</f>
        <v>58mm</v>
      </c>
      <c r="I63" s="2">
        <f t="shared" si="7"/>
        <v>58</v>
      </c>
      <c r="J63" s="2" t="str">
        <f>'(Raw) LensesGH'!E63</f>
        <v>1:7.69</v>
      </c>
      <c r="K63" s="40">
        <f t="shared" si="8"/>
        <v>7.69</v>
      </c>
      <c r="L63" t="str">
        <f>'(Raw) LensesGH'!F63</f>
        <v>Canon EF</v>
      </c>
      <c r="M63" t="str">
        <f>'(Raw) LensesGH'!G63</f>
        <v>APS-C/ Kleinbild</v>
      </c>
      <c r="N63" t="str">
        <f>'(Raw) LensesGH'!H63</f>
        <v>425g</v>
      </c>
      <c r="O63" s="5">
        <f t="shared" si="0"/>
        <v>425</v>
      </c>
      <c r="P63" t="str">
        <f>'(Raw) LensesGH'!I63</f>
        <v>75 x 71.5mm</v>
      </c>
      <c r="Q63" s="39">
        <f t="shared" si="1"/>
        <v>75</v>
      </c>
      <c r="R63" s="39">
        <f t="shared" si="2"/>
        <v>71.5</v>
      </c>
    </row>
    <row r="64" spans="1:18" x14ac:dyDescent="0.25">
      <c r="A64" t="str">
        <f>'(Raw) LensesGH'!A64</f>
        <v>Canon EF-M 11-22mm 4.0-5.6 IS STM schwarz</v>
      </c>
      <c r="B64" t="str">
        <f>'(Raw) LensesGH'!B64</f>
        <v>11 - 22mm</v>
      </c>
      <c r="C64" s="5">
        <f t="shared" si="3"/>
        <v>11</v>
      </c>
      <c r="D64" s="5">
        <f t="shared" si="4"/>
        <v>22</v>
      </c>
      <c r="E64" t="str">
        <f>'(Raw) LensesGH'!C64</f>
        <v>1:4.0-1:5.6</v>
      </c>
      <c r="F64" s="9">
        <f t="shared" si="5"/>
        <v>4</v>
      </c>
      <c r="G64" s="9">
        <f t="shared" si="6"/>
        <v>4</v>
      </c>
      <c r="H64" t="str">
        <f>'(Raw) LensesGH'!D64</f>
        <v>55mm</v>
      </c>
      <c r="I64" s="2">
        <f t="shared" si="7"/>
        <v>55</v>
      </c>
      <c r="J64" s="2" t="str">
        <f>'(Raw) LensesGH'!E64</f>
        <v>1:3.33</v>
      </c>
      <c r="K64" s="40">
        <f t="shared" si="8"/>
        <v>3.33</v>
      </c>
      <c r="L64" t="str">
        <f>'(Raw) LensesGH'!F64</f>
        <v>Canon EF-M</v>
      </c>
      <c r="M64" t="str">
        <f>'(Raw) LensesGH'!G64</f>
        <v>APS-C</v>
      </c>
      <c r="N64" t="str">
        <f>'(Raw) LensesGH'!H64</f>
        <v>220g</v>
      </c>
      <c r="O64" s="5">
        <f t="shared" si="0"/>
        <v>220</v>
      </c>
      <c r="P64" t="str">
        <f>'(Raw) LensesGH'!I64</f>
        <v>60.9 x 58.2mm</v>
      </c>
      <c r="Q64" s="39">
        <f t="shared" si="1"/>
        <v>60.9</v>
      </c>
      <c r="R64" s="39">
        <f t="shared" si="2"/>
        <v>58.2</v>
      </c>
    </row>
    <row r="65" spans="1:18" x14ac:dyDescent="0.25">
      <c r="A65" t="str">
        <f>'(Raw) LensesGH'!A65</f>
        <v>Canon EF-M 15-45mm 3.5-6.3 IS STM schwarz</v>
      </c>
      <c r="B65" t="str">
        <f>'(Raw) LensesGH'!B65</f>
        <v>15 - 45mm</v>
      </c>
      <c r="C65" s="5">
        <f t="shared" si="3"/>
        <v>15</v>
      </c>
      <c r="D65" s="5">
        <f t="shared" si="4"/>
        <v>45</v>
      </c>
      <c r="E65" t="str">
        <f>'(Raw) LensesGH'!C65</f>
        <v>1:3.5-1:6.3</v>
      </c>
      <c r="F65" s="9">
        <f t="shared" si="5"/>
        <v>3.5</v>
      </c>
      <c r="G65" s="9">
        <f t="shared" si="6"/>
        <v>3.5</v>
      </c>
      <c r="H65" t="str">
        <f>'(Raw) LensesGH'!D65</f>
        <v>49mm</v>
      </c>
      <c r="I65" s="2">
        <f t="shared" si="7"/>
        <v>49</v>
      </c>
      <c r="J65" s="2" t="str">
        <f>'(Raw) LensesGH'!E65</f>
        <v>1:4.00</v>
      </c>
      <c r="K65" s="40">
        <f t="shared" si="8"/>
        <v>4</v>
      </c>
      <c r="L65" t="str">
        <f>'(Raw) LensesGH'!F65</f>
        <v>Canon EF-M</v>
      </c>
      <c r="M65" t="str">
        <f>'(Raw) LensesGH'!G65</f>
        <v>APS-C</v>
      </c>
      <c r="N65" t="str">
        <f>'(Raw) LensesGH'!H65</f>
        <v>130g</v>
      </c>
      <c r="O65" s="5">
        <f t="shared" si="0"/>
        <v>130</v>
      </c>
      <c r="P65" t="str">
        <f>'(Raw) LensesGH'!I65</f>
        <v>60.9 x 44.5mm</v>
      </c>
      <c r="Q65" s="39">
        <f t="shared" si="1"/>
        <v>60.9</v>
      </c>
      <c r="R65" s="39">
        <f t="shared" si="2"/>
        <v>44.5</v>
      </c>
    </row>
    <row r="66" spans="1:18" x14ac:dyDescent="0.25">
      <c r="A66" t="str">
        <f>'(Raw) LensesGH'!A66</f>
        <v>Canon EF-M 15-45mm 3.5-6.3 IS STM silber</v>
      </c>
      <c r="B66" t="str">
        <f>'(Raw) LensesGH'!B66</f>
        <v>15 - 45mm</v>
      </c>
      <c r="C66" s="5">
        <f t="shared" si="3"/>
        <v>15</v>
      </c>
      <c r="D66" s="5">
        <f t="shared" si="4"/>
        <v>45</v>
      </c>
      <c r="E66" t="str">
        <f>'(Raw) LensesGH'!C66</f>
        <v>1:3.5-1:6.3</v>
      </c>
      <c r="F66" s="9">
        <f t="shared" si="5"/>
        <v>3.5</v>
      </c>
      <c r="G66" s="9">
        <f t="shared" si="6"/>
        <v>3.5</v>
      </c>
      <c r="H66" t="str">
        <f>'(Raw) LensesGH'!D66</f>
        <v>49mm</v>
      </c>
      <c r="I66" s="2">
        <f t="shared" si="7"/>
        <v>49</v>
      </c>
      <c r="J66" s="2" t="str">
        <f>'(Raw) LensesGH'!E66</f>
        <v>1:4.00</v>
      </c>
      <c r="K66" s="40">
        <f t="shared" si="8"/>
        <v>4</v>
      </c>
      <c r="L66" t="str">
        <f>'(Raw) LensesGH'!F66</f>
        <v>Canon EF-M</v>
      </c>
      <c r="M66" t="str">
        <f>'(Raw) LensesGH'!G66</f>
        <v>APS-C</v>
      </c>
      <c r="N66" t="str">
        <f>'(Raw) LensesGH'!H66</f>
        <v>130g</v>
      </c>
      <c r="O66" s="5">
        <f t="shared" si="0"/>
        <v>130</v>
      </c>
      <c r="P66" t="str">
        <f>'(Raw) LensesGH'!I66</f>
        <v>60.9 x 44.5mm</v>
      </c>
      <c r="Q66" s="39">
        <f t="shared" si="1"/>
        <v>60.9</v>
      </c>
      <c r="R66" s="39">
        <f t="shared" ref="R66:R129" si="9">getSizeLength(P66)</f>
        <v>44.5</v>
      </c>
    </row>
    <row r="67" spans="1:18" x14ac:dyDescent="0.25">
      <c r="A67" t="str">
        <f>'(Raw) LensesGH'!A67</f>
        <v>Canon EF-M 18-150mm 3.5-6.3 IS STM schwarz</v>
      </c>
      <c r="B67" t="str">
        <f>'(Raw) LensesGH'!B67</f>
        <v>18 - 150mm</v>
      </c>
      <c r="C67" s="5">
        <f t="shared" ref="C67:C130" si="10">getFocalLengthStart(B67)</f>
        <v>18</v>
      </c>
      <c r="D67" s="5">
        <f t="shared" ref="D67:D130" si="11">getFocalLengthEnd(B67)</f>
        <v>150</v>
      </c>
      <c r="E67" t="str">
        <f>'(Raw) LensesGH'!C67</f>
        <v>1:3.5-1:6.3</v>
      </c>
      <c r="F67" s="9">
        <f t="shared" ref="F67:F130" si="12">getApertureStart(E67)</f>
        <v>3.5</v>
      </c>
      <c r="G67" s="9">
        <f t="shared" ref="G67:G130" si="13">getApertureEnd(F67)</f>
        <v>3.5</v>
      </c>
      <c r="H67" t="str">
        <f>'(Raw) LensesGH'!D67</f>
        <v>55mm</v>
      </c>
      <c r="I67" s="2">
        <f t="shared" ref="I67:I130" si="14">getFiltersizeAsDouble(H67)</f>
        <v>55</v>
      </c>
      <c r="J67" s="2" t="str">
        <f>'(Raw) LensesGH'!E67</f>
        <v>1:4.76</v>
      </c>
      <c r="K67" s="40">
        <f t="shared" ref="K67:K130" si="15">getMagnification(J67)</f>
        <v>4.76</v>
      </c>
      <c r="L67" t="str">
        <f>'(Raw) LensesGH'!F67</f>
        <v>Canon EF-M</v>
      </c>
      <c r="M67" t="str">
        <f>'(Raw) LensesGH'!G67</f>
        <v>APS-C</v>
      </c>
      <c r="N67" t="str">
        <f>'(Raw) LensesGH'!H67</f>
        <v>300g</v>
      </c>
      <c r="O67" s="5">
        <f t="shared" ref="O67:O130" si="16">getWeightAsDouble(N67)</f>
        <v>300</v>
      </c>
      <c r="P67" t="str">
        <f>'(Raw) LensesGH'!I67</f>
        <v>60.9 x 86.5mm</v>
      </c>
      <c r="Q67" s="39">
        <f t="shared" ref="Q67:Q130" si="17">getSizeDiameter(P67)</f>
        <v>60.9</v>
      </c>
      <c r="R67" s="39">
        <f t="shared" si="9"/>
        <v>86.5</v>
      </c>
    </row>
    <row r="68" spans="1:18" x14ac:dyDescent="0.25">
      <c r="A68" t="str">
        <f>'(Raw) LensesGH'!A68</f>
        <v>Canon EF-M 18-150mm 3.5-6.3 IS STM silber</v>
      </c>
      <c r="B68" t="str">
        <f>'(Raw) LensesGH'!B68</f>
        <v>18 - 150mm</v>
      </c>
      <c r="C68" s="5">
        <f t="shared" si="10"/>
        <v>18</v>
      </c>
      <c r="D68" s="5">
        <f t="shared" si="11"/>
        <v>150</v>
      </c>
      <c r="E68" t="str">
        <f>'(Raw) LensesGH'!C68</f>
        <v>1:3.5-1:6.3</v>
      </c>
      <c r="F68" s="9">
        <f t="shared" si="12"/>
        <v>3.5</v>
      </c>
      <c r="G68" s="9">
        <f t="shared" si="13"/>
        <v>3.5</v>
      </c>
      <c r="H68" t="str">
        <f>'(Raw) LensesGH'!D68</f>
        <v>55mm</v>
      </c>
      <c r="I68" s="2">
        <f t="shared" si="14"/>
        <v>55</v>
      </c>
      <c r="J68" s="2" t="str">
        <f>'(Raw) LensesGH'!E68</f>
        <v>1:4.76</v>
      </c>
      <c r="K68" s="40">
        <f t="shared" si="15"/>
        <v>4.76</v>
      </c>
      <c r="L68" t="str">
        <f>'(Raw) LensesGH'!F68</f>
        <v>Canon EF-M</v>
      </c>
      <c r="M68" t="str">
        <f>'(Raw) LensesGH'!G68</f>
        <v>APS-C</v>
      </c>
      <c r="N68" t="str">
        <f>'(Raw) LensesGH'!H68</f>
        <v>300g</v>
      </c>
      <c r="O68" s="5">
        <f t="shared" si="16"/>
        <v>300</v>
      </c>
      <c r="P68" t="str">
        <f>'(Raw) LensesGH'!I68</f>
        <v>60.9 x 86.5mm</v>
      </c>
      <c r="Q68" s="39">
        <f t="shared" si="17"/>
        <v>60.9</v>
      </c>
      <c r="R68" s="39">
        <f t="shared" si="9"/>
        <v>86.5</v>
      </c>
    </row>
    <row r="69" spans="1:18" x14ac:dyDescent="0.25">
      <c r="A69" t="str">
        <f>'(Raw) LensesGH'!A69</f>
        <v>Canon EF-M 18-55mm 3.5-5.6 IS STM schwarz</v>
      </c>
      <c r="B69" t="str">
        <f>'(Raw) LensesGH'!B69</f>
        <v>18 - 55mm</v>
      </c>
      <c r="C69" s="5">
        <f t="shared" si="10"/>
        <v>18</v>
      </c>
      <c r="D69" s="5">
        <f t="shared" si="11"/>
        <v>55</v>
      </c>
      <c r="E69" t="str">
        <f>'(Raw) LensesGH'!C69</f>
        <v>1:3.5-1:5.6</v>
      </c>
      <c r="F69" s="9">
        <f t="shared" si="12"/>
        <v>3.5</v>
      </c>
      <c r="G69" s="9">
        <f t="shared" si="13"/>
        <v>3.5</v>
      </c>
      <c r="H69" t="str">
        <f>'(Raw) LensesGH'!D69</f>
        <v>52mm</v>
      </c>
      <c r="I69" s="2">
        <f t="shared" si="14"/>
        <v>52</v>
      </c>
      <c r="J69" s="2" t="str">
        <f>'(Raw) LensesGH'!E69</f>
        <v>1:4.00</v>
      </c>
      <c r="K69" s="40">
        <f t="shared" si="15"/>
        <v>4</v>
      </c>
      <c r="L69" t="str">
        <f>'(Raw) LensesGH'!F69</f>
        <v>Canon EF-M</v>
      </c>
      <c r="M69" t="str">
        <f>'(Raw) LensesGH'!G69</f>
        <v>APS-C</v>
      </c>
      <c r="N69" t="str">
        <f>'(Raw) LensesGH'!H69</f>
        <v>210g</v>
      </c>
      <c r="O69" s="5">
        <f t="shared" si="16"/>
        <v>210</v>
      </c>
      <c r="P69" t="str">
        <f>'(Raw) LensesGH'!I69</f>
        <v>60.9 x 61mm</v>
      </c>
      <c r="Q69" s="39">
        <f t="shared" si="17"/>
        <v>60.9</v>
      </c>
      <c r="R69" s="39">
        <f t="shared" si="9"/>
        <v>61</v>
      </c>
    </row>
    <row r="70" spans="1:18" x14ac:dyDescent="0.25">
      <c r="A70" t="str">
        <f>'(Raw) LensesGH'!A70</f>
        <v>Canon EF-M 22mm 2.0 STM schwarz</v>
      </c>
      <c r="B70" t="str">
        <f>'(Raw) LensesGH'!B70</f>
        <v>22mm</v>
      </c>
      <c r="C70" s="5">
        <f t="shared" si="10"/>
        <v>22</v>
      </c>
      <c r="D70" s="5">
        <f t="shared" si="11"/>
        <v>22</v>
      </c>
      <c r="E70" t="str">
        <f>'(Raw) LensesGH'!C70</f>
        <v>1:2.0</v>
      </c>
      <c r="F70" s="9">
        <f t="shared" si="12"/>
        <v>2</v>
      </c>
      <c r="G70" s="9">
        <f t="shared" si="13"/>
        <v>2</v>
      </c>
      <c r="H70" t="str">
        <f>'(Raw) LensesGH'!D70</f>
        <v>43mm</v>
      </c>
      <c r="I70" s="2">
        <f t="shared" si="14"/>
        <v>43</v>
      </c>
      <c r="J70" s="2" t="str">
        <f>'(Raw) LensesGH'!E70</f>
        <v>1:4.76</v>
      </c>
      <c r="K70" s="40">
        <f t="shared" si="15"/>
        <v>4.76</v>
      </c>
      <c r="L70" t="str">
        <f>'(Raw) LensesGH'!F70</f>
        <v>Canon EF-M</v>
      </c>
      <c r="M70" t="str">
        <f>'(Raw) LensesGH'!G70</f>
        <v>APS-C</v>
      </c>
      <c r="N70" t="str">
        <f>'(Raw) LensesGH'!H70</f>
        <v>105g</v>
      </c>
      <c r="O70" s="5">
        <f t="shared" si="16"/>
        <v>105</v>
      </c>
      <c r="P70" t="str">
        <f>'(Raw) LensesGH'!I70</f>
        <v>60.9 x 23.7mm</v>
      </c>
      <c r="Q70" s="39">
        <f t="shared" si="17"/>
        <v>60.9</v>
      </c>
      <c r="R70" s="39">
        <f t="shared" si="9"/>
        <v>23.7</v>
      </c>
    </row>
    <row r="71" spans="1:18" x14ac:dyDescent="0.25">
      <c r="A71" t="str">
        <f>'(Raw) LensesGH'!A71</f>
        <v>Canon EF-M 28mm 3.5 Macro IS STM schwarz</v>
      </c>
      <c r="B71" t="str">
        <f>'(Raw) LensesGH'!B71</f>
        <v>28mm</v>
      </c>
      <c r="C71" s="5">
        <f t="shared" si="10"/>
        <v>28</v>
      </c>
      <c r="D71" s="5">
        <f t="shared" si="11"/>
        <v>28</v>
      </c>
      <c r="E71" t="str">
        <f>'(Raw) LensesGH'!C71</f>
        <v>1:3.5</v>
      </c>
      <c r="F71" s="9">
        <f t="shared" si="12"/>
        <v>3.5</v>
      </c>
      <c r="G71" s="9">
        <f t="shared" si="13"/>
        <v>3.5</v>
      </c>
      <c r="H71" t="str">
        <f>'(Raw) LensesGH'!D71</f>
        <v>43mm</v>
      </c>
      <c r="I71" s="2">
        <f t="shared" si="14"/>
        <v>43</v>
      </c>
      <c r="J71" s="2" t="str">
        <f>'(Raw) LensesGH'!E71</f>
        <v>1:0.83</v>
      </c>
      <c r="K71" s="40">
        <f t="shared" si="15"/>
        <v>0.83</v>
      </c>
      <c r="L71" t="str">
        <f>'(Raw) LensesGH'!F71</f>
        <v>Canon EF-M</v>
      </c>
      <c r="M71" t="str">
        <f>'(Raw) LensesGH'!G71</f>
        <v>APS-C</v>
      </c>
      <c r="N71" t="str">
        <f>'(Raw) LensesGH'!H71</f>
        <v>130g</v>
      </c>
      <c r="O71" s="5">
        <f t="shared" si="16"/>
        <v>130</v>
      </c>
      <c r="P71" t="str">
        <f>'(Raw) LensesGH'!I71</f>
        <v>60.9 x 45.5mm</v>
      </c>
      <c r="Q71" s="39">
        <f t="shared" si="17"/>
        <v>60.9</v>
      </c>
      <c r="R71" s="39">
        <f t="shared" si="9"/>
        <v>45.5</v>
      </c>
    </row>
    <row r="72" spans="1:18" x14ac:dyDescent="0.25">
      <c r="A72" t="str">
        <f>'(Raw) LensesGH'!A72</f>
        <v>Canon EF-M 55-200mm 4.5-6.3 IS STM schwarz</v>
      </c>
      <c r="B72" t="str">
        <f>'(Raw) LensesGH'!B72</f>
        <v>55 - 200mm</v>
      </c>
      <c r="C72" s="5">
        <f t="shared" si="10"/>
        <v>55</v>
      </c>
      <c r="D72" s="5">
        <f t="shared" si="11"/>
        <v>200</v>
      </c>
      <c r="E72" t="str">
        <f>'(Raw) LensesGH'!C72</f>
        <v>1:4.5-1:6.3</v>
      </c>
      <c r="F72" s="9">
        <f t="shared" si="12"/>
        <v>4.5</v>
      </c>
      <c r="G72" s="9">
        <f t="shared" si="13"/>
        <v>4.5</v>
      </c>
      <c r="H72" t="str">
        <f>'(Raw) LensesGH'!D72</f>
        <v>52mm</v>
      </c>
      <c r="I72" s="2">
        <f t="shared" si="14"/>
        <v>52</v>
      </c>
      <c r="J72" s="2" t="str">
        <f>'(Raw) LensesGH'!E72</f>
        <v>1:4.76</v>
      </c>
      <c r="K72" s="40">
        <f t="shared" si="15"/>
        <v>4.76</v>
      </c>
      <c r="L72" t="str">
        <f>'(Raw) LensesGH'!F72</f>
        <v>Canon EF-M</v>
      </c>
      <c r="M72" t="str">
        <f>'(Raw) LensesGH'!G72</f>
        <v>APS-C</v>
      </c>
      <c r="N72" t="str">
        <f>'(Raw) LensesGH'!H72</f>
        <v>260g</v>
      </c>
      <c r="O72" s="5">
        <f t="shared" si="16"/>
        <v>260</v>
      </c>
      <c r="P72" t="str">
        <f>'(Raw) LensesGH'!I72</f>
        <v>60.9 x 86.5mm</v>
      </c>
      <c r="Q72" s="39">
        <f t="shared" si="17"/>
        <v>60.9</v>
      </c>
      <c r="R72" s="39">
        <f t="shared" si="9"/>
        <v>86.5</v>
      </c>
    </row>
    <row r="73" spans="1:18" x14ac:dyDescent="0.25">
      <c r="A73" t="str">
        <f>'(Raw) LensesGH'!A73</f>
        <v>Canon EF-M 55-200mm 4.5-6.3 IS STM silber</v>
      </c>
      <c r="B73" t="str">
        <f>'(Raw) LensesGH'!B73</f>
        <v>55 - 200mm</v>
      </c>
      <c r="C73" s="5">
        <f t="shared" si="10"/>
        <v>55</v>
      </c>
      <c r="D73" s="5">
        <f t="shared" si="11"/>
        <v>200</v>
      </c>
      <c r="E73" t="str">
        <f>'(Raw) LensesGH'!C73</f>
        <v>1:4.5-1:6.3</v>
      </c>
      <c r="F73" s="9">
        <f t="shared" si="12"/>
        <v>4.5</v>
      </c>
      <c r="G73" s="9">
        <f t="shared" si="13"/>
        <v>4.5</v>
      </c>
      <c r="H73" t="str">
        <f>'(Raw) LensesGH'!D73</f>
        <v>52mm</v>
      </c>
      <c r="I73" s="2">
        <f t="shared" si="14"/>
        <v>52</v>
      </c>
      <c r="J73" s="2" t="str">
        <f>'(Raw) LensesGH'!E73</f>
        <v>1:4.76</v>
      </c>
      <c r="K73" s="40">
        <f t="shared" si="15"/>
        <v>4.76</v>
      </c>
      <c r="L73" t="str">
        <f>'(Raw) LensesGH'!F73</f>
        <v>Canon EF-M</v>
      </c>
      <c r="M73" t="str">
        <f>'(Raw) LensesGH'!G73</f>
        <v>APS-C</v>
      </c>
      <c r="N73" t="str">
        <f>'(Raw) LensesGH'!H73</f>
        <v>260g</v>
      </c>
      <c r="O73" s="5">
        <f t="shared" si="16"/>
        <v>260</v>
      </c>
      <c r="P73" t="str">
        <f>'(Raw) LensesGH'!I73</f>
        <v>60.9 x 86.5mm</v>
      </c>
      <c r="Q73" s="39">
        <f t="shared" si="17"/>
        <v>60.9</v>
      </c>
      <c r="R73" s="39">
        <f t="shared" si="9"/>
        <v>86.5</v>
      </c>
    </row>
    <row r="74" spans="1:18" x14ac:dyDescent="0.25">
      <c r="A74" t="str">
        <f>'(Raw) LensesGH'!A74</f>
        <v>Canon EF-S 10-18mm 4.5-5.6 IS STM mit EW-73C und LC-Kit schwarz</v>
      </c>
      <c r="B74" t="str">
        <f>'(Raw) LensesGH'!B74</f>
        <v>10 - 18mm</v>
      </c>
      <c r="C74" s="5">
        <f t="shared" si="10"/>
        <v>10</v>
      </c>
      <c r="D74" s="5">
        <f t="shared" si="11"/>
        <v>18</v>
      </c>
      <c r="E74" t="str">
        <f>'(Raw) LensesGH'!C74</f>
        <v>1:4.5-1:5.6</v>
      </c>
      <c r="F74" s="9">
        <f t="shared" si="12"/>
        <v>4.5</v>
      </c>
      <c r="G74" s="9">
        <f t="shared" si="13"/>
        <v>4.5</v>
      </c>
      <c r="H74" t="str">
        <f>'(Raw) LensesGH'!D74</f>
        <v>67mm</v>
      </c>
      <c r="I74" s="2">
        <f t="shared" si="14"/>
        <v>67</v>
      </c>
      <c r="J74" s="2" t="str">
        <f>'(Raw) LensesGH'!E74</f>
        <v>1:6.67</v>
      </c>
      <c r="K74" s="40">
        <f t="shared" si="15"/>
        <v>6.67</v>
      </c>
      <c r="L74" t="str">
        <f>'(Raw) LensesGH'!F74</f>
        <v>Canon EF-S</v>
      </c>
      <c r="M74" t="str">
        <f>'(Raw) LensesGH'!G74</f>
        <v>APS-C</v>
      </c>
      <c r="N74" t="str">
        <f>'(Raw) LensesGH'!H74</f>
        <v>240g</v>
      </c>
      <c r="O74" s="5">
        <f t="shared" si="16"/>
        <v>240</v>
      </c>
      <c r="P74" t="str">
        <f>'(Raw) LensesGH'!I74</f>
        <v>74.6 x 72mm</v>
      </c>
      <c r="Q74" s="39">
        <f t="shared" si="17"/>
        <v>74.599999999999994</v>
      </c>
      <c r="R74" s="39">
        <f t="shared" si="9"/>
        <v>72</v>
      </c>
    </row>
    <row r="75" spans="1:18" x14ac:dyDescent="0.25">
      <c r="A75" t="str">
        <f>'(Raw) LensesGH'!A75</f>
        <v>Canon EF-S 10-18mm 4.5-5.6 IS STM schwarz</v>
      </c>
      <c r="B75" t="str">
        <f>'(Raw) LensesGH'!B75</f>
        <v>10 - 18mm</v>
      </c>
      <c r="C75" s="5">
        <f t="shared" si="10"/>
        <v>10</v>
      </c>
      <c r="D75" s="5">
        <f t="shared" si="11"/>
        <v>18</v>
      </c>
      <c r="E75" t="str">
        <f>'(Raw) LensesGH'!C75</f>
        <v>1:4.5-1:5.6</v>
      </c>
      <c r="F75" s="9">
        <f t="shared" si="12"/>
        <v>4.5</v>
      </c>
      <c r="G75" s="9">
        <f t="shared" si="13"/>
        <v>4.5</v>
      </c>
      <c r="H75" t="str">
        <f>'(Raw) LensesGH'!D75</f>
        <v>67mm</v>
      </c>
      <c r="I75" s="2">
        <f t="shared" si="14"/>
        <v>67</v>
      </c>
      <c r="J75" s="2" t="str">
        <f>'(Raw) LensesGH'!E75</f>
        <v>1:6.67</v>
      </c>
      <c r="K75" s="40">
        <f t="shared" si="15"/>
        <v>6.67</v>
      </c>
      <c r="L75" t="str">
        <f>'(Raw) LensesGH'!F75</f>
        <v>Canon EF-S</v>
      </c>
      <c r="M75" t="str">
        <f>'(Raw) LensesGH'!G75</f>
        <v>APS-C</v>
      </c>
      <c r="N75" t="str">
        <f>'(Raw) LensesGH'!H75</f>
        <v>240g</v>
      </c>
      <c r="O75" s="5">
        <f t="shared" si="16"/>
        <v>240</v>
      </c>
      <c r="P75" t="str">
        <f>'(Raw) LensesGH'!I75</f>
        <v>74.6 x 72mm</v>
      </c>
      <c r="Q75" s="39">
        <f t="shared" si="17"/>
        <v>74.599999999999994</v>
      </c>
      <c r="R75" s="39">
        <f t="shared" si="9"/>
        <v>72</v>
      </c>
    </row>
    <row r="76" spans="1:18" x14ac:dyDescent="0.25">
      <c r="A76" t="str">
        <f>'(Raw) LensesGH'!A76</f>
        <v>Canon EF-S 10-22mm 3.5-4.5 USM schwarz</v>
      </c>
      <c r="B76" t="str">
        <f>'(Raw) LensesGH'!B76</f>
        <v>10 - 22mm</v>
      </c>
      <c r="C76" s="5">
        <f t="shared" si="10"/>
        <v>10</v>
      </c>
      <c r="D76" s="5">
        <f t="shared" si="11"/>
        <v>22</v>
      </c>
      <c r="E76" t="str">
        <f>'(Raw) LensesGH'!C76</f>
        <v>1:3.5-1:4.5</v>
      </c>
      <c r="F76" s="9">
        <f t="shared" si="12"/>
        <v>3.5</v>
      </c>
      <c r="G76" s="9">
        <f t="shared" si="13"/>
        <v>3.5</v>
      </c>
      <c r="H76" t="str">
        <f>'(Raw) LensesGH'!D76</f>
        <v>77mm</v>
      </c>
      <c r="I76" s="2">
        <f t="shared" si="14"/>
        <v>77</v>
      </c>
      <c r="J76" s="2" t="str">
        <f>'(Raw) LensesGH'!E76</f>
        <v>1:5.88</v>
      </c>
      <c r="K76" s="40">
        <f t="shared" si="15"/>
        <v>5.88</v>
      </c>
      <c r="L76" t="str">
        <f>'(Raw) LensesGH'!F76</f>
        <v>Canon EF-S</v>
      </c>
      <c r="M76" t="str">
        <f>'(Raw) LensesGH'!G76</f>
        <v>APS-C</v>
      </c>
      <c r="N76" t="str">
        <f>'(Raw) LensesGH'!H76</f>
        <v>385g</v>
      </c>
      <c r="O76" s="5">
        <f t="shared" si="16"/>
        <v>385</v>
      </c>
      <c r="P76" t="str">
        <f>'(Raw) LensesGH'!I76</f>
        <v>83.5 x 89.8mm</v>
      </c>
      <c r="Q76" s="39">
        <f t="shared" si="17"/>
        <v>83.5</v>
      </c>
      <c r="R76" s="39">
        <f t="shared" si="9"/>
        <v>89.8</v>
      </c>
    </row>
    <row r="77" spans="1:18" x14ac:dyDescent="0.25">
      <c r="A77" t="str">
        <f>'(Raw) LensesGH'!A77</f>
        <v>Canon EF-S 15-85mm 3.5-5.6 IS USM schwarz</v>
      </c>
      <c r="B77" t="str">
        <f>'(Raw) LensesGH'!B77</f>
        <v>15 - 85mm</v>
      </c>
      <c r="C77" s="5">
        <f t="shared" si="10"/>
        <v>15</v>
      </c>
      <c r="D77" s="5">
        <f t="shared" si="11"/>
        <v>85</v>
      </c>
      <c r="E77" t="str">
        <f>'(Raw) LensesGH'!C77</f>
        <v>1:3.5-1:5.6</v>
      </c>
      <c r="F77" s="9">
        <f t="shared" si="12"/>
        <v>3.5</v>
      </c>
      <c r="G77" s="9">
        <f t="shared" si="13"/>
        <v>3.5</v>
      </c>
      <c r="H77" t="str">
        <f>'(Raw) LensesGH'!D77</f>
        <v>72mm</v>
      </c>
      <c r="I77" s="2">
        <f t="shared" si="14"/>
        <v>72</v>
      </c>
      <c r="J77" s="2" t="str">
        <f>'(Raw) LensesGH'!E77</f>
        <v>1:4.76</v>
      </c>
      <c r="K77" s="40">
        <f t="shared" si="15"/>
        <v>4.76</v>
      </c>
      <c r="L77" t="str">
        <f>'(Raw) LensesGH'!F77</f>
        <v>Canon EF-S</v>
      </c>
      <c r="M77" t="str">
        <f>'(Raw) LensesGH'!G77</f>
        <v>APS-C</v>
      </c>
      <c r="N77" t="str">
        <f>'(Raw) LensesGH'!H77</f>
        <v>575g</v>
      </c>
      <c r="O77" s="5">
        <f t="shared" si="16"/>
        <v>575</v>
      </c>
      <c r="P77" t="str">
        <f>'(Raw) LensesGH'!I77</f>
        <v>81.6 x 87.5mm</v>
      </c>
      <c r="Q77" s="39">
        <f t="shared" si="17"/>
        <v>81.599999999999994</v>
      </c>
      <c r="R77" s="39">
        <f t="shared" si="9"/>
        <v>87.5</v>
      </c>
    </row>
    <row r="78" spans="1:18" x14ac:dyDescent="0.25">
      <c r="A78" t="str">
        <f>'(Raw) LensesGH'!A78</f>
        <v>Canon EF-S 17-55mm 2.8 IS USM schwarz</v>
      </c>
      <c r="B78" t="str">
        <f>'(Raw) LensesGH'!B78</f>
        <v>17 - 55mm</v>
      </c>
      <c r="C78" s="5">
        <f t="shared" si="10"/>
        <v>17</v>
      </c>
      <c r="D78" s="5">
        <f t="shared" si="11"/>
        <v>55</v>
      </c>
      <c r="E78" t="str">
        <f>'(Raw) LensesGH'!C78</f>
        <v>1:2.8</v>
      </c>
      <c r="F78" s="9">
        <f t="shared" si="12"/>
        <v>2.8</v>
      </c>
      <c r="G78" s="9">
        <f t="shared" si="13"/>
        <v>2.8</v>
      </c>
      <c r="H78" t="str">
        <f>'(Raw) LensesGH'!D78</f>
        <v>77mm</v>
      </c>
      <c r="I78" s="2">
        <f t="shared" si="14"/>
        <v>77</v>
      </c>
      <c r="J78" s="2" t="str">
        <f>'(Raw) LensesGH'!E78</f>
        <v>1:5.88</v>
      </c>
      <c r="K78" s="40">
        <f t="shared" si="15"/>
        <v>5.88</v>
      </c>
      <c r="L78" t="str">
        <f>'(Raw) LensesGH'!F78</f>
        <v>Canon EF-S</v>
      </c>
      <c r="M78" t="str">
        <f>'(Raw) LensesGH'!G78</f>
        <v>APS-C</v>
      </c>
      <c r="N78" t="str">
        <f>'(Raw) LensesGH'!H78</f>
        <v>645g</v>
      </c>
      <c r="O78" s="5">
        <f t="shared" si="16"/>
        <v>645</v>
      </c>
      <c r="P78" t="str">
        <f>'(Raw) LensesGH'!I78</f>
        <v>83.5 x 110.6mm</v>
      </c>
      <c r="Q78" s="39">
        <f t="shared" si="17"/>
        <v>83.5</v>
      </c>
      <c r="R78" s="39">
        <f t="shared" si="9"/>
        <v>110.6</v>
      </c>
    </row>
    <row r="79" spans="1:18" x14ac:dyDescent="0.25">
      <c r="A79" t="str">
        <f>'(Raw) LensesGH'!A79</f>
        <v>Canon EF-S 17-85mm 4.0-5.6 IS USM schwarz</v>
      </c>
      <c r="B79" t="str">
        <f>'(Raw) LensesGH'!B79</f>
        <v>17 - 85mm</v>
      </c>
      <c r="C79" s="5">
        <f t="shared" si="10"/>
        <v>17</v>
      </c>
      <c r="D79" s="5">
        <f t="shared" si="11"/>
        <v>85</v>
      </c>
      <c r="E79" t="str">
        <f>'(Raw) LensesGH'!C79</f>
        <v>1:4.0-1:5.6</v>
      </c>
      <c r="F79" s="9">
        <f t="shared" si="12"/>
        <v>4</v>
      </c>
      <c r="G79" s="9">
        <f t="shared" si="13"/>
        <v>4</v>
      </c>
      <c r="H79" t="str">
        <f>'(Raw) LensesGH'!D79</f>
        <v>67mm</v>
      </c>
      <c r="I79" s="2">
        <f t="shared" si="14"/>
        <v>67</v>
      </c>
      <c r="J79" s="2" t="str">
        <f>'(Raw) LensesGH'!E79</f>
        <v>1:5.00</v>
      </c>
      <c r="K79" s="40">
        <f t="shared" si="15"/>
        <v>5</v>
      </c>
      <c r="L79" t="str">
        <f>'(Raw) LensesGH'!F79</f>
        <v>Canon EF-S</v>
      </c>
      <c r="M79" t="str">
        <f>'(Raw) LensesGH'!G79</f>
        <v>APS-C</v>
      </c>
      <c r="N79" t="str">
        <f>'(Raw) LensesGH'!H79</f>
        <v>475g</v>
      </c>
      <c r="O79" s="5">
        <f t="shared" si="16"/>
        <v>475</v>
      </c>
      <c r="P79" t="str">
        <f>'(Raw) LensesGH'!I79</f>
        <v>78.5 x 92mm</v>
      </c>
      <c r="Q79" s="39">
        <f t="shared" si="17"/>
        <v>78.5</v>
      </c>
      <c r="R79" s="39">
        <f t="shared" si="9"/>
        <v>92</v>
      </c>
    </row>
    <row r="80" spans="1:18" x14ac:dyDescent="0.25">
      <c r="A80" t="str">
        <f>'(Raw) LensesGH'!A80</f>
        <v>Canon EF-S 18-135mm 3.5-5.6 IS schwarz</v>
      </c>
      <c r="B80" t="str">
        <f>'(Raw) LensesGH'!B80</f>
        <v>18 - 135mm</v>
      </c>
      <c r="C80" s="5">
        <f t="shared" si="10"/>
        <v>18</v>
      </c>
      <c r="D80" s="5">
        <f t="shared" si="11"/>
        <v>135</v>
      </c>
      <c r="E80" t="str">
        <f>'(Raw) LensesGH'!C80</f>
        <v>1:3.5-1:5.6</v>
      </c>
      <c r="F80" s="9">
        <f t="shared" si="12"/>
        <v>3.5</v>
      </c>
      <c r="G80" s="9">
        <f t="shared" si="13"/>
        <v>3.5</v>
      </c>
      <c r="H80" t="str">
        <f>'(Raw) LensesGH'!D80</f>
        <v>67mm</v>
      </c>
      <c r="I80" s="2">
        <f t="shared" si="14"/>
        <v>67</v>
      </c>
      <c r="J80" s="2" t="str">
        <f>'(Raw) LensesGH'!E80</f>
        <v>1:4.76</v>
      </c>
      <c r="K80" s="40">
        <f t="shared" si="15"/>
        <v>4.76</v>
      </c>
      <c r="L80" t="str">
        <f>'(Raw) LensesGH'!F80</f>
        <v>Canon EF-S</v>
      </c>
      <c r="M80" t="str">
        <f>'(Raw) LensesGH'!G80</f>
        <v>APS-C</v>
      </c>
      <c r="N80" t="str">
        <f>'(Raw) LensesGH'!H80</f>
        <v>455g</v>
      </c>
      <c r="O80" s="5">
        <f t="shared" si="16"/>
        <v>455</v>
      </c>
      <c r="P80" t="str">
        <f>'(Raw) LensesGH'!I80</f>
        <v>75.4 x 101mm</v>
      </c>
      <c r="Q80" s="39">
        <f t="shared" si="17"/>
        <v>75.400000000000006</v>
      </c>
      <c r="R80" s="39">
        <f t="shared" si="9"/>
        <v>101</v>
      </c>
    </row>
    <row r="81" spans="1:18" x14ac:dyDescent="0.25">
      <c r="A81" t="str">
        <f>'(Raw) LensesGH'!A81</f>
        <v>Canon EF-S 18-135mm 3.5-5.6 IS STM mit EW-73B und LC-Kit schwarz</v>
      </c>
      <c r="B81" t="str">
        <f>'(Raw) LensesGH'!B81</f>
        <v>18 - 135mm</v>
      </c>
      <c r="C81" s="5">
        <f t="shared" si="10"/>
        <v>18</v>
      </c>
      <c r="D81" s="5">
        <f t="shared" si="11"/>
        <v>135</v>
      </c>
      <c r="E81" t="str">
        <f>'(Raw) LensesGH'!C81</f>
        <v>1:3.5-1:5.6</v>
      </c>
      <c r="F81" s="9">
        <f t="shared" si="12"/>
        <v>3.5</v>
      </c>
      <c r="G81" s="9">
        <f t="shared" si="13"/>
        <v>3.5</v>
      </c>
      <c r="H81" t="str">
        <f>'(Raw) LensesGH'!D81</f>
        <v>67mm</v>
      </c>
      <c r="I81" s="2">
        <f t="shared" si="14"/>
        <v>67</v>
      </c>
      <c r="J81" s="2" t="str">
        <f>'(Raw) LensesGH'!E81</f>
        <v>1:3.57</v>
      </c>
      <c r="K81" s="40">
        <f t="shared" si="15"/>
        <v>3.57</v>
      </c>
      <c r="L81" t="str">
        <f>'(Raw) LensesGH'!F81</f>
        <v>Canon EF-S</v>
      </c>
      <c r="M81" t="str">
        <f>'(Raw) LensesGH'!G81</f>
        <v>APS-C</v>
      </c>
      <c r="N81" t="str">
        <f>'(Raw) LensesGH'!H81</f>
        <v>480g</v>
      </c>
      <c r="O81" s="5">
        <f t="shared" si="16"/>
        <v>480</v>
      </c>
      <c r="P81" t="str">
        <f>'(Raw) LensesGH'!I81</f>
        <v>76.6 x 96mm</v>
      </c>
      <c r="Q81" s="39">
        <f t="shared" si="17"/>
        <v>76.599999999999994</v>
      </c>
      <c r="R81" s="39">
        <f t="shared" si="9"/>
        <v>96</v>
      </c>
    </row>
    <row r="82" spans="1:18" x14ac:dyDescent="0.25">
      <c r="A82" t="str">
        <f>'(Raw) LensesGH'!A82</f>
        <v>Canon EF-S 18-135mm 3.5-5.6 IS STM schwarz</v>
      </c>
      <c r="B82" t="str">
        <f>'(Raw) LensesGH'!B82</f>
        <v>18 - 135mm</v>
      </c>
      <c r="C82" s="5">
        <f t="shared" si="10"/>
        <v>18</v>
      </c>
      <c r="D82" s="5">
        <f t="shared" si="11"/>
        <v>135</v>
      </c>
      <c r="E82" t="str">
        <f>'(Raw) LensesGH'!C82</f>
        <v>1:3.5-1:5.6</v>
      </c>
      <c r="F82" s="9">
        <f t="shared" si="12"/>
        <v>3.5</v>
      </c>
      <c r="G82" s="9">
        <f t="shared" si="13"/>
        <v>3.5</v>
      </c>
      <c r="H82" t="str">
        <f>'(Raw) LensesGH'!D82</f>
        <v>67mm</v>
      </c>
      <c r="I82" s="2">
        <f t="shared" si="14"/>
        <v>67</v>
      </c>
      <c r="J82" s="2" t="str">
        <f>'(Raw) LensesGH'!E82</f>
        <v>1:3.57</v>
      </c>
      <c r="K82" s="40">
        <f t="shared" si="15"/>
        <v>3.57</v>
      </c>
      <c r="L82" t="str">
        <f>'(Raw) LensesGH'!F82</f>
        <v>Canon EF-S</v>
      </c>
      <c r="M82" t="str">
        <f>'(Raw) LensesGH'!G82</f>
        <v>APS-C</v>
      </c>
      <c r="N82" t="str">
        <f>'(Raw) LensesGH'!H82</f>
        <v>480g</v>
      </c>
      <c r="O82" s="5">
        <f t="shared" si="16"/>
        <v>480</v>
      </c>
      <c r="P82" t="str">
        <f>'(Raw) LensesGH'!I82</f>
        <v>76.6 x 96mm</v>
      </c>
      <c r="Q82" s="39">
        <f t="shared" si="17"/>
        <v>76.599999999999994</v>
      </c>
      <c r="R82" s="39">
        <f t="shared" si="9"/>
        <v>96</v>
      </c>
    </row>
    <row r="83" spans="1:18" x14ac:dyDescent="0.25">
      <c r="A83" t="str">
        <f>'(Raw) LensesGH'!A83</f>
        <v>Canon EF-S 18-135mm 3.5-5.6 IS USM schwarz</v>
      </c>
      <c r="B83" t="str">
        <f>'(Raw) LensesGH'!B83</f>
        <v>18 - 135mm</v>
      </c>
      <c r="C83" s="5">
        <f t="shared" si="10"/>
        <v>18</v>
      </c>
      <c r="D83" s="5">
        <f t="shared" si="11"/>
        <v>135</v>
      </c>
      <c r="E83" t="str">
        <f>'(Raw) LensesGH'!C83</f>
        <v>1:3.5-1:5.6</v>
      </c>
      <c r="F83" s="9">
        <f t="shared" si="12"/>
        <v>3.5</v>
      </c>
      <c r="G83" s="9">
        <f t="shared" si="13"/>
        <v>3.5</v>
      </c>
      <c r="H83" t="str">
        <f>'(Raw) LensesGH'!D83</f>
        <v>67mm</v>
      </c>
      <c r="I83" s="2">
        <f t="shared" si="14"/>
        <v>67</v>
      </c>
      <c r="J83" s="2" t="str">
        <f>'(Raw) LensesGH'!E83</f>
        <v>1:3.57</v>
      </c>
      <c r="K83" s="40">
        <f t="shared" si="15"/>
        <v>3.57</v>
      </c>
      <c r="L83" t="str">
        <f>'(Raw) LensesGH'!F83</f>
        <v>Canon EF-S</v>
      </c>
      <c r="M83" t="str">
        <f>'(Raw) LensesGH'!G83</f>
        <v>APS-C</v>
      </c>
      <c r="N83" t="str">
        <f>'(Raw) LensesGH'!H83</f>
        <v>515g</v>
      </c>
      <c r="O83" s="5">
        <f t="shared" si="16"/>
        <v>515</v>
      </c>
      <c r="P83" t="str">
        <f>'(Raw) LensesGH'!I83</f>
        <v>77.4 x 96mm</v>
      </c>
      <c r="Q83" s="39">
        <f t="shared" si="17"/>
        <v>77.400000000000006</v>
      </c>
      <c r="R83" s="39">
        <f t="shared" si="9"/>
        <v>96</v>
      </c>
    </row>
    <row r="84" spans="1:18" x14ac:dyDescent="0.25">
      <c r="A84" t="str">
        <f>'(Raw) LensesGH'!A84</f>
        <v>Canon EF-S 18-200mm 3.5-5.6 IS schwarz</v>
      </c>
      <c r="B84" t="str">
        <f>'(Raw) LensesGH'!B84</f>
        <v>18 - 200mm</v>
      </c>
      <c r="C84" s="5">
        <f t="shared" si="10"/>
        <v>18</v>
      </c>
      <c r="D84" s="5">
        <f t="shared" si="11"/>
        <v>200</v>
      </c>
      <c r="E84" t="str">
        <f>'(Raw) LensesGH'!C84</f>
        <v>1:3.5-1:5.6</v>
      </c>
      <c r="F84" s="9">
        <f t="shared" si="12"/>
        <v>3.5</v>
      </c>
      <c r="G84" s="9">
        <f t="shared" si="13"/>
        <v>3.5</v>
      </c>
      <c r="H84" t="str">
        <f>'(Raw) LensesGH'!D84</f>
        <v>72mm</v>
      </c>
      <c r="I84" s="2">
        <f t="shared" si="14"/>
        <v>72</v>
      </c>
      <c r="J84" s="2" t="str">
        <f>'(Raw) LensesGH'!E84</f>
        <v>1:4.17</v>
      </c>
      <c r="K84" s="40">
        <f t="shared" si="15"/>
        <v>4.17</v>
      </c>
      <c r="L84" t="str">
        <f>'(Raw) LensesGH'!F84</f>
        <v>Canon EF-S</v>
      </c>
      <c r="M84" t="str">
        <f>'(Raw) LensesGH'!G84</f>
        <v>APS-C</v>
      </c>
      <c r="N84" t="str">
        <f>'(Raw) LensesGH'!H84</f>
        <v>600g</v>
      </c>
      <c r="O84" s="5">
        <f t="shared" si="16"/>
        <v>600</v>
      </c>
      <c r="P84" t="str">
        <f>'(Raw) LensesGH'!I84</f>
        <v>79 x 102mm</v>
      </c>
      <c r="Q84" s="39">
        <f t="shared" si="17"/>
        <v>79</v>
      </c>
      <c r="R84" s="39">
        <f t="shared" si="9"/>
        <v>102</v>
      </c>
    </row>
    <row r="85" spans="1:18" x14ac:dyDescent="0.25">
      <c r="A85" t="str">
        <f>'(Raw) LensesGH'!A85</f>
        <v>Canon EF-S 18-55mm 3.5-5.6 IS II schwarz</v>
      </c>
      <c r="B85" t="str">
        <f>'(Raw) LensesGH'!B85</f>
        <v>18 - 55mm</v>
      </c>
      <c r="C85" s="5">
        <f t="shared" si="10"/>
        <v>18</v>
      </c>
      <c r="D85" s="5">
        <f t="shared" si="11"/>
        <v>55</v>
      </c>
      <c r="E85" t="str">
        <f>'(Raw) LensesGH'!C85</f>
        <v>1:3.5-1:5.6</v>
      </c>
      <c r="F85" s="9">
        <f t="shared" si="12"/>
        <v>3.5</v>
      </c>
      <c r="G85" s="9">
        <f t="shared" si="13"/>
        <v>3.5</v>
      </c>
      <c r="H85" t="str">
        <f>'(Raw) LensesGH'!D85</f>
        <v>58mm</v>
      </c>
      <c r="I85" s="2">
        <f t="shared" si="14"/>
        <v>58</v>
      </c>
      <c r="J85" s="2" t="str">
        <f>'(Raw) LensesGH'!E85</f>
        <v>1:2.94</v>
      </c>
      <c r="K85" s="40">
        <f t="shared" si="15"/>
        <v>2.94</v>
      </c>
      <c r="L85" t="str">
        <f>'(Raw) LensesGH'!F85</f>
        <v>Canon EF-S</v>
      </c>
      <c r="M85" t="str">
        <f>'(Raw) LensesGH'!G85</f>
        <v>APS-C</v>
      </c>
      <c r="N85" t="str">
        <f>'(Raw) LensesGH'!H85</f>
        <v>200g</v>
      </c>
      <c r="O85" s="5">
        <f t="shared" si="16"/>
        <v>200</v>
      </c>
      <c r="P85" t="str">
        <f>'(Raw) LensesGH'!I85</f>
        <v>68.5 x 70mm</v>
      </c>
      <c r="Q85" s="39">
        <f t="shared" si="17"/>
        <v>68.5</v>
      </c>
      <c r="R85" s="39">
        <f t="shared" si="9"/>
        <v>70</v>
      </c>
    </row>
    <row r="86" spans="1:18" x14ac:dyDescent="0.25">
      <c r="A86" t="str">
        <f>'(Raw) LensesGH'!A86</f>
        <v>Canon EF-S 18-55mm 3.5-5.6 IS schwarz</v>
      </c>
      <c r="B86" t="str">
        <f>'(Raw) LensesGH'!B86</f>
        <v>18 - 55mm</v>
      </c>
      <c r="C86" s="5">
        <f t="shared" si="10"/>
        <v>18</v>
      </c>
      <c r="D86" s="5">
        <f t="shared" si="11"/>
        <v>55</v>
      </c>
      <c r="E86" t="str">
        <f>'(Raw) LensesGH'!C86</f>
        <v>1:3.5-1:5.6</v>
      </c>
      <c r="F86" s="9">
        <f t="shared" si="12"/>
        <v>3.5</v>
      </c>
      <c r="G86" s="9">
        <f t="shared" si="13"/>
        <v>3.5</v>
      </c>
      <c r="H86" t="str">
        <f>'(Raw) LensesGH'!D86</f>
        <v>58mm</v>
      </c>
      <c r="I86" s="2">
        <f t="shared" si="14"/>
        <v>58</v>
      </c>
      <c r="J86" s="2" t="str">
        <f>'(Raw) LensesGH'!E86</f>
        <v>1:2.94</v>
      </c>
      <c r="K86" s="40">
        <f t="shared" si="15"/>
        <v>2.94</v>
      </c>
      <c r="L86" t="str">
        <f>'(Raw) LensesGH'!F86</f>
        <v>Canon EF-S</v>
      </c>
      <c r="M86" t="str">
        <f>'(Raw) LensesGH'!G86</f>
        <v>APS-C</v>
      </c>
      <c r="N86" t="str">
        <f>'(Raw) LensesGH'!H86</f>
        <v>200g</v>
      </c>
      <c r="O86" s="5">
        <f t="shared" si="16"/>
        <v>200</v>
      </c>
      <c r="P86" t="str">
        <f>'(Raw) LensesGH'!I86</f>
        <v>68.5 x 70mm</v>
      </c>
      <c r="Q86" s="39">
        <f t="shared" si="17"/>
        <v>68.5</v>
      </c>
      <c r="R86" s="39">
        <f t="shared" si="9"/>
        <v>70</v>
      </c>
    </row>
    <row r="87" spans="1:18" x14ac:dyDescent="0.25">
      <c r="A87" t="str">
        <f>'(Raw) LensesGH'!A87</f>
        <v>Canon EF-S 18-55mm 3.5-5.6 IS STM schwarz</v>
      </c>
      <c r="B87" t="str">
        <f>'(Raw) LensesGH'!B87</f>
        <v>18 - 55mm</v>
      </c>
      <c r="C87" s="5">
        <f t="shared" si="10"/>
        <v>18</v>
      </c>
      <c r="D87" s="5">
        <f t="shared" si="11"/>
        <v>55</v>
      </c>
      <c r="E87" t="str">
        <f>'(Raw) LensesGH'!C87</f>
        <v>1:3.5-1:5.6</v>
      </c>
      <c r="F87" s="9">
        <f t="shared" si="12"/>
        <v>3.5</v>
      </c>
      <c r="G87" s="9">
        <f t="shared" si="13"/>
        <v>3.5</v>
      </c>
      <c r="H87" t="str">
        <f>'(Raw) LensesGH'!D87</f>
        <v>58mm</v>
      </c>
      <c r="I87" s="2">
        <f t="shared" si="14"/>
        <v>58</v>
      </c>
      <c r="J87" s="2" t="str">
        <f>'(Raw) LensesGH'!E87</f>
        <v>1:2.78</v>
      </c>
      <c r="K87" s="40">
        <f t="shared" si="15"/>
        <v>2.78</v>
      </c>
      <c r="L87" t="str">
        <f>'(Raw) LensesGH'!F87</f>
        <v>Canon EF-S</v>
      </c>
      <c r="M87" t="str">
        <f>'(Raw) LensesGH'!G87</f>
        <v>APS-C</v>
      </c>
      <c r="N87" t="str">
        <f>'(Raw) LensesGH'!H87</f>
        <v>205g</v>
      </c>
      <c r="O87" s="5">
        <f t="shared" si="16"/>
        <v>205</v>
      </c>
      <c r="P87" t="str">
        <f>'(Raw) LensesGH'!I87</f>
        <v>69 x 75.2mm</v>
      </c>
      <c r="Q87" s="39">
        <f t="shared" si="17"/>
        <v>69</v>
      </c>
      <c r="R87" s="39">
        <f t="shared" si="9"/>
        <v>75.2</v>
      </c>
    </row>
    <row r="88" spans="1:18" x14ac:dyDescent="0.25">
      <c r="A88" t="str">
        <f>'(Raw) LensesGH'!A88</f>
        <v>Canon EF-S 18-55mm 3.5-5.6 schwarz</v>
      </c>
      <c r="B88" t="str">
        <f>'(Raw) LensesGH'!B88</f>
        <v>18 - 55mm</v>
      </c>
      <c r="C88" s="5">
        <f t="shared" si="10"/>
        <v>18</v>
      </c>
      <c r="D88" s="5">
        <f t="shared" si="11"/>
        <v>55</v>
      </c>
      <c r="E88" t="str">
        <f>'(Raw) LensesGH'!C88</f>
        <v>1:3.5-1:5.6</v>
      </c>
      <c r="F88" s="9">
        <f t="shared" si="12"/>
        <v>3.5</v>
      </c>
      <c r="G88" s="9">
        <f t="shared" si="13"/>
        <v>3.5</v>
      </c>
      <c r="H88" t="str">
        <f>'(Raw) LensesGH'!D88</f>
        <v>58mm</v>
      </c>
      <c r="I88" s="2">
        <f t="shared" si="14"/>
        <v>58</v>
      </c>
      <c r="J88" s="2" t="str">
        <f>'(Raw) LensesGH'!E88</f>
        <v>1:4.76</v>
      </c>
      <c r="K88" s="40">
        <f t="shared" si="15"/>
        <v>4.76</v>
      </c>
      <c r="L88" t="str">
        <f>'(Raw) LensesGH'!F88</f>
        <v>Canon EF-S</v>
      </c>
      <c r="M88" t="str">
        <f>'(Raw) LensesGH'!G88</f>
        <v>APS-C</v>
      </c>
      <c r="N88" t="str">
        <f>'(Raw) LensesGH'!H88</f>
        <v>190g</v>
      </c>
      <c r="O88" s="5">
        <f t="shared" si="16"/>
        <v>190</v>
      </c>
      <c r="P88" t="str">
        <f>'(Raw) LensesGH'!I88</f>
        <v>68.5 x 79.9mm</v>
      </c>
      <c r="Q88" s="39">
        <f t="shared" si="17"/>
        <v>68.5</v>
      </c>
      <c r="R88" s="39">
        <f t="shared" si="9"/>
        <v>79.900000000000006</v>
      </c>
    </row>
    <row r="89" spans="1:18" x14ac:dyDescent="0.25">
      <c r="A89" t="str">
        <f>'(Raw) LensesGH'!A89</f>
        <v>Canon EF-S 18-55mm 4.0-5.6 IS STM schwarz</v>
      </c>
      <c r="B89" t="str">
        <f>'(Raw) LensesGH'!B89</f>
        <v>18 - 55mm</v>
      </c>
      <c r="C89" s="5">
        <f t="shared" si="10"/>
        <v>18</v>
      </c>
      <c r="D89" s="5">
        <f t="shared" si="11"/>
        <v>55</v>
      </c>
      <c r="E89" t="str">
        <f>'(Raw) LensesGH'!C89</f>
        <v>1:4.0-1:5.6</v>
      </c>
      <c r="F89" s="9">
        <f t="shared" si="12"/>
        <v>4</v>
      </c>
      <c r="G89" s="9">
        <f t="shared" si="13"/>
        <v>4</v>
      </c>
      <c r="H89" t="str">
        <f>'(Raw) LensesGH'!D89</f>
        <v>58mm</v>
      </c>
      <c r="I89" s="2">
        <f t="shared" si="14"/>
        <v>58</v>
      </c>
      <c r="J89" s="2" t="str">
        <f>'(Raw) LensesGH'!E89</f>
        <v>1:4.00</v>
      </c>
      <c r="K89" s="40">
        <f t="shared" si="15"/>
        <v>4</v>
      </c>
      <c r="L89" t="str">
        <f>'(Raw) LensesGH'!F89</f>
        <v>Canon EF-S</v>
      </c>
      <c r="M89" t="str">
        <f>'(Raw) LensesGH'!G89</f>
        <v>APS-C</v>
      </c>
      <c r="N89" t="str">
        <f>'(Raw) LensesGH'!H89</f>
        <v>215g</v>
      </c>
      <c r="O89" s="5">
        <f t="shared" si="16"/>
        <v>215</v>
      </c>
      <c r="P89" t="str">
        <f>'(Raw) LensesGH'!I89</f>
        <v>66.5 x 61.8mm</v>
      </c>
      <c r="Q89" s="39">
        <f t="shared" si="17"/>
        <v>66.5</v>
      </c>
      <c r="R89" s="39">
        <f t="shared" si="9"/>
        <v>61.8</v>
      </c>
    </row>
    <row r="90" spans="1:18" x14ac:dyDescent="0.25">
      <c r="A90" t="str">
        <f>'(Raw) LensesGH'!A90</f>
        <v>Canon EF-S 24mm 2.8 STM schwarz</v>
      </c>
      <c r="B90" t="str">
        <f>'(Raw) LensesGH'!B90</f>
        <v>24mm</v>
      </c>
      <c r="C90" s="5">
        <f t="shared" si="10"/>
        <v>24</v>
      </c>
      <c r="D90" s="5">
        <f t="shared" si="11"/>
        <v>24</v>
      </c>
      <c r="E90" t="str">
        <f>'(Raw) LensesGH'!C90</f>
        <v>1:2.8</v>
      </c>
      <c r="F90" s="9">
        <f t="shared" si="12"/>
        <v>2.8</v>
      </c>
      <c r="G90" s="9">
        <f t="shared" si="13"/>
        <v>2.8</v>
      </c>
      <c r="H90" t="str">
        <f>'(Raw) LensesGH'!D90</f>
        <v>52mm</v>
      </c>
      <c r="I90" s="2">
        <f t="shared" si="14"/>
        <v>52</v>
      </c>
      <c r="J90" s="2">
        <f>'(Raw) LensesGH'!E90</f>
        <v>0</v>
      </c>
      <c r="K90" s="40">
        <f t="shared" si="15"/>
        <v>0</v>
      </c>
      <c r="L90" t="str">
        <f>'(Raw) LensesGH'!F90</f>
        <v>Canon EF-S</v>
      </c>
      <c r="M90" t="str">
        <f>'(Raw) LensesGH'!G90</f>
        <v>APS-C</v>
      </c>
      <c r="N90" t="str">
        <f>'(Raw) LensesGH'!H90</f>
        <v>125g</v>
      </c>
      <c r="O90" s="5">
        <f t="shared" si="16"/>
        <v>125</v>
      </c>
      <c r="P90" t="str">
        <f>'(Raw) LensesGH'!I90</f>
        <v>68.2 x 22.8mm</v>
      </c>
      <c r="Q90" s="39">
        <f t="shared" si="17"/>
        <v>68.2</v>
      </c>
      <c r="R90" s="39">
        <f t="shared" si="9"/>
        <v>22.8</v>
      </c>
    </row>
    <row r="91" spans="1:18" x14ac:dyDescent="0.25">
      <c r="A91" t="str">
        <f>'(Raw) LensesGH'!A91</f>
        <v>Canon EF-S 35mm 2.8 Macro IS STM schwarz</v>
      </c>
      <c r="B91" t="str">
        <f>'(Raw) LensesGH'!B91</f>
        <v>35mm</v>
      </c>
      <c r="C91" s="5">
        <f t="shared" si="10"/>
        <v>35</v>
      </c>
      <c r="D91" s="5">
        <f t="shared" si="11"/>
        <v>35</v>
      </c>
      <c r="E91" t="str">
        <f>'(Raw) LensesGH'!C91</f>
        <v>1:2.8</v>
      </c>
      <c r="F91" s="9">
        <f t="shared" si="12"/>
        <v>2.8</v>
      </c>
      <c r="G91" s="9">
        <f t="shared" si="13"/>
        <v>2.8</v>
      </c>
      <c r="H91" t="str">
        <f>'(Raw) LensesGH'!D91</f>
        <v>49mm</v>
      </c>
      <c r="I91" s="2">
        <f t="shared" si="14"/>
        <v>49</v>
      </c>
      <c r="J91" s="2" t="str">
        <f>'(Raw) LensesGH'!E91</f>
        <v>1:1.00</v>
      </c>
      <c r="K91" s="40">
        <f t="shared" si="15"/>
        <v>1</v>
      </c>
      <c r="L91" t="str">
        <f>'(Raw) LensesGH'!F91</f>
        <v>Canon EF-S</v>
      </c>
      <c r="M91" t="str">
        <f>'(Raw) LensesGH'!G91</f>
        <v>APS-C</v>
      </c>
      <c r="N91" t="str">
        <f>'(Raw) LensesGH'!H91</f>
        <v>190g</v>
      </c>
      <c r="O91" s="5">
        <f t="shared" si="16"/>
        <v>190</v>
      </c>
      <c r="P91" t="str">
        <f>'(Raw) LensesGH'!I91</f>
        <v>69.2 x 55.8mm</v>
      </c>
      <c r="Q91" s="39">
        <f t="shared" si="17"/>
        <v>69.2</v>
      </c>
      <c r="R91" s="39">
        <f t="shared" si="9"/>
        <v>55.8</v>
      </c>
    </row>
    <row r="92" spans="1:18" x14ac:dyDescent="0.25">
      <c r="A92" t="str">
        <f>'(Raw) LensesGH'!A92</f>
        <v>Canon EF-S 55-250mm 4.0-5.6 IS II schwarz</v>
      </c>
      <c r="B92" t="str">
        <f>'(Raw) LensesGH'!B92</f>
        <v>55 - 250mm</v>
      </c>
      <c r="C92" s="5">
        <f t="shared" si="10"/>
        <v>55</v>
      </c>
      <c r="D92" s="5">
        <f t="shared" si="11"/>
        <v>250</v>
      </c>
      <c r="E92" t="str">
        <f>'(Raw) LensesGH'!C92</f>
        <v>1:4.0-1:5.6</v>
      </c>
      <c r="F92" s="9">
        <f t="shared" si="12"/>
        <v>4</v>
      </c>
      <c r="G92" s="9">
        <f t="shared" si="13"/>
        <v>4</v>
      </c>
      <c r="H92" t="str">
        <f>'(Raw) LensesGH'!D92</f>
        <v>58mm</v>
      </c>
      <c r="I92" s="2">
        <f t="shared" si="14"/>
        <v>58</v>
      </c>
      <c r="J92" s="2" t="str">
        <f>'(Raw) LensesGH'!E92</f>
        <v>1:3.23</v>
      </c>
      <c r="K92" s="40">
        <f t="shared" si="15"/>
        <v>3.23</v>
      </c>
      <c r="L92" t="str">
        <f>'(Raw) LensesGH'!F92</f>
        <v>Canon EF-S</v>
      </c>
      <c r="M92" t="str">
        <f>'(Raw) LensesGH'!G92</f>
        <v>APS-C</v>
      </c>
      <c r="N92" t="str">
        <f>'(Raw) LensesGH'!H92</f>
        <v>390g</v>
      </c>
      <c r="O92" s="5">
        <f t="shared" si="16"/>
        <v>390</v>
      </c>
      <c r="P92" t="str">
        <f>'(Raw) LensesGH'!I92</f>
        <v>70 x 108mm</v>
      </c>
      <c r="Q92" s="39">
        <f t="shared" si="17"/>
        <v>70</v>
      </c>
      <c r="R92" s="39">
        <f t="shared" si="9"/>
        <v>108</v>
      </c>
    </row>
    <row r="93" spans="1:18" x14ac:dyDescent="0.25">
      <c r="A93" t="str">
        <f>'(Raw) LensesGH'!A93</f>
        <v>Canon EF-S 55-250mm 4.0-5.6 IS schwarz</v>
      </c>
      <c r="B93" t="str">
        <f>'(Raw) LensesGH'!B93</f>
        <v>55 - 250mm</v>
      </c>
      <c r="C93" s="5">
        <f t="shared" si="10"/>
        <v>55</v>
      </c>
      <c r="D93" s="5">
        <f t="shared" si="11"/>
        <v>250</v>
      </c>
      <c r="E93" t="str">
        <f>'(Raw) LensesGH'!C93</f>
        <v>1:4.0-1:5.6</v>
      </c>
      <c r="F93" s="9">
        <f t="shared" si="12"/>
        <v>4</v>
      </c>
      <c r="G93" s="9">
        <f t="shared" si="13"/>
        <v>4</v>
      </c>
      <c r="H93" t="str">
        <f>'(Raw) LensesGH'!D93</f>
        <v>58mm</v>
      </c>
      <c r="I93" s="2">
        <f t="shared" si="14"/>
        <v>58</v>
      </c>
      <c r="J93" s="2" t="str">
        <f>'(Raw) LensesGH'!E93</f>
        <v>1:3.23</v>
      </c>
      <c r="K93" s="40">
        <f t="shared" si="15"/>
        <v>3.23</v>
      </c>
      <c r="L93" t="str">
        <f>'(Raw) LensesGH'!F93</f>
        <v>Canon EF-S</v>
      </c>
      <c r="M93" t="str">
        <f>'(Raw) LensesGH'!G93</f>
        <v>APS-C</v>
      </c>
      <c r="N93" t="str">
        <f>'(Raw) LensesGH'!H93</f>
        <v>390g</v>
      </c>
      <c r="O93" s="5">
        <f t="shared" si="16"/>
        <v>390</v>
      </c>
      <c r="P93" t="str">
        <f>'(Raw) LensesGH'!I93</f>
        <v>70 x 108mm</v>
      </c>
      <c r="Q93" s="39">
        <f t="shared" si="17"/>
        <v>70</v>
      </c>
      <c r="R93" s="39">
        <f t="shared" si="9"/>
        <v>108</v>
      </c>
    </row>
    <row r="94" spans="1:18" x14ac:dyDescent="0.25">
      <c r="A94" t="str">
        <f>'(Raw) LensesGH'!A94</f>
        <v>Canon EF-S 55-250mm 4.0-5.6 IS STM mit ET-63 und LC-Kit schwarz</v>
      </c>
      <c r="B94" t="str">
        <f>'(Raw) LensesGH'!B94</f>
        <v>55 - 250mm</v>
      </c>
      <c r="C94" s="5">
        <f t="shared" si="10"/>
        <v>55</v>
      </c>
      <c r="D94" s="5">
        <f t="shared" si="11"/>
        <v>250</v>
      </c>
      <c r="E94" t="str">
        <f>'(Raw) LensesGH'!C94</f>
        <v>1:4.0-1:5.6</v>
      </c>
      <c r="F94" s="9">
        <f t="shared" si="12"/>
        <v>4</v>
      </c>
      <c r="G94" s="9">
        <f t="shared" si="13"/>
        <v>4</v>
      </c>
      <c r="H94" t="str">
        <f>'(Raw) LensesGH'!D94</f>
        <v>58mm</v>
      </c>
      <c r="I94" s="2">
        <f t="shared" si="14"/>
        <v>58</v>
      </c>
      <c r="J94" s="2" t="str">
        <f>'(Raw) LensesGH'!E94</f>
        <v>1:3.45</v>
      </c>
      <c r="K94" s="40">
        <f t="shared" si="15"/>
        <v>3.45</v>
      </c>
      <c r="L94" t="str">
        <f>'(Raw) LensesGH'!F94</f>
        <v>Canon EF-S</v>
      </c>
      <c r="M94" t="str">
        <f>'(Raw) LensesGH'!G94</f>
        <v>APS-C</v>
      </c>
      <c r="N94" t="str">
        <f>'(Raw) LensesGH'!H94</f>
        <v>375g</v>
      </c>
      <c r="O94" s="5">
        <f t="shared" si="16"/>
        <v>375</v>
      </c>
      <c r="P94" t="str">
        <f>'(Raw) LensesGH'!I94</f>
        <v>70 x 111mm</v>
      </c>
      <c r="Q94" s="39">
        <f t="shared" si="17"/>
        <v>70</v>
      </c>
      <c r="R94" s="39">
        <f t="shared" si="9"/>
        <v>111</v>
      </c>
    </row>
    <row r="95" spans="1:18" x14ac:dyDescent="0.25">
      <c r="A95" t="str">
        <f>'(Raw) LensesGH'!A95</f>
        <v>Canon EF-S 55-250mm 4.0-5.6 IS STM schwarz</v>
      </c>
      <c r="B95" t="str">
        <f>'(Raw) LensesGH'!B95</f>
        <v>55 - 250mm</v>
      </c>
      <c r="C95" s="5">
        <f t="shared" si="10"/>
        <v>55</v>
      </c>
      <c r="D95" s="5">
        <f t="shared" si="11"/>
        <v>250</v>
      </c>
      <c r="E95" t="str">
        <f>'(Raw) LensesGH'!C95</f>
        <v>1:4.0-1:5.6</v>
      </c>
      <c r="F95" s="9">
        <f t="shared" si="12"/>
        <v>4</v>
      </c>
      <c r="G95" s="9">
        <f t="shared" si="13"/>
        <v>4</v>
      </c>
      <c r="H95" t="str">
        <f>'(Raw) LensesGH'!D95</f>
        <v>58mm</v>
      </c>
      <c r="I95" s="2">
        <f t="shared" si="14"/>
        <v>58</v>
      </c>
      <c r="J95" s="2" t="str">
        <f>'(Raw) LensesGH'!E95</f>
        <v>1:3.45</v>
      </c>
      <c r="K95" s="40">
        <f t="shared" si="15"/>
        <v>3.45</v>
      </c>
      <c r="L95" t="str">
        <f>'(Raw) LensesGH'!F95</f>
        <v>Canon EF-S</v>
      </c>
      <c r="M95" t="str">
        <f>'(Raw) LensesGH'!G95</f>
        <v>APS-C</v>
      </c>
      <c r="N95" t="str">
        <f>'(Raw) LensesGH'!H95</f>
        <v>375g</v>
      </c>
      <c r="O95" s="5">
        <f t="shared" si="16"/>
        <v>375</v>
      </c>
      <c r="P95" t="str">
        <f>'(Raw) LensesGH'!I95</f>
        <v>70 x 111mm</v>
      </c>
      <c r="Q95" s="39">
        <f t="shared" si="17"/>
        <v>70</v>
      </c>
      <c r="R95" s="39">
        <f t="shared" si="9"/>
        <v>111</v>
      </c>
    </row>
    <row r="96" spans="1:18" x14ac:dyDescent="0.25">
      <c r="A96" t="str">
        <f>'(Raw) LensesGH'!A96</f>
        <v>Canon EF-S 60mm 2.8 Makro USM schwarz</v>
      </c>
      <c r="B96" t="str">
        <f>'(Raw) LensesGH'!B96</f>
        <v>60mm</v>
      </c>
      <c r="C96" s="5">
        <f t="shared" si="10"/>
        <v>60</v>
      </c>
      <c r="D96" s="5">
        <f t="shared" si="11"/>
        <v>60</v>
      </c>
      <c r="E96" t="str">
        <f>'(Raw) LensesGH'!C96</f>
        <v>1:2.8</v>
      </c>
      <c r="F96" s="9">
        <f t="shared" si="12"/>
        <v>2.8</v>
      </c>
      <c r="G96" s="9">
        <f t="shared" si="13"/>
        <v>2.8</v>
      </c>
      <c r="H96" t="str">
        <f>'(Raw) LensesGH'!D96</f>
        <v>52mm</v>
      </c>
      <c r="I96" s="2">
        <f t="shared" si="14"/>
        <v>52</v>
      </c>
      <c r="J96" s="2" t="str">
        <f>'(Raw) LensesGH'!E96</f>
        <v>1:1.00</v>
      </c>
      <c r="K96" s="40">
        <f t="shared" si="15"/>
        <v>1</v>
      </c>
      <c r="L96" t="str">
        <f>'(Raw) LensesGH'!F96</f>
        <v>Canon EF-S</v>
      </c>
      <c r="M96" t="str">
        <f>'(Raw) LensesGH'!G96</f>
        <v>APS-C</v>
      </c>
      <c r="N96" t="str">
        <f>'(Raw) LensesGH'!H96</f>
        <v>335g</v>
      </c>
      <c r="O96" s="5">
        <f t="shared" si="16"/>
        <v>335</v>
      </c>
      <c r="P96" t="str">
        <f>'(Raw) LensesGH'!I96</f>
        <v>73 x 69.8mm</v>
      </c>
      <c r="Q96" s="39">
        <f t="shared" si="17"/>
        <v>73</v>
      </c>
      <c r="R96" s="39">
        <f t="shared" si="9"/>
        <v>69.8</v>
      </c>
    </row>
    <row r="97" spans="1:18" x14ac:dyDescent="0.25">
      <c r="A97" t="str">
        <f>'(Raw) LensesGH'!A97</f>
        <v>Canon MP-E 65mm 2.8 1-5x Makro schwarz</v>
      </c>
      <c r="B97" t="str">
        <f>'(Raw) LensesGH'!B97</f>
        <v>65mm</v>
      </c>
      <c r="C97" s="5">
        <f t="shared" si="10"/>
        <v>65</v>
      </c>
      <c r="D97" s="5">
        <f t="shared" si="11"/>
        <v>65</v>
      </c>
      <c r="E97" t="str">
        <f>'(Raw) LensesGH'!C97</f>
        <v>1:2.8</v>
      </c>
      <c r="F97" s="9">
        <f t="shared" si="12"/>
        <v>2.8</v>
      </c>
      <c r="G97" s="9">
        <f t="shared" si="13"/>
        <v>2.8</v>
      </c>
      <c r="H97" t="str">
        <f>'(Raw) LensesGH'!D97</f>
        <v>58mm</v>
      </c>
      <c r="I97" s="2">
        <f t="shared" si="14"/>
        <v>58</v>
      </c>
      <c r="J97" s="2" t="str">
        <f>'(Raw) LensesGH'!E97</f>
        <v>1:0.20</v>
      </c>
      <c r="K97" s="40">
        <f t="shared" si="15"/>
        <v>0.2</v>
      </c>
      <c r="L97" t="str">
        <f>'(Raw) LensesGH'!F97</f>
        <v>Canon EF</v>
      </c>
      <c r="M97" t="str">
        <f>'(Raw) LensesGH'!G97</f>
        <v>APS-C/ Kleinbild</v>
      </c>
      <c r="N97" t="str">
        <f>'(Raw) LensesGH'!H97</f>
        <v>730g</v>
      </c>
      <c r="O97" s="5">
        <f t="shared" si="16"/>
        <v>730</v>
      </c>
      <c r="P97" t="str">
        <f>'(Raw) LensesGH'!I97</f>
        <v>81 x 98mm</v>
      </c>
      <c r="Q97" s="39">
        <f t="shared" si="17"/>
        <v>81</v>
      </c>
      <c r="R97" s="39">
        <f t="shared" si="9"/>
        <v>98</v>
      </c>
    </row>
    <row r="98" spans="1:18" x14ac:dyDescent="0.25">
      <c r="A98" t="str">
        <f>'(Raw) LensesGH'!A98</f>
        <v>Canon Objektiv CN-E 135mm T2.2 L F schwarz</v>
      </c>
      <c r="B98" t="str">
        <f>'(Raw) LensesGH'!B98</f>
        <v>135mm</v>
      </c>
      <c r="C98" s="5">
        <f t="shared" si="10"/>
        <v>135</v>
      </c>
      <c r="D98" s="5">
        <f t="shared" si="11"/>
        <v>135</v>
      </c>
      <c r="E98" t="str">
        <f>'(Raw) LensesGH'!C98</f>
        <v>1:2.2</v>
      </c>
      <c r="F98" s="9">
        <f t="shared" si="12"/>
        <v>2.2000000000000002</v>
      </c>
      <c r="G98" s="9">
        <f t="shared" si="13"/>
        <v>2.2000000000000002</v>
      </c>
      <c r="H98">
        <f>'(Raw) LensesGH'!D98</f>
        <v>0</v>
      </c>
      <c r="I98" s="2">
        <f t="shared" si="14"/>
        <v>0</v>
      </c>
      <c r="J98" s="2">
        <f>'(Raw) LensesGH'!E98</f>
        <v>0</v>
      </c>
      <c r="K98" s="40">
        <f t="shared" si="15"/>
        <v>0</v>
      </c>
      <c r="L98" t="str">
        <f>'(Raw) LensesGH'!F98</f>
        <v>Canon EF</v>
      </c>
      <c r="M98" t="str">
        <f>'(Raw) LensesGH'!G98</f>
        <v>APS-C/ Kleinbild</v>
      </c>
      <c r="N98">
        <f>'(Raw) LensesGH'!H98</f>
        <v>0</v>
      </c>
      <c r="O98" s="5">
        <f t="shared" si="16"/>
        <v>0</v>
      </c>
      <c r="P98">
        <f>'(Raw) LensesGH'!I98</f>
        <v>0</v>
      </c>
      <c r="Q98" s="39">
        <f t="shared" si="17"/>
        <v>0</v>
      </c>
      <c r="R98" s="39">
        <f t="shared" si="9"/>
        <v>0</v>
      </c>
    </row>
    <row r="99" spans="1:18" x14ac:dyDescent="0.25">
      <c r="A99" t="str">
        <f>'(Raw) LensesGH'!A99</f>
        <v>Canon Objektiv CN-E 14mm T3.1 L F schwarz</v>
      </c>
      <c r="B99" t="str">
        <f>'(Raw) LensesGH'!B99</f>
        <v>14mm</v>
      </c>
      <c r="C99" s="5">
        <f t="shared" si="10"/>
        <v>14</v>
      </c>
      <c r="D99" s="5">
        <f t="shared" si="11"/>
        <v>14</v>
      </c>
      <c r="E99" t="str">
        <f>'(Raw) LensesGH'!C99</f>
        <v>1:3.1</v>
      </c>
      <c r="F99" s="9">
        <f t="shared" si="12"/>
        <v>3.1</v>
      </c>
      <c r="G99" s="9">
        <f t="shared" si="13"/>
        <v>3.1</v>
      </c>
      <c r="H99">
        <f>'(Raw) LensesGH'!D99</f>
        <v>0</v>
      </c>
      <c r="I99" s="2">
        <f t="shared" si="14"/>
        <v>0</v>
      </c>
      <c r="J99" s="2">
        <f>'(Raw) LensesGH'!E99</f>
        <v>0</v>
      </c>
      <c r="K99" s="40">
        <f t="shared" si="15"/>
        <v>0</v>
      </c>
      <c r="L99" t="str">
        <f>'(Raw) LensesGH'!F99</f>
        <v>Canon EF</v>
      </c>
      <c r="M99" t="str">
        <f>'(Raw) LensesGH'!G99</f>
        <v>APS-C/ Kleinbild</v>
      </c>
      <c r="N99">
        <f>'(Raw) LensesGH'!H99</f>
        <v>0</v>
      </c>
      <c r="O99" s="5">
        <f t="shared" si="16"/>
        <v>0</v>
      </c>
      <c r="P99">
        <f>'(Raw) LensesGH'!I99</f>
        <v>0</v>
      </c>
      <c r="Q99" s="39">
        <f t="shared" si="17"/>
        <v>0</v>
      </c>
      <c r="R99" s="39">
        <f t="shared" si="9"/>
        <v>0</v>
      </c>
    </row>
    <row r="100" spans="1:18" x14ac:dyDescent="0.25">
      <c r="A100" t="str">
        <f>'(Raw) LensesGH'!A100</f>
        <v>Canon Objektiv CN-E 18-80mm T4.4 L IS KAS S schwarz</v>
      </c>
      <c r="B100" t="str">
        <f>'(Raw) LensesGH'!B100</f>
        <v>18 - 80mm</v>
      </c>
      <c r="C100" s="5">
        <f t="shared" si="10"/>
        <v>18</v>
      </c>
      <c r="D100" s="5">
        <f t="shared" si="11"/>
        <v>80</v>
      </c>
      <c r="E100" t="str">
        <f>'(Raw) LensesGH'!C100</f>
        <v>1:4.4</v>
      </c>
      <c r="F100" s="9">
        <f t="shared" si="12"/>
        <v>4.4000000000000004</v>
      </c>
      <c r="G100" s="9">
        <f t="shared" si="13"/>
        <v>4.4000000000000004</v>
      </c>
      <c r="H100">
        <f>'(Raw) LensesGH'!D100</f>
        <v>0</v>
      </c>
      <c r="I100" s="2">
        <f t="shared" si="14"/>
        <v>0</v>
      </c>
      <c r="J100" s="2">
        <f>'(Raw) LensesGH'!E100</f>
        <v>0</v>
      </c>
      <c r="K100" s="40">
        <f t="shared" si="15"/>
        <v>0</v>
      </c>
      <c r="L100" t="str">
        <f>'(Raw) LensesGH'!F100</f>
        <v>Canon EF</v>
      </c>
      <c r="M100" t="str">
        <f>'(Raw) LensesGH'!G100</f>
        <v>APS-C/ Kleinbild</v>
      </c>
      <c r="N100" t="str">
        <f>'(Raw) LensesGH'!H100</f>
        <v>1200g</v>
      </c>
      <c r="O100" s="5">
        <f t="shared" si="16"/>
        <v>1200</v>
      </c>
      <c r="P100" t="str">
        <f>'(Raw) LensesGH'!I100</f>
        <v>107.2 x 182.3mm</v>
      </c>
      <c r="Q100" s="39">
        <f t="shared" si="17"/>
        <v>107.2</v>
      </c>
      <c r="R100" s="39">
        <f t="shared" si="9"/>
        <v>182.3</v>
      </c>
    </row>
    <row r="101" spans="1:18" x14ac:dyDescent="0.25">
      <c r="A101" t="str">
        <f>'(Raw) LensesGH'!A101</f>
        <v>Canon Objektiv CN-E 24mm T1.5 L F schwarz</v>
      </c>
      <c r="B101" t="str">
        <f>'(Raw) LensesGH'!B101</f>
        <v>24mm</v>
      </c>
      <c r="C101" s="5">
        <f t="shared" si="10"/>
        <v>24</v>
      </c>
      <c r="D101" s="5">
        <f t="shared" si="11"/>
        <v>24</v>
      </c>
      <c r="E101" t="str">
        <f>'(Raw) LensesGH'!C101</f>
        <v>1:1.5</v>
      </c>
      <c r="F101" s="9">
        <f t="shared" si="12"/>
        <v>1.5</v>
      </c>
      <c r="G101" s="9">
        <f t="shared" si="13"/>
        <v>1.5</v>
      </c>
      <c r="H101">
        <f>'(Raw) LensesGH'!D101</f>
        <v>0</v>
      </c>
      <c r="I101" s="2">
        <f t="shared" si="14"/>
        <v>0</v>
      </c>
      <c r="J101" s="2">
        <f>'(Raw) LensesGH'!E101</f>
        <v>0</v>
      </c>
      <c r="K101" s="40">
        <f t="shared" si="15"/>
        <v>0</v>
      </c>
      <c r="L101" t="str">
        <f>'(Raw) LensesGH'!F101</f>
        <v>Canon EF</v>
      </c>
      <c r="M101" t="str">
        <f>'(Raw) LensesGH'!G101</f>
        <v>APS-C/ Kleinbild</v>
      </c>
      <c r="N101" t="str">
        <f>'(Raw) LensesGH'!H101</f>
        <v>1200g</v>
      </c>
      <c r="O101" s="5">
        <f t="shared" si="16"/>
        <v>1200</v>
      </c>
      <c r="P101" t="str">
        <f>'(Raw) LensesGH'!I101</f>
        <v>118 x 102mm</v>
      </c>
      <c r="Q101" s="39">
        <f t="shared" si="17"/>
        <v>118</v>
      </c>
      <c r="R101" s="39">
        <f t="shared" si="9"/>
        <v>102</v>
      </c>
    </row>
    <row r="102" spans="1:18" x14ac:dyDescent="0.25">
      <c r="A102" t="str">
        <f>'(Raw) LensesGH'!A102</f>
        <v>Canon Objektiv CN-E 35mm T1.5 L F schwarz</v>
      </c>
      <c r="B102" t="str">
        <f>'(Raw) LensesGH'!B102</f>
        <v>35mm</v>
      </c>
      <c r="C102" s="5">
        <f t="shared" si="10"/>
        <v>35</v>
      </c>
      <c r="D102" s="5">
        <f t="shared" si="11"/>
        <v>35</v>
      </c>
      <c r="E102" t="str">
        <f>'(Raw) LensesGH'!C102</f>
        <v>1:1.5</v>
      </c>
      <c r="F102" s="9">
        <f t="shared" si="12"/>
        <v>1.5</v>
      </c>
      <c r="G102" s="9">
        <f t="shared" si="13"/>
        <v>1.5</v>
      </c>
      <c r="H102">
        <f>'(Raw) LensesGH'!D102</f>
        <v>0</v>
      </c>
      <c r="I102" s="2">
        <f t="shared" si="14"/>
        <v>0</v>
      </c>
      <c r="J102" s="2">
        <f>'(Raw) LensesGH'!E102</f>
        <v>0</v>
      </c>
      <c r="K102" s="40">
        <f t="shared" si="15"/>
        <v>0</v>
      </c>
      <c r="L102" t="str">
        <f>'(Raw) LensesGH'!F102</f>
        <v>Canon EF</v>
      </c>
      <c r="M102" t="str">
        <f>'(Raw) LensesGH'!G102</f>
        <v>APS-C/ Kleinbild</v>
      </c>
      <c r="N102">
        <f>'(Raw) LensesGH'!H102</f>
        <v>0</v>
      </c>
      <c r="O102" s="5">
        <f t="shared" si="16"/>
        <v>0</v>
      </c>
      <c r="P102">
        <f>'(Raw) LensesGH'!I102</f>
        <v>0</v>
      </c>
      <c r="Q102" s="39">
        <f t="shared" si="17"/>
        <v>0</v>
      </c>
      <c r="R102" s="39">
        <f t="shared" si="9"/>
        <v>0</v>
      </c>
    </row>
    <row r="103" spans="1:18" x14ac:dyDescent="0.25">
      <c r="A103" t="str">
        <f>'(Raw) LensesGH'!A103</f>
        <v>Canon Objektiv CN-E 50mm T1.3 L F schwarz</v>
      </c>
      <c r="B103" t="str">
        <f>'(Raw) LensesGH'!B103</f>
        <v>50mm</v>
      </c>
      <c r="C103" s="5">
        <f t="shared" si="10"/>
        <v>50</v>
      </c>
      <c r="D103" s="5">
        <f t="shared" si="11"/>
        <v>50</v>
      </c>
      <c r="E103" t="str">
        <f>'(Raw) LensesGH'!C103</f>
        <v>1:1.3</v>
      </c>
      <c r="F103" s="9">
        <f t="shared" si="12"/>
        <v>1.3</v>
      </c>
      <c r="G103" s="9">
        <f t="shared" si="13"/>
        <v>1.3</v>
      </c>
      <c r="H103">
        <f>'(Raw) LensesGH'!D103</f>
        <v>0</v>
      </c>
      <c r="I103" s="2">
        <f t="shared" si="14"/>
        <v>0</v>
      </c>
      <c r="J103" s="2">
        <f>'(Raw) LensesGH'!E103</f>
        <v>0</v>
      </c>
      <c r="K103" s="40">
        <f t="shared" si="15"/>
        <v>0</v>
      </c>
      <c r="L103" t="str">
        <f>'(Raw) LensesGH'!F103</f>
        <v>Canon EF</v>
      </c>
      <c r="M103" t="str">
        <f>'(Raw) LensesGH'!G103</f>
        <v>APS-C/ Kleinbild</v>
      </c>
      <c r="N103" t="str">
        <f>'(Raw) LensesGH'!H103</f>
        <v>1100g</v>
      </c>
      <c r="O103" s="5">
        <f t="shared" si="16"/>
        <v>1100</v>
      </c>
      <c r="P103" t="str">
        <f>'(Raw) LensesGH'!I103</f>
        <v>118 x 102mm</v>
      </c>
      <c r="Q103" s="39">
        <f t="shared" si="17"/>
        <v>118</v>
      </c>
      <c r="R103" s="39">
        <f t="shared" si="9"/>
        <v>102</v>
      </c>
    </row>
    <row r="104" spans="1:18" x14ac:dyDescent="0.25">
      <c r="A104" t="str">
        <f>'(Raw) LensesGH'!A104</f>
        <v>Canon Objektiv CN-E 85mm T1.3 L F schwarz</v>
      </c>
      <c r="B104" t="str">
        <f>'(Raw) LensesGH'!B104</f>
        <v>85mm</v>
      </c>
      <c r="C104" s="5">
        <f t="shared" si="10"/>
        <v>85</v>
      </c>
      <c r="D104" s="5">
        <f t="shared" si="11"/>
        <v>85</v>
      </c>
      <c r="E104" t="str">
        <f>'(Raw) LensesGH'!C104</f>
        <v>1:1.3</v>
      </c>
      <c r="F104" s="9">
        <f t="shared" si="12"/>
        <v>1.3</v>
      </c>
      <c r="G104" s="9">
        <f t="shared" si="13"/>
        <v>1.3</v>
      </c>
      <c r="H104">
        <f>'(Raw) LensesGH'!D104</f>
        <v>0</v>
      </c>
      <c r="I104" s="2">
        <f t="shared" si="14"/>
        <v>0</v>
      </c>
      <c r="J104" s="2">
        <f>'(Raw) LensesGH'!E104</f>
        <v>0</v>
      </c>
      <c r="K104" s="40">
        <f t="shared" si="15"/>
        <v>0</v>
      </c>
      <c r="L104" t="str">
        <f>'(Raw) LensesGH'!F104</f>
        <v>Canon EF</v>
      </c>
      <c r="M104" t="str">
        <f>'(Raw) LensesGH'!G104</f>
        <v>APS-C/ Kleinbild</v>
      </c>
      <c r="N104" t="str">
        <f>'(Raw) LensesGH'!H104</f>
        <v>1300g</v>
      </c>
      <c r="O104" s="5">
        <f t="shared" si="16"/>
        <v>1300</v>
      </c>
      <c r="P104" t="str">
        <f>'(Raw) LensesGH'!I104</f>
        <v>118 x 102mm</v>
      </c>
      <c r="Q104" s="39">
        <f t="shared" si="17"/>
        <v>118</v>
      </c>
      <c r="R104" s="39">
        <f t="shared" si="9"/>
        <v>102</v>
      </c>
    </row>
    <row r="105" spans="1:18" x14ac:dyDescent="0.25">
      <c r="A105" t="str">
        <f>'(Raw) LensesGH'!A105</f>
        <v>Canon TS-E 135mm 4.0 L Makro schwarz</v>
      </c>
      <c r="B105" t="str">
        <f>'(Raw) LensesGH'!B105</f>
        <v>135mm</v>
      </c>
      <c r="C105" s="5">
        <f t="shared" si="10"/>
        <v>135</v>
      </c>
      <c r="D105" s="5">
        <f t="shared" si="11"/>
        <v>135</v>
      </c>
      <c r="E105" t="str">
        <f>'(Raw) LensesGH'!C105</f>
        <v>1:4.0</v>
      </c>
      <c r="F105" s="9">
        <f t="shared" si="12"/>
        <v>4</v>
      </c>
      <c r="G105" s="9">
        <f t="shared" si="13"/>
        <v>4</v>
      </c>
      <c r="H105" t="str">
        <f>'(Raw) LensesGH'!D105</f>
        <v>82mm</v>
      </c>
      <c r="I105" s="2">
        <f t="shared" si="14"/>
        <v>82</v>
      </c>
      <c r="J105" s="2" t="str">
        <f>'(Raw) LensesGH'!E105</f>
        <v>1:2.00</v>
      </c>
      <c r="K105" s="40">
        <f t="shared" si="15"/>
        <v>2</v>
      </c>
      <c r="L105" t="str">
        <f>'(Raw) LensesGH'!F105</f>
        <v>Canon EF</v>
      </c>
      <c r="M105" t="str">
        <f>'(Raw) LensesGH'!G105</f>
        <v>APS-C/ Kleinbild</v>
      </c>
      <c r="N105" t="str">
        <f>'(Raw) LensesGH'!H105</f>
        <v>1100g</v>
      </c>
      <c r="O105" s="5">
        <f t="shared" si="16"/>
        <v>1100</v>
      </c>
      <c r="P105" t="str">
        <f>'(Raw) LensesGH'!I105</f>
        <v>88.5 x 139.1mm</v>
      </c>
      <c r="Q105" s="39">
        <f t="shared" si="17"/>
        <v>88.5</v>
      </c>
      <c r="R105" s="39">
        <f t="shared" si="9"/>
        <v>139.1</v>
      </c>
    </row>
    <row r="106" spans="1:18" x14ac:dyDescent="0.25">
      <c r="A106" t="str">
        <f>'(Raw) LensesGH'!A106</f>
        <v>Canon TS-E 17mm 4.0 L Tilt/Shift schwarz</v>
      </c>
      <c r="B106" t="str">
        <f>'(Raw) LensesGH'!B106</f>
        <v>17mm</v>
      </c>
      <c r="C106" s="5">
        <f t="shared" si="10"/>
        <v>17</v>
      </c>
      <c r="D106" s="5">
        <f t="shared" si="11"/>
        <v>17</v>
      </c>
      <c r="E106" t="str">
        <f>'(Raw) LensesGH'!C106</f>
        <v>1:4.0</v>
      </c>
      <c r="F106" s="9">
        <f t="shared" si="12"/>
        <v>4</v>
      </c>
      <c r="G106" s="9">
        <f t="shared" si="13"/>
        <v>4</v>
      </c>
      <c r="H106">
        <f>'(Raw) LensesGH'!D106</f>
        <v>0</v>
      </c>
      <c r="I106" s="2">
        <f t="shared" si="14"/>
        <v>0</v>
      </c>
      <c r="J106" s="2" t="str">
        <f>'(Raw) LensesGH'!E106</f>
        <v>1:7.14</v>
      </c>
      <c r="K106" s="40">
        <f t="shared" si="15"/>
        <v>7.14</v>
      </c>
      <c r="L106" t="str">
        <f>'(Raw) LensesGH'!F106</f>
        <v>Canon EF</v>
      </c>
      <c r="M106" t="str">
        <f>'(Raw) LensesGH'!G106</f>
        <v>APS-C/ Kleinbild</v>
      </c>
      <c r="N106" t="str">
        <f>'(Raw) LensesGH'!H106</f>
        <v>820g</v>
      </c>
      <c r="O106" s="5">
        <f t="shared" si="16"/>
        <v>820</v>
      </c>
      <c r="P106" t="str">
        <f>'(Raw) LensesGH'!I106</f>
        <v>88.9 x 106.7mm</v>
      </c>
      <c r="Q106" s="39">
        <f t="shared" si="17"/>
        <v>88.9</v>
      </c>
      <c r="R106" s="39">
        <f t="shared" si="9"/>
        <v>106.7</v>
      </c>
    </row>
    <row r="107" spans="1:18" x14ac:dyDescent="0.25">
      <c r="A107" t="str">
        <f>'(Raw) LensesGH'!A107</f>
        <v>Canon TS-E 24mm 3.5 L II Tilt/Shift schwarz</v>
      </c>
      <c r="B107" t="str">
        <f>'(Raw) LensesGH'!B107</f>
        <v>24mm</v>
      </c>
      <c r="C107" s="5">
        <f t="shared" si="10"/>
        <v>24</v>
      </c>
      <c r="D107" s="5">
        <f t="shared" si="11"/>
        <v>24</v>
      </c>
      <c r="E107" t="str">
        <f>'(Raw) LensesGH'!C107</f>
        <v>1:3.5</v>
      </c>
      <c r="F107" s="9">
        <f t="shared" si="12"/>
        <v>3.5</v>
      </c>
      <c r="G107" s="9">
        <f t="shared" si="13"/>
        <v>3.5</v>
      </c>
      <c r="H107" t="str">
        <f>'(Raw) LensesGH'!D107</f>
        <v>82mm</v>
      </c>
      <c r="I107" s="2">
        <f t="shared" si="14"/>
        <v>82</v>
      </c>
      <c r="J107" s="2" t="str">
        <f>'(Raw) LensesGH'!E107</f>
        <v>1:2.94</v>
      </c>
      <c r="K107" s="40">
        <f t="shared" si="15"/>
        <v>2.94</v>
      </c>
      <c r="L107" t="str">
        <f>'(Raw) LensesGH'!F107</f>
        <v>Canon EF</v>
      </c>
      <c r="M107" t="str">
        <f>'(Raw) LensesGH'!G107</f>
        <v>APS-C/ Kleinbild</v>
      </c>
      <c r="N107" t="str">
        <f>'(Raw) LensesGH'!H107</f>
        <v>780g</v>
      </c>
      <c r="O107" s="5">
        <f t="shared" si="16"/>
        <v>780</v>
      </c>
      <c r="P107" t="str">
        <f>'(Raw) LensesGH'!I107</f>
        <v>88.5 x 106.9mm</v>
      </c>
      <c r="Q107" s="39">
        <f t="shared" si="17"/>
        <v>88.5</v>
      </c>
      <c r="R107" s="39">
        <f t="shared" si="9"/>
        <v>106.9</v>
      </c>
    </row>
    <row r="108" spans="1:18" x14ac:dyDescent="0.25">
      <c r="A108" t="str">
        <f>'(Raw) LensesGH'!A108</f>
        <v>Canon TS-E 45mm 2.8 Tilt/Shift schwarz</v>
      </c>
      <c r="B108" t="str">
        <f>'(Raw) LensesGH'!B108</f>
        <v>45mm</v>
      </c>
      <c r="C108" s="5">
        <f t="shared" si="10"/>
        <v>45</v>
      </c>
      <c r="D108" s="5">
        <f t="shared" si="11"/>
        <v>45</v>
      </c>
      <c r="E108" t="str">
        <f>'(Raw) LensesGH'!C108</f>
        <v>1:2.8</v>
      </c>
      <c r="F108" s="9">
        <f t="shared" si="12"/>
        <v>2.8</v>
      </c>
      <c r="G108" s="9">
        <f t="shared" si="13"/>
        <v>2.8</v>
      </c>
      <c r="H108" t="str">
        <f>'(Raw) LensesGH'!D108</f>
        <v>72mm</v>
      </c>
      <c r="I108" s="2">
        <f t="shared" si="14"/>
        <v>72</v>
      </c>
      <c r="J108" s="2" t="str">
        <f>'(Raw) LensesGH'!E108</f>
        <v>1:6.25</v>
      </c>
      <c r="K108" s="40">
        <f t="shared" si="15"/>
        <v>6.25</v>
      </c>
      <c r="L108" t="str">
        <f>'(Raw) LensesGH'!F108</f>
        <v>Canon EF</v>
      </c>
      <c r="M108" t="str">
        <f>'(Raw) LensesGH'!G108</f>
        <v>APS-C/ Kleinbild</v>
      </c>
      <c r="N108" t="str">
        <f>'(Raw) LensesGH'!H108</f>
        <v>645g</v>
      </c>
      <c r="O108" s="5">
        <f t="shared" si="16"/>
        <v>645</v>
      </c>
      <c r="P108" t="str">
        <f>'(Raw) LensesGH'!I108</f>
        <v>81 x 90.1mm</v>
      </c>
      <c r="Q108" s="39">
        <f t="shared" si="17"/>
        <v>81</v>
      </c>
      <c r="R108" s="39">
        <f t="shared" si="9"/>
        <v>90.1</v>
      </c>
    </row>
    <row r="109" spans="1:18" x14ac:dyDescent="0.25">
      <c r="A109" t="str">
        <f>'(Raw) LensesGH'!A109</f>
        <v>Canon TS-E 50mm 2.8 L Makro schwarz</v>
      </c>
      <c r="B109" t="str">
        <f>'(Raw) LensesGH'!B109</f>
        <v>50mm</v>
      </c>
      <c r="C109" s="5">
        <f t="shared" si="10"/>
        <v>50</v>
      </c>
      <c r="D109" s="5">
        <f t="shared" si="11"/>
        <v>50</v>
      </c>
      <c r="E109" t="str">
        <f>'(Raw) LensesGH'!C109</f>
        <v>1:2.8</v>
      </c>
      <c r="F109" s="9">
        <f t="shared" si="12"/>
        <v>2.8</v>
      </c>
      <c r="G109" s="9">
        <f t="shared" si="13"/>
        <v>2.8</v>
      </c>
      <c r="H109" t="str">
        <f>'(Raw) LensesGH'!D109</f>
        <v>77mm</v>
      </c>
      <c r="I109" s="2">
        <f t="shared" si="14"/>
        <v>77</v>
      </c>
      <c r="J109" s="2" t="str">
        <f>'(Raw) LensesGH'!E109</f>
        <v>1:2.00</v>
      </c>
      <c r="K109" s="40">
        <f t="shared" si="15"/>
        <v>2</v>
      </c>
      <c r="L109" t="str">
        <f>'(Raw) LensesGH'!F109</f>
        <v>Canon EF</v>
      </c>
      <c r="M109" t="str">
        <f>'(Raw) LensesGH'!G109</f>
        <v>APS-C/ Kleinbild</v>
      </c>
      <c r="N109" t="str">
        <f>'(Raw) LensesGH'!H109</f>
        <v>945g</v>
      </c>
      <c r="O109" s="5">
        <f t="shared" si="16"/>
        <v>945</v>
      </c>
      <c r="P109" t="str">
        <f>'(Raw) LensesGH'!I109</f>
        <v>86.9 x 114.9mm</v>
      </c>
      <c r="Q109" s="39">
        <f t="shared" si="17"/>
        <v>86.9</v>
      </c>
      <c r="R109" s="39">
        <f t="shared" si="9"/>
        <v>114.9</v>
      </c>
    </row>
    <row r="110" spans="1:18" x14ac:dyDescent="0.25">
      <c r="A110" t="str">
        <f>'(Raw) LensesGH'!A110</f>
        <v>Canon TS-E 90mm 2.8 L Makro schwarz</v>
      </c>
      <c r="B110" t="str">
        <f>'(Raw) LensesGH'!B110</f>
        <v>90mm</v>
      </c>
      <c r="C110" s="5">
        <f t="shared" si="10"/>
        <v>90</v>
      </c>
      <c r="D110" s="5">
        <f t="shared" si="11"/>
        <v>90</v>
      </c>
      <c r="E110" t="str">
        <f>'(Raw) LensesGH'!C110</f>
        <v>1:2.8</v>
      </c>
      <c r="F110" s="9">
        <f t="shared" si="12"/>
        <v>2.8</v>
      </c>
      <c r="G110" s="9">
        <f t="shared" si="13"/>
        <v>2.8</v>
      </c>
      <c r="H110" t="str">
        <f>'(Raw) LensesGH'!D110</f>
        <v>77mm</v>
      </c>
      <c r="I110" s="2">
        <f t="shared" si="14"/>
        <v>77</v>
      </c>
      <c r="J110" s="2" t="str">
        <f>'(Raw) LensesGH'!E110</f>
        <v>1:2.00</v>
      </c>
      <c r="K110" s="40">
        <f t="shared" si="15"/>
        <v>2</v>
      </c>
      <c r="L110" t="str">
        <f>'(Raw) LensesGH'!F110</f>
        <v>Canon EF</v>
      </c>
      <c r="M110" t="str">
        <f>'(Raw) LensesGH'!G110</f>
        <v>APS-C/ Kleinbild</v>
      </c>
      <c r="N110" t="str">
        <f>'(Raw) LensesGH'!H110</f>
        <v>915g</v>
      </c>
      <c r="O110" s="5">
        <f t="shared" si="16"/>
        <v>915</v>
      </c>
      <c r="P110" t="str">
        <f>'(Raw) LensesGH'!I110</f>
        <v>86.9 x 116.5mm</v>
      </c>
      <c r="Q110" s="39">
        <f t="shared" si="17"/>
        <v>86.9</v>
      </c>
      <c r="R110" s="39">
        <f t="shared" si="9"/>
        <v>116.5</v>
      </c>
    </row>
    <row r="111" spans="1:18" x14ac:dyDescent="0.25">
      <c r="A111" t="str">
        <f>'(Raw) LensesGH'!A111</f>
        <v>Canon TS-E 90mm 2.8 Tilt/Shift schwarz</v>
      </c>
      <c r="B111" t="str">
        <f>'(Raw) LensesGH'!B111</f>
        <v>90mm</v>
      </c>
      <c r="C111" s="5">
        <f t="shared" si="10"/>
        <v>90</v>
      </c>
      <c r="D111" s="5">
        <f t="shared" si="11"/>
        <v>90</v>
      </c>
      <c r="E111" t="str">
        <f>'(Raw) LensesGH'!C111</f>
        <v>1:2.8</v>
      </c>
      <c r="F111" s="9">
        <f t="shared" si="12"/>
        <v>2.8</v>
      </c>
      <c r="G111" s="9">
        <f t="shared" si="13"/>
        <v>2.8</v>
      </c>
      <c r="H111" t="str">
        <f>'(Raw) LensesGH'!D111</f>
        <v>58mm</v>
      </c>
      <c r="I111" s="2">
        <f t="shared" si="14"/>
        <v>58</v>
      </c>
      <c r="J111" s="2" t="str">
        <f>'(Raw) LensesGH'!E111</f>
        <v>1:6.25</v>
      </c>
      <c r="K111" s="40">
        <f t="shared" si="15"/>
        <v>6.25</v>
      </c>
      <c r="L111" t="str">
        <f>'(Raw) LensesGH'!F111</f>
        <v>Canon EF</v>
      </c>
      <c r="M111" t="str">
        <f>'(Raw) LensesGH'!G111</f>
        <v>APS-C/ Kleinbild</v>
      </c>
      <c r="N111" t="str">
        <f>'(Raw) LensesGH'!H111</f>
        <v>565g</v>
      </c>
      <c r="O111" s="5">
        <f t="shared" si="16"/>
        <v>565</v>
      </c>
      <c r="P111" t="str">
        <f>'(Raw) LensesGH'!I111</f>
        <v>73.6 x 88mm</v>
      </c>
      <c r="Q111" s="39">
        <f t="shared" si="17"/>
        <v>73.599999999999994</v>
      </c>
      <c r="R111" s="39">
        <f t="shared" si="9"/>
        <v>88</v>
      </c>
    </row>
    <row r="112" spans="1:18" x14ac:dyDescent="0.25">
      <c r="A112" t="str">
        <f>'(Raw) LensesGH'!A112</f>
        <v>Dörr 12mm 7.4 Fisheye für Sony E schwarz</v>
      </c>
      <c r="B112" t="str">
        <f>'(Raw) LensesGH'!B112</f>
        <v>12mm</v>
      </c>
      <c r="C112" s="5">
        <f t="shared" si="10"/>
        <v>12</v>
      </c>
      <c r="D112" s="5">
        <f t="shared" si="11"/>
        <v>12</v>
      </c>
      <c r="E112" t="str">
        <f>'(Raw) LensesGH'!C112</f>
        <v>1:7.4</v>
      </c>
      <c r="F112" s="9">
        <f t="shared" si="12"/>
        <v>7.4</v>
      </c>
      <c r="G112" s="9">
        <f t="shared" si="13"/>
        <v>7.4</v>
      </c>
      <c r="H112">
        <f>'(Raw) LensesGH'!D112</f>
        <v>0</v>
      </c>
      <c r="I112" s="2">
        <f t="shared" si="14"/>
        <v>0</v>
      </c>
      <c r="J112" s="2">
        <f>'(Raw) LensesGH'!E112</f>
        <v>0</v>
      </c>
      <c r="K112" s="40">
        <f t="shared" si="15"/>
        <v>0</v>
      </c>
      <c r="L112" t="str">
        <f>'(Raw) LensesGH'!F112</f>
        <v>Sony E</v>
      </c>
      <c r="M112" t="str">
        <f>'(Raw) LensesGH'!G112</f>
        <v>APS-C</v>
      </c>
      <c r="N112" t="str">
        <f>'(Raw) LensesGH'!H112</f>
        <v>220g</v>
      </c>
      <c r="O112" s="5">
        <f t="shared" si="16"/>
        <v>220</v>
      </c>
      <c r="P112" t="str">
        <f>'(Raw) LensesGH'!I112</f>
        <v>65 x 59mm</v>
      </c>
      <c r="Q112" s="39">
        <f t="shared" si="17"/>
        <v>65</v>
      </c>
      <c r="R112" s="39">
        <f t="shared" si="9"/>
        <v>59</v>
      </c>
    </row>
    <row r="113" spans="1:18" x14ac:dyDescent="0.25">
      <c r="A113" t="str">
        <f>'(Raw) LensesGH'!A113</f>
        <v>Dörr 420-800mm 8.3 T2 schwarz</v>
      </c>
      <c r="B113" t="str">
        <f>'(Raw) LensesGH'!B113</f>
        <v>420 - 800mm</v>
      </c>
      <c r="C113" s="5">
        <f t="shared" si="10"/>
        <v>420</v>
      </c>
      <c r="D113" s="5">
        <f t="shared" si="11"/>
        <v>800</v>
      </c>
      <c r="E113" t="str">
        <f>'(Raw) LensesGH'!C113</f>
        <v>1:8.3</v>
      </c>
      <c r="F113" s="9">
        <f t="shared" si="12"/>
        <v>8.3000000000000007</v>
      </c>
      <c r="G113" s="9">
        <f t="shared" si="13"/>
        <v>8.3000000000000007</v>
      </c>
      <c r="H113" t="str">
        <f>'(Raw) LensesGH'!D113</f>
        <v>67mm</v>
      </c>
      <c r="I113" s="2">
        <f t="shared" si="14"/>
        <v>67</v>
      </c>
      <c r="J113" s="2">
        <f>'(Raw) LensesGH'!E113</f>
        <v>0</v>
      </c>
      <c r="K113" s="40">
        <f t="shared" si="15"/>
        <v>0</v>
      </c>
      <c r="L113" t="str">
        <f>'(Raw) LensesGH'!F113</f>
        <v>T2</v>
      </c>
      <c r="M113">
        <f>'(Raw) LensesGH'!G113</f>
        <v>0</v>
      </c>
      <c r="N113" t="str">
        <f>'(Raw) LensesGH'!H113</f>
        <v>680g</v>
      </c>
      <c r="O113" s="5">
        <f t="shared" si="16"/>
        <v>680</v>
      </c>
      <c r="P113" t="str">
        <f>'(Raw) LensesGH'!I113</f>
        <v>70 x 320mm</v>
      </c>
      <c r="Q113" s="39">
        <f t="shared" si="17"/>
        <v>70</v>
      </c>
      <c r="R113" s="39">
        <f t="shared" si="9"/>
        <v>320</v>
      </c>
    </row>
    <row r="114" spans="1:18" x14ac:dyDescent="0.25">
      <c r="A114" t="str">
        <f>'(Raw) LensesGH'!A114</f>
        <v>Dörr 7.5mm 8.0 Fisheye für Nikon 1 schwarz</v>
      </c>
      <c r="B114" t="str">
        <f>'(Raw) LensesGH'!B114</f>
        <v>7.5mm</v>
      </c>
      <c r="C114" s="5">
        <f t="shared" si="10"/>
        <v>7.5</v>
      </c>
      <c r="D114" s="5">
        <f t="shared" si="11"/>
        <v>7.5</v>
      </c>
      <c r="E114" t="str">
        <f>'(Raw) LensesGH'!C114</f>
        <v>1:8.0</v>
      </c>
      <c r="F114" s="9">
        <f t="shared" si="12"/>
        <v>8</v>
      </c>
      <c r="G114" s="9">
        <f t="shared" si="13"/>
        <v>8</v>
      </c>
      <c r="H114">
        <f>'(Raw) LensesGH'!D114</f>
        <v>0</v>
      </c>
      <c r="I114" s="2">
        <f t="shared" si="14"/>
        <v>0</v>
      </c>
      <c r="J114" s="2">
        <f>'(Raw) LensesGH'!E114</f>
        <v>0</v>
      </c>
      <c r="K114" s="40">
        <f t="shared" si="15"/>
        <v>0</v>
      </c>
      <c r="L114" t="str">
        <f>'(Raw) LensesGH'!F114</f>
        <v>Nikon 1</v>
      </c>
      <c r="M114" t="str">
        <f>'(Raw) LensesGH'!G114</f>
        <v>APS-C</v>
      </c>
      <c r="N114" t="str">
        <f>'(Raw) LensesGH'!H114</f>
        <v>220g</v>
      </c>
      <c r="O114" s="5">
        <f t="shared" si="16"/>
        <v>220</v>
      </c>
      <c r="P114" t="str">
        <f>'(Raw) LensesGH'!I114</f>
        <v>65 x 57mm</v>
      </c>
      <c r="Q114" s="39">
        <f t="shared" si="17"/>
        <v>65</v>
      </c>
      <c r="R114" s="39">
        <f t="shared" si="9"/>
        <v>57</v>
      </c>
    </row>
    <row r="115" spans="1:18" x14ac:dyDescent="0.25">
      <c r="A115" t="str">
        <f>'(Raw) LensesGH'!A115</f>
        <v>Dörr 8mm 3.5 Fisheye für Canon EF schwarz</v>
      </c>
      <c r="B115" t="str">
        <f>'(Raw) LensesGH'!B115</f>
        <v>8mm</v>
      </c>
      <c r="C115" s="5">
        <f t="shared" si="10"/>
        <v>8</v>
      </c>
      <c r="D115" s="5">
        <f t="shared" si="11"/>
        <v>8</v>
      </c>
      <c r="E115" t="str">
        <f>'(Raw) LensesGH'!C115</f>
        <v>1:3.5</v>
      </c>
      <c r="F115" s="9">
        <f t="shared" si="12"/>
        <v>3.5</v>
      </c>
      <c r="G115" s="9">
        <f t="shared" si="13"/>
        <v>3.5</v>
      </c>
      <c r="H115">
        <f>'(Raw) LensesGH'!D115</f>
        <v>0</v>
      </c>
      <c r="I115" s="2">
        <f t="shared" si="14"/>
        <v>0</v>
      </c>
      <c r="J115" s="2">
        <f>'(Raw) LensesGH'!E115</f>
        <v>0</v>
      </c>
      <c r="K115" s="40">
        <f t="shared" si="15"/>
        <v>0</v>
      </c>
      <c r="L115" t="str">
        <f>'(Raw) LensesGH'!F115</f>
        <v>Canon EF</v>
      </c>
      <c r="M115" t="str">
        <f>'(Raw) LensesGH'!G115</f>
        <v>APS-C</v>
      </c>
      <c r="N115" t="str">
        <f>'(Raw) LensesGH'!H115</f>
        <v>430g</v>
      </c>
      <c r="O115" s="5">
        <f t="shared" si="16"/>
        <v>430</v>
      </c>
      <c r="P115">
        <f>'(Raw) LensesGH'!I115</f>
        <v>0</v>
      </c>
      <c r="Q115" s="39">
        <f t="shared" si="17"/>
        <v>0</v>
      </c>
      <c r="R115" s="39">
        <f t="shared" si="9"/>
        <v>0</v>
      </c>
    </row>
    <row r="116" spans="1:18" x14ac:dyDescent="0.25">
      <c r="A116" t="str">
        <f>'(Raw) LensesGH'!A116</f>
        <v>Dörr 8mm 3.5 Fisheye für Nikon F schwarz</v>
      </c>
      <c r="B116" t="str">
        <f>'(Raw) LensesGH'!B116</f>
        <v>8mm</v>
      </c>
      <c r="C116" s="5">
        <f t="shared" si="10"/>
        <v>8</v>
      </c>
      <c r="D116" s="5">
        <f t="shared" si="11"/>
        <v>8</v>
      </c>
      <c r="E116" t="str">
        <f>'(Raw) LensesGH'!C116</f>
        <v>1:3.5</v>
      </c>
      <c r="F116" s="9">
        <f t="shared" si="12"/>
        <v>3.5</v>
      </c>
      <c r="G116" s="9">
        <f t="shared" si="13"/>
        <v>3.5</v>
      </c>
      <c r="H116">
        <f>'(Raw) LensesGH'!D116</f>
        <v>0</v>
      </c>
      <c r="I116" s="2">
        <f t="shared" si="14"/>
        <v>0</v>
      </c>
      <c r="J116" s="2">
        <f>'(Raw) LensesGH'!E116</f>
        <v>0</v>
      </c>
      <c r="K116" s="40">
        <f t="shared" si="15"/>
        <v>0</v>
      </c>
      <c r="L116" t="str">
        <f>'(Raw) LensesGH'!F116</f>
        <v>Nikon F</v>
      </c>
      <c r="M116" t="str">
        <f>'(Raw) LensesGH'!G116</f>
        <v>APS-C</v>
      </c>
      <c r="N116" t="str">
        <f>'(Raw) LensesGH'!H116</f>
        <v>430g</v>
      </c>
      <c r="O116" s="5">
        <f t="shared" si="16"/>
        <v>430</v>
      </c>
      <c r="P116">
        <f>'(Raw) LensesGH'!I116</f>
        <v>0</v>
      </c>
      <c r="Q116" s="39">
        <f t="shared" si="17"/>
        <v>0</v>
      </c>
      <c r="R116" s="39">
        <f t="shared" si="9"/>
        <v>0</v>
      </c>
    </row>
    <row r="117" spans="1:18" x14ac:dyDescent="0.25">
      <c r="A117" t="str">
        <f>'(Raw) LensesGH'!A117</f>
        <v>Dörr 8mm 3.5 Fisheye für Sony A schwarz</v>
      </c>
      <c r="B117" t="str">
        <f>'(Raw) LensesGH'!B117</f>
        <v>8mm</v>
      </c>
      <c r="C117" s="5">
        <f t="shared" si="10"/>
        <v>8</v>
      </c>
      <c r="D117" s="5">
        <f t="shared" si="11"/>
        <v>8</v>
      </c>
      <c r="E117" t="str">
        <f>'(Raw) LensesGH'!C117</f>
        <v>1:3.5</v>
      </c>
      <c r="F117" s="9">
        <f t="shared" si="12"/>
        <v>3.5</v>
      </c>
      <c r="G117" s="9">
        <f t="shared" si="13"/>
        <v>3.5</v>
      </c>
      <c r="H117">
        <f>'(Raw) LensesGH'!D117</f>
        <v>0</v>
      </c>
      <c r="I117" s="2">
        <f t="shared" si="14"/>
        <v>0</v>
      </c>
      <c r="J117" s="2">
        <f>'(Raw) LensesGH'!E117</f>
        <v>0</v>
      </c>
      <c r="K117" s="40">
        <f t="shared" si="15"/>
        <v>0</v>
      </c>
      <c r="L117" t="str">
        <f>'(Raw) LensesGH'!F117</f>
        <v>Sony A</v>
      </c>
      <c r="M117" t="str">
        <f>'(Raw) LensesGH'!G117</f>
        <v>APS-C</v>
      </c>
      <c r="N117" t="str">
        <f>'(Raw) LensesGH'!H117</f>
        <v>430g</v>
      </c>
      <c r="O117" s="5">
        <f t="shared" si="16"/>
        <v>430</v>
      </c>
      <c r="P117">
        <f>'(Raw) LensesGH'!I117</f>
        <v>0</v>
      </c>
      <c r="Q117" s="39">
        <f t="shared" si="17"/>
        <v>0</v>
      </c>
      <c r="R117" s="39">
        <f t="shared" si="9"/>
        <v>0</v>
      </c>
    </row>
    <row r="118" spans="1:18" x14ac:dyDescent="0.25">
      <c r="A118" t="str">
        <f>'(Raw) LensesGH'!A118</f>
        <v>Dörr 9.3mm 8.0 Fisheye für Micro-Four-Thirds schwarz</v>
      </c>
      <c r="B118" t="str">
        <f>'(Raw) LensesGH'!B118</f>
        <v>9.3mm</v>
      </c>
      <c r="C118" s="5">
        <f t="shared" si="10"/>
        <v>9.3000000000000007</v>
      </c>
      <c r="D118" s="5">
        <f t="shared" si="11"/>
        <v>9.3000000000000007</v>
      </c>
      <c r="E118" t="str">
        <f>'(Raw) LensesGH'!C118</f>
        <v>1:8.0</v>
      </c>
      <c r="F118" s="9">
        <f t="shared" si="12"/>
        <v>8</v>
      </c>
      <c r="G118" s="9">
        <f t="shared" si="13"/>
        <v>8</v>
      </c>
      <c r="H118">
        <f>'(Raw) LensesGH'!D118</f>
        <v>0</v>
      </c>
      <c r="I118" s="2">
        <f t="shared" si="14"/>
        <v>0</v>
      </c>
      <c r="J118" s="2">
        <f>'(Raw) LensesGH'!E118</f>
        <v>0</v>
      </c>
      <c r="K118" s="40">
        <f t="shared" si="15"/>
        <v>0</v>
      </c>
      <c r="L118" t="str">
        <f>'(Raw) LensesGH'!F118</f>
        <v>Micro-Four-Thirds</v>
      </c>
      <c r="M118" t="str">
        <f>'(Raw) LensesGH'!G118</f>
        <v>APS-C</v>
      </c>
      <c r="N118" t="str">
        <f>'(Raw) LensesGH'!H118</f>
        <v>220g</v>
      </c>
      <c r="O118" s="5">
        <f t="shared" si="16"/>
        <v>220</v>
      </c>
      <c r="P118" t="str">
        <f>'(Raw) LensesGH'!I118</f>
        <v>65 x 57mm</v>
      </c>
      <c r="Q118" s="39">
        <f t="shared" si="17"/>
        <v>65</v>
      </c>
      <c r="R118" s="39">
        <f t="shared" si="9"/>
        <v>57</v>
      </c>
    </row>
    <row r="119" spans="1:18" x14ac:dyDescent="0.25">
      <c r="A119" t="str">
        <f>'(Raw) LensesGH'!A119</f>
        <v>Dörr Danubia 500mm 6.3 T2 schwarz</v>
      </c>
      <c r="B119" t="str">
        <f>'(Raw) LensesGH'!B119</f>
        <v>500mm</v>
      </c>
      <c r="C119" s="5">
        <f t="shared" si="10"/>
        <v>500</v>
      </c>
      <c r="D119" s="5">
        <f t="shared" si="11"/>
        <v>500</v>
      </c>
      <c r="E119" t="str">
        <f>'(Raw) LensesGH'!C119</f>
        <v>1:6.3</v>
      </c>
      <c r="F119" s="9">
        <f t="shared" si="12"/>
        <v>6.3</v>
      </c>
      <c r="G119" s="9">
        <f t="shared" si="13"/>
        <v>6.3</v>
      </c>
      <c r="H119" t="str">
        <f>'(Raw) LensesGH'!D119</f>
        <v>95mm</v>
      </c>
      <c r="I119" s="2">
        <f t="shared" si="14"/>
        <v>95</v>
      </c>
      <c r="J119" s="2">
        <f>'(Raw) LensesGH'!E119</f>
        <v>0</v>
      </c>
      <c r="K119" s="40">
        <f t="shared" si="15"/>
        <v>0</v>
      </c>
      <c r="L119" t="str">
        <f>'(Raw) LensesGH'!F119</f>
        <v>T2</v>
      </c>
      <c r="M119">
        <f>'(Raw) LensesGH'!G119</f>
        <v>0</v>
      </c>
      <c r="N119" t="str">
        <f>'(Raw) LensesGH'!H119</f>
        <v>596g</v>
      </c>
      <c r="O119" s="5">
        <f t="shared" si="16"/>
        <v>596</v>
      </c>
      <c r="P119" t="str">
        <f>'(Raw) LensesGH'!I119</f>
        <v>97 x 115mm</v>
      </c>
      <c r="Q119" s="39">
        <f t="shared" si="17"/>
        <v>97</v>
      </c>
      <c r="R119" s="39">
        <f t="shared" si="9"/>
        <v>115</v>
      </c>
    </row>
    <row r="120" spans="1:18" x14ac:dyDescent="0.25">
      <c r="A120" t="str">
        <f>'(Raw) LensesGH'!A120</f>
        <v>Dörr Danubia 500mm 8.0 T2 schwarz (222501)</v>
      </c>
      <c r="B120" t="str">
        <f>'(Raw) LensesGH'!B120</f>
        <v>500mm</v>
      </c>
      <c r="C120" s="5">
        <f t="shared" si="10"/>
        <v>500</v>
      </c>
      <c r="D120" s="5">
        <f t="shared" si="11"/>
        <v>500</v>
      </c>
      <c r="E120" t="str">
        <f>'(Raw) LensesGH'!C120</f>
        <v>1:8.0</v>
      </c>
      <c r="F120" s="9">
        <f t="shared" si="12"/>
        <v>8</v>
      </c>
      <c r="G120" s="9">
        <f t="shared" si="13"/>
        <v>8</v>
      </c>
      <c r="H120" t="str">
        <f>'(Raw) LensesGH'!D120</f>
        <v>67mm</v>
      </c>
      <c r="I120" s="2">
        <f t="shared" si="14"/>
        <v>67</v>
      </c>
      <c r="J120" s="2">
        <f>'(Raw) LensesGH'!E120</f>
        <v>0</v>
      </c>
      <c r="K120" s="40">
        <f t="shared" si="15"/>
        <v>0</v>
      </c>
      <c r="L120" t="str">
        <f>'(Raw) LensesGH'!F120</f>
        <v>T2</v>
      </c>
      <c r="M120">
        <f>'(Raw) LensesGH'!G120</f>
        <v>0</v>
      </c>
      <c r="N120" t="str">
        <f>'(Raw) LensesGH'!H120</f>
        <v>710g</v>
      </c>
      <c r="O120" s="5">
        <f t="shared" si="16"/>
        <v>710</v>
      </c>
      <c r="P120" t="str">
        <f>'(Raw) LensesGH'!I120</f>
        <v>70 x 315mm</v>
      </c>
      <c r="Q120" s="39">
        <f t="shared" si="17"/>
        <v>70</v>
      </c>
      <c r="R120" s="39">
        <f t="shared" si="9"/>
        <v>315</v>
      </c>
    </row>
    <row r="121" spans="1:18" x14ac:dyDescent="0.25">
      <c r="A121" t="str">
        <f>'(Raw) LensesGH'!A121</f>
        <v>Dörr Danubia 500mm 8.0 T2 schwarz (254002)</v>
      </c>
      <c r="B121" t="str">
        <f>'(Raw) LensesGH'!B121</f>
        <v>500mm</v>
      </c>
      <c r="C121" s="5">
        <f t="shared" si="10"/>
        <v>500</v>
      </c>
      <c r="D121" s="5">
        <f t="shared" si="11"/>
        <v>500</v>
      </c>
      <c r="E121" t="str">
        <f>'(Raw) LensesGH'!C121</f>
        <v>1:8.0</v>
      </c>
      <c r="F121" s="9">
        <f t="shared" si="12"/>
        <v>8</v>
      </c>
      <c r="G121" s="9">
        <f t="shared" si="13"/>
        <v>8</v>
      </c>
      <c r="H121" t="str">
        <f>'(Raw) LensesGH'!D121</f>
        <v>74mm</v>
      </c>
      <c r="I121" s="2">
        <f t="shared" si="14"/>
        <v>74</v>
      </c>
      <c r="J121" s="2">
        <f>'(Raw) LensesGH'!E121</f>
        <v>0</v>
      </c>
      <c r="K121" s="40">
        <f t="shared" si="15"/>
        <v>0</v>
      </c>
      <c r="L121" t="str">
        <f>'(Raw) LensesGH'!F121</f>
        <v>T2</v>
      </c>
      <c r="M121">
        <f>'(Raw) LensesGH'!G121</f>
        <v>0</v>
      </c>
      <c r="N121" t="str">
        <f>'(Raw) LensesGH'!H121</f>
        <v>350g</v>
      </c>
      <c r="O121" s="5">
        <f t="shared" si="16"/>
        <v>350</v>
      </c>
      <c r="P121" t="str">
        <f>'(Raw) LensesGH'!I121</f>
        <v>74 x 105mm</v>
      </c>
      <c r="Q121" s="39">
        <f t="shared" si="17"/>
        <v>74</v>
      </c>
      <c r="R121" s="39">
        <f t="shared" si="9"/>
        <v>105</v>
      </c>
    </row>
    <row r="122" spans="1:18" x14ac:dyDescent="0.25">
      <c r="A122" t="str">
        <f>'(Raw) LensesGH'!A122</f>
        <v>Dörr Danubia 650-1300mm 8.0 T2 schwarz</v>
      </c>
      <c r="B122" t="str">
        <f>'(Raw) LensesGH'!B122</f>
        <v>650 - 1300mm</v>
      </c>
      <c r="C122" s="5">
        <f t="shared" si="10"/>
        <v>650</v>
      </c>
      <c r="D122" s="5">
        <f t="shared" si="11"/>
        <v>1300</v>
      </c>
      <c r="E122" t="str">
        <f>'(Raw) LensesGH'!C122</f>
        <v>1:8.0</v>
      </c>
      <c r="F122" s="9">
        <f t="shared" si="12"/>
        <v>8</v>
      </c>
      <c r="G122" s="9">
        <f t="shared" si="13"/>
        <v>8</v>
      </c>
      <c r="H122" t="str">
        <f>'(Raw) LensesGH'!D122</f>
        <v>95mm</v>
      </c>
      <c r="I122" s="2">
        <f t="shared" si="14"/>
        <v>95</v>
      </c>
      <c r="J122" s="2">
        <f>'(Raw) LensesGH'!E122</f>
        <v>0</v>
      </c>
      <c r="K122" s="40">
        <f t="shared" si="15"/>
        <v>0</v>
      </c>
      <c r="L122" t="str">
        <f>'(Raw) LensesGH'!F122</f>
        <v>T2</v>
      </c>
      <c r="M122">
        <f>'(Raw) LensesGH'!G122</f>
        <v>0</v>
      </c>
      <c r="N122" t="str">
        <f>'(Raw) LensesGH'!H122</f>
        <v>1850g</v>
      </c>
      <c r="O122" s="5">
        <f t="shared" si="16"/>
        <v>1850</v>
      </c>
      <c r="P122" t="str">
        <f>'(Raw) LensesGH'!I122</f>
        <v>103 x 453mm</v>
      </c>
      <c r="Q122" s="39">
        <f t="shared" si="17"/>
        <v>103</v>
      </c>
      <c r="R122" s="39">
        <f t="shared" si="9"/>
        <v>453</v>
      </c>
    </row>
    <row r="123" spans="1:18" x14ac:dyDescent="0.25">
      <c r="A123" t="str">
        <f>'(Raw) LensesGH'!A123</f>
        <v>Dörr Danubia 900mm 8.0 T2 schwarz</v>
      </c>
      <c r="B123" t="str">
        <f>'(Raw) LensesGH'!B123</f>
        <v>900mm</v>
      </c>
      <c r="C123" s="5">
        <f t="shared" si="10"/>
        <v>900</v>
      </c>
      <c r="D123" s="5">
        <f t="shared" si="11"/>
        <v>900</v>
      </c>
      <c r="E123" t="str">
        <f>'(Raw) LensesGH'!C123</f>
        <v>1:8.0</v>
      </c>
      <c r="F123" s="9">
        <f t="shared" si="12"/>
        <v>8</v>
      </c>
      <c r="G123" s="9">
        <f t="shared" si="13"/>
        <v>8</v>
      </c>
      <c r="H123" t="str">
        <f>'(Raw) LensesGH'!D123</f>
        <v>105mm</v>
      </c>
      <c r="I123" s="2">
        <f t="shared" si="14"/>
        <v>105</v>
      </c>
      <c r="J123" s="2">
        <f>'(Raw) LensesGH'!E123</f>
        <v>0</v>
      </c>
      <c r="K123" s="40">
        <f t="shared" si="15"/>
        <v>0</v>
      </c>
      <c r="L123" t="str">
        <f>'(Raw) LensesGH'!F123</f>
        <v>T2</v>
      </c>
      <c r="M123">
        <f>'(Raw) LensesGH'!G123</f>
        <v>0</v>
      </c>
      <c r="N123" t="str">
        <f>'(Raw) LensesGH'!H123</f>
        <v>795g</v>
      </c>
      <c r="O123" s="5">
        <f t="shared" si="16"/>
        <v>795</v>
      </c>
      <c r="P123" t="str">
        <f>'(Raw) LensesGH'!I123</f>
        <v>110 x 135mm</v>
      </c>
      <c r="Q123" s="39">
        <f t="shared" si="17"/>
        <v>110</v>
      </c>
      <c r="R123" s="39">
        <f t="shared" si="9"/>
        <v>135</v>
      </c>
    </row>
    <row r="124" spans="1:18" x14ac:dyDescent="0.25">
      <c r="A124" t="str">
        <f>'(Raw) LensesGH'!A124</f>
        <v>Fujifilm MK 50-135mm T2.9 schwarz</v>
      </c>
      <c r="B124" t="str">
        <f>'(Raw) LensesGH'!B124</f>
        <v>50 - 135mm</v>
      </c>
      <c r="C124" s="5">
        <f t="shared" si="10"/>
        <v>50</v>
      </c>
      <c r="D124" s="5">
        <f t="shared" si="11"/>
        <v>135</v>
      </c>
      <c r="E124" t="str">
        <f>'(Raw) LensesGH'!C124</f>
        <v>1:2.9</v>
      </c>
      <c r="F124" s="9">
        <f t="shared" si="12"/>
        <v>2.9</v>
      </c>
      <c r="G124" s="9">
        <f t="shared" si="13"/>
        <v>2.9</v>
      </c>
      <c r="H124" t="str">
        <f>'(Raw) LensesGH'!D124</f>
        <v>82mm</v>
      </c>
      <c r="I124" s="2">
        <f t="shared" si="14"/>
        <v>82</v>
      </c>
      <c r="J124" s="2">
        <f>'(Raw) LensesGH'!E124</f>
        <v>0</v>
      </c>
      <c r="K124" s="40">
        <f t="shared" si="15"/>
        <v>0</v>
      </c>
      <c r="L124" t="str">
        <f>'(Raw) LensesGH'!F124</f>
        <v>Sony E</v>
      </c>
      <c r="M124" t="str">
        <f>'(Raw) LensesGH'!G124</f>
        <v>APS-C/ Kleinbild</v>
      </c>
      <c r="N124" t="str">
        <f>'(Raw) LensesGH'!H124</f>
        <v>980g</v>
      </c>
      <c r="O124" s="5">
        <f t="shared" si="16"/>
        <v>980</v>
      </c>
      <c r="P124" t="str">
        <f>'(Raw) LensesGH'!I124</f>
        <v>85 x 206.3mm</v>
      </c>
      <c r="Q124" s="39">
        <f t="shared" si="17"/>
        <v>85</v>
      </c>
      <c r="R124" s="39">
        <f t="shared" si="9"/>
        <v>206.3</v>
      </c>
    </row>
    <row r="125" spans="1:18" x14ac:dyDescent="0.25">
      <c r="A125" t="str">
        <f>'(Raw) LensesGH'!A125</f>
        <v>Fujifilm XC 16-50mm 3.5-5.6 OIS II schwarz</v>
      </c>
      <c r="B125" t="str">
        <f>'(Raw) LensesGH'!B125</f>
        <v>16 - 50mm</v>
      </c>
      <c r="C125" s="5">
        <f t="shared" si="10"/>
        <v>16</v>
      </c>
      <c r="D125" s="5">
        <f t="shared" si="11"/>
        <v>50</v>
      </c>
      <c r="E125" t="str">
        <f>'(Raw) LensesGH'!C125</f>
        <v>1:3.5-1:5.6</v>
      </c>
      <c r="F125" s="9">
        <f t="shared" si="12"/>
        <v>3.5</v>
      </c>
      <c r="G125" s="9">
        <f t="shared" si="13"/>
        <v>3.5</v>
      </c>
      <c r="H125" t="str">
        <f>'(Raw) LensesGH'!D125</f>
        <v>58mm</v>
      </c>
      <c r="I125" s="2">
        <f t="shared" si="14"/>
        <v>58</v>
      </c>
      <c r="J125" s="2" t="str">
        <f>'(Raw) LensesGH'!E125</f>
        <v>1:6.67</v>
      </c>
      <c r="K125" s="40">
        <f t="shared" si="15"/>
        <v>6.67</v>
      </c>
      <c r="L125" t="str">
        <f>'(Raw) LensesGH'!F125</f>
        <v>Fujifilm X</v>
      </c>
      <c r="M125" t="str">
        <f>'(Raw) LensesGH'!G125</f>
        <v>APS-C</v>
      </c>
      <c r="N125" t="str">
        <f>'(Raw) LensesGH'!H125</f>
        <v>195g</v>
      </c>
      <c r="O125" s="5">
        <f t="shared" si="16"/>
        <v>195</v>
      </c>
      <c r="P125" t="str">
        <f>'(Raw) LensesGH'!I125</f>
        <v>62.6 x 65.2mm</v>
      </c>
      <c r="Q125" s="39">
        <f t="shared" si="17"/>
        <v>62.6</v>
      </c>
      <c r="R125" s="39">
        <f t="shared" si="9"/>
        <v>65.2</v>
      </c>
    </row>
    <row r="126" spans="1:18" x14ac:dyDescent="0.25">
      <c r="A126" t="str">
        <f>'(Raw) LensesGH'!A126</f>
        <v>Fujifilm XC 16-50mm 3.5-5.6 OIS II silber</v>
      </c>
      <c r="B126" t="str">
        <f>'(Raw) LensesGH'!B126</f>
        <v>16 - 50mm</v>
      </c>
      <c r="C126" s="5">
        <f t="shared" si="10"/>
        <v>16</v>
      </c>
      <c r="D126" s="5">
        <f t="shared" si="11"/>
        <v>50</v>
      </c>
      <c r="E126" t="str">
        <f>'(Raw) LensesGH'!C126</f>
        <v>1:3.5-1:5.6</v>
      </c>
      <c r="F126" s="9">
        <f t="shared" si="12"/>
        <v>3.5</v>
      </c>
      <c r="G126" s="9">
        <f t="shared" si="13"/>
        <v>3.5</v>
      </c>
      <c r="H126" t="str">
        <f>'(Raw) LensesGH'!D126</f>
        <v>58mm</v>
      </c>
      <c r="I126" s="2">
        <f t="shared" si="14"/>
        <v>58</v>
      </c>
      <c r="J126" s="2" t="str">
        <f>'(Raw) LensesGH'!E126</f>
        <v>1:6.67</v>
      </c>
      <c r="K126" s="40">
        <f t="shared" si="15"/>
        <v>6.67</v>
      </c>
      <c r="L126" t="str">
        <f>'(Raw) LensesGH'!F126</f>
        <v>Fujifilm X</v>
      </c>
      <c r="M126" t="str">
        <f>'(Raw) LensesGH'!G126</f>
        <v>APS-C</v>
      </c>
      <c r="N126" t="str">
        <f>'(Raw) LensesGH'!H126</f>
        <v>195g</v>
      </c>
      <c r="O126" s="5">
        <f t="shared" si="16"/>
        <v>195</v>
      </c>
      <c r="P126" t="str">
        <f>'(Raw) LensesGH'!I126</f>
        <v>62.6 x 65.2mm</v>
      </c>
      <c r="Q126" s="39">
        <f t="shared" si="17"/>
        <v>62.6</v>
      </c>
      <c r="R126" s="39">
        <f t="shared" si="9"/>
        <v>65.2</v>
      </c>
    </row>
    <row r="127" spans="1:18" x14ac:dyDescent="0.25">
      <c r="A127" t="str">
        <f>'(Raw) LensesGH'!A127</f>
        <v>Fujifilm XC 16-50mm 3.5-5.6 OIS schwarz</v>
      </c>
      <c r="B127" t="str">
        <f>'(Raw) LensesGH'!B127</f>
        <v>16 - 50mm</v>
      </c>
      <c r="C127" s="5">
        <f t="shared" si="10"/>
        <v>16</v>
      </c>
      <c r="D127" s="5">
        <f t="shared" si="11"/>
        <v>50</v>
      </c>
      <c r="E127" t="str">
        <f>'(Raw) LensesGH'!C127</f>
        <v>1:3.5-1:5.6</v>
      </c>
      <c r="F127" s="9">
        <f t="shared" si="12"/>
        <v>3.5</v>
      </c>
      <c r="G127" s="9">
        <f t="shared" si="13"/>
        <v>3.5</v>
      </c>
      <c r="H127" t="str">
        <f>'(Raw) LensesGH'!D127</f>
        <v>58mm</v>
      </c>
      <c r="I127" s="2">
        <f t="shared" si="14"/>
        <v>58</v>
      </c>
      <c r="J127" s="2" t="str">
        <f>'(Raw) LensesGH'!E127</f>
        <v>1:6.67</v>
      </c>
      <c r="K127" s="40">
        <f t="shared" si="15"/>
        <v>6.67</v>
      </c>
      <c r="L127" t="str">
        <f>'(Raw) LensesGH'!F127</f>
        <v>Fujifilm X</v>
      </c>
      <c r="M127" t="str">
        <f>'(Raw) LensesGH'!G127</f>
        <v>APS-C</v>
      </c>
      <c r="N127" t="str">
        <f>'(Raw) LensesGH'!H127</f>
        <v>195g</v>
      </c>
      <c r="O127" s="5">
        <f t="shared" si="16"/>
        <v>195</v>
      </c>
      <c r="P127" t="str">
        <f>'(Raw) LensesGH'!I127</f>
        <v>62.6 x 65.2mm</v>
      </c>
      <c r="Q127" s="39">
        <f t="shared" si="17"/>
        <v>62.6</v>
      </c>
      <c r="R127" s="39">
        <f t="shared" si="9"/>
        <v>65.2</v>
      </c>
    </row>
    <row r="128" spans="1:18" x14ac:dyDescent="0.25">
      <c r="A128" t="str">
        <f>'(Raw) LensesGH'!A128</f>
        <v>Fujifilm XC 16-50mm 3.5-5.6 OIS silber</v>
      </c>
      <c r="B128" t="str">
        <f>'(Raw) LensesGH'!B128</f>
        <v>16 - 50mm</v>
      </c>
      <c r="C128" s="5">
        <f t="shared" si="10"/>
        <v>16</v>
      </c>
      <c r="D128" s="5">
        <f t="shared" si="11"/>
        <v>50</v>
      </c>
      <c r="E128" t="str">
        <f>'(Raw) LensesGH'!C128</f>
        <v>1:3.5-1:5.6</v>
      </c>
      <c r="F128" s="9">
        <f t="shared" si="12"/>
        <v>3.5</v>
      </c>
      <c r="G128" s="9">
        <f t="shared" si="13"/>
        <v>3.5</v>
      </c>
      <c r="H128" t="str">
        <f>'(Raw) LensesGH'!D128</f>
        <v>58mm</v>
      </c>
      <c r="I128" s="2">
        <f t="shared" si="14"/>
        <v>58</v>
      </c>
      <c r="J128" s="2" t="str">
        <f>'(Raw) LensesGH'!E128</f>
        <v>1:6.67</v>
      </c>
      <c r="K128" s="40">
        <f t="shared" si="15"/>
        <v>6.67</v>
      </c>
      <c r="L128" t="str">
        <f>'(Raw) LensesGH'!F128</f>
        <v>Fujifilm X</v>
      </c>
      <c r="M128" t="str">
        <f>'(Raw) LensesGH'!G128</f>
        <v>APS-C</v>
      </c>
      <c r="N128" t="str">
        <f>'(Raw) LensesGH'!H128</f>
        <v>195g</v>
      </c>
      <c r="O128" s="5">
        <f t="shared" si="16"/>
        <v>195</v>
      </c>
      <c r="P128" t="str">
        <f>'(Raw) LensesGH'!I128</f>
        <v>62.6 x 65.2mm</v>
      </c>
      <c r="Q128" s="39">
        <f t="shared" si="17"/>
        <v>62.6</v>
      </c>
      <c r="R128" s="39">
        <f t="shared" si="9"/>
        <v>65.2</v>
      </c>
    </row>
    <row r="129" spans="1:18" x14ac:dyDescent="0.25">
      <c r="A129" t="str">
        <f>'(Raw) LensesGH'!A129</f>
        <v>Fujifilm XC 50-230mm 4.5-6.7 OIS II silber</v>
      </c>
      <c r="B129" t="str">
        <f>'(Raw) LensesGH'!B129</f>
        <v>50 - 230mm</v>
      </c>
      <c r="C129" s="5">
        <f t="shared" si="10"/>
        <v>50</v>
      </c>
      <c r="D129" s="5">
        <f t="shared" si="11"/>
        <v>230</v>
      </c>
      <c r="E129" t="str">
        <f>'(Raw) LensesGH'!C129</f>
        <v>1:4.5-1:6.7</v>
      </c>
      <c r="F129" s="9">
        <f t="shared" si="12"/>
        <v>4.5</v>
      </c>
      <c r="G129" s="9">
        <f t="shared" si="13"/>
        <v>4.5</v>
      </c>
      <c r="H129" t="str">
        <f>'(Raw) LensesGH'!D129</f>
        <v>58mm</v>
      </c>
      <c r="I129" s="2">
        <f t="shared" si="14"/>
        <v>58</v>
      </c>
      <c r="J129" s="2" t="str">
        <f>'(Raw) LensesGH'!E129</f>
        <v>1:5.00</v>
      </c>
      <c r="K129" s="40">
        <f t="shared" si="15"/>
        <v>5</v>
      </c>
      <c r="L129" t="str">
        <f>'(Raw) LensesGH'!F129</f>
        <v>Fujifilm X</v>
      </c>
      <c r="M129" t="str">
        <f>'(Raw) LensesGH'!G129</f>
        <v>APS-C</v>
      </c>
      <c r="N129" t="str">
        <f>'(Raw) LensesGH'!H129</f>
        <v>375g</v>
      </c>
      <c r="O129" s="5">
        <f t="shared" si="16"/>
        <v>375</v>
      </c>
      <c r="P129" t="str">
        <f>'(Raw) LensesGH'!I129</f>
        <v>70 x 111mm</v>
      </c>
      <c r="Q129" s="39">
        <f t="shared" si="17"/>
        <v>70</v>
      </c>
      <c r="R129" s="39">
        <f t="shared" si="9"/>
        <v>111</v>
      </c>
    </row>
    <row r="130" spans="1:18" x14ac:dyDescent="0.25">
      <c r="A130" t="str">
        <f>'(Raw) LensesGH'!A130</f>
        <v>Fujifilm XC 50-230mm 4.5-6.7 OIS schwarz</v>
      </c>
      <c r="B130" t="str">
        <f>'(Raw) LensesGH'!B130</f>
        <v>50 - 230mm</v>
      </c>
      <c r="C130" s="5">
        <f t="shared" si="10"/>
        <v>50</v>
      </c>
      <c r="D130" s="5">
        <f t="shared" si="11"/>
        <v>230</v>
      </c>
      <c r="E130" t="str">
        <f>'(Raw) LensesGH'!C130</f>
        <v>1:4.5-1:6.7</v>
      </c>
      <c r="F130" s="9">
        <f t="shared" si="12"/>
        <v>4.5</v>
      </c>
      <c r="G130" s="9">
        <f t="shared" si="13"/>
        <v>4.5</v>
      </c>
      <c r="H130" t="str">
        <f>'(Raw) LensesGH'!D130</f>
        <v>58mm</v>
      </c>
      <c r="I130" s="2">
        <f t="shared" si="14"/>
        <v>58</v>
      </c>
      <c r="J130" s="2" t="str">
        <f>'(Raw) LensesGH'!E130</f>
        <v>1:5.00</v>
      </c>
      <c r="K130" s="40">
        <f t="shared" si="15"/>
        <v>5</v>
      </c>
      <c r="L130" t="str">
        <f>'(Raw) LensesGH'!F130</f>
        <v>Fujifilm X</v>
      </c>
      <c r="M130" t="str">
        <f>'(Raw) LensesGH'!G130</f>
        <v>APS-C</v>
      </c>
      <c r="N130" t="str">
        <f>'(Raw) LensesGH'!H130</f>
        <v>375g</v>
      </c>
      <c r="O130" s="5">
        <f t="shared" si="16"/>
        <v>375</v>
      </c>
      <c r="P130" t="str">
        <f>'(Raw) LensesGH'!I130</f>
        <v>70 x 111mm</v>
      </c>
      <c r="Q130" s="39">
        <f t="shared" si="17"/>
        <v>70</v>
      </c>
      <c r="R130" s="39">
        <f t="shared" ref="R130:R193" si="18">getSizeLength(P130)</f>
        <v>111</v>
      </c>
    </row>
    <row r="131" spans="1:18" x14ac:dyDescent="0.25">
      <c r="A131" t="str">
        <f>'(Raw) LensesGH'!A131</f>
        <v>Fujifilm XC 50-230mm 4.5-6.7 OIS silber</v>
      </c>
      <c r="B131" t="str">
        <f>'(Raw) LensesGH'!B131</f>
        <v>50 - 230mm</v>
      </c>
      <c r="C131" s="5">
        <f t="shared" ref="C131:C194" si="19">getFocalLengthStart(B131)</f>
        <v>50</v>
      </c>
      <c r="D131" s="5">
        <f t="shared" ref="D131:D194" si="20">getFocalLengthEnd(B131)</f>
        <v>230</v>
      </c>
      <c r="E131" t="str">
        <f>'(Raw) LensesGH'!C131</f>
        <v>1:4.5-1:6.7</v>
      </c>
      <c r="F131" s="9">
        <f t="shared" ref="F131:F194" si="21">getApertureStart(E131)</f>
        <v>4.5</v>
      </c>
      <c r="G131" s="9">
        <f t="shared" ref="G131:G194" si="22">getApertureEnd(F131)</f>
        <v>4.5</v>
      </c>
      <c r="H131" t="str">
        <f>'(Raw) LensesGH'!D131</f>
        <v>58mm</v>
      </c>
      <c r="I131" s="2">
        <f t="shared" ref="I131:I194" si="23">getFiltersizeAsDouble(H131)</f>
        <v>58</v>
      </c>
      <c r="J131" s="2" t="str">
        <f>'(Raw) LensesGH'!E131</f>
        <v>1:5.00</v>
      </c>
      <c r="K131" s="40">
        <f t="shared" ref="K131:K194" si="24">getMagnification(J131)</f>
        <v>5</v>
      </c>
      <c r="L131" t="str">
        <f>'(Raw) LensesGH'!F131</f>
        <v>Fujifilm X</v>
      </c>
      <c r="M131" t="str">
        <f>'(Raw) LensesGH'!G131</f>
        <v>APS-C</v>
      </c>
      <c r="N131" t="str">
        <f>'(Raw) LensesGH'!H131</f>
        <v>375g</v>
      </c>
      <c r="O131" s="5">
        <f t="shared" ref="O131:O194" si="25">getWeightAsDouble(N131)</f>
        <v>375</v>
      </c>
      <c r="P131" t="str">
        <f>'(Raw) LensesGH'!I131</f>
        <v>70 x 111mm</v>
      </c>
      <c r="Q131" s="39">
        <f t="shared" ref="Q131:Q194" si="26">getSizeDiameter(P131)</f>
        <v>70</v>
      </c>
      <c r="R131" s="39">
        <f t="shared" si="18"/>
        <v>111</v>
      </c>
    </row>
    <row r="132" spans="1:18" x14ac:dyDescent="0.25">
      <c r="A132" t="str">
        <f>'(Raw) LensesGH'!A132</f>
        <v>Fujifilm XF 100-400mm F4.5-5.6 R LM OIS WR inkl. 1.4x Telekonverter schwarz</v>
      </c>
      <c r="B132" t="str">
        <f>'(Raw) LensesGH'!B132</f>
        <v>100 - 400mm</v>
      </c>
      <c r="C132" s="5">
        <f t="shared" si="19"/>
        <v>100</v>
      </c>
      <c r="D132" s="5">
        <f t="shared" si="20"/>
        <v>400</v>
      </c>
      <c r="E132" t="str">
        <f>'(Raw) LensesGH'!C132</f>
        <v>1:4.5-1:5.6</v>
      </c>
      <c r="F132" s="9">
        <f t="shared" si="21"/>
        <v>4.5</v>
      </c>
      <c r="G132" s="9">
        <f t="shared" si="22"/>
        <v>4.5</v>
      </c>
      <c r="H132" t="str">
        <f>'(Raw) LensesGH'!D132</f>
        <v>77mm</v>
      </c>
      <c r="I132" s="2">
        <f t="shared" si="23"/>
        <v>77</v>
      </c>
      <c r="J132" s="2" t="str">
        <f>'(Raw) LensesGH'!E132</f>
        <v>1:5.26</v>
      </c>
      <c r="K132" s="40">
        <f t="shared" si="24"/>
        <v>5.26</v>
      </c>
      <c r="L132" t="str">
        <f>'(Raw) LensesGH'!F132</f>
        <v>Fujifilm X</v>
      </c>
      <c r="M132" t="str">
        <f>'(Raw) LensesGH'!G132</f>
        <v>APS-C</v>
      </c>
      <c r="N132" t="str">
        <f>'(Raw) LensesGH'!H132</f>
        <v>1380g</v>
      </c>
      <c r="O132" s="5">
        <f t="shared" si="25"/>
        <v>1380</v>
      </c>
      <c r="P132" t="str">
        <f>'(Raw) LensesGH'!I132</f>
        <v>94.8 x 210.5mm</v>
      </c>
      <c r="Q132" s="39">
        <f t="shared" si="26"/>
        <v>94.8</v>
      </c>
      <c r="R132" s="39">
        <f t="shared" si="18"/>
        <v>210.5</v>
      </c>
    </row>
    <row r="133" spans="1:18" x14ac:dyDescent="0.25">
      <c r="A133" t="str">
        <f>'(Raw) LensesGH'!A133</f>
        <v>Fujifilm XF 100-400mm F4.5-5.6 R LM OIS WR schwarz</v>
      </c>
      <c r="B133" t="str">
        <f>'(Raw) LensesGH'!B133</f>
        <v>100 - 400mm</v>
      </c>
      <c r="C133" s="5">
        <f t="shared" si="19"/>
        <v>100</v>
      </c>
      <c r="D133" s="5">
        <f t="shared" si="20"/>
        <v>400</v>
      </c>
      <c r="E133" t="str">
        <f>'(Raw) LensesGH'!C133</f>
        <v>1:4.5-1:5.6</v>
      </c>
      <c r="F133" s="9">
        <f t="shared" si="21"/>
        <v>4.5</v>
      </c>
      <c r="G133" s="9">
        <f t="shared" si="22"/>
        <v>4.5</v>
      </c>
      <c r="H133" t="str">
        <f>'(Raw) LensesGH'!D133</f>
        <v>77mm</v>
      </c>
      <c r="I133" s="2">
        <f t="shared" si="23"/>
        <v>77</v>
      </c>
      <c r="J133" s="2" t="str">
        <f>'(Raw) LensesGH'!E133</f>
        <v>1:5.26</v>
      </c>
      <c r="K133" s="40">
        <f t="shared" si="24"/>
        <v>5.26</v>
      </c>
      <c r="L133" t="str">
        <f>'(Raw) LensesGH'!F133</f>
        <v>Fujifilm X</v>
      </c>
      <c r="M133" t="str">
        <f>'(Raw) LensesGH'!G133</f>
        <v>APS-C</v>
      </c>
      <c r="N133" t="str">
        <f>'(Raw) LensesGH'!H133</f>
        <v>1380g</v>
      </c>
      <c r="O133" s="5">
        <f t="shared" si="25"/>
        <v>1380</v>
      </c>
      <c r="P133" t="str">
        <f>'(Raw) LensesGH'!I133</f>
        <v>94.8 x 210.5mm</v>
      </c>
      <c r="Q133" s="39">
        <f t="shared" si="26"/>
        <v>94.8</v>
      </c>
      <c r="R133" s="39">
        <f t="shared" si="18"/>
        <v>210.5</v>
      </c>
    </row>
    <row r="134" spans="1:18" x14ac:dyDescent="0.25">
      <c r="A134" t="str">
        <f>'(Raw) LensesGH'!A134</f>
        <v>Fujifilm XF 10-24mm 4.0 R OIS schwarz</v>
      </c>
      <c r="B134" t="str">
        <f>'(Raw) LensesGH'!B134</f>
        <v>10 - 24mm</v>
      </c>
      <c r="C134" s="5">
        <f t="shared" si="19"/>
        <v>10</v>
      </c>
      <c r="D134" s="5">
        <f t="shared" si="20"/>
        <v>24</v>
      </c>
      <c r="E134" t="str">
        <f>'(Raw) LensesGH'!C134</f>
        <v>1:4.0</v>
      </c>
      <c r="F134" s="9">
        <f t="shared" si="21"/>
        <v>4</v>
      </c>
      <c r="G134" s="9">
        <f t="shared" si="22"/>
        <v>4</v>
      </c>
      <c r="H134" t="str">
        <f>'(Raw) LensesGH'!D134</f>
        <v>72mm</v>
      </c>
      <c r="I134" s="2">
        <f t="shared" si="23"/>
        <v>72</v>
      </c>
      <c r="J134" s="2" t="str">
        <f>'(Raw) LensesGH'!E134</f>
        <v>1:6.25</v>
      </c>
      <c r="K134" s="40">
        <f t="shared" si="24"/>
        <v>6.25</v>
      </c>
      <c r="L134" t="str">
        <f>'(Raw) LensesGH'!F134</f>
        <v>Fujifilm X</v>
      </c>
      <c r="M134" t="str">
        <f>'(Raw) LensesGH'!G134</f>
        <v>APS-C</v>
      </c>
      <c r="N134" t="str">
        <f>'(Raw) LensesGH'!H134</f>
        <v>410g</v>
      </c>
      <c r="O134" s="5">
        <f t="shared" si="25"/>
        <v>410</v>
      </c>
      <c r="P134" t="str">
        <f>'(Raw) LensesGH'!I134</f>
        <v>78 x 87mm</v>
      </c>
      <c r="Q134" s="39">
        <f t="shared" si="26"/>
        <v>78</v>
      </c>
      <c r="R134" s="39">
        <f t="shared" si="18"/>
        <v>87</v>
      </c>
    </row>
    <row r="135" spans="1:18" x14ac:dyDescent="0.25">
      <c r="A135" t="str">
        <f>'(Raw) LensesGH'!A135</f>
        <v>Fujifilm XF 14mm 2.8 R schwarz</v>
      </c>
      <c r="B135" t="str">
        <f>'(Raw) LensesGH'!B135</f>
        <v>14mm</v>
      </c>
      <c r="C135" s="5">
        <f t="shared" si="19"/>
        <v>14</v>
      </c>
      <c r="D135" s="5">
        <f t="shared" si="20"/>
        <v>14</v>
      </c>
      <c r="E135" t="str">
        <f>'(Raw) LensesGH'!C135</f>
        <v>1:2.8</v>
      </c>
      <c r="F135" s="9">
        <f t="shared" si="21"/>
        <v>2.8</v>
      </c>
      <c r="G135" s="9">
        <f t="shared" si="22"/>
        <v>2.8</v>
      </c>
      <c r="H135" t="str">
        <f>'(Raw) LensesGH'!D135</f>
        <v>58mm</v>
      </c>
      <c r="I135" s="2">
        <f t="shared" si="23"/>
        <v>58</v>
      </c>
      <c r="J135" s="2" t="str">
        <f>'(Raw) LensesGH'!E135</f>
        <v>1:8.33</v>
      </c>
      <c r="K135" s="40">
        <f t="shared" si="24"/>
        <v>8.33</v>
      </c>
      <c r="L135" t="str">
        <f>'(Raw) LensesGH'!F135</f>
        <v>Fujifilm X</v>
      </c>
      <c r="M135" t="str">
        <f>'(Raw) LensesGH'!G135</f>
        <v>APS-C</v>
      </c>
      <c r="N135">
        <f>'(Raw) LensesGH'!H135</f>
        <v>0</v>
      </c>
      <c r="O135" s="5">
        <f t="shared" si="25"/>
        <v>0</v>
      </c>
      <c r="P135" t="str">
        <f>'(Raw) LensesGH'!I135</f>
        <v>65 x 58.4mm</v>
      </c>
      <c r="Q135" s="39">
        <f t="shared" si="26"/>
        <v>65</v>
      </c>
      <c r="R135" s="39">
        <f t="shared" si="18"/>
        <v>58.4</v>
      </c>
    </row>
    <row r="136" spans="1:18" x14ac:dyDescent="0.25">
      <c r="A136" t="str">
        <f>'(Raw) LensesGH'!A136</f>
        <v>Fujifilm XF 16-55mm 2.8 R LM WR schwarz</v>
      </c>
      <c r="B136" t="str">
        <f>'(Raw) LensesGH'!B136</f>
        <v>16 - 55mm</v>
      </c>
      <c r="C136" s="5">
        <f t="shared" si="19"/>
        <v>16</v>
      </c>
      <c r="D136" s="5">
        <f t="shared" si="20"/>
        <v>55</v>
      </c>
      <c r="E136" t="str">
        <f>'(Raw) LensesGH'!C136</f>
        <v>1:2.8</v>
      </c>
      <c r="F136" s="9">
        <f t="shared" si="21"/>
        <v>2.8</v>
      </c>
      <c r="G136" s="9">
        <f t="shared" si="22"/>
        <v>2.8</v>
      </c>
      <c r="H136" t="str">
        <f>'(Raw) LensesGH'!D136</f>
        <v>77mm</v>
      </c>
      <c r="I136" s="2">
        <f t="shared" si="23"/>
        <v>77</v>
      </c>
      <c r="J136" s="2" t="str">
        <f>'(Raw) LensesGH'!E136</f>
        <v>1:6.25</v>
      </c>
      <c r="K136" s="40">
        <f t="shared" si="24"/>
        <v>6.25</v>
      </c>
      <c r="L136" t="str">
        <f>'(Raw) LensesGH'!F136</f>
        <v>Fujifilm X</v>
      </c>
      <c r="M136" t="str">
        <f>'(Raw) LensesGH'!G136</f>
        <v>APS-C</v>
      </c>
      <c r="N136" t="str">
        <f>'(Raw) LensesGH'!H136</f>
        <v>655g</v>
      </c>
      <c r="O136" s="5">
        <f t="shared" si="25"/>
        <v>655</v>
      </c>
      <c r="P136" t="str">
        <f>'(Raw) LensesGH'!I136</f>
        <v>83.3 x 106mm</v>
      </c>
      <c r="Q136" s="39">
        <f t="shared" si="26"/>
        <v>83.3</v>
      </c>
      <c r="R136" s="39">
        <f t="shared" si="18"/>
        <v>106</v>
      </c>
    </row>
    <row r="137" spans="1:18" x14ac:dyDescent="0.25">
      <c r="A137" t="str">
        <f>'(Raw) LensesGH'!A137</f>
        <v>Fujifilm XF 16mm 1.4 R WR schwarz</v>
      </c>
      <c r="B137" t="str">
        <f>'(Raw) LensesGH'!B137</f>
        <v>16mm</v>
      </c>
      <c r="C137" s="5">
        <f t="shared" si="19"/>
        <v>16</v>
      </c>
      <c r="D137" s="5">
        <f t="shared" si="20"/>
        <v>16</v>
      </c>
      <c r="E137" t="str">
        <f>'(Raw) LensesGH'!C137</f>
        <v>1:1.4</v>
      </c>
      <c r="F137" s="9">
        <f t="shared" si="21"/>
        <v>1.4</v>
      </c>
      <c r="G137" s="9">
        <f t="shared" si="22"/>
        <v>1.4</v>
      </c>
      <c r="H137" t="str">
        <f>'(Raw) LensesGH'!D137</f>
        <v>67mm</v>
      </c>
      <c r="I137" s="2">
        <f t="shared" si="23"/>
        <v>67</v>
      </c>
      <c r="J137" s="2" t="str">
        <f>'(Raw) LensesGH'!E137</f>
        <v>1:4.76</v>
      </c>
      <c r="K137" s="40">
        <f t="shared" si="24"/>
        <v>4.76</v>
      </c>
      <c r="L137" t="str">
        <f>'(Raw) LensesGH'!F137</f>
        <v>Fujifilm X</v>
      </c>
      <c r="M137" t="str">
        <f>'(Raw) LensesGH'!G137</f>
        <v>APS-C</v>
      </c>
      <c r="N137" t="str">
        <f>'(Raw) LensesGH'!H137</f>
        <v>375g</v>
      </c>
      <c r="O137" s="5">
        <f t="shared" si="25"/>
        <v>375</v>
      </c>
      <c r="P137" t="str">
        <f>'(Raw) LensesGH'!I137</f>
        <v>73.4 x 73mm</v>
      </c>
      <c r="Q137" s="39">
        <f t="shared" si="26"/>
        <v>73.400000000000006</v>
      </c>
      <c r="R137" s="39">
        <f t="shared" si="18"/>
        <v>73</v>
      </c>
    </row>
    <row r="138" spans="1:18" x14ac:dyDescent="0.25">
      <c r="A138" t="str">
        <f>'(Raw) LensesGH'!A138</f>
        <v>Fujifilm XF 18-135mm 3.5-5.6 R LM OIS WR schwarz</v>
      </c>
      <c r="B138" t="str">
        <f>'(Raw) LensesGH'!B138</f>
        <v>18 - 135mm</v>
      </c>
      <c r="C138" s="5">
        <f t="shared" si="19"/>
        <v>18</v>
      </c>
      <c r="D138" s="5">
        <f t="shared" si="20"/>
        <v>135</v>
      </c>
      <c r="E138" t="str">
        <f>'(Raw) LensesGH'!C138</f>
        <v>1:3.5-1:5.6</v>
      </c>
      <c r="F138" s="9">
        <f t="shared" si="21"/>
        <v>3.5</v>
      </c>
      <c r="G138" s="9">
        <f t="shared" si="22"/>
        <v>3.5</v>
      </c>
      <c r="H138" t="str">
        <f>'(Raw) LensesGH'!D138</f>
        <v>67mm</v>
      </c>
      <c r="I138" s="2">
        <f t="shared" si="23"/>
        <v>67</v>
      </c>
      <c r="J138" s="2" t="str">
        <f>'(Raw) LensesGH'!E138</f>
        <v>1:3.70</v>
      </c>
      <c r="K138" s="40">
        <f t="shared" si="24"/>
        <v>3.7</v>
      </c>
      <c r="L138" t="str">
        <f>'(Raw) LensesGH'!F138</f>
        <v>Fujifilm X</v>
      </c>
      <c r="M138" t="str">
        <f>'(Raw) LensesGH'!G138</f>
        <v>APS-C</v>
      </c>
      <c r="N138" t="str">
        <f>'(Raw) LensesGH'!H138</f>
        <v>490g</v>
      </c>
      <c r="O138" s="5">
        <f t="shared" si="25"/>
        <v>490</v>
      </c>
      <c r="P138" t="str">
        <f>'(Raw) LensesGH'!I138</f>
        <v>75.7 x 97.8mm</v>
      </c>
      <c r="Q138" s="39">
        <f t="shared" si="26"/>
        <v>75.7</v>
      </c>
      <c r="R138" s="39">
        <f t="shared" si="18"/>
        <v>97.8</v>
      </c>
    </row>
    <row r="139" spans="1:18" x14ac:dyDescent="0.25">
      <c r="A139" t="str">
        <f>'(Raw) LensesGH'!A139</f>
        <v>Fujifilm XF 18-55mm 2.8-4.0 R LM OIS schwarz</v>
      </c>
      <c r="B139" t="str">
        <f>'(Raw) LensesGH'!B139</f>
        <v>18 - 55mm</v>
      </c>
      <c r="C139" s="5">
        <f t="shared" si="19"/>
        <v>18</v>
      </c>
      <c r="D139" s="5">
        <f t="shared" si="20"/>
        <v>55</v>
      </c>
      <c r="E139" t="str">
        <f>'(Raw) LensesGH'!C139</f>
        <v>1:2.8-1:4.0</v>
      </c>
      <c r="F139" s="9">
        <f t="shared" si="21"/>
        <v>2.8</v>
      </c>
      <c r="G139" s="9">
        <f t="shared" si="22"/>
        <v>2.8</v>
      </c>
      <c r="H139" t="str">
        <f>'(Raw) LensesGH'!D139</f>
        <v>58mm</v>
      </c>
      <c r="I139" s="2">
        <f t="shared" si="23"/>
        <v>58</v>
      </c>
      <c r="J139" s="2" t="str">
        <f>'(Raw) LensesGH'!E139</f>
        <v>1:6.67</v>
      </c>
      <c r="K139" s="40">
        <f t="shared" si="24"/>
        <v>6.67</v>
      </c>
      <c r="L139" t="str">
        <f>'(Raw) LensesGH'!F139</f>
        <v>Fujifilm X</v>
      </c>
      <c r="M139" t="str">
        <f>'(Raw) LensesGH'!G139</f>
        <v>APS-C</v>
      </c>
      <c r="N139" t="str">
        <f>'(Raw) LensesGH'!H139</f>
        <v>310g</v>
      </c>
      <c r="O139" s="5">
        <f t="shared" si="25"/>
        <v>310</v>
      </c>
      <c r="P139" t="str">
        <f>'(Raw) LensesGH'!I139</f>
        <v>65 x 70.4mm</v>
      </c>
      <c r="Q139" s="39">
        <f t="shared" si="26"/>
        <v>65</v>
      </c>
      <c r="R139" s="39">
        <f t="shared" si="18"/>
        <v>70.400000000000006</v>
      </c>
    </row>
    <row r="140" spans="1:18" x14ac:dyDescent="0.25">
      <c r="A140" t="str">
        <f>'(Raw) LensesGH'!A140</f>
        <v>Fujifilm XF 18mm 2.0 R schwarz</v>
      </c>
      <c r="B140" t="str">
        <f>'(Raw) LensesGH'!B140</f>
        <v>18mm</v>
      </c>
      <c r="C140" s="5">
        <f t="shared" si="19"/>
        <v>18</v>
      </c>
      <c r="D140" s="5">
        <f t="shared" si="20"/>
        <v>18</v>
      </c>
      <c r="E140" t="str">
        <f>'(Raw) LensesGH'!C140</f>
        <v>1:2.0</v>
      </c>
      <c r="F140" s="9">
        <f t="shared" si="21"/>
        <v>2</v>
      </c>
      <c r="G140" s="9">
        <f t="shared" si="22"/>
        <v>2</v>
      </c>
      <c r="H140" t="str">
        <f>'(Raw) LensesGH'!D140</f>
        <v>52mm</v>
      </c>
      <c r="I140" s="2">
        <f t="shared" si="23"/>
        <v>52</v>
      </c>
      <c r="J140" s="2" t="str">
        <f>'(Raw) LensesGH'!E140</f>
        <v>1:7.14</v>
      </c>
      <c r="K140" s="40">
        <f t="shared" si="24"/>
        <v>7.14</v>
      </c>
      <c r="L140" t="str">
        <f>'(Raw) LensesGH'!F140</f>
        <v>Fujifilm X</v>
      </c>
      <c r="M140" t="str">
        <f>'(Raw) LensesGH'!G140</f>
        <v>APS-C</v>
      </c>
      <c r="N140" t="str">
        <f>'(Raw) LensesGH'!H140</f>
        <v>116g</v>
      </c>
      <c r="O140" s="5">
        <f t="shared" si="25"/>
        <v>116</v>
      </c>
      <c r="P140" t="str">
        <f>'(Raw) LensesGH'!I140</f>
        <v>64.5 x 40.6mm</v>
      </c>
      <c r="Q140" s="39">
        <f t="shared" si="26"/>
        <v>64.5</v>
      </c>
      <c r="R140" s="39">
        <f t="shared" si="18"/>
        <v>40.6</v>
      </c>
    </row>
    <row r="141" spans="1:18" x14ac:dyDescent="0.25">
      <c r="A141" t="str">
        <f>'(Raw) LensesGH'!A141</f>
        <v>Fujifilm XF 23mm 1.4 R schwarz</v>
      </c>
      <c r="B141" t="str">
        <f>'(Raw) LensesGH'!B141</f>
        <v>23mm</v>
      </c>
      <c r="C141" s="5">
        <f t="shared" si="19"/>
        <v>23</v>
      </c>
      <c r="D141" s="5">
        <f t="shared" si="20"/>
        <v>23</v>
      </c>
      <c r="E141" t="str">
        <f>'(Raw) LensesGH'!C141</f>
        <v>1:1.4</v>
      </c>
      <c r="F141" s="9">
        <f t="shared" si="21"/>
        <v>1.4</v>
      </c>
      <c r="G141" s="9">
        <f t="shared" si="22"/>
        <v>1.4</v>
      </c>
      <c r="H141" t="str">
        <f>'(Raw) LensesGH'!D141</f>
        <v>62mm</v>
      </c>
      <c r="I141" s="2">
        <f t="shared" si="23"/>
        <v>62</v>
      </c>
      <c r="J141" s="2" t="str">
        <f>'(Raw) LensesGH'!E141</f>
        <v>1:10.00</v>
      </c>
      <c r="K141" s="40">
        <f t="shared" si="24"/>
        <v>10</v>
      </c>
      <c r="L141" t="str">
        <f>'(Raw) LensesGH'!F141</f>
        <v>Fujifilm X</v>
      </c>
      <c r="M141" t="str">
        <f>'(Raw) LensesGH'!G141</f>
        <v>APS-C</v>
      </c>
      <c r="N141" t="str">
        <f>'(Raw) LensesGH'!H141</f>
        <v>300g</v>
      </c>
      <c r="O141" s="5">
        <f t="shared" si="25"/>
        <v>300</v>
      </c>
      <c r="P141" t="str">
        <f>'(Raw) LensesGH'!I141</f>
        <v>72 x 63mm</v>
      </c>
      <c r="Q141" s="39">
        <f t="shared" si="26"/>
        <v>72</v>
      </c>
      <c r="R141" s="39">
        <f t="shared" si="18"/>
        <v>63</v>
      </c>
    </row>
    <row r="142" spans="1:18" x14ac:dyDescent="0.25">
      <c r="A142" t="str">
        <f>'(Raw) LensesGH'!A142</f>
        <v>Fujifilm XF 23mm 2.0 R WR schwarz</v>
      </c>
      <c r="B142" t="str">
        <f>'(Raw) LensesGH'!B142</f>
        <v>23mm</v>
      </c>
      <c r="C142" s="5">
        <f t="shared" si="19"/>
        <v>23</v>
      </c>
      <c r="D142" s="5">
        <f t="shared" si="20"/>
        <v>23</v>
      </c>
      <c r="E142" t="str">
        <f>'(Raw) LensesGH'!C142</f>
        <v>1:2.0</v>
      </c>
      <c r="F142" s="9">
        <f t="shared" si="21"/>
        <v>2</v>
      </c>
      <c r="G142" s="9">
        <f t="shared" si="22"/>
        <v>2</v>
      </c>
      <c r="H142" t="str">
        <f>'(Raw) LensesGH'!D142</f>
        <v>43mm</v>
      </c>
      <c r="I142" s="2">
        <f t="shared" si="23"/>
        <v>43</v>
      </c>
      <c r="J142" s="2" t="str">
        <f>'(Raw) LensesGH'!E142</f>
        <v>1:7.69</v>
      </c>
      <c r="K142" s="40">
        <f t="shared" si="24"/>
        <v>7.69</v>
      </c>
      <c r="L142" t="str">
        <f>'(Raw) LensesGH'!F142</f>
        <v>Fujifilm X</v>
      </c>
      <c r="M142" t="str">
        <f>'(Raw) LensesGH'!G142</f>
        <v>APS-C</v>
      </c>
      <c r="N142" t="str">
        <f>'(Raw) LensesGH'!H142</f>
        <v>180g</v>
      </c>
      <c r="O142" s="5">
        <f t="shared" si="25"/>
        <v>180</v>
      </c>
      <c r="P142" t="str">
        <f>'(Raw) LensesGH'!I142</f>
        <v>60 x 51.9mm</v>
      </c>
      <c r="Q142" s="39">
        <f t="shared" si="26"/>
        <v>60</v>
      </c>
      <c r="R142" s="39">
        <f t="shared" si="18"/>
        <v>51.9</v>
      </c>
    </row>
    <row r="143" spans="1:18" x14ac:dyDescent="0.25">
      <c r="A143" t="str">
        <f>'(Raw) LensesGH'!A143</f>
        <v>Fujifilm XF 23mm 2.0 R WR silber</v>
      </c>
      <c r="B143" t="str">
        <f>'(Raw) LensesGH'!B143</f>
        <v>23mm</v>
      </c>
      <c r="C143" s="5">
        <f t="shared" si="19"/>
        <v>23</v>
      </c>
      <c r="D143" s="5">
        <f t="shared" si="20"/>
        <v>23</v>
      </c>
      <c r="E143" t="str">
        <f>'(Raw) LensesGH'!C143</f>
        <v>1:2.0</v>
      </c>
      <c r="F143" s="9">
        <f t="shared" si="21"/>
        <v>2</v>
      </c>
      <c r="G143" s="9">
        <f t="shared" si="22"/>
        <v>2</v>
      </c>
      <c r="H143" t="str">
        <f>'(Raw) LensesGH'!D143</f>
        <v>43mm</v>
      </c>
      <c r="I143" s="2">
        <f t="shared" si="23"/>
        <v>43</v>
      </c>
      <c r="J143" s="2" t="str">
        <f>'(Raw) LensesGH'!E143</f>
        <v>1:7.69</v>
      </c>
      <c r="K143" s="40">
        <f t="shared" si="24"/>
        <v>7.69</v>
      </c>
      <c r="L143" t="str">
        <f>'(Raw) LensesGH'!F143</f>
        <v>Fujifilm X</v>
      </c>
      <c r="M143" t="str">
        <f>'(Raw) LensesGH'!G143</f>
        <v>APS-C</v>
      </c>
      <c r="N143" t="str">
        <f>'(Raw) LensesGH'!H143</f>
        <v>180g</v>
      </c>
      <c r="O143" s="5">
        <f t="shared" si="25"/>
        <v>180</v>
      </c>
      <c r="P143" t="str">
        <f>'(Raw) LensesGH'!I143</f>
        <v>60 x 51.9mm</v>
      </c>
      <c r="Q143" s="39">
        <f t="shared" si="26"/>
        <v>60</v>
      </c>
      <c r="R143" s="39">
        <f t="shared" si="18"/>
        <v>51.9</v>
      </c>
    </row>
    <row r="144" spans="1:18" x14ac:dyDescent="0.25">
      <c r="A144" t="str">
        <f>'(Raw) LensesGH'!A144</f>
        <v>Fujifilm XF 27mm 2.8 schwarz</v>
      </c>
      <c r="B144" t="str">
        <f>'(Raw) LensesGH'!B144</f>
        <v>27mm</v>
      </c>
      <c r="C144" s="5">
        <f t="shared" si="19"/>
        <v>27</v>
      </c>
      <c r="D144" s="5">
        <f t="shared" si="20"/>
        <v>27</v>
      </c>
      <c r="E144" t="str">
        <f>'(Raw) LensesGH'!C144</f>
        <v>1:2.8</v>
      </c>
      <c r="F144" s="9">
        <f t="shared" si="21"/>
        <v>2.8</v>
      </c>
      <c r="G144" s="9">
        <f t="shared" si="22"/>
        <v>2.8</v>
      </c>
      <c r="H144" t="str">
        <f>'(Raw) LensesGH'!D144</f>
        <v>39mm</v>
      </c>
      <c r="I144" s="2">
        <f t="shared" si="23"/>
        <v>39</v>
      </c>
      <c r="J144" s="2" t="str">
        <f>'(Raw) LensesGH'!E144</f>
        <v>1:10.00</v>
      </c>
      <c r="K144" s="40">
        <f t="shared" si="24"/>
        <v>10</v>
      </c>
      <c r="L144" t="str">
        <f>'(Raw) LensesGH'!F144</f>
        <v>Fujifilm X</v>
      </c>
      <c r="M144" t="str">
        <f>'(Raw) LensesGH'!G144</f>
        <v>APS-C</v>
      </c>
      <c r="N144" t="str">
        <f>'(Raw) LensesGH'!H144</f>
        <v>78g</v>
      </c>
      <c r="O144" s="5">
        <f t="shared" si="25"/>
        <v>78</v>
      </c>
      <c r="P144" t="str">
        <f>'(Raw) LensesGH'!I144</f>
        <v>61.2 x 23mm</v>
      </c>
      <c r="Q144" s="39">
        <f t="shared" si="26"/>
        <v>61.2</v>
      </c>
      <c r="R144" s="39">
        <f t="shared" si="18"/>
        <v>23</v>
      </c>
    </row>
    <row r="145" spans="1:18" x14ac:dyDescent="0.25">
      <c r="A145" t="str">
        <f>'(Raw) LensesGH'!A145</f>
        <v>Fujifilm XF 27mm 2.8 silber</v>
      </c>
      <c r="B145" t="str">
        <f>'(Raw) LensesGH'!B145</f>
        <v>27mm</v>
      </c>
      <c r="C145" s="5">
        <f t="shared" si="19"/>
        <v>27</v>
      </c>
      <c r="D145" s="5">
        <f t="shared" si="20"/>
        <v>27</v>
      </c>
      <c r="E145" t="str">
        <f>'(Raw) LensesGH'!C145</f>
        <v>1:2.8</v>
      </c>
      <c r="F145" s="9">
        <f t="shared" si="21"/>
        <v>2.8</v>
      </c>
      <c r="G145" s="9">
        <f t="shared" si="22"/>
        <v>2.8</v>
      </c>
      <c r="H145" t="str">
        <f>'(Raw) LensesGH'!D145</f>
        <v>39mm</v>
      </c>
      <c r="I145" s="2">
        <f t="shared" si="23"/>
        <v>39</v>
      </c>
      <c r="J145" s="2" t="str">
        <f>'(Raw) LensesGH'!E145</f>
        <v>1:10.00</v>
      </c>
      <c r="K145" s="40">
        <f t="shared" si="24"/>
        <v>10</v>
      </c>
      <c r="L145" t="str">
        <f>'(Raw) LensesGH'!F145</f>
        <v>Fujifilm X</v>
      </c>
      <c r="M145" t="str">
        <f>'(Raw) LensesGH'!G145</f>
        <v>APS-C</v>
      </c>
      <c r="N145" t="str">
        <f>'(Raw) LensesGH'!H145</f>
        <v>78g</v>
      </c>
      <c r="O145" s="5">
        <f t="shared" si="25"/>
        <v>78</v>
      </c>
      <c r="P145" t="str">
        <f>'(Raw) LensesGH'!I145</f>
        <v>61.2 x 23mm</v>
      </c>
      <c r="Q145" s="39">
        <f t="shared" si="26"/>
        <v>61.2</v>
      </c>
      <c r="R145" s="39">
        <f t="shared" si="18"/>
        <v>23</v>
      </c>
    </row>
    <row r="146" spans="1:18" x14ac:dyDescent="0.25">
      <c r="A146" t="str">
        <f>'(Raw) LensesGH'!A146</f>
        <v>Fujifilm XF 35mm 1.4 R schwarz</v>
      </c>
      <c r="B146" t="str">
        <f>'(Raw) LensesGH'!B146</f>
        <v>35mm</v>
      </c>
      <c r="C146" s="5">
        <f t="shared" si="19"/>
        <v>35</v>
      </c>
      <c r="D146" s="5">
        <f t="shared" si="20"/>
        <v>35</v>
      </c>
      <c r="E146" t="str">
        <f>'(Raw) LensesGH'!C146</f>
        <v>1:1.4</v>
      </c>
      <c r="F146" s="9">
        <f t="shared" si="21"/>
        <v>1.4</v>
      </c>
      <c r="G146" s="9">
        <f t="shared" si="22"/>
        <v>1.4</v>
      </c>
      <c r="H146" t="str">
        <f>'(Raw) LensesGH'!D146</f>
        <v>52mm</v>
      </c>
      <c r="I146" s="2">
        <f t="shared" si="23"/>
        <v>52</v>
      </c>
      <c r="J146" s="2" t="str">
        <f>'(Raw) LensesGH'!E146</f>
        <v>1:5.88</v>
      </c>
      <c r="K146" s="40">
        <f t="shared" si="24"/>
        <v>5.88</v>
      </c>
      <c r="L146" t="str">
        <f>'(Raw) LensesGH'!F146</f>
        <v>Fujifilm X</v>
      </c>
      <c r="M146" t="str">
        <f>'(Raw) LensesGH'!G146</f>
        <v>APS-C</v>
      </c>
      <c r="N146" t="str">
        <f>'(Raw) LensesGH'!H146</f>
        <v>187g</v>
      </c>
      <c r="O146" s="5">
        <f t="shared" si="25"/>
        <v>187</v>
      </c>
      <c r="P146" t="str">
        <f>'(Raw) LensesGH'!I146</f>
        <v>65 x 54.9mm</v>
      </c>
      <c r="Q146" s="39">
        <f t="shared" si="26"/>
        <v>65</v>
      </c>
      <c r="R146" s="39">
        <f t="shared" si="18"/>
        <v>54.9</v>
      </c>
    </row>
    <row r="147" spans="1:18" x14ac:dyDescent="0.25">
      <c r="A147" t="str">
        <f>'(Raw) LensesGH'!A147</f>
        <v>Fujifilm XF 35mm 2.0 R WR schwarz</v>
      </c>
      <c r="B147" t="str">
        <f>'(Raw) LensesGH'!B147</f>
        <v>35mm</v>
      </c>
      <c r="C147" s="5">
        <f t="shared" si="19"/>
        <v>35</v>
      </c>
      <c r="D147" s="5">
        <f t="shared" si="20"/>
        <v>35</v>
      </c>
      <c r="E147" t="str">
        <f>'(Raw) LensesGH'!C147</f>
        <v>1:2.0</v>
      </c>
      <c r="F147" s="9">
        <f t="shared" si="21"/>
        <v>2</v>
      </c>
      <c r="G147" s="9">
        <f t="shared" si="22"/>
        <v>2</v>
      </c>
      <c r="H147" t="str">
        <f>'(Raw) LensesGH'!D147</f>
        <v>43mm</v>
      </c>
      <c r="I147" s="2">
        <f t="shared" si="23"/>
        <v>43</v>
      </c>
      <c r="J147" s="2" t="str">
        <f>'(Raw) LensesGH'!E147</f>
        <v>1:7.41</v>
      </c>
      <c r="K147" s="40">
        <f t="shared" si="24"/>
        <v>7.41</v>
      </c>
      <c r="L147" t="str">
        <f>'(Raw) LensesGH'!F147</f>
        <v>Fujifilm X</v>
      </c>
      <c r="M147" t="str">
        <f>'(Raw) LensesGH'!G147</f>
        <v>APS-C</v>
      </c>
      <c r="N147" t="str">
        <f>'(Raw) LensesGH'!H147</f>
        <v>170g</v>
      </c>
      <c r="O147" s="5">
        <f t="shared" si="25"/>
        <v>170</v>
      </c>
      <c r="P147" t="str">
        <f>'(Raw) LensesGH'!I147</f>
        <v>60 x 45.9mm</v>
      </c>
      <c r="Q147" s="39">
        <f t="shared" si="26"/>
        <v>60</v>
      </c>
      <c r="R147" s="39">
        <f t="shared" si="18"/>
        <v>45.9</v>
      </c>
    </row>
    <row r="148" spans="1:18" x14ac:dyDescent="0.25">
      <c r="A148" t="str">
        <f>'(Raw) LensesGH'!A148</f>
        <v>Fujifilm XF 35mm 2.0 R WR silber</v>
      </c>
      <c r="B148" t="str">
        <f>'(Raw) LensesGH'!B148</f>
        <v>35mm</v>
      </c>
      <c r="C148" s="5">
        <f t="shared" si="19"/>
        <v>35</v>
      </c>
      <c r="D148" s="5">
        <f t="shared" si="20"/>
        <v>35</v>
      </c>
      <c r="E148" t="str">
        <f>'(Raw) LensesGH'!C148</f>
        <v>1:2.0</v>
      </c>
      <c r="F148" s="9">
        <f t="shared" si="21"/>
        <v>2</v>
      </c>
      <c r="G148" s="9">
        <f t="shared" si="22"/>
        <v>2</v>
      </c>
      <c r="H148" t="str">
        <f>'(Raw) LensesGH'!D148</f>
        <v>43mm</v>
      </c>
      <c r="I148" s="2">
        <f t="shared" si="23"/>
        <v>43</v>
      </c>
      <c r="J148" s="2" t="str">
        <f>'(Raw) LensesGH'!E148</f>
        <v>1:7.41</v>
      </c>
      <c r="K148" s="40">
        <f t="shared" si="24"/>
        <v>7.41</v>
      </c>
      <c r="L148" t="str">
        <f>'(Raw) LensesGH'!F148</f>
        <v>Fujifilm X</v>
      </c>
      <c r="M148" t="str">
        <f>'(Raw) LensesGH'!G148</f>
        <v>APS-C</v>
      </c>
      <c r="N148" t="str">
        <f>'(Raw) LensesGH'!H148</f>
        <v>170g</v>
      </c>
      <c r="O148" s="5">
        <f t="shared" si="25"/>
        <v>170</v>
      </c>
      <c r="P148" t="str">
        <f>'(Raw) LensesGH'!I148</f>
        <v>60 x 45.9mm</v>
      </c>
      <c r="Q148" s="39">
        <f t="shared" si="26"/>
        <v>60</v>
      </c>
      <c r="R148" s="39">
        <f t="shared" si="18"/>
        <v>45.9</v>
      </c>
    </row>
    <row r="149" spans="1:18" x14ac:dyDescent="0.25">
      <c r="A149" t="str">
        <f>'(Raw) LensesGH'!A149</f>
        <v>Fujifilm XF 50-140mm 2.8 R LM OIS WR inkl. 1.4x Telekonverter schwarz</v>
      </c>
      <c r="B149" t="str">
        <f>'(Raw) LensesGH'!B149</f>
        <v>50 - 140mm</v>
      </c>
      <c r="C149" s="5">
        <f t="shared" si="19"/>
        <v>50</v>
      </c>
      <c r="D149" s="5">
        <f t="shared" si="20"/>
        <v>140</v>
      </c>
      <c r="E149" t="str">
        <f>'(Raw) LensesGH'!C149</f>
        <v>1:2.8</v>
      </c>
      <c r="F149" s="9">
        <f t="shared" si="21"/>
        <v>2.8</v>
      </c>
      <c r="G149" s="9">
        <f t="shared" si="22"/>
        <v>2.8</v>
      </c>
      <c r="H149" t="str">
        <f>'(Raw) LensesGH'!D149</f>
        <v>72mm</v>
      </c>
      <c r="I149" s="2">
        <f t="shared" si="23"/>
        <v>72</v>
      </c>
      <c r="J149" s="2" t="str">
        <f>'(Raw) LensesGH'!E149</f>
        <v>1:8.33</v>
      </c>
      <c r="K149" s="40">
        <f t="shared" si="24"/>
        <v>8.33</v>
      </c>
      <c r="L149" t="str">
        <f>'(Raw) LensesGH'!F149</f>
        <v>Fujifilm X</v>
      </c>
      <c r="M149" t="str">
        <f>'(Raw) LensesGH'!G149</f>
        <v>APS-C</v>
      </c>
      <c r="N149" t="str">
        <f>'(Raw) LensesGH'!H149</f>
        <v>995g</v>
      </c>
      <c r="O149" s="5">
        <f t="shared" si="25"/>
        <v>995</v>
      </c>
      <c r="P149" t="str">
        <f>'(Raw) LensesGH'!I149</f>
        <v>82.9 x 175.9mm</v>
      </c>
      <c r="Q149" s="39">
        <f t="shared" si="26"/>
        <v>82.9</v>
      </c>
      <c r="R149" s="39">
        <f t="shared" si="18"/>
        <v>175.9</v>
      </c>
    </row>
    <row r="150" spans="1:18" x14ac:dyDescent="0.25">
      <c r="A150" t="str">
        <f>'(Raw) LensesGH'!A150</f>
        <v>Fujifilm XF 50-140mm 2.8 R LM OIS WR schwarz</v>
      </c>
      <c r="B150" t="str">
        <f>'(Raw) LensesGH'!B150</f>
        <v>50 - 140mm</v>
      </c>
      <c r="C150" s="5">
        <f t="shared" si="19"/>
        <v>50</v>
      </c>
      <c r="D150" s="5">
        <f t="shared" si="20"/>
        <v>140</v>
      </c>
      <c r="E150" t="str">
        <f>'(Raw) LensesGH'!C150</f>
        <v>1:2.8</v>
      </c>
      <c r="F150" s="9">
        <f t="shared" si="21"/>
        <v>2.8</v>
      </c>
      <c r="G150" s="9">
        <f t="shared" si="22"/>
        <v>2.8</v>
      </c>
      <c r="H150" t="str">
        <f>'(Raw) LensesGH'!D150</f>
        <v>72mm</v>
      </c>
      <c r="I150" s="2">
        <f t="shared" si="23"/>
        <v>72</v>
      </c>
      <c r="J150" s="2" t="str">
        <f>'(Raw) LensesGH'!E150</f>
        <v>1:8.33</v>
      </c>
      <c r="K150" s="40">
        <f t="shared" si="24"/>
        <v>8.33</v>
      </c>
      <c r="L150" t="str">
        <f>'(Raw) LensesGH'!F150</f>
        <v>Fujifilm X</v>
      </c>
      <c r="M150" t="str">
        <f>'(Raw) LensesGH'!G150</f>
        <v>APS-C</v>
      </c>
      <c r="N150" t="str">
        <f>'(Raw) LensesGH'!H150</f>
        <v>995g</v>
      </c>
      <c r="O150" s="5">
        <f t="shared" si="25"/>
        <v>995</v>
      </c>
      <c r="P150" t="str">
        <f>'(Raw) LensesGH'!I150</f>
        <v>82.9 x 175.9mm</v>
      </c>
      <c r="Q150" s="39">
        <f t="shared" si="26"/>
        <v>82.9</v>
      </c>
      <c r="R150" s="39">
        <f t="shared" si="18"/>
        <v>175.9</v>
      </c>
    </row>
    <row r="151" spans="1:18" x14ac:dyDescent="0.25">
      <c r="A151" t="str">
        <f>'(Raw) LensesGH'!A151</f>
        <v>Fujifilm XF 50mm 2.0 R WR schwarz</v>
      </c>
      <c r="B151" t="str">
        <f>'(Raw) LensesGH'!B151</f>
        <v>50mm</v>
      </c>
      <c r="C151" s="5">
        <f t="shared" si="19"/>
        <v>50</v>
      </c>
      <c r="D151" s="5">
        <f t="shared" si="20"/>
        <v>50</v>
      </c>
      <c r="E151">
        <f>'(Raw) LensesGH'!C151</f>
        <v>0</v>
      </c>
      <c r="F151" s="9">
        <f t="shared" si="21"/>
        <v>0</v>
      </c>
      <c r="G151" s="9">
        <f t="shared" si="22"/>
        <v>0</v>
      </c>
      <c r="H151" t="str">
        <f>'(Raw) LensesGH'!D151</f>
        <v>46mm</v>
      </c>
      <c r="I151" s="2">
        <f t="shared" si="23"/>
        <v>46</v>
      </c>
      <c r="J151" s="2" t="str">
        <f>'(Raw) LensesGH'!E151</f>
        <v>1:6.67</v>
      </c>
      <c r="K151" s="40">
        <f t="shared" si="24"/>
        <v>6.67</v>
      </c>
      <c r="L151" t="str">
        <f>'(Raw) LensesGH'!F151</f>
        <v>Fujifilm X</v>
      </c>
      <c r="M151" t="str">
        <f>'(Raw) LensesGH'!G151</f>
        <v>APS-C</v>
      </c>
      <c r="N151" t="str">
        <f>'(Raw) LensesGH'!H151</f>
        <v>200g</v>
      </c>
      <c r="O151" s="5">
        <f t="shared" si="25"/>
        <v>200</v>
      </c>
      <c r="P151" t="str">
        <f>'(Raw) LensesGH'!I151</f>
        <v>60 x 59.4mm</v>
      </c>
      <c r="Q151" s="39">
        <f t="shared" si="26"/>
        <v>60</v>
      </c>
      <c r="R151" s="39">
        <f t="shared" si="18"/>
        <v>59.4</v>
      </c>
    </row>
    <row r="152" spans="1:18" x14ac:dyDescent="0.25">
      <c r="A152" t="str">
        <f>'(Raw) LensesGH'!A152</f>
        <v>Fujifilm XF 50mm 2.0 R WR silber</v>
      </c>
      <c r="B152" t="str">
        <f>'(Raw) LensesGH'!B152</f>
        <v>50mm</v>
      </c>
      <c r="C152" s="5">
        <f t="shared" si="19"/>
        <v>50</v>
      </c>
      <c r="D152" s="5">
        <f t="shared" si="20"/>
        <v>50</v>
      </c>
      <c r="E152">
        <f>'(Raw) LensesGH'!C152</f>
        <v>0</v>
      </c>
      <c r="F152" s="9">
        <f t="shared" si="21"/>
        <v>0</v>
      </c>
      <c r="G152" s="9">
        <f t="shared" si="22"/>
        <v>0</v>
      </c>
      <c r="H152" t="str">
        <f>'(Raw) LensesGH'!D152</f>
        <v>46mm</v>
      </c>
      <c r="I152" s="2">
        <f t="shared" si="23"/>
        <v>46</v>
      </c>
      <c r="J152" s="2" t="str">
        <f>'(Raw) LensesGH'!E152</f>
        <v>1:6.67</v>
      </c>
      <c r="K152" s="40">
        <f t="shared" si="24"/>
        <v>6.67</v>
      </c>
      <c r="L152" t="str">
        <f>'(Raw) LensesGH'!F152</f>
        <v>Fujifilm X</v>
      </c>
      <c r="M152" t="str">
        <f>'(Raw) LensesGH'!G152</f>
        <v>APS-C</v>
      </c>
      <c r="N152" t="str">
        <f>'(Raw) LensesGH'!H152</f>
        <v>200g</v>
      </c>
      <c r="O152" s="5">
        <f t="shared" si="25"/>
        <v>200</v>
      </c>
      <c r="P152" t="str">
        <f>'(Raw) LensesGH'!I152</f>
        <v>60 x 59.4mm</v>
      </c>
      <c r="Q152" s="39">
        <f t="shared" si="26"/>
        <v>60</v>
      </c>
      <c r="R152" s="39">
        <f t="shared" si="18"/>
        <v>59.4</v>
      </c>
    </row>
    <row r="153" spans="1:18" x14ac:dyDescent="0.25">
      <c r="A153" t="str">
        <f>'(Raw) LensesGH'!A153</f>
        <v>Fujifilm XF 55-200mm 3.5-4.8 R LM OIS schwarz</v>
      </c>
      <c r="B153" t="str">
        <f>'(Raw) LensesGH'!B153</f>
        <v>55 - 200mm</v>
      </c>
      <c r="C153" s="5">
        <f t="shared" si="19"/>
        <v>55</v>
      </c>
      <c r="D153" s="5">
        <f t="shared" si="20"/>
        <v>200</v>
      </c>
      <c r="E153" t="str">
        <f>'(Raw) LensesGH'!C153</f>
        <v>1:3.5-1:4.8</v>
      </c>
      <c r="F153" s="9">
        <f t="shared" si="21"/>
        <v>3.5</v>
      </c>
      <c r="G153" s="9">
        <f t="shared" si="22"/>
        <v>3.5</v>
      </c>
      <c r="H153" t="str">
        <f>'(Raw) LensesGH'!D153</f>
        <v>62mm</v>
      </c>
      <c r="I153" s="2">
        <f t="shared" si="23"/>
        <v>62</v>
      </c>
      <c r="J153" s="2" t="str">
        <f>'(Raw) LensesGH'!E153</f>
        <v>1:5.56</v>
      </c>
      <c r="K153" s="40">
        <f t="shared" si="24"/>
        <v>5.56</v>
      </c>
      <c r="L153" t="str">
        <f>'(Raw) LensesGH'!F153</f>
        <v>Fujifilm X</v>
      </c>
      <c r="M153" t="str">
        <f>'(Raw) LensesGH'!G153</f>
        <v>APS-C</v>
      </c>
      <c r="N153" t="str">
        <f>'(Raw) LensesGH'!H153</f>
        <v>580g</v>
      </c>
      <c r="O153" s="5">
        <f t="shared" si="25"/>
        <v>580</v>
      </c>
      <c r="P153" t="str">
        <f>'(Raw) LensesGH'!I153</f>
        <v>75 x 118mm</v>
      </c>
      <c r="Q153" s="39">
        <f t="shared" si="26"/>
        <v>75</v>
      </c>
      <c r="R153" s="39">
        <f t="shared" si="18"/>
        <v>118</v>
      </c>
    </row>
    <row r="154" spans="1:18" x14ac:dyDescent="0.25">
      <c r="A154" t="str">
        <f>'(Raw) LensesGH'!A154</f>
        <v>Fujifilm XF 56mm 1.2 R APD schwarz</v>
      </c>
      <c r="B154" t="str">
        <f>'(Raw) LensesGH'!B154</f>
        <v>56mm</v>
      </c>
      <c r="C154" s="5">
        <f t="shared" si="19"/>
        <v>56</v>
      </c>
      <c r="D154" s="5">
        <f t="shared" si="20"/>
        <v>56</v>
      </c>
      <c r="E154" t="str">
        <f>'(Raw) LensesGH'!C154</f>
        <v>1:1.2</v>
      </c>
      <c r="F154" s="9">
        <f t="shared" si="21"/>
        <v>1.2</v>
      </c>
      <c r="G154" s="9">
        <f t="shared" si="22"/>
        <v>1.2</v>
      </c>
      <c r="H154" t="str">
        <f>'(Raw) LensesGH'!D154</f>
        <v>62mm</v>
      </c>
      <c r="I154" s="2">
        <f t="shared" si="23"/>
        <v>62</v>
      </c>
      <c r="J154" s="2" t="str">
        <f>'(Raw) LensesGH'!E154</f>
        <v>1:11.11</v>
      </c>
      <c r="K154" s="40">
        <f t="shared" si="24"/>
        <v>11.11</v>
      </c>
      <c r="L154" t="str">
        <f>'(Raw) LensesGH'!F154</f>
        <v>Fujifilm X</v>
      </c>
      <c r="M154" t="str">
        <f>'(Raw) LensesGH'!G154</f>
        <v>APS-C</v>
      </c>
      <c r="N154" t="str">
        <f>'(Raw) LensesGH'!H154</f>
        <v>405g</v>
      </c>
      <c r="O154" s="5">
        <f t="shared" si="25"/>
        <v>405</v>
      </c>
      <c r="P154" t="str">
        <f>'(Raw) LensesGH'!I154</f>
        <v>73 x 70mm</v>
      </c>
      <c r="Q154" s="39">
        <f t="shared" si="26"/>
        <v>73</v>
      </c>
      <c r="R154" s="39">
        <f t="shared" si="18"/>
        <v>70</v>
      </c>
    </row>
    <row r="155" spans="1:18" x14ac:dyDescent="0.25">
      <c r="A155" t="str">
        <f>'(Raw) LensesGH'!A155</f>
        <v>Fujifilm XF 56mm 1.2 R schwarz</v>
      </c>
      <c r="B155" t="str">
        <f>'(Raw) LensesGH'!B155</f>
        <v>56mm</v>
      </c>
      <c r="C155" s="5">
        <f t="shared" si="19"/>
        <v>56</v>
      </c>
      <c r="D155" s="5">
        <f t="shared" si="20"/>
        <v>56</v>
      </c>
      <c r="E155" t="str">
        <f>'(Raw) LensesGH'!C155</f>
        <v>1:1.2</v>
      </c>
      <c r="F155" s="9">
        <f t="shared" si="21"/>
        <v>1.2</v>
      </c>
      <c r="G155" s="9">
        <f t="shared" si="22"/>
        <v>1.2</v>
      </c>
      <c r="H155" t="str">
        <f>'(Raw) LensesGH'!D155</f>
        <v>62mm</v>
      </c>
      <c r="I155" s="2">
        <f t="shared" si="23"/>
        <v>62</v>
      </c>
      <c r="J155" s="2" t="str">
        <f>'(Raw) LensesGH'!E155</f>
        <v>1:11.11</v>
      </c>
      <c r="K155" s="40">
        <f t="shared" si="24"/>
        <v>11.11</v>
      </c>
      <c r="L155" t="str">
        <f>'(Raw) LensesGH'!F155</f>
        <v>Fujifilm X</v>
      </c>
      <c r="M155" t="str">
        <f>'(Raw) LensesGH'!G155</f>
        <v>APS-C</v>
      </c>
      <c r="N155" t="str">
        <f>'(Raw) LensesGH'!H155</f>
        <v>405g</v>
      </c>
      <c r="O155" s="5">
        <f t="shared" si="25"/>
        <v>405</v>
      </c>
      <c r="P155" t="str">
        <f>'(Raw) LensesGH'!I155</f>
        <v>73 x 70mm</v>
      </c>
      <c r="Q155" s="39">
        <f t="shared" si="26"/>
        <v>73</v>
      </c>
      <c r="R155" s="39">
        <f t="shared" si="18"/>
        <v>70</v>
      </c>
    </row>
    <row r="156" spans="1:18" x14ac:dyDescent="0.25">
      <c r="A156" t="str">
        <f>'(Raw) LensesGH'!A156</f>
        <v>Fujifilm XF 60mm 2.4 R Makro schwarz</v>
      </c>
      <c r="B156" t="str">
        <f>'(Raw) LensesGH'!B156</f>
        <v>60mm</v>
      </c>
      <c r="C156" s="5">
        <f t="shared" si="19"/>
        <v>60</v>
      </c>
      <c r="D156" s="5">
        <f t="shared" si="20"/>
        <v>60</v>
      </c>
      <c r="E156" t="str">
        <f>'(Raw) LensesGH'!C156</f>
        <v>1:2.4</v>
      </c>
      <c r="F156" s="9">
        <f t="shared" si="21"/>
        <v>2.4</v>
      </c>
      <c r="G156" s="9">
        <f t="shared" si="22"/>
        <v>2.4</v>
      </c>
      <c r="H156" t="str">
        <f>'(Raw) LensesGH'!D156</f>
        <v>39mm</v>
      </c>
      <c r="I156" s="2">
        <f t="shared" si="23"/>
        <v>39</v>
      </c>
      <c r="J156" s="2" t="str">
        <f>'(Raw) LensesGH'!E156</f>
        <v>1:2.00</v>
      </c>
      <c r="K156" s="40">
        <f t="shared" si="24"/>
        <v>2</v>
      </c>
      <c r="L156" t="str">
        <f>'(Raw) LensesGH'!F156</f>
        <v>Fujifilm X</v>
      </c>
      <c r="M156" t="str">
        <f>'(Raw) LensesGH'!G156</f>
        <v>APS-C</v>
      </c>
      <c r="N156" t="str">
        <f>'(Raw) LensesGH'!H156</f>
        <v>215g</v>
      </c>
      <c r="O156" s="5">
        <f t="shared" si="25"/>
        <v>215</v>
      </c>
      <c r="P156" t="str">
        <f>'(Raw) LensesGH'!I156</f>
        <v>64.1 x 70.9mm</v>
      </c>
      <c r="Q156" s="39">
        <f t="shared" si="26"/>
        <v>64.099999999999994</v>
      </c>
      <c r="R156" s="39">
        <f t="shared" si="18"/>
        <v>70.900000000000006</v>
      </c>
    </row>
    <row r="157" spans="1:18" x14ac:dyDescent="0.25">
      <c r="A157" t="str">
        <f>'(Raw) LensesGH'!A157</f>
        <v>Fujifilm XF 80mm 2.8 R LM OIS WR Makro schwarz</v>
      </c>
      <c r="B157" t="str">
        <f>'(Raw) LensesGH'!B157</f>
        <v>80mm</v>
      </c>
      <c r="C157" s="5">
        <f t="shared" si="19"/>
        <v>80</v>
      </c>
      <c r="D157" s="5">
        <f t="shared" si="20"/>
        <v>80</v>
      </c>
      <c r="E157" t="str">
        <f>'(Raw) LensesGH'!C157</f>
        <v>1:2.8</v>
      </c>
      <c r="F157" s="9">
        <f t="shared" si="21"/>
        <v>2.8</v>
      </c>
      <c r="G157" s="9">
        <f t="shared" si="22"/>
        <v>2.8</v>
      </c>
      <c r="H157" t="str">
        <f>'(Raw) LensesGH'!D157</f>
        <v>62mm</v>
      </c>
      <c r="I157" s="2">
        <f t="shared" si="23"/>
        <v>62</v>
      </c>
      <c r="J157" s="2" t="str">
        <f>'(Raw) LensesGH'!E157</f>
        <v>1:1.00</v>
      </c>
      <c r="K157" s="40">
        <f t="shared" si="24"/>
        <v>1</v>
      </c>
      <c r="L157" t="str">
        <f>'(Raw) LensesGH'!F157</f>
        <v>Fujifilm X</v>
      </c>
      <c r="M157" t="str">
        <f>'(Raw) LensesGH'!G157</f>
        <v>APS-C</v>
      </c>
      <c r="N157" t="str">
        <f>'(Raw) LensesGH'!H157</f>
        <v>750g</v>
      </c>
      <c r="O157" s="5">
        <f t="shared" si="25"/>
        <v>750</v>
      </c>
      <c r="P157" t="str">
        <f>'(Raw) LensesGH'!I157</f>
        <v>80 x 130mm</v>
      </c>
      <c r="Q157" s="39">
        <f t="shared" si="26"/>
        <v>80</v>
      </c>
      <c r="R157" s="39">
        <f t="shared" si="18"/>
        <v>130</v>
      </c>
    </row>
    <row r="158" spans="1:18" x14ac:dyDescent="0.25">
      <c r="A158" t="str">
        <f>'(Raw) LensesGH'!A158</f>
        <v>Fujifilm XF 90mm 2.0 R LM WR schwarz</v>
      </c>
      <c r="B158" t="str">
        <f>'(Raw) LensesGH'!B158</f>
        <v>90mm</v>
      </c>
      <c r="C158" s="5">
        <f t="shared" si="19"/>
        <v>90</v>
      </c>
      <c r="D158" s="5">
        <f t="shared" si="20"/>
        <v>90</v>
      </c>
      <c r="E158" t="str">
        <f>'(Raw) LensesGH'!C158</f>
        <v>1:2.0</v>
      </c>
      <c r="F158" s="9">
        <f t="shared" si="21"/>
        <v>2</v>
      </c>
      <c r="G158" s="9">
        <f t="shared" si="22"/>
        <v>2</v>
      </c>
      <c r="H158" t="str">
        <f>'(Raw) LensesGH'!D158</f>
        <v>62mm</v>
      </c>
      <c r="I158" s="2">
        <f t="shared" si="23"/>
        <v>62</v>
      </c>
      <c r="J158" s="2" t="str">
        <f>'(Raw) LensesGH'!E158</f>
        <v>1:5.00</v>
      </c>
      <c r="K158" s="40">
        <f t="shared" si="24"/>
        <v>5</v>
      </c>
      <c r="L158" t="str">
        <f>'(Raw) LensesGH'!F158</f>
        <v>Fujifilm X</v>
      </c>
      <c r="M158" t="str">
        <f>'(Raw) LensesGH'!G158</f>
        <v>APS-C</v>
      </c>
      <c r="N158" t="str">
        <f>'(Raw) LensesGH'!H158</f>
        <v>540g</v>
      </c>
      <c r="O158" s="5">
        <f t="shared" si="25"/>
        <v>540</v>
      </c>
      <c r="P158" t="str">
        <f>'(Raw) LensesGH'!I158</f>
        <v>75 x 105mm</v>
      </c>
      <c r="Q158" s="39">
        <f t="shared" si="26"/>
        <v>75</v>
      </c>
      <c r="R158" s="39">
        <f t="shared" si="18"/>
        <v>105</v>
      </c>
    </row>
    <row r="159" spans="1:18" x14ac:dyDescent="0.25">
      <c r="A159" t="str">
        <f>'(Raw) LensesGH'!A159</f>
        <v>HandeVision Ibelux 40mm 0.85 für Canon EF-M schwarz</v>
      </c>
      <c r="B159" t="str">
        <f>'(Raw) LensesGH'!B159</f>
        <v>40mm</v>
      </c>
      <c r="C159" s="5">
        <f t="shared" si="19"/>
        <v>40</v>
      </c>
      <c r="D159" s="5">
        <f t="shared" si="20"/>
        <v>40</v>
      </c>
      <c r="E159" t="str">
        <f>'(Raw) LensesGH'!C159</f>
        <v>1:0.85</v>
      </c>
      <c r="F159" s="9">
        <f t="shared" si="21"/>
        <v>0.85</v>
      </c>
      <c r="G159" s="9">
        <f t="shared" si="22"/>
        <v>0.85</v>
      </c>
      <c r="H159" t="str">
        <f>'(Raw) LensesGH'!D159</f>
        <v>67mm</v>
      </c>
      <c r="I159" s="2">
        <f t="shared" si="23"/>
        <v>67</v>
      </c>
      <c r="J159" s="2" t="str">
        <f>'(Raw) LensesGH'!E159</f>
        <v>1:20.00</v>
      </c>
      <c r="K159" s="40">
        <f t="shared" si="24"/>
        <v>20</v>
      </c>
      <c r="L159" t="str">
        <f>'(Raw) LensesGH'!F159</f>
        <v>Canon EF-M</v>
      </c>
      <c r="M159" t="str">
        <f>'(Raw) LensesGH'!G159</f>
        <v>APS-C</v>
      </c>
      <c r="N159" t="str">
        <f>'(Raw) LensesGH'!H159</f>
        <v>1150g</v>
      </c>
      <c r="O159" s="5">
        <f t="shared" si="25"/>
        <v>1150</v>
      </c>
      <c r="P159" t="str">
        <f>'(Raw) LensesGH'!I159</f>
        <v>74 x 128mm</v>
      </c>
      <c r="Q159" s="39">
        <f t="shared" si="26"/>
        <v>74</v>
      </c>
      <c r="R159" s="39">
        <f t="shared" si="18"/>
        <v>128</v>
      </c>
    </row>
    <row r="160" spans="1:18" x14ac:dyDescent="0.25">
      <c r="A160" t="str">
        <f>'(Raw) LensesGH'!A160</f>
        <v>HandeVision Ibelux 40mm 0.85 für Fujifilm X schwarz</v>
      </c>
      <c r="B160" t="str">
        <f>'(Raw) LensesGH'!B160</f>
        <v>40mm</v>
      </c>
      <c r="C160" s="5">
        <f t="shared" si="19"/>
        <v>40</v>
      </c>
      <c r="D160" s="5">
        <f t="shared" si="20"/>
        <v>40</v>
      </c>
      <c r="E160" t="str">
        <f>'(Raw) LensesGH'!C160</f>
        <v>1:0.85</v>
      </c>
      <c r="F160" s="9">
        <f t="shared" si="21"/>
        <v>0.85</v>
      </c>
      <c r="G160" s="9">
        <f t="shared" si="22"/>
        <v>0.85</v>
      </c>
      <c r="H160" t="str">
        <f>'(Raw) LensesGH'!D160</f>
        <v>67mm</v>
      </c>
      <c r="I160" s="2">
        <f t="shared" si="23"/>
        <v>67</v>
      </c>
      <c r="J160" s="2" t="str">
        <f>'(Raw) LensesGH'!E160</f>
        <v>1:20.00</v>
      </c>
      <c r="K160" s="40">
        <f t="shared" si="24"/>
        <v>20</v>
      </c>
      <c r="L160" t="str">
        <f>'(Raw) LensesGH'!F160</f>
        <v>Fujifilm X</v>
      </c>
      <c r="M160" t="str">
        <f>'(Raw) LensesGH'!G160</f>
        <v>APS-C</v>
      </c>
      <c r="N160" t="str">
        <f>'(Raw) LensesGH'!H160</f>
        <v>1150g</v>
      </c>
      <c r="O160" s="5">
        <f t="shared" si="25"/>
        <v>1150</v>
      </c>
      <c r="P160" t="str">
        <f>'(Raw) LensesGH'!I160</f>
        <v>74 x 128mm</v>
      </c>
      <c r="Q160" s="39">
        <f t="shared" si="26"/>
        <v>74</v>
      </c>
      <c r="R160" s="39">
        <f t="shared" si="18"/>
        <v>128</v>
      </c>
    </row>
    <row r="161" spans="1:18" x14ac:dyDescent="0.25">
      <c r="A161" t="str">
        <f>'(Raw) LensesGH'!A161</f>
        <v>HandeVision Ibelux 40mm 0.85 für Micro-Four-Thirds schwarz</v>
      </c>
      <c r="B161" t="str">
        <f>'(Raw) LensesGH'!B161</f>
        <v>40mm</v>
      </c>
      <c r="C161" s="5">
        <f t="shared" si="19"/>
        <v>40</v>
      </c>
      <c r="D161" s="5">
        <f t="shared" si="20"/>
        <v>40</v>
      </c>
      <c r="E161" t="str">
        <f>'(Raw) LensesGH'!C161</f>
        <v>1:0.85</v>
      </c>
      <c r="F161" s="9">
        <f t="shared" si="21"/>
        <v>0.85</v>
      </c>
      <c r="G161" s="9">
        <f t="shared" si="22"/>
        <v>0.85</v>
      </c>
      <c r="H161" t="str">
        <f>'(Raw) LensesGH'!D161</f>
        <v>67mm</v>
      </c>
      <c r="I161" s="2">
        <f t="shared" si="23"/>
        <v>67</v>
      </c>
      <c r="J161" s="2" t="str">
        <f>'(Raw) LensesGH'!E161</f>
        <v>1:20.00</v>
      </c>
      <c r="K161" s="40">
        <f t="shared" si="24"/>
        <v>20</v>
      </c>
      <c r="L161" t="str">
        <f>'(Raw) LensesGH'!F161</f>
        <v>Micro-Four-Thirds</v>
      </c>
      <c r="M161" t="str">
        <f>'(Raw) LensesGH'!G161</f>
        <v>Four-Thirds</v>
      </c>
      <c r="N161" t="str">
        <f>'(Raw) LensesGH'!H161</f>
        <v>1150g</v>
      </c>
      <c r="O161" s="5">
        <f t="shared" si="25"/>
        <v>1150</v>
      </c>
      <c r="P161" t="str">
        <f>'(Raw) LensesGH'!I161</f>
        <v>74 x 128mm</v>
      </c>
      <c r="Q161" s="39">
        <f t="shared" si="26"/>
        <v>74</v>
      </c>
      <c r="R161" s="39">
        <f t="shared" si="18"/>
        <v>128</v>
      </c>
    </row>
    <row r="162" spans="1:18" x14ac:dyDescent="0.25">
      <c r="A162" t="str">
        <f>'(Raw) LensesGH'!A162</f>
        <v>HandeVision Ibelux 40mm 0.85 für Sony E schwarz</v>
      </c>
      <c r="B162" t="str">
        <f>'(Raw) LensesGH'!B162</f>
        <v>40mm</v>
      </c>
      <c r="C162" s="5">
        <f t="shared" si="19"/>
        <v>40</v>
      </c>
      <c r="D162" s="5">
        <f t="shared" si="20"/>
        <v>40</v>
      </c>
      <c r="E162" t="str">
        <f>'(Raw) LensesGH'!C162</f>
        <v>1:0.85</v>
      </c>
      <c r="F162" s="9">
        <f t="shared" si="21"/>
        <v>0.85</v>
      </c>
      <c r="G162" s="9">
        <f t="shared" si="22"/>
        <v>0.85</v>
      </c>
      <c r="H162" t="str">
        <f>'(Raw) LensesGH'!D162</f>
        <v>67mm</v>
      </c>
      <c r="I162" s="2">
        <f t="shared" si="23"/>
        <v>67</v>
      </c>
      <c r="J162" s="2" t="str">
        <f>'(Raw) LensesGH'!E162</f>
        <v>1:20.00</v>
      </c>
      <c r="K162" s="40">
        <f t="shared" si="24"/>
        <v>20</v>
      </c>
      <c r="L162" t="str">
        <f>'(Raw) LensesGH'!F162</f>
        <v>Sony E</v>
      </c>
      <c r="M162" t="str">
        <f>'(Raw) LensesGH'!G162</f>
        <v>APS-C</v>
      </c>
      <c r="N162" t="str">
        <f>'(Raw) LensesGH'!H162</f>
        <v>1150g</v>
      </c>
      <c r="O162" s="5">
        <f t="shared" si="25"/>
        <v>1150</v>
      </c>
      <c r="P162" t="str">
        <f>'(Raw) LensesGH'!I162</f>
        <v>74 x 128mm</v>
      </c>
      <c r="Q162" s="39">
        <f t="shared" si="26"/>
        <v>74</v>
      </c>
      <c r="R162" s="39">
        <f t="shared" si="18"/>
        <v>128</v>
      </c>
    </row>
    <row r="163" spans="1:18" x14ac:dyDescent="0.25">
      <c r="A163" t="str">
        <f>'(Raw) LensesGH'!A163</f>
        <v>HandeVision Iberit 24mm 2.4 für Sony E schwarz</v>
      </c>
      <c r="B163" t="str">
        <f>'(Raw) LensesGH'!B163</f>
        <v>24mm</v>
      </c>
      <c r="C163" s="5">
        <f t="shared" si="19"/>
        <v>24</v>
      </c>
      <c r="D163" s="5">
        <f t="shared" si="20"/>
        <v>24</v>
      </c>
      <c r="E163" t="str">
        <f>'(Raw) LensesGH'!C163</f>
        <v>1:2.4</v>
      </c>
      <c r="F163" s="9">
        <f t="shared" si="21"/>
        <v>2.4</v>
      </c>
      <c r="G163" s="9">
        <f t="shared" si="22"/>
        <v>2.4</v>
      </c>
      <c r="H163" t="str">
        <f>'(Raw) LensesGH'!D163</f>
        <v>49mm</v>
      </c>
      <c r="I163" s="2">
        <f t="shared" si="23"/>
        <v>49</v>
      </c>
      <c r="J163" s="2">
        <f>'(Raw) LensesGH'!E163</f>
        <v>0</v>
      </c>
      <c r="K163" s="40">
        <f t="shared" si="24"/>
        <v>0</v>
      </c>
      <c r="L163" t="str">
        <f>'(Raw) LensesGH'!F163</f>
        <v>Sony E</v>
      </c>
      <c r="M163" t="str">
        <f>'(Raw) LensesGH'!G163</f>
        <v>APS-C/ Kleinbild</v>
      </c>
      <c r="N163" t="str">
        <f>'(Raw) LensesGH'!H163</f>
        <v>320g</v>
      </c>
      <c r="O163" s="5">
        <f t="shared" si="25"/>
        <v>320</v>
      </c>
      <c r="P163" t="str">
        <f>'(Raw) LensesGH'!I163</f>
        <v>58 x 68mm</v>
      </c>
      <c r="Q163" s="39">
        <f t="shared" si="26"/>
        <v>58</v>
      </c>
      <c r="R163" s="39">
        <f t="shared" si="18"/>
        <v>68</v>
      </c>
    </row>
    <row r="164" spans="1:18" x14ac:dyDescent="0.25">
      <c r="A164" t="str">
        <f>'(Raw) LensesGH'!A164</f>
        <v>HandeVision Iberit 35mm 2.4 für Fujifilm X schwarz</v>
      </c>
      <c r="B164" t="str">
        <f>'(Raw) LensesGH'!B164</f>
        <v>35mm</v>
      </c>
      <c r="C164" s="5">
        <f t="shared" si="19"/>
        <v>35</v>
      </c>
      <c r="D164" s="5">
        <f t="shared" si="20"/>
        <v>35</v>
      </c>
      <c r="E164" t="str">
        <f>'(Raw) LensesGH'!C164</f>
        <v>1:2.4</v>
      </c>
      <c r="F164" s="9">
        <f t="shared" si="21"/>
        <v>2.4</v>
      </c>
      <c r="G164" s="9">
        <f t="shared" si="22"/>
        <v>2.4</v>
      </c>
      <c r="H164" t="str">
        <f>'(Raw) LensesGH'!D164</f>
        <v>49mm</v>
      </c>
      <c r="I164" s="2">
        <f t="shared" si="23"/>
        <v>49</v>
      </c>
      <c r="J164" s="2">
        <f>'(Raw) LensesGH'!E164</f>
        <v>0</v>
      </c>
      <c r="K164" s="40">
        <f t="shared" si="24"/>
        <v>0</v>
      </c>
      <c r="L164" t="str">
        <f>'(Raw) LensesGH'!F164</f>
        <v>Fujifilm X</v>
      </c>
      <c r="M164" t="str">
        <f>'(Raw) LensesGH'!G164</f>
        <v>APS-C/ Kleinbild</v>
      </c>
      <c r="N164" t="str">
        <f>'(Raw) LensesGH'!H164</f>
        <v>280g</v>
      </c>
      <c r="O164" s="5">
        <f t="shared" si="25"/>
        <v>280</v>
      </c>
      <c r="P164" t="str">
        <f>'(Raw) LensesGH'!I164</f>
        <v>58 x 45mm</v>
      </c>
      <c r="Q164" s="39">
        <f t="shared" si="26"/>
        <v>58</v>
      </c>
      <c r="R164" s="39">
        <f t="shared" si="18"/>
        <v>45</v>
      </c>
    </row>
    <row r="165" spans="1:18" x14ac:dyDescent="0.25">
      <c r="A165" t="str">
        <f>'(Raw) LensesGH'!A165</f>
        <v>HandeVision Iberit 35mm 2.4 für Sony E schwarz</v>
      </c>
      <c r="B165" t="str">
        <f>'(Raw) LensesGH'!B165</f>
        <v>35mm</v>
      </c>
      <c r="C165" s="5">
        <f t="shared" si="19"/>
        <v>35</v>
      </c>
      <c r="D165" s="5">
        <f t="shared" si="20"/>
        <v>35</v>
      </c>
      <c r="E165" t="str">
        <f>'(Raw) LensesGH'!C165</f>
        <v>1:2.4</v>
      </c>
      <c r="F165" s="9">
        <f t="shared" si="21"/>
        <v>2.4</v>
      </c>
      <c r="G165" s="9">
        <f t="shared" si="22"/>
        <v>2.4</v>
      </c>
      <c r="H165" t="str">
        <f>'(Raw) LensesGH'!D165</f>
        <v>49mm</v>
      </c>
      <c r="I165" s="2">
        <f t="shared" si="23"/>
        <v>49</v>
      </c>
      <c r="J165" s="2">
        <f>'(Raw) LensesGH'!E165</f>
        <v>0</v>
      </c>
      <c r="K165" s="40">
        <f t="shared" si="24"/>
        <v>0</v>
      </c>
      <c r="L165" t="str">
        <f>'(Raw) LensesGH'!F165</f>
        <v>Sony E</v>
      </c>
      <c r="M165" t="str">
        <f>'(Raw) LensesGH'!G165</f>
        <v>APS-C/ Kleinbild</v>
      </c>
      <c r="N165" t="str">
        <f>'(Raw) LensesGH'!H165</f>
        <v>280g</v>
      </c>
      <c r="O165" s="5">
        <f t="shared" si="25"/>
        <v>280</v>
      </c>
      <c r="P165" t="str">
        <f>'(Raw) LensesGH'!I165</f>
        <v>58 x 45mm</v>
      </c>
      <c r="Q165" s="39">
        <f t="shared" si="26"/>
        <v>58</v>
      </c>
      <c r="R165" s="39">
        <f t="shared" si="18"/>
        <v>45</v>
      </c>
    </row>
    <row r="166" spans="1:18" x14ac:dyDescent="0.25">
      <c r="A166" t="str">
        <f>'(Raw) LensesGH'!A166</f>
        <v>HandeVision Iberit 50mm 2.4 für Fujifilm X schwarz</v>
      </c>
      <c r="B166" t="str">
        <f>'(Raw) LensesGH'!B166</f>
        <v>50mm</v>
      </c>
      <c r="C166" s="5">
        <f t="shared" si="19"/>
        <v>50</v>
      </c>
      <c r="D166" s="5">
        <f t="shared" si="20"/>
        <v>50</v>
      </c>
      <c r="E166" t="str">
        <f>'(Raw) LensesGH'!C166</f>
        <v>1:2.4</v>
      </c>
      <c r="F166" s="9">
        <f t="shared" si="21"/>
        <v>2.4</v>
      </c>
      <c r="G166" s="9">
        <f t="shared" si="22"/>
        <v>2.4</v>
      </c>
      <c r="H166" t="str">
        <f>'(Raw) LensesGH'!D166</f>
        <v>49mm</v>
      </c>
      <c r="I166" s="2">
        <f t="shared" si="23"/>
        <v>49</v>
      </c>
      <c r="J166" s="2">
        <f>'(Raw) LensesGH'!E166</f>
        <v>0</v>
      </c>
      <c r="K166" s="40">
        <f t="shared" si="24"/>
        <v>0</v>
      </c>
      <c r="L166" t="str">
        <f>'(Raw) LensesGH'!F166</f>
        <v>Fujifilm X</v>
      </c>
      <c r="M166" t="str">
        <f>'(Raw) LensesGH'!G166</f>
        <v>APS-C/ Kleinbild</v>
      </c>
      <c r="N166" t="str">
        <f>'(Raw) LensesGH'!H166</f>
        <v>310g</v>
      </c>
      <c r="O166" s="5">
        <f t="shared" si="25"/>
        <v>310</v>
      </c>
      <c r="P166" t="str">
        <f>'(Raw) LensesGH'!I166</f>
        <v>58 x 65mm</v>
      </c>
      <c r="Q166" s="39">
        <f t="shared" si="26"/>
        <v>58</v>
      </c>
      <c r="R166" s="39">
        <f t="shared" si="18"/>
        <v>65</v>
      </c>
    </row>
    <row r="167" spans="1:18" x14ac:dyDescent="0.25">
      <c r="A167" t="str">
        <f>'(Raw) LensesGH'!A167</f>
        <v>HandeVision Iberit 50mm 2.4 für Sony E schwarz</v>
      </c>
      <c r="B167" t="str">
        <f>'(Raw) LensesGH'!B167</f>
        <v>50mm</v>
      </c>
      <c r="C167" s="5">
        <f t="shared" si="19"/>
        <v>50</v>
      </c>
      <c r="D167" s="5">
        <f t="shared" si="20"/>
        <v>50</v>
      </c>
      <c r="E167" t="str">
        <f>'(Raw) LensesGH'!C167</f>
        <v>1:2.4</v>
      </c>
      <c r="F167" s="9">
        <f t="shared" si="21"/>
        <v>2.4</v>
      </c>
      <c r="G167" s="9">
        <f t="shared" si="22"/>
        <v>2.4</v>
      </c>
      <c r="H167" t="str">
        <f>'(Raw) LensesGH'!D167</f>
        <v>49mm</v>
      </c>
      <c r="I167" s="2">
        <f t="shared" si="23"/>
        <v>49</v>
      </c>
      <c r="J167" s="2">
        <f>'(Raw) LensesGH'!E167</f>
        <v>0</v>
      </c>
      <c r="K167" s="40">
        <f t="shared" si="24"/>
        <v>0</v>
      </c>
      <c r="L167" t="str">
        <f>'(Raw) LensesGH'!F167</f>
        <v>Sony E</v>
      </c>
      <c r="M167" t="str">
        <f>'(Raw) LensesGH'!G167</f>
        <v>APS-C/ Kleinbild</v>
      </c>
      <c r="N167" t="str">
        <f>'(Raw) LensesGH'!H167</f>
        <v>310g</v>
      </c>
      <c r="O167" s="5">
        <f t="shared" si="25"/>
        <v>310</v>
      </c>
      <c r="P167" t="str">
        <f>'(Raw) LensesGH'!I167</f>
        <v>58 x 65mm</v>
      </c>
      <c r="Q167" s="39">
        <f t="shared" si="26"/>
        <v>58</v>
      </c>
      <c r="R167" s="39">
        <f t="shared" si="18"/>
        <v>65</v>
      </c>
    </row>
    <row r="168" spans="1:18" x14ac:dyDescent="0.25">
      <c r="A168" t="str">
        <f>'(Raw) LensesGH'!A168</f>
        <v>Hasselblad HC 100mm 2.2 schwarz</v>
      </c>
      <c r="B168" t="str">
        <f>'(Raw) LensesGH'!B168</f>
        <v>100mm</v>
      </c>
      <c r="C168" s="5">
        <f t="shared" si="19"/>
        <v>100</v>
      </c>
      <c r="D168" s="5">
        <f t="shared" si="20"/>
        <v>100</v>
      </c>
      <c r="E168" t="str">
        <f>'(Raw) LensesGH'!C168</f>
        <v>1:2.2</v>
      </c>
      <c r="F168" s="9">
        <f t="shared" si="21"/>
        <v>2.2000000000000002</v>
      </c>
      <c r="G168" s="9">
        <f t="shared" si="22"/>
        <v>2.2000000000000002</v>
      </c>
      <c r="H168" t="str">
        <f>'(Raw) LensesGH'!D168</f>
        <v>77mm</v>
      </c>
      <c r="I168" s="2">
        <f t="shared" si="23"/>
        <v>77</v>
      </c>
      <c r="J168" s="2" t="str">
        <f>'(Raw) LensesGH'!E168</f>
        <v>1:7.20</v>
      </c>
      <c r="K168" s="40">
        <f t="shared" si="24"/>
        <v>7.2</v>
      </c>
      <c r="L168" t="str">
        <f>'(Raw) LensesGH'!F168</f>
        <v>Hasselblad H</v>
      </c>
      <c r="M168" t="str">
        <f>'(Raw) LensesGH'!G168</f>
        <v>Mittelformat</v>
      </c>
      <c r="N168" t="str">
        <f>'(Raw) LensesGH'!H168</f>
        <v>780g</v>
      </c>
      <c r="O168" s="5">
        <f t="shared" si="25"/>
        <v>780</v>
      </c>
      <c r="P168" t="str">
        <f>'(Raw) LensesGH'!I168</f>
        <v>87.5 x 80.5mm</v>
      </c>
      <c r="Q168" s="39">
        <f t="shared" si="26"/>
        <v>87.5</v>
      </c>
      <c r="R168" s="39">
        <f t="shared" si="18"/>
        <v>80.5</v>
      </c>
    </row>
    <row r="169" spans="1:18" x14ac:dyDescent="0.25">
      <c r="A169" t="str">
        <f>'(Raw) LensesGH'!A169</f>
        <v>Hasselblad HC 50-110mm 3.5-4.5 schwarz</v>
      </c>
      <c r="B169" t="str">
        <f>'(Raw) LensesGH'!B169</f>
        <v>51.6 - 108.3mm</v>
      </c>
      <c r="C169" s="5">
        <f t="shared" si="19"/>
        <v>51.6</v>
      </c>
      <c r="D169" s="5">
        <f t="shared" si="20"/>
        <v>108.3</v>
      </c>
      <c r="E169" t="str">
        <f>'(Raw) LensesGH'!C169</f>
        <v>1:3.5-1:4.5</v>
      </c>
      <c r="F169" s="9">
        <f t="shared" si="21"/>
        <v>3.5</v>
      </c>
      <c r="G169" s="9">
        <f t="shared" si="22"/>
        <v>3.5</v>
      </c>
      <c r="H169" t="str">
        <f>'(Raw) LensesGH'!D169</f>
        <v>95mm</v>
      </c>
      <c r="I169" s="2">
        <f t="shared" si="23"/>
        <v>95</v>
      </c>
      <c r="J169" s="2" t="str">
        <f>'(Raw) LensesGH'!E169</f>
        <v>1:10.80</v>
      </c>
      <c r="K169" s="40">
        <f t="shared" si="24"/>
        <v>10.8</v>
      </c>
      <c r="L169" t="str">
        <f>'(Raw) LensesGH'!F169</f>
        <v>Hasselblad H</v>
      </c>
      <c r="M169" t="str">
        <f>'(Raw) LensesGH'!G169</f>
        <v>Mittelformat</v>
      </c>
      <c r="N169" t="str">
        <f>'(Raw) LensesGH'!H169</f>
        <v>1650g</v>
      </c>
      <c r="O169" s="5">
        <f t="shared" si="25"/>
        <v>1650</v>
      </c>
      <c r="P169" t="str">
        <f>'(Raw) LensesGH'!I169</f>
        <v>103 x 152mm</v>
      </c>
      <c r="Q169" s="39">
        <f t="shared" si="26"/>
        <v>103</v>
      </c>
      <c r="R169" s="39">
        <f t="shared" si="18"/>
        <v>152</v>
      </c>
    </row>
    <row r="170" spans="1:18" x14ac:dyDescent="0.25">
      <c r="A170" t="str">
        <f>'(Raw) LensesGH'!A170</f>
        <v>Hasselblad HC 80mm 2.8 schwarz</v>
      </c>
      <c r="B170" t="str">
        <f>'(Raw) LensesGH'!B170</f>
        <v>82.3mm</v>
      </c>
      <c r="C170" s="5">
        <f t="shared" si="19"/>
        <v>82.3</v>
      </c>
      <c r="D170" s="5">
        <f t="shared" si="20"/>
        <v>82.3</v>
      </c>
      <c r="E170" t="str">
        <f>'(Raw) LensesGH'!C170</f>
        <v>1:2.8</v>
      </c>
      <c r="F170" s="9">
        <f t="shared" si="21"/>
        <v>2.8</v>
      </c>
      <c r="G170" s="9">
        <f t="shared" si="22"/>
        <v>2.8</v>
      </c>
      <c r="H170" t="str">
        <f>'(Raw) LensesGH'!D170</f>
        <v>67mm</v>
      </c>
      <c r="I170" s="2">
        <f t="shared" si="23"/>
        <v>67</v>
      </c>
      <c r="J170" s="2" t="str">
        <f>'(Raw) LensesGH'!E170</f>
        <v>1:6.50</v>
      </c>
      <c r="K170" s="40">
        <f t="shared" si="24"/>
        <v>6.5</v>
      </c>
      <c r="L170" t="str">
        <f>'(Raw) LensesGH'!F170</f>
        <v>Hasselblad H</v>
      </c>
      <c r="M170" t="str">
        <f>'(Raw) LensesGH'!G170</f>
        <v>Mittelformat</v>
      </c>
      <c r="N170" t="str">
        <f>'(Raw) LensesGH'!H170</f>
        <v>475g</v>
      </c>
      <c r="O170" s="5">
        <f t="shared" si="25"/>
        <v>475</v>
      </c>
      <c r="P170" t="str">
        <f>'(Raw) LensesGH'!I170</f>
        <v>84 x 70mm</v>
      </c>
      <c r="Q170" s="39">
        <f t="shared" si="26"/>
        <v>84</v>
      </c>
      <c r="R170" s="39">
        <f t="shared" si="18"/>
        <v>70</v>
      </c>
    </row>
    <row r="171" spans="1:18" x14ac:dyDescent="0.25">
      <c r="A171" t="str">
        <f>'(Raw) LensesGH'!A171</f>
        <v>Hasselblad XCD 120mm 3.5 Macro schwarz</v>
      </c>
      <c r="B171" t="str">
        <f>'(Raw) LensesGH'!B171</f>
        <v>120mm</v>
      </c>
      <c r="C171" s="5">
        <f t="shared" si="19"/>
        <v>120</v>
      </c>
      <c r="D171" s="5">
        <f t="shared" si="20"/>
        <v>120</v>
      </c>
      <c r="E171" t="str">
        <f>'(Raw) LensesGH'!C171</f>
        <v>1:3.5</v>
      </c>
      <c r="F171" s="9">
        <f t="shared" si="21"/>
        <v>3.5</v>
      </c>
      <c r="G171" s="9">
        <f t="shared" si="22"/>
        <v>3.5</v>
      </c>
      <c r="H171" t="str">
        <f>'(Raw) LensesGH'!D171</f>
        <v>77mm</v>
      </c>
      <c r="I171" s="2">
        <f t="shared" si="23"/>
        <v>77</v>
      </c>
      <c r="J171" s="2" t="str">
        <f>'(Raw) LensesGH'!E171</f>
        <v>1:2.00</v>
      </c>
      <c r="K171" s="40">
        <f t="shared" si="24"/>
        <v>2</v>
      </c>
      <c r="L171" t="str">
        <f>'(Raw) LensesGH'!F171</f>
        <v>Hasselblad X</v>
      </c>
      <c r="M171" t="str">
        <f>'(Raw) LensesGH'!G171</f>
        <v>Mittelformat</v>
      </c>
      <c r="N171" t="str">
        <f>'(Raw) LensesGH'!H171</f>
        <v>970g</v>
      </c>
      <c r="O171" s="5">
        <f t="shared" si="25"/>
        <v>970</v>
      </c>
      <c r="P171" t="str">
        <f>'(Raw) LensesGH'!I171</f>
        <v>81 x 150mm</v>
      </c>
      <c r="Q171" s="39">
        <f t="shared" si="26"/>
        <v>81</v>
      </c>
      <c r="R171" s="39">
        <f t="shared" si="18"/>
        <v>150</v>
      </c>
    </row>
    <row r="172" spans="1:18" x14ac:dyDescent="0.25">
      <c r="A172" t="str">
        <f>'(Raw) LensesGH'!A172</f>
        <v>Hasselblad XCD 30mm 3.5 schwarz</v>
      </c>
      <c r="B172" t="str">
        <f>'(Raw) LensesGH'!B172</f>
        <v>30mm</v>
      </c>
      <c r="C172" s="5">
        <f t="shared" si="19"/>
        <v>30</v>
      </c>
      <c r="D172" s="5">
        <f t="shared" si="20"/>
        <v>30</v>
      </c>
      <c r="E172" t="str">
        <f>'(Raw) LensesGH'!C172</f>
        <v>1:3.5</v>
      </c>
      <c r="F172" s="9">
        <f t="shared" si="21"/>
        <v>3.5</v>
      </c>
      <c r="G172" s="9">
        <f t="shared" si="22"/>
        <v>3.5</v>
      </c>
      <c r="H172" t="str">
        <f>'(Raw) LensesGH'!D172</f>
        <v>77mm</v>
      </c>
      <c r="I172" s="2">
        <f t="shared" si="23"/>
        <v>77</v>
      </c>
      <c r="J172" s="2" t="str">
        <f>'(Raw) LensesGH'!E172</f>
        <v>1:9.60</v>
      </c>
      <c r="K172" s="40">
        <f t="shared" si="24"/>
        <v>9.6</v>
      </c>
      <c r="L172" t="str">
        <f>'(Raw) LensesGH'!F172</f>
        <v>Hasselblad X</v>
      </c>
      <c r="M172" t="str">
        <f>'(Raw) LensesGH'!G172</f>
        <v>Mittelformat</v>
      </c>
      <c r="N172" t="str">
        <f>'(Raw) LensesGH'!H172</f>
        <v>550g</v>
      </c>
      <c r="O172" s="5">
        <f t="shared" si="25"/>
        <v>550</v>
      </c>
      <c r="P172" t="str">
        <f>'(Raw) LensesGH'!I172</f>
        <v>83 x 88mm</v>
      </c>
      <c r="Q172" s="39">
        <f t="shared" si="26"/>
        <v>83</v>
      </c>
      <c r="R172" s="39">
        <f t="shared" si="18"/>
        <v>88</v>
      </c>
    </row>
    <row r="173" spans="1:18" x14ac:dyDescent="0.25">
      <c r="A173" t="str">
        <f>'(Raw) LensesGH'!A173</f>
        <v>Hasselblad XCD 45mm 3.5 schwarz</v>
      </c>
      <c r="B173" t="str">
        <f>'(Raw) LensesGH'!B173</f>
        <v>45mm</v>
      </c>
      <c r="C173" s="5">
        <f t="shared" si="19"/>
        <v>45</v>
      </c>
      <c r="D173" s="5">
        <f t="shared" si="20"/>
        <v>45</v>
      </c>
      <c r="E173" t="str">
        <f>'(Raw) LensesGH'!C173</f>
        <v>1:3.5</v>
      </c>
      <c r="F173" s="9">
        <f t="shared" si="21"/>
        <v>3.5</v>
      </c>
      <c r="G173" s="9">
        <f t="shared" si="22"/>
        <v>3.5</v>
      </c>
      <c r="H173" t="str">
        <f>'(Raw) LensesGH'!D173</f>
        <v>67mm</v>
      </c>
      <c r="I173" s="2">
        <f t="shared" si="23"/>
        <v>67</v>
      </c>
      <c r="J173" s="2" t="str">
        <f>'(Raw) LensesGH'!E173</f>
        <v>1:6.40</v>
      </c>
      <c r="K173" s="40">
        <f t="shared" si="24"/>
        <v>6.4</v>
      </c>
      <c r="L173" t="str">
        <f>'(Raw) LensesGH'!F173</f>
        <v>Hasselblad X</v>
      </c>
      <c r="M173" t="str">
        <f>'(Raw) LensesGH'!G173</f>
        <v>Mittelformat</v>
      </c>
      <c r="N173" t="str">
        <f>'(Raw) LensesGH'!H173</f>
        <v>417g</v>
      </c>
      <c r="O173" s="5">
        <f t="shared" si="25"/>
        <v>417</v>
      </c>
      <c r="P173" t="str">
        <f>'(Raw) LensesGH'!I173</f>
        <v>77 x 75mm</v>
      </c>
      <c r="Q173" s="39">
        <f t="shared" si="26"/>
        <v>77</v>
      </c>
      <c r="R173" s="39">
        <f t="shared" si="18"/>
        <v>75</v>
      </c>
    </row>
    <row r="174" spans="1:18" x14ac:dyDescent="0.25">
      <c r="A174" t="str">
        <f>'(Raw) LensesGH'!A174</f>
        <v>Hasselblad XCD 90mm 3.2 schwarz</v>
      </c>
      <c r="B174" t="str">
        <f>'(Raw) LensesGH'!B174</f>
        <v>90mm</v>
      </c>
      <c r="C174" s="5">
        <f t="shared" si="19"/>
        <v>90</v>
      </c>
      <c r="D174" s="5">
        <f t="shared" si="20"/>
        <v>90</v>
      </c>
      <c r="E174" t="str">
        <f>'(Raw) LensesGH'!C174</f>
        <v>1:3.2</v>
      </c>
      <c r="F174" s="9">
        <f t="shared" si="21"/>
        <v>3.2</v>
      </c>
      <c r="G174" s="9">
        <f t="shared" si="22"/>
        <v>3.2</v>
      </c>
      <c r="H174" t="str">
        <f>'(Raw) LensesGH'!D174</f>
        <v>67mm</v>
      </c>
      <c r="I174" s="2">
        <f t="shared" si="23"/>
        <v>67</v>
      </c>
      <c r="J174" s="2" t="str">
        <f>'(Raw) LensesGH'!E174</f>
        <v>1:6.00</v>
      </c>
      <c r="K174" s="40">
        <f t="shared" si="24"/>
        <v>6</v>
      </c>
      <c r="L174" t="str">
        <f>'(Raw) LensesGH'!F174</f>
        <v>Hasselblad X</v>
      </c>
      <c r="M174" t="str">
        <f>'(Raw) LensesGH'!G174</f>
        <v>Mittelformat</v>
      </c>
      <c r="N174" t="str">
        <f>'(Raw) LensesGH'!H174</f>
        <v>619g</v>
      </c>
      <c r="O174" s="5">
        <f t="shared" si="25"/>
        <v>619</v>
      </c>
      <c r="P174" t="str">
        <f>'(Raw) LensesGH'!I174</f>
        <v>77 x 100mm</v>
      </c>
      <c r="Q174" s="39">
        <f t="shared" si="26"/>
        <v>77</v>
      </c>
      <c r="R174" s="39">
        <f t="shared" si="18"/>
        <v>100</v>
      </c>
    </row>
    <row r="175" spans="1:18" x14ac:dyDescent="0.25">
      <c r="A175" t="str">
        <f>'(Raw) LensesGH'!A175</f>
        <v>Irix 11mm 4.0 Blackstone für Canon EF schwarz</v>
      </c>
      <c r="B175" t="str">
        <f>'(Raw) LensesGH'!B175</f>
        <v>11mm</v>
      </c>
      <c r="C175" s="5">
        <f t="shared" si="19"/>
        <v>11</v>
      </c>
      <c r="D175" s="5">
        <f t="shared" si="20"/>
        <v>11</v>
      </c>
      <c r="E175" t="str">
        <f>'(Raw) LensesGH'!C175</f>
        <v>1:4.0</v>
      </c>
      <c r="F175" s="9">
        <f t="shared" si="21"/>
        <v>4</v>
      </c>
      <c r="G175" s="9">
        <f t="shared" si="22"/>
        <v>4</v>
      </c>
      <c r="H175" t="str">
        <f>'(Raw) LensesGH'!D175</f>
        <v>30x30mm</v>
      </c>
      <c r="I175" s="2">
        <f t="shared" si="23"/>
        <v>0</v>
      </c>
      <c r="J175" s="2">
        <f>'(Raw) LensesGH'!E175</f>
        <v>0</v>
      </c>
      <c r="K175" s="40">
        <f t="shared" si="24"/>
        <v>0</v>
      </c>
      <c r="L175" t="str">
        <f>'(Raw) LensesGH'!F175</f>
        <v>Canon EF</v>
      </c>
      <c r="M175" t="str">
        <f>'(Raw) LensesGH'!G175</f>
        <v>APS-C/ Kleinbild</v>
      </c>
      <c r="N175" t="str">
        <f>'(Raw) LensesGH'!H175</f>
        <v>790g</v>
      </c>
      <c r="O175" s="5">
        <f t="shared" si="25"/>
        <v>790</v>
      </c>
      <c r="P175" t="str">
        <f>'(Raw) LensesGH'!I175</f>
        <v>118 x 103mm</v>
      </c>
      <c r="Q175" s="39">
        <f t="shared" si="26"/>
        <v>118</v>
      </c>
      <c r="R175" s="39">
        <f t="shared" si="18"/>
        <v>103</v>
      </c>
    </row>
    <row r="176" spans="1:18" x14ac:dyDescent="0.25">
      <c r="A176" t="str">
        <f>'(Raw) LensesGH'!A176</f>
        <v>Irix 11mm 4.0 Blackstone für Nikon F schwarz</v>
      </c>
      <c r="B176" t="str">
        <f>'(Raw) LensesGH'!B176</f>
        <v>11mm</v>
      </c>
      <c r="C176" s="5">
        <f t="shared" si="19"/>
        <v>11</v>
      </c>
      <c r="D176" s="5">
        <f t="shared" si="20"/>
        <v>11</v>
      </c>
      <c r="E176" t="str">
        <f>'(Raw) LensesGH'!C176</f>
        <v>1:4.0</v>
      </c>
      <c r="F176" s="9">
        <f t="shared" si="21"/>
        <v>4</v>
      </c>
      <c r="G176" s="9">
        <f t="shared" si="22"/>
        <v>4</v>
      </c>
      <c r="H176" t="str">
        <f>'(Raw) LensesGH'!D176</f>
        <v>30x30mm</v>
      </c>
      <c r="I176" s="2">
        <f t="shared" si="23"/>
        <v>0</v>
      </c>
      <c r="J176" s="2">
        <f>'(Raw) LensesGH'!E176</f>
        <v>0</v>
      </c>
      <c r="K176" s="40">
        <f t="shared" si="24"/>
        <v>0</v>
      </c>
      <c r="L176" t="str">
        <f>'(Raw) LensesGH'!F176</f>
        <v>Nikon F</v>
      </c>
      <c r="M176" t="str">
        <f>'(Raw) LensesGH'!G176</f>
        <v>APS-C/ Kleinbild</v>
      </c>
      <c r="N176" t="str">
        <f>'(Raw) LensesGH'!H176</f>
        <v>790g</v>
      </c>
      <c r="O176" s="5">
        <f t="shared" si="25"/>
        <v>790</v>
      </c>
      <c r="P176" t="str">
        <f>'(Raw) LensesGH'!I176</f>
        <v>118 x 103mm</v>
      </c>
      <c r="Q176" s="39">
        <f t="shared" si="26"/>
        <v>118</v>
      </c>
      <c r="R176" s="39">
        <f t="shared" si="18"/>
        <v>103</v>
      </c>
    </row>
    <row r="177" spans="1:18" x14ac:dyDescent="0.25">
      <c r="A177" t="str">
        <f>'(Raw) LensesGH'!A177</f>
        <v>Irix 11mm 4.0 Blackstone für Pentax K schwarz</v>
      </c>
      <c r="B177" t="str">
        <f>'(Raw) LensesGH'!B177</f>
        <v>11mm</v>
      </c>
      <c r="C177" s="5">
        <f t="shared" si="19"/>
        <v>11</v>
      </c>
      <c r="D177" s="5">
        <f t="shared" si="20"/>
        <v>11</v>
      </c>
      <c r="E177" t="str">
        <f>'(Raw) LensesGH'!C177</f>
        <v>1:4.0</v>
      </c>
      <c r="F177" s="9">
        <f t="shared" si="21"/>
        <v>4</v>
      </c>
      <c r="G177" s="9">
        <f t="shared" si="22"/>
        <v>4</v>
      </c>
      <c r="H177" t="str">
        <f>'(Raw) LensesGH'!D177</f>
        <v>30x30mm</v>
      </c>
      <c r="I177" s="2">
        <f t="shared" si="23"/>
        <v>0</v>
      </c>
      <c r="J177" s="2">
        <f>'(Raw) LensesGH'!E177</f>
        <v>0</v>
      </c>
      <c r="K177" s="40">
        <f t="shared" si="24"/>
        <v>0</v>
      </c>
      <c r="L177" t="str">
        <f>'(Raw) LensesGH'!F177</f>
        <v>Pentax K</v>
      </c>
      <c r="M177" t="str">
        <f>'(Raw) LensesGH'!G177</f>
        <v>APS-C/ Kleinbild</v>
      </c>
      <c r="N177" t="str">
        <f>'(Raw) LensesGH'!H177</f>
        <v>790g</v>
      </c>
      <c r="O177" s="5">
        <f t="shared" si="25"/>
        <v>790</v>
      </c>
      <c r="P177" t="str">
        <f>'(Raw) LensesGH'!I177</f>
        <v>118 x 103mm</v>
      </c>
      <c r="Q177" s="39">
        <f t="shared" si="26"/>
        <v>118</v>
      </c>
      <c r="R177" s="39">
        <f t="shared" si="18"/>
        <v>103</v>
      </c>
    </row>
    <row r="178" spans="1:18" x14ac:dyDescent="0.25">
      <c r="A178" t="str">
        <f>'(Raw) LensesGH'!A178</f>
        <v>Irix 11mm 4.0 Firefly für Canon EF schwarz</v>
      </c>
      <c r="B178" t="str">
        <f>'(Raw) LensesGH'!B178</f>
        <v>11mm</v>
      </c>
      <c r="C178" s="5">
        <f t="shared" si="19"/>
        <v>11</v>
      </c>
      <c r="D178" s="5">
        <f t="shared" si="20"/>
        <v>11</v>
      </c>
      <c r="E178" t="str">
        <f>'(Raw) LensesGH'!C178</f>
        <v>1:4.0</v>
      </c>
      <c r="F178" s="9">
        <f t="shared" si="21"/>
        <v>4</v>
      </c>
      <c r="G178" s="9">
        <f t="shared" si="22"/>
        <v>4</v>
      </c>
      <c r="H178" t="str">
        <f>'(Raw) LensesGH'!D178</f>
        <v>30x30mm</v>
      </c>
      <c r="I178" s="2">
        <f t="shared" si="23"/>
        <v>0</v>
      </c>
      <c r="J178" s="2">
        <f>'(Raw) LensesGH'!E178</f>
        <v>0</v>
      </c>
      <c r="K178" s="40">
        <f t="shared" si="24"/>
        <v>0</v>
      </c>
      <c r="L178" t="str">
        <f>'(Raw) LensesGH'!F178</f>
        <v>Canon EF</v>
      </c>
      <c r="M178" t="str">
        <f>'(Raw) LensesGH'!G178</f>
        <v>APS-C/ Kleinbild</v>
      </c>
      <c r="N178" t="str">
        <f>'(Raw) LensesGH'!H178</f>
        <v>790g</v>
      </c>
      <c r="O178" s="5">
        <f t="shared" si="25"/>
        <v>790</v>
      </c>
      <c r="P178" t="str">
        <f>'(Raw) LensesGH'!I178</f>
        <v>118 x 103mm</v>
      </c>
      <c r="Q178" s="39">
        <f t="shared" si="26"/>
        <v>118</v>
      </c>
      <c r="R178" s="39">
        <f t="shared" si="18"/>
        <v>103</v>
      </c>
    </row>
    <row r="179" spans="1:18" x14ac:dyDescent="0.25">
      <c r="A179" t="str">
        <f>'(Raw) LensesGH'!A179</f>
        <v>Irix 11mm 4.0 Firefly für Nikon F schwarz</v>
      </c>
      <c r="B179" t="str">
        <f>'(Raw) LensesGH'!B179</f>
        <v>11mm</v>
      </c>
      <c r="C179" s="5">
        <f t="shared" si="19"/>
        <v>11</v>
      </c>
      <c r="D179" s="5">
        <f t="shared" si="20"/>
        <v>11</v>
      </c>
      <c r="E179" t="str">
        <f>'(Raw) LensesGH'!C179</f>
        <v>1:4.0</v>
      </c>
      <c r="F179" s="9">
        <f t="shared" si="21"/>
        <v>4</v>
      </c>
      <c r="G179" s="9">
        <f t="shared" si="22"/>
        <v>4</v>
      </c>
      <c r="H179" t="str">
        <f>'(Raw) LensesGH'!D179</f>
        <v>30x30mm</v>
      </c>
      <c r="I179" s="2">
        <f t="shared" si="23"/>
        <v>0</v>
      </c>
      <c r="J179" s="2">
        <f>'(Raw) LensesGH'!E179</f>
        <v>0</v>
      </c>
      <c r="K179" s="40">
        <f t="shared" si="24"/>
        <v>0</v>
      </c>
      <c r="L179" t="str">
        <f>'(Raw) LensesGH'!F179</f>
        <v>Nikon F</v>
      </c>
      <c r="M179" t="str">
        <f>'(Raw) LensesGH'!G179</f>
        <v>APS-C/ Kleinbild</v>
      </c>
      <c r="N179" t="str">
        <f>'(Raw) LensesGH'!H179</f>
        <v>790g</v>
      </c>
      <c r="O179" s="5">
        <f t="shared" si="25"/>
        <v>790</v>
      </c>
      <c r="P179" t="str">
        <f>'(Raw) LensesGH'!I179</f>
        <v>118 x 103mm</v>
      </c>
      <c r="Q179" s="39">
        <f t="shared" si="26"/>
        <v>118</v>
      </c>
      <c r="R179" s="39">
        <f t="shared" si="18"/>
        <v>103</v>
      </c>
    </row>
    <row r="180" spans="1:18" x14ac:dyDescent="0.25">
      <c r="A180" t="str">
        <f>'(Raw) LensesGH'!A180</f>
        <v>Irix 11mm 4.0 Firefly für Pentax K schwarz</v>
      </c>
      <c r="B180" t="str">
        <f>'(Raw) LensesGH'!B180</f>
        <v>11mm</v>
      </c>
      <c r="C180" s="5">
        <f t="shared" si="19"/>
        <v>11</v>
      </c>
      <c r="D180" s="5">
        <f t="shared" si="20"/>
        <v>11</v>
      </c>
      <c r="E180" t="str">
        <f>'(Raw) LensesGH'!C180</f>
        <v>1:4.0</v>
      </c>
      <c r="F180" s="9">
        <f t="shared" si="21"/>
        <v>4</v>
      </c>
      <c r="G180" s="9">
        <f t="shared" si="22"/>
        <v>4</v>
      </c>
      <c r="H180" t="str">
        <f>'(Raw) LensesGH'!D180</f>
        <v>30x30mm</v>
      </c>
      <c r="I180" s="2">
        <f t="shared" si="23"/>
        <v>0</v>
      </c>
      <c r="J180" s="2">
        <f>'(Raw) LensesGH'!E180</f>
        <v>0</v>
      </c>
      <c r="K180" s="40">
        <f t="shared" si="24"/>
        <v>0</v>
      </c>
      <c r="L180" t="str">
        <f>'(Raw) LensesGH'!F180</f>
        <v>Pentax K</v>
      </c>
      <c r="M180" t="str">
        <f>'(Raw) LensesGH'!G180</f>
        <v>APS-C/ Kleinbild</v>
      </c>
      <c r="N180" t="str">
        <f>'(Raw) LensesGH'!H180</f>
        <v>790g</v>
      </c>
      <c r="O180" s="5">
        <f t="shared" si="25"/>
        <v>790</v>
      </c>
      <c r="P180" t="str">
        <f>'(Raw) LensesGH'!I180</f>
        <v>118 x 103mm</v>
      </c>
      <c r="Q180" s="39">
        <f t="shared" si="26"/>
        <v>118</v>
      </c>
      <c r="R180" s="39">
        <f t="shared" si="18"/>
        <v>103</v>
      </c>
    </row>
    <row r="181" spans="1:18" x14ac:dyDescent="0.25">
      <c r="A181" t="str">
        <f>'(Raw) LensesGH'!A181</f>
        <v>Irix 15mm 2.4 Blackstone für Canon EF schwarz</v>
      </c>
      <c r="B181" t="str">
        <f>'(Raw) LensesGH'!B181</f>
        <v>15mm</v>
      </c>
      <c r="C181" s="5">
        <f t="shared" si="19"/>
        <v>15</v>
      </c>
      <c r="D181" s="5">
        <f t="shared" si="20"/>
        <v>15</v>
      </c>
      <c r="E181" t="str">
        <f>'(Raw) LensesGH'!C181</f>
        <v>1:2.4</v>
      </c>
      <c r="F181" s="9">
        <f t="shared" si="21"/>
        <v>2.4</v>
      </c>
      <c r="G181" s="9">
        <f t="shared" si="22"/>
        <v>2.4</v>
      </c>
      <c r="H181" t="str">
        <f>'(Raw) LensesGH'!D181</f>
        <v>95mm,</v>
      </c>
      <c r="I181" s="2">
        <f t="shared" si="23"/>
        <v>95</v>
      </c>
      <c r="J181" s="2">
        <f>'(Raw) LensesGH'!E181</f>
        <v>0</v>
      </c>
      <c r="K181" s="40">
        <f t="shared" si="24"/>
        <v>0</v>
      </c>
      <c r="L181" t="str">
        <f>'(Raw) LensesGH'!F181</f>
        <v>Canon EF</v>
      </c>
      <c r="M181" t="str">
        <f>'(Raw) LensesGH'!G181</f>
        <v>APS-C/ Kleinbild</v>
      </c>
      <c r="N181" t="str">
        <f>'(Raw) LensesGH'!H181</f>
        <v>685g</v>
      </c>
      <c r="O181" s="5">
        <f t="shared" si="25"/>
        <v>685</v>
      </c>
      <c r="P181" t="str">
        <f>'(Raw) LensesGH'!I181</f>
        <v>114 x 100mm</v>
      </c>
      <c r="Q181" s="39">
        <f t="shared" si="26"/>
        <v>114</v>
      </c>
      <c r="R181" s="39">
        <f t="shared" si="18"/>
        <v>100</v>
      </c>
    </row>
    <row r="182" spans="1:18" x14ac:dyDescent="0.25">
      <c r="A182" t="str">
        <f>'(Raw) LensesGH'!A182</f>
        <v>Irix 15mm 2.4 Blackstone für Nikon F schwarz</v>
      </c>
      <c r="B182" t="str">
        <f>'(Raw) LensesGH'!B182</f>
        <v>15mm</v>
      </c>
      <c r="C182" s="5">
        <f t="shared" si="19"/>
        <v>15</v>
      </c>
      <c r="D182" s="5">
        <f t="shared" si="20"/>
        <v>15</v>
      </c>
      <c r="E182" t="str">
        <f>'(Raw) LensesGH'!C182</f>
        <v>1:2.4</v>
      </c>
      <c r="F182" s="9">
        <f t="shared" si="21"/>
        <v>2.4</v>
      </c>
      <c r="G182" s="9">
        <f t="shared" si="22"/>
        <v>2.4</v>
      </c>
      <c r="H182" t="str">
        <f>'(Raw) LensesGH'!D182</f>
        <v>95mm,</v>
      </c>
      <c r="I182" s="2">
        <f t="shared" si="23"/>
        <v>95</v>
      </c>
      <c r="J182" s="2">
        <f>'(Raw) LensesGH'!E182</f>
        <v>0</v>
      </c>
      <c r="K182" s="40">
        <f t="shared" si="24"/>
        <v>0</v>
      </c>
      <c r="L182" t="str">
        <f>'(Raw) LensesGH'!F182</f>
        <v>Nikon F</v>
      </c>
      <c r="M182" t="str">
        <f>'(Raw) LensesGH'!G182</f>
        <v>APS-C/ Kleinbild</v>
      </c>
      <c r="N182" t="str">
        <f>'(Raw) LensesGH'!H182</f>
        <v>653g</v>
      </c>
      <c r="O182" s="5">
        <f t="shared" si="25"/>
        <v>653</v>
      </c>
      <c r="P182" t="str">
        <f>'(Raw) LensesGH'!I182</f>
        <v>114 x 100mm</v>
      </c>
      <c r="Q182" s="39">
        <f t="shared" si="26"/>
        <v>114</v>
      </c>
      <c r="R182" s="39">
        <f t="shared" si="18"/>
        <v>100</v>
      </c>
    </row>
    <row r="183" spans="1:18" x14ac:dyDescent="0.25">
      <c r="A183" t="str">
        <f>'(Raw) LensesGH'!A183</f>
        <v>Irix 15mm 2.4 Blackstone für Pentax K schwarz</v>
      </c>
      <c r="B183" t="str">
        <f>'(Raw) LensesGH'!B183</f>
        <v>15mm</v>
      </c>
      <c r="C183" s="5">
        <f t="shared" si="19"/>
        <v>15</v>
      </c>
      <c r="D183" s="5">
        <f t="shared" si="20"/>
        <v>15</v>
      </c>
      <c r="E183" t="str">
        <f>'(Raw) LensesGH'!C183</f>
        <v>1:2.4</v>
      </c>
      <c r="F183" s="9">
        <f t="shared" si="21"/>
        <v>2.4</v>
      </c>
      <c r="G183" s="9">
        <f t="shared" si="22"/>
        <v>2.4</v>
      </c>
      <c r="H183" t="str">
        <f>'(Raw) LensesGH'!D183</f>
        <v>95mm,</v>
      </c>
      <c r="I183" s="2">
        <f t="shared" si="23"/>
        <v>95</v>
      </c>
      <c r="J183" s="2">
        <f>'(Raw) LensesGH'!E183</f>
        <v>0</v>
      </c>
      <c r="K183" s="40">
        <f t="shared" si="24"/>
        <v>0</v>
      </c>
      <c r="L183" t="str">
        <f>'(Raw) LensesGH'!F183</f>
        <v>Pentax K</v>
      </c>
      <c r="M183" t="str">
        <f>'(Raw) LensesGH'!G183</f>
        <v>APS-C/ Kleinbild</v>
      </c>
      <c r="N183">
        <f>'(Raw) LensesGH'!H183</f>
        <v>0</v>
      </c>
      <c r="O183" s="5">
        <f t="shared" si="25"/>
        <v>0</v>
      </c>
      <c r="P183" t="str">
        <f>'(Raw) LensesGH'!I183</f>
        <v>114 x 100mm</v>
      </c>
      <c r="Q183" s="39">
        <f t="shared" si="26"/>
        <v>114</v>
      </c>
      <c r="R183" s="39">
        <f t="shared" si="18"/>
        <v>100</v>
      </c>
    </row>
    <row r="184" spans="1:18" x14ac:dyDescent="0.25">
      <c r="A184" t="str">
        <f>'(Raw) LensesGH'!A184</f>
        <v>Irix 15mm 2.4 Firefly für Canon EF schwarz</v>
      </c>
      <c r="B184" t="str">
        <f>'(Raw) LensesGH'!B184</f>
        <v>15mm</v>
      </c>
      <c r="C184" s="5">
        <f t="shared" si="19"/>
        <v>15</v>
      </c>
      <c r="D184" s="5">
        <f t="shared" si="20"/>
        <v>15</v>
      </c>
      <c r="E184" t="str">
        <f>'(Raw) LensesGH'!C184</f>
        <v>1:2.4</v>
      </c>
      <c r="F184" s="9">
        <f t="shared" si="21"/>
        <v>2.4</v>
      </c>
      <c r="G184" s="9">
        <f t="shared" si="22"/>
        <v>2.4</v>
      </c>
      <c r="H184" t="str">
        <f>'(Raw) LensesGH'!D184</f>
        <v>95mm,</v>
      </c>
      <c r="I184" s="2">
        <f t="shared" si="23"/>
        <v>95</v>
      </c>
      <c r="J184" s="2">
        <f>'(Raw) LensesGH'!E184</f>
        <v>0</v>
      </c>
      <c r="K184" s="40">
        <f t="shared" si="24"/>
        <v>0</v>
      </c>
      <c r="L184" t="str">
        <f>'(Raw) LensesGH'!F184</f>
        <v>Canon EF</v>
      </c>
      <c r="M184" t="str">
        <f>'(Raw) LensesGH'!G184</f>
        <v>APS-C/ Kleinbild</v>
      </c>
      <c r="N184" t="str">
        <f>'(Raw) LensesGH'!H184</f>
        <v>608g</v>
      </c>
      <c r="O184" s="5">
        <f t="shared" si="25"/>
        <v>608</v>
      </c>
      <c r="P184" t="str">
        <f>'(Raw) LensesGH'!I184</f>
        <v>114 x 100mm</v>
      </c>
      <c r="Q184" s="39">
        <f t="shared" si="26"/>
        <v>114</v>
      </c>
      <c r="R184" s="39">
        <f t="shared" si="18"/>
        <v>100</v>
      </c>
    </row>
    <row r="185" spans="1:18" x14ac:dyDescent="0.25">
      <c r="A185" t="str">
        <f>'(Raw) LensesGH'!A185</f>
        <v>Irix 15mm 2.4 Firefly für Nikon F schwarz</v>
      </c>
      <c r="B185" t="str">
        <f>'(Raw) LensesGH'!B185</f>
        <v>15mm</v>
      </c>
      <c r="C185" s="5">
        <f t="shared" si="19"/>
        <v>15</v>
      </c>
      <c r="D185" s="5">
        <f t="shared" si="20"/>
        <v>15</v>
      </c>
      <c r="E185" t="str">
        <f>'(Raw) LensesGH'!C185</f>
        <v>1:2.4</v>
      </c>
      <c r="F185" s="9">
        <f t="shared" si="21"/>
        <v>2.4</v>
      </c>
      <c r="G185" s="9">
        <f t="shared" si="22"/>
        <v>2.4</v>
      </c>
      <c r="H185" t="str">
        <f>'(Raw) LensesGH'!D185</f>
        <v>95mm,</v>
      </c>
      <c r="I185" s="2">
        <f t="shared" si="23"/>
        <v>95</v>
      </c>
      <c r="J185" s="2">
        <f>'(Raw) LensesGH'!E185</f>
        <v>0</v>
      </c>
      <c r="K185" s="40">
        <f t="shared" si="24"/>
        <v>0</v>
      </c>
      <c r="L185" t="str">
        <f>'(Raw) LensesGH'!F185</f>
        <v>Nikon F</v>
      </c>
      <c r="M185" t="str">
        <f>'(Raw) LensesGH'!G185</f>
        <v>APS-C/ Kleinbild</v>
      </c>
      <c r="N185" t="str">
        <f>'(Raw) LensesGH'!H185</f>
        <v>581g</v>
      </c>
      <c r="O185" s="5">
        <f t="shared" si="25"/>
        <v>581</v>
      </c>
      <c r="P185" t="str">
        <f>'(Raw) LensesGH'!I185</f>
        <v>114 x 100mm</v>
      </c>
      <c r="Q185" s="39">
        <f t="shared" si="26"/>
        <v>114</v>
      </c>
      <c r="R185" s="39">
        <f t="shared" si="18"/>
        <v>100</v>
      </c>
    </row>
    <row r="186" spans="1:18" x14ac:dyDescent="0.25">
      <c r="A186" t="str">
        <f>'(Raw) LensesGH'!A186</f>
        <v>Irix 15mm 2.4 Firefly für Pentax K schwarz</v>
      </c>
      <c r="B186" t="str">
        <f>'(Raw) LensesGH'!B186</f>
        <v>15mm</v>
      </c>
      <c r="C186" s="5">
        <f t="shared" si="19"/>
        <v>15</v>
      </c>
      <c r="D186" s="5">
        <f t="shared" si="20"/>
        <v>15</v>
      </c>
      <c r="E186" t="str">
        <f>'(Raw) LensesGH'!C186</f>
        <v>1:2.4</v>
      </c>
      <c r="F186" s="9">
        <f t="shared" si="21"/>
        <v>2.4</v>
      </c>
      <c r="G186" s="9">
        <f t="shared" si="22"/>
        <v>2.4</v>
      </c>
      <c r="H186" t="str">
        <f>'(Raw) LensesGH'!D186</f>
        <v>95mm,</v>
      </c>
      <c r="I186" s="2">
        <f t="shared" si="23"/>
        <v>95</v>
      </c>
      <c r="J186" s="2">
        <f>'(Raw) LensesGH'!E186</f>
        <v>0</v>
      </c>
      <c r="K186" s="40">
        <f t="shared" si="24"/>
        <v>0</v>
      </c>
      <c r="L186" t="str">
        <f>'(Raw) LensesGH'!F186</f>
        <v>Pentax K</v>
      </c>
      <c r="M186" t="str">
        <f>'(Raw) LensesGH'!G186</f>
        <v>APS-C/ Kleinbild</v>
      </c>
      <c r="N186">
        <f>'(Raw) LensesGH'!H186</f>
        <v>0</v>
      </c>
      <c r="O186" s="5">
        <f t="shared" si="25"/>
        <v>0</v>
      </c>
      <c r="P186" t="str">
        <f>'(Raw) LensesGH'!I186</f>
        <v>114 x 100mm</v>
      </c>
      <c r="Q186" s="39">
        <f t="shared" si="26"/>
        <v>114</v>
      </c>
      <c r="R186" s="39">
        <f t="shared" si="18"/>
        <v>100</v>
      </c>
    </row>
    <row r="187" spans="1:18" x14ac:dyDescent="0.25">
      <c r="A187" t="str">
        <f>'(Raw) LensesGH'!A187</f>
        <v>Kowa Prominar 12mm 1.8 für Micro-Four-Thirds</v>
      </c>
      <c r="B187" t="str">
        <f>'(Raw) LensesGH'!B187</f>
        <v>12mm</v>
      </c>
      <c r="C187" s="5">
        <f t="shared" si="19"/>
        <v>12</v>
      </c>
      <c r="D187" s="5">
        <f t="shared" si="20"/>
        <v>12</v>
      </c>
      <c r="E187" t="str">
        <f>'(Raw) LensesGH'!C187</f>
        <v>1:1.8</v>
      </c>
      <c r="F187" s="9">
        <f t="shared" si="21"/>
        <v>1.8</v>
      </c>
      <c r="G187" s="9">
        <f t="shared" si="22"/>
        <v>1.8</v>
      </c>
      <c r="H187" t="str">
        <f>'(Raw) LensesGH'!D187</f>
        <v>72mm</v>
      </c>
      <c r="I187" s="2">
        <f t="shared" si="23"/>
        <v>72</v>
      </c>
      <c r="J187" s="2" t="str">
        <f>'(Raw) LensesGH'!E187</f>
        <v>1:10.00</v>
      </c>
      <c r="K187" s="40">
        <f t="shared" si="24"/>
        <v>10</v>
      </c>
      <c r="L187" t="str">
        <f>'(Raw) LensesGH'!F187</f>
        <v>Micro-Four-Thirds</v>
      </c>
      <c r="M187" t="str">
        <f>'(Raw) LensesGH'!G187</f>
        <v>Four-Thirds</v>
      </c>
      <c r="N187" t="str">
        <f>'(Raw) LensesGH'!H187</f>
        <v>475g</v>
      </c>
      <c r="O187" s="5">
        <f t="shared" si="25"/>
        <v>475</v>
      </c>
      <c r="P187" t="str">
        <f>'(Raw) LensesGH'!I187</f>
        <v>76.5 x 90.5mm</v>
      </c>
      <c r="Q187" s="39">
        <f t="shared" si="26"/>
        <v>76.5</v>
      </c>
      <c r="R187" s="39">
        <f t="shared" si="18"/>
        <v>90.5</v>
      </c>
    </row>
    <row r="188" spans="1:18" x14ac:dyDescent="0.25">
      <c r="A188" t="str">
        <f>'(Raw) LensesGH'!A188</f>
        <v>Kowa Prominar 25mm 1.8 für Micro-Four-Thirds</v>
      </c>
      <c r="B188" t="str">
        <f>'(Raw) LensesGH'!B188</f>
        <v>25mm</v>
      </c>
      <c r="C188" s="5">
        <f t="shared" si="19"/>
        <v>25</v>
      </c>
      <c r="D188" s="5">
        <f t="shared" si="20"/>
        <v>25</v>
      </c>
      <c r="E188" t="str">
        <f>'(Raw) LensesGH'!C188</f>
        <v>1:1.8</v>
      </c>
      <c r="F188" s="9">
        <f t="shared" si="21"/>
        <v>1.8</v>
      </c>
      <c r="G188" s="9">
        <f t="shared" si="22"/>
        <v>1.8</v>
      </c>
      <c r="H188" t="str">
        <f>'(Raw) LensesGH'!D188</f>
        <v>55mm</v>
      </c>
      <c r="I188" s="2">
        <f t="shared" si="23"/>
        <v>55</v>
      </c>
      <c r="J188" s="2" t="str">
        <f>'(Raw) LensesGH'!E188</f>
        <v>1:6.50</v>
      </c>
      <c r="K188" s="40">
        <f t="shared" si="24"/>
        <v>6.5</v>
      </c>
      <c r="L188" t="str">
        <f>'(Raw) LensesGH'!F188</f>
        <v>Micro-Four-Thirds</v>
      </c>
      <c r="M188" t="str">
        <f>'(Raw) LensesGH'!G188</f>
        <v>Four-Thirds</v>
      </c>
      <c r="N188" t="str">
        <f>'(Raw) LensesGH'!H188</f>
        <v>400g</v>
      </c>
      <c r="O188" s="5">
        <f t="shared" si="25"/>
        <v>400</v>
      </c>
      <c r="P188" t="str">
        <f>'(Raw) LensesGH'!I188</f>
        <v>60 x 94mm</v>
      </c>
      <c r="Q188" s="39">
        <f t="shared" si="26"/>
        <v>60</v>
      </c>
      <c r="R188" s="39">
        <f t="shared" si="18"/>
        <v>94</v>
      </c>
    </row>
    <row r="189" spans="1:18" x14ac:dyDescent="0.25">
      <c r="A189" t="str">
        <f>'(Raw) LensesGH'!A189</f>
        <v>Kowa Prominar 8.5mm 2.8 für Micro-Four-Thirds</v>
      </c>
      <c r="B189" t="str">
        <f>'(Raw) LensesGH'!B189</f>
        <v>8.5mm</v>
      </c>
      <c r="C189" s="5">
        <f t="shared" si="19"/>
        <v>8.5</v>
      </c>
      <c r="D189" s="5">
        <f t="shared" si="20"/>
        <v>8.5</v>
      </c>
      <c r="E189" t="str">
        <f>'(Raw) LensesGH'!C189</f>
        <v>1:2.8</v>
      </c>
      <c r="F189" s="9">
        <f t="shared" si="21"/>
        <v>2.8</v>
      </c>
      <c r="G189" s="9">
        <f t="shared" si="22"/>
        <v>2.8</v>
      </c>
      <c r="H189" t="str">
        <f>'(Raw) LensesGH'!D189</f>
        <v>86mm</v>
      </c>
      <c r="I189" s="2">
        <f t="shared" si="23"/>
        <v>86</v>
      </c>
      <c r="J189" s="2" t="str">
        <f>'(Raw) LensesGH'!E189</f>
        <v>1:12.50</v>
      </c>
      <c r="K189" s="40">
        <f t="shared" si="24"/>
        <v>12.5</v>
      </c>
      <c r="L189" t="str">
        <f>'(Raw) LensesGH'!F189</f>
        <v>Micro-Four-Thirds</v>
      </c>
      <c r="M189" t="str">
        <f>'(Raw) LensesGH'!G189</f>
        <v>Four-Thirds</v>
      </c>
      <c r="N189" t="str">
        <f>'(Raw) LensesGH'!H189</f>
        <v>440g</v>
      </c>
      <c r="O189" s="5">
        <f t="shared" si="25"/>
        <v>440</v>
      </c>
      <c r="P189" t="str">
        <f>'(Raw) LensesGH'!I189</f>
        <v>71.5 x 86.8mm</v>
      </c>
      <c r="Q189" s="39">
        <f t="shared" si="26"/>
        <v>71.5</v>
      </c>
      <c r="R189" s="39">
        <f t="shared" si="18"/>
        <v>86.8</v>
      </c>
    </row>
    <row r="190" spans="1:18" x14ac:dyDescent="0.25">
      <c r="A190" t="str">
        <f>'(Raw) LensesGH'!A190</f>
        <v>Laowa 105mm 2.0 (T3.2) STF für Canon EF schwarz</v>
      </c>
      <c r="B190" t="str">
        <f>'(Raw) LensesGH'!B190</f>
        <v>105mm</v>
      </c>
      <c r="C190" s="5">
        <f t="shared" si="19"/>
        <v>105</v>
      </c>
      <c r="D190" s="5">
        <f t="shared" si="20"/>
        <v>105</v>
      </c>
      <c r="E190" t="str">
        <f>'(Raw) LensesGH'!C190</f>
        <v>1:2.0</v>
      </c>
      <c r="F190" s="9">
        <f t="shared" si="21"/>
        <v>2</v>
      </c>
      <c r="G190" s="9">
        <f t="shared" si="22"/>
        <v>2</v>
      </c>
      <c r="H190" t="str">
        <f>'(Raw) LensesGH'!D190</f>
        <v>67mm</v>
      </c>
      <c r="I190" s="2">
        <f t="shared" si="23"/>
        <v>67</v>
      </c>
      <c r="J190" s="2" t="str">
        <f>'(Raw) LensesGH'!E190</f>
        <v>1:6.15</v>
      </c>
      <c r="K190" s="40">
        <f t="shared" si="24"/>
        <v>6.15</v>
      </c>
      <c r="L190" t="str">
        <f>'(Raw) LensesGH'!F190</f>
        <v>Canon EF</v>
      </c>
      <c r="M190" t="str">
        <f>'(Raw) LensesGH'!G190</f>
        <v>APS-C/ Kleinbild</v>
      </c>
      <c r="N190" t="str">
        <f>'(Raw) LensesGH'!H190</f>
        <v>745g</v>
      </c>
      <c r="O190" s="5">
        <f t="shared" si="25"/>
        <v>745</v>
      </c>
      <c r="P190" t="str">
        <f>'(Raw) LensesGH'!I190</f>
        <v>76 x 98.9mm</v>
      </c>
      <c r="Q190" s="39">
        <f t="shared" si="26"/>
        <v>76</v>
      </c>
      <c r="R190" s="39">
        <f t="shared" si="18"/>
        <v>98.9</v>
      </c>
    </row>
    <row r="191" spans="1:18" x14ac:dyDescent="0.25">
      <c r="A191" t="str">
        <f>'(Raw) LensesGH'!A191</f>
        <v>Laowa 105mm 2.0 (T3.2) STF für Nikon F schwarz</v>
      </c>
      <c r="B191" t="str">
        <f>'(Raw) LensesGH'!B191</f>
        <v>105mm</v>
      </c>
      <c r="C191" s="5">
        <f t="shared" si="19"/>
        <v>105</v>
      </c>
      <c r="D191" s="5">
        <f t="shared" si="20"/>
        <v>105</v>
      </c>
      <c r="E191" t="str">
        <f>'(Raw) LensesGH'!C191</f>
        <v>1:2.0</v>
      </c>
      <c r="F191" s="9">
        <f t="shared" si="21"/>
        <v>2</v>
      </c>
      <c r="G191" s="9">
        <f t="shared" si="22"/>
        <v>2</v>
      </c>
      <c r="H191" t="str">
        <f>'(Raw) LensesGH'!D191</f>
        <v>67mm</v>
      </c>
      <c r="I191" s="2">
        <f t="shared" si="23"/>
        <v>67</v>
      </c>
      <c r="J191" s="2" t="str">
        <f>'(Raw) LensesGH'!E191</f>
        <v>1:6.15</v>
      </c>
      <c r="K191" s="40">
        <f t="shared" si="24"/>
        <v>6.15</v>
      </c>
      <c r="L191" t="str">
        <f>'(Raw) LensesGH'!F191</f>
        <v>Nikon F</v>
      </c>
      <c r="M191" t="str">
        <f>'(Raw) LensesGH'!G191</f>
        <v>APS-C/ Kleinbild</v>
      </c>
      <c r="N191" t="str">
        <f>'(Raw) LensesGH'!H191</f>
        <v>745g</v>
      </c>
      <c r="O191" s="5">
        <f t="shared" si="25"/>
        <v>745</v>
      </c>
      <c r="P191" t="str">
        <f>'(Raw) LensesGH'!I191</f>
        <v>76 x 98.9mm</v>
      </c>
      <c r="Q191" s="39">
        <f t="shared" si="26"/>
        <v>76</v>
      </c>
      <c r="R191" s="39">
        <f t="shared" si="18"/>
        <v>98.9</v>
      </c>
    </row>
    <row r="192" spans="1:18" x14ac:dyDescent="0.25">
      <c r="A192" t="str">
        <f>'(Raw) LensesGH'!A192</f>
        <v>Laowa 105mm 2.0 (T3.2) STF für Pentax K schwarz</v>
      </c>
      <c r="B192" t="str">
        <f>'(Raw) LensesGH'!B192</f>
        <v>105mm</v>
      </c>
      <c r="C192" s="5">
        <f t="shared" si="19"/>
        <v>105</v>
      </c>
      <c r="D192" s="5">
        <f t="shared" si="20"/>
        <v>105</v>
      </c>
      <c r="E192" t="str">
        <f>'(Raw) LensesGH'!C192</f>
        <v>1:2.0</v>
      </c>
      <c r="F192" s="9">
        <f t="shared" si="21"/>
        <v>2</v>
      </c>
      <c r="G192" s="9">
        <f t="shared" si="22"/>
        <v>2</v>
      </c>
      <c r="H192" t="str">
        <f>'(Raw) LensesGH'!D192</f>
        <v>67mm</v>
      </c>
      <c r="I192" s="2">
        <f t="shared" si="23"/>
        <v>67</v>
      </c>
      <c r="J192" s="2" t="str">
        <f>'(Raw) LensesGH'!E192</f>
        <v>1:6.15</v>
      </c>
      <c r="K192" s="40">
        <f t="shared" si="24"/>
        <v>6.15</v>
      </c>
      <c r="L192" t="str">
        <f>'(Raw) LensesGH'!F192</f>
        <v>Pentax K</v>
      </c>
      <c r="M192" t="str">
        <f>'(Raw) LensesGH'!G192</f>
        <v>APS-C/ Kleinbild</v>
      </c>
      <c r="N192" t="str">
        <f>'(Raw) LensesGH'!H192</f>
        <v>745g</v>
      </c>
      <c r="O192" s="5">
        <f t="shared" si="25"/>
        <v>745</v>
      </c>
      <c r="P192" t="str">
        <f>'(Raw) LensesGH'!I192</f>
        <v>76 x 98.9mm</v>
      </c>
      <c r="Q192" s="39">
        <f t="shared" si="26"/>
        <v>76</v>
      </c>
      <c r="R192" s="39">
        <f t="shared" si="18"/>
        <v>98.9</v>
      </c>
    </row>
    <row r="193" spans="1:18" x14ac:dyDescent="0.25">
      <c r="A193" t="str">
        <f>'(Raw) LensesGH'!A193</f>
        <v>Laowa 105mm 2.0 (T3.2) STF für Sony A schwarz</v>
      </c>
      <c r="B193" t="str">
        <f>'(Raw) LensesGH'!B193</f>
        <v>105mm</v>
      </c>
      <c r="C193" s="5">
        <f t="shared" si="19"/>
        <v>105</v>
      </c>
      <c r="D193" s="5">
        <f t="shared" si="20"/>
        <v>105</v>
      </c>
      <c r="E193" t="str">
        <f>'(Raw) LensesGH'!C193</f>
        <v>1:2.0</v>
      </c>
      <c r="F193" s="9">
        <f t="shared" si="21"/>
        <v>2</v>
      </c>
      <c r="G193" s="9">
        <f t="shared" si="22"/>
        <v>2</v>
      </c>
      <c r="H193" t="str">
        <f>'(Raw) LensesGH'!D193</f>
        <v>67mm</v>
      </c>
      <c r="I193" s="2">
        <f t="shared" si="23"/>
        <v>67</v>
      </c>
      <c r="J193" s="2" t="str">
        <f>'(Raw) LensesGH'!E193</f>
        <v>1:6.15</v>
      </c>
      <c r="K193" s="40">
        <f t="shared" si="24"/>
        <v>6.15</v>
      </c>
      <c r="L193" t="str">
        <f>'(Raw) LensesGH'!F193</f>
        <v>Sony A</v>
      </c>
      <c r="M193" t="str">
        <f>'(Raw) LensesGH'!G193</f>
        <v>APS-C/ Kleinbild</v>
      </c>
      <c r="N193" t="str">
        <f>'(Raw) LensesGH'!H193</f>
        <v>745g</v>
      </c>
      <c r="O193" s="5">
        <f t="shared" si="25"/>
        <v>745</v>
      </c>
      <c r="P193" t="str">
        <f>'(Raw) LensesGH'!I193</f>
        <v>76 x 98.9mm</v>
      </c>
      <c r="Q193" s="39">
        <f t="shared" si="26"/>
        <v>76</v>
      </c>
      <c r="R193" s="39">
        <f t="shared" si="18"/>
        <v>98.9</v>
      </c>
    </row>
    <row r="194" spans="1:18" x14ac:dyDescent="0.25">
      <c r="A194" t="str">
        <f>'(Raw) LensesGH'!A194</f>
        <v>Laowa 105mm 2.0 (T3.2) STF für Sony E schwarz</v>
      </c>
      <c r="B194" t="str">
        <f>'(Raw) LensesGH'!B194</f>
        <v>105mm</v>
      </c>
      <c r="C194" s="5">
        <f t="shared" si="19"/>
        <v>105</v>
      </c>
      <c r="D194" s="5">
        <f t="shared" si="20"/>
        <v>105</v>
      </c>
      <c r="E194" t="str">
        <f>'(Raw) LensesGH'!C194</f>
        <v>1:2.0</v>
      </c>
      <c r="F194" s="9">
        <f t="shared" si="21"/>
        <v>2</v>
      </c>
      <c r="G194" s="9">
        <f t="shared" si="22"/>
        <v>2</v>
      </c>
      <c r="H194" t="str">
        <f>'(Raw) LensesGH'!D194</f>
        <v>67mm</v>
      </c>
      <c r="I194" s="2">
        <f t="shared" si="23"/>
        <v>67</v>
      </c>
      <c r="J194" s="2" t="str">
        <f>'(Raw) LensesGH'!E194</f>
        <v>1:6.15</v>
      </c>
      <c r="K194" s="40">
        <f t="shared" si="24"/>
        <v>6.15</v>
      </c>
      <c r="L194" t="str">
        <f>'(Raw) LensesGH'!F194</f>
        <v>Sony E</v>
      </c>
      <c r="M194" t="str">
        <f>'(Raw) LensesGH'!G194</f>
        <v>APS-C/ Kleinbild</v>
      </c>
      <c r="N194" t="str">
        <f>'(Raw) LensesGH'!H194</f>
        <v>745g</v>
      </c>
      <c r="O194" s="5">
        <f t="shared" si="25"/>
        <v>745</v>
      </c>
      <c r="P194" t="str">
        <f>'(Raw) LensesGH'!I194</f>
        <v>76 x 98.9mm</v>
      </c>
      <c r="Q194" s="39">
        <f t="shared" si="26"/>
        <v>76</v>
      </c>
      <c r="R194" s="39">
        <f t="shared" ref="R194:R257" si="27">getSizeLength(P194)</f>
        <v>98.9</v>
      </c>
    </row>
    <row r="195" spans="1:18" x14ac:dyDescent="0.25">
      <c r="A195" t="str">
        <f>'(Raw) LensesGH'!A195</f>
        <v>Laowa 12mm 2.8 Zero-D für Canon EF schwarz</v>
      </c>
      <c r="B195" t="str">
        <f>'(Raw) LensesGH'!B195</f>
        <v>12mm</v>
      </c>
      <c r="C195" s="5">
        <f t="shared" ref="C195:C258" si="28">getFocalLengthStart(B195)</f>
        <v>12</v>
      </c>
      <c r="D195" s="5">
        <f t="shared" ref="D195:D258" si="29">getFocalLengthEnd(B195)</f>
        <v>12</v>
      </c>
      <c r="E195" t="str">
        <f>'(Raw) LensesGH'!C195</f>
        <v>1:2.8</v>
      </c>
      <c r="F195" s="9">
        <f t="shared" ref="F195:F258" si="30">getApertureStart(E195)</f>
        <v>2.8</v>
      </c>
      <c r="G195" s="9">
        <f t="shared" ref="G195:G258" si="31">getApertureEnd(F195)</f>
        <v>2.8</v>
      </c>
      <c r="H195">
        <f>'(Raw) LensesGH'!D195</f>
        <v>0</v>
      </c>
      <c r="I195" s="2">
        <f t="shared" ref="I195:I258" si="32">getFiltersizeAsDouble(H195)</f>
        <v>0</v>
      </c>
      <c r="J195" s="2" t="str">
        <f>'(Raw) LensesGH'!E195</f>
        <v>1:5.00</v>
      </c>
      <c r="K195" s="40">
        <f t="shared" ref="K195:K258" si="33">getMagnification(J195)</f>
        <v>5</v>
      </c>
      <c r="L195" t="str">
        <f>'(Raw) LensesGH'!F195</f>
        <v>Canon EF</v>
      </c>
      <c r="M195" t="str">
        <f>'(Raw) LensesGH'!G195</f>
        <v>APS-C/ Kleinbild</v>
      </c>
      <c r="N195" t="str">
        <f>'(Raw) LensesGH'!H195</f>
        <v>609g</v>
      </c>
      <c r="O195" s="5">
        <f t="shared" ref="O195:O258" si="34">getWeightAsDouble(N195)</f>
        <v>609</v>
      </c>
      <c r="P195" t="str">
        <f>'(Raw) LensesGH'!I195</f>
        <v>78.8 x 82.8mm</v>
      </c>
      <c r="Q195" s="39">
        <f t="shared" ref="Q195:Q258" si="35">getSizeDiameter(P195)</f>
        <v>78.8</v>
      </c>
      <c r="R195" s="39">
        <f t="shared" si="27"/>
        <v>82.8</v>
      </c>
    </row>
    <row r="196" spans="1:18" x14ac:dyDescent="0.25">
      <c r="A196" t="str">
        <f>'(Raw) LensesGH'!A196</f>
        <v>Laowa 12mm 2.8 Zero-D für Nikon F schwarz</v>
      </c>
      <c r="B196" t="str">
        <f>'(Raw) LensesGH'!B196</f>
        <v>12mm</v>
      </c>
      <c r="C196" s="5">
        <f t="shared" si="28"/>
        <v>12</v>
      </c>
      <c r="D196" s="5">
        <f t="shared" si="29"/>
        <v>12</v>
      </c>
      <c r="E196" t="str">
        <f>'(Raw) LensesGH'!C196</f>
        <v>1:2.8</v>
      </c>
      <c r="F196" s="9">
        <f t="shared" si="30"/>
        <v>2.8</v>
      </c>
      <c r="G196" s="9">
        <f t="shared" si="31"/>
        <v>2.8</v>
      </c>
      <c r="H196">
        <f>'(Raw) LensesGH'!D196</f>
        <v>0</v>
      </c>
      <c r="I196" s="2">
        <f t="shared" si="32"/>
        <v>0</v>
      </c>
      <c r="J196" s="2" t="str">
        <f>'(Raw) LensesGH'!E196</f>
        <v>1:5.00</v>
      </c>
      <c r="K196" s="40">
        <f t="shared" si="33"/>
        <v>5</v>
      </c>
      <c r="L196" t="str">
        <f>'(Raw) LensesGH'!F196</f>
        <v>Nikon F</v>
      </c>
      <c r="M196" t="str">
        <f>'(Raw) LensesGH'!G196</f>
        <v>APS-C/ Kleinbild</v>
      </c>
      <c r="N196" t="str">
        <f>'(Raw) LensesGH'!H196</f>
        <v>609g</v>
      </c>
      <c r="O196" s="5">
        <f t="shared" si="34"/>
        <v>609</v>
      </c>
      <c r="P196" t="str">
        <f>'(Raw) LensesGH'!I196</f>
        <v>78.8 x 82.8mm</v>
      </c>
      <c r="Q196" s="39">
        <f t="shared" si="35"/>
        <v>78.8</v>
      </c>
      <c r="R196" s="39">
        <f t="shared" si="27"/>
        <v>82.8</v>
      </c>
    </row>
    <row r="197" spans="1:18" x14ac:dyDescent="0.25">
      <c r="A197" t="str">
        <f>'(Raw) LensesGH'!A197</f>
        <v>Laowa 12mm 2.8 Zero-D für Pentax K schwarz</v>
      </c>
      <c r="B197" t="str">
        <f>'(Raw) LensesGH'!B197</f>
        <v>12mm</v>
      </c>
      <c r="C197" s="5">
        <f t="shared" si="28"/>
        <v>12</v>
      </c>
      <c r="D197" s="5">
        <f t="shared" si="29"/>
        <v>12</v>
      </c>
      <c r="E197" t="str">
        <f>'(Raw) LensesGH'!C197</f>
        <v>1:2.8</v>
      </c>
      <c r="F197" s="9">
        <f t="shared" si="30"/>
        <v>2.8</v>
      </c>
      <c r="G197" s="9">
        <f t="shared" si="31"/>
        <v>2.8</v>
      </c>
      <c r="H197">
        <f>'(Raw) LensesGH'!D197</f>
        <v>0</v>
      </c>
      <c r="I197" s="2">
        <f t="shared" si="32"/>
        <v>0</v>
      </c>
      <c r="J197" s="2" t="str">
        <f>'(Raw) LensesGH'!E197</f>
        <v>1:5.00</v>
      </c>
      <c r="K197" s="40">
        <f t="shared" si="33"/>
        <v>5</v>
      </c>
      <c r="L197" t="str">
        <f>'(Raw) LensesGH'!F197</f>
        <v>Pentax K</v>
      </c>
      <c r="M197" t="str">
        <f>'(Raw) LensesGH'!G197</f>
        <v>APS-C/ Kleinbild</v>
      </c>
      <c r="N197" t="str">
        <f>'(Raw) LensesGH'!H197</f>
        <v>609g</v>
      </c>
      <c r="O197" s="5">
        <f t="shared" si="34"/>
        <v>609</v>
      </c>
      <c r="P197" t="str">
        <f>'(Raw) LensesGH'!I197</f>
        <v>78.8 x 82.8mm</v>
      </c>
      <c r="Q197" s="39">
        <f t="shared" si="35"/>
        <v>78.8</v>
      </c>
      <c r="R197" s="39">
        <f t="shared" si="27"/>
        <v>82.8</v>
      </c>
    </row>
    <row r="198" spans="1:18" x14ac:dyDescent="0.25">
      <c r="A198" t="str">
        <f>'(Raw) LensesGH'!A198</f>
        <v>Laowa 12mm 2.8 Zero-D für Sony A schwarz</v>
      </c>
      <c r="B198" t="str">
        <f>'(Raw) LensesGH'!B198</f>
        <v>12mm</v>
      </c>
      <c r="C198" s="5">
        <f t="shared" si="28"/>
        <v>12</v>
      </c>
      <c r="D198" s="5">
        <f t="shared" si="29"/>
        <v>12</v>
      </c>
      <c r="E198" t="str">
        <f>'(Raw) LensesGH'!C198</f>
        <v>1:2.8</v>
      </c>
      <c r="F198" s="9">
        <f t="shared" si="30"/>
        <v>2.8</v>
      </c>
      <c r="G198" s="9">
        <f t="shared" si="31"/>
        <v>2.8</v>
      </c>
      <c r="H198">
        <f>'(Raw) LensesGH'!D198</f>
        <v>0</v>
      </c>
      <c r="I198" s="2">
        <f t="shared" si="32"/>
        <v>0</v>
      </c>
      <c r="J198" s="2" t="str">
        <f>'(Raw) LensesGH'!E198</f>
        <v>1:5.00</v>
      </c>
      <c r="K198" s="40">
        <f t="shared" si="33"/>
        <v>5</v>
      </c>
      <c r="L198" t="str">
        <f>'(Raw) LensesGH'!F198</f>
        <v>Sony A</v>
      </c>
      <c r="M198" t="str">
        <f>'(Raw) LensesGH'!G198</f>
        <v>APS-C/ Kleinbild</v>
      </c>
      <c r="N198" t="str">
        <f>'(Raw) LensesGH'!H198</f>
        <v>609g</v>
      </c>
      <c r="O198" s="5">
        <f t="shared" si="34"/>
        <v>609</v>
      </c>
      <c r="P198" t="str">
        <f>'(Raw) LensesGH'!I198</f>
        <v>78.8 x 82.8mm</v>
      </c>
      <c r="Q198" s="39">
        <f t="shared" si="35"/>
        <v>78.8</v>
      </c>
      <c r="R198" s="39">
        <f t="shared" si="27"/>
        <v>82.8</v>
      </c>
    </row>
    <row r="199" spans="1:18" x14ac:dyDescent="0.25">
      <c r="A199" t="str">
        <f>'(Raw) LensesGH'!A199</f>
        <v>Laowa 12mm 2.8 Zero-D für Sony E schwarz</v>
      </c>
      <c r="B199" t="str">
        <f>'(Raw) LensesGH'!B199</f>
        <v>12mm</v>
      </c>
      <c r="C199" s="5">
        <f t="shared" si="28"/>
        <v>12</v>
      </c>
      <c r="D199" s="5">
        <f t="shared" si="29"/>
        <v>12</v>
      </c>
      <c r="E199" t="str">
        <f>'(Raw) LensesGH'!C199</f>
        <v>1:2.8</v>
      </c>
      <c r="F199" s="9">
        <f t="shared" si="30"/>
        <v>2.8</v>
      </c>
      <c r="G199" s="9">
        <f t="shared" si="31"/>
        <v>2.8</v>
      </c>
      <c r="H199">
        <f>'(Raw) LensesGH'!D199</f>
        <v>0</v>
      </c>
      <c r="I199" s="2">
        <f t="shared" si="32"/>
        <v>0</v>
      </c>
      <c r="J199" s="2" t="str">
        <f>'(Raw) LensesGH'!E199</f>
        <v>1:5.00</v>
      </c>
      <c r="K199" s="40">
        <f t="shared" si="33"/>
        <v>5</v>
      </c>
      <c r="L199" t="str">
        <f>'(Raw) LensesGH'!F199</f>
        <v>Sony E</v>
      </c>
      <c r="M199" t="str">
        <f>'(Raw) LensesGH'!G199</f>
        <v>APS-C/ Kleinbild</v>
      </c>
      <c r="N199" t="str">
        <f>'(Raw) LensesGH'!H199</f>
        <v>609g</v>
      </c>
      <c r="O199" s="5">
        <f t="shared" si="34"/>
        <v>609</v>
      </c>
      <c r="P199" t="str">
        <f>'(Raw) LensesGH'!I199</f>
        <v>78.8 x 82.8mm</v>
      </c>
      <c r="Q199" s="39">
        <f t="shared" si="35"/>
        <v>78.8</v>
      </c>
      <c r="R199" s="39">
        <f t="shared" si="27"/>
        <v>82.8</v>
      </c>
    </row>
    <row r="200" spans="1:18" x14ac:dyDescent="0.25">
      <c r="A200" t="str">
        <f>'(Raw) LensesGH'!A200</f>
        <v>Laowa 15mm 2.0 Zero-D FE für Sony E schwarz</v>
      </c>
      <c r="B200" t="str">
        <f>'(Raw) LensesGH'!B200</f>
        <v>15mm</v>
      </c>
      <c r="C200" s="5">
        <f t="shared" si="28"/>
        <v>15</v>
      </c>
      <c r="D200" s="5">
        <f t="shared" si="29"/>
        <v>15</v>
      </c>
      <c r="E200" t="str">
        <f>'(Raw) LensesGH'!C200</f>
        <v>1:2.0</v>
      </c>
      <c r="F200" s="9">
        <f t="shared" si="30"/>
        <v>2</v>
      </c>
      <c r="G200" s="9">
        <f t="shared" si="31"/>
        <v>2</v>
      </c>
      <c r="H200" t="str">
        <f>'(Raw) LensesGH'!D200</f>
        <v>72mm</v>
      </c>
      <c r="I200" s="2">
        <f t="shared" si="32"/>
        <v>72</v>
      </c>
      <c r="J200" s="2" t="str">
        <f>'(Raw) LensesGH'!E200</f>
        <v>1:4.00</v>
      </c>
      <c r="K200" s="40">
        <f t="shared" si="33"/>
        <v>4</v>
      </c>
      <c r="L200" t="str">
        <f>'(Raw) LensesGH'!F200</f>
        <v>Sony E</v>
      </c>
      <c r="M200" t="str">
        <f>'(Raw) LensesGH'!G200</f>
        <v>APS-C/ Kleinbild</v>
      </c>
      <c r="N200" t="str">
        <f>'(Raw) LensesGH'!H200</f>
        <v>500g</v>
      </c>
      <c r="O200" s="5">
        <f t="shared" si="34"/>
        <v>500</v>
      </c>
      <c r="P200" t="str">
        <f>'(Raw) LensesGH'!I200</f>
        <v>82 x 66mm</v>
      </c>
      <c r="Q200" s="39">
        <f t="shared" si="35"/>
        <v>82</v>
      </c>
      <c r="R200" s="39">
        <f t="shared" si="27"/>
        <v>66</v>
      </c>
    </row>
    <row r="201" spans="1:18" x14ac:dyDescent="0.25">
      <c r="A201" t="str">
        <f>'(Raw) LensesGH'!A201</f>
        <v>Laowa 15mm 4.0 1:1 Macro für Canon EF schwarz</v>
      </c>
      <c r="B201" t="str">
        <f>'(Raw) LensesGH'!B201</f>
        <v>15mm</v>
      </c>
      <c r="C201" s="5">
        <f t="shared" si="28"/>
        <v>15</v>
      </c>
      <c r="D201" s="5">
        <f t="shared" si="29"/>
        <v>15</v>
      </c>
      <c r="E201" t="str">
        <f>'(Raw) LensesGH'!C201</f>
        <v>1:4.0</v>
      </c>
      <c r="F201" s="9">
        <f t="shared" si="30"/>
        <v>4</v>
      </c>
      <c r="G201" s="9">
        <f t="shared" si="31"/>
        <v>4</v>
      </c>
      <c r="H201" t="str">
        <f>'(Raw) LensesGH'!D201</f>
        <v>77mm</v>
      </c>
      <c r="I201" s="2">
        <f t="shared" si="32"/>
        <v>77</v>
      </c>
      <c r="J201" s="2" t="str">
        <f>'(Raw) LensesGH'!E201</f>
        <v>1:1.00</v>
      </c>
      <c r="K201" s="40">
        <f t="shared" si="33"/>
        <v>1</v>
      </c>
      <c r="L201" t="str">
        <f>'(Raw) LensesGH'!F201</f>
        <v>Canon EF</v>
      </c>
      <c r="M201" t="str">
        <f>'(Raw) LensesGH'!G201</f>
        <v>APS-C/ Kleinbild</v>
      </c>
      <c r="N201" t="str">
        <f>'(Raw) LensesGH'!H201</f>
        <v>410g</v>
      </c>
      <c r="O201" s="5">
        <f t="shared" si="34"/>
        <v>410</v>
      </c>
      <c r="P201" t="str">
        <f>'(Raw) LensesGH'!I201</f>
        <v>83.8 x 64.7mm</v>
      </c>
      <c r="Q201" s="39">
        <f t="shared" si="35"/>
        <v>83.8</v>
      </c>
      <c r="R201" s="39">
        <f t="shared" si="27"/>
        <v>64.7</v>
      </c>
    </row>
    <row r="202" spans="1:18" x14ac:dyDescent="0.25">
      <c r="A202" t="str">
        <f>'(Raw) LensesGH'!A202</f>
        <v>Laowa 15mm 4.0 1:1 Macro für Nikon F schwarz</v>
      </c>
      <c r="B202" t="str">
        <f>'(Raw) LensesGH'!B202</f>
        <v>15mm</v>
      </c>
      <c r="C202" s="5">
        <f t="shared" si="28"/>
        <v>15</v>
      </c>
      <c r="D202" s="5">
        <f t="shared" si="29"/>
        <v>15</v>
      </c>
      <c r="E202" t="str">
        <f>'(Raw) LensesGH'!C202</f>
        <v>1:4.0</v>
      </c>
      <c r="F202" s="9">
        <f t="shared" si="30"/>
        <v>4</v>
      </c>
      <c r="G202" s="9">
        <f t="shared" si="31"/>
        <v>4</v>
      </c>
      <c r="H202" t="str">
        <f>'(Raw) LensesGH'!D202</f>
        <v>77mm</v>
      </c>
      <c r="I202" s="2">
        <f t="shared" si="32"/>
        <v>77</v>
      </c>
      <c r="J202" s="2" t="str">
        <f>'(Raw) LensesGH'!E202</f>
        <v>1:1.00</v>
      </c>
      <c r="K202" s="40">
        <f t="shared" si="33"/>
        <v>1</v>
      </c>
      <c r="L202" t="str">
        <f>'(Raw) LensesGH'!F202</f>
        <v>Nikon F</v>
      </c>
      <c r="M202" t="str">
        <f>'(Raw) LensesGH'!G202</f>
        <v>APS-C/ Kleinbild</v>
      </c>
      <c r="N202" t="str">
        <f>'(Raw) LensesGH'!H202</f>
        <v>410g</v>
      </c>
      <c r="O202" s="5">
        <f t="shared" si="34"/>
        <v>410</v>
      </c>
      <c r="P202" t="str">
        <f>'(Raw) LensesGH'!I202</f>
        <v>83.8 x 64.7mm</v>
      </c>
      <c r="Q202" s="39">
        <f t="shared" si="35"/>
        <v>83.8</v>
      </c>
      <c r="R202" s="39">
        <f t="shared" si="27"/>
        <v>64.7</v>
      </c>
    </row>
    <row r="203" spans="1:18" x14ac:dyDescent="0.25">
      <c r="A203" t="str">
        <f>'(Raw) LensesGH'!A203</f>
        <v>Laowa 15mm 4.0 1:1 Macro für Pentax K schwarz</v>
      </c>
      <c r="B203" t="str">
        <f>'(Raw) LensesGH'!B203</f>
        <v>15mm</v>
      </c>
      <c r="C203" s="5">
        <f t="shared" si="28"/>
        <v>15</v>
      </c>
      <c r="D203" s="5">
        <f t="shared" si="29"/>
        <v>15</v>
      </c>
      <c r="E203" t="str">
        <f>'(Raw) LensesGH'!C203</f>
        <v>1:4.0</v>
      </c>
      <c r="F203" s="9">
        <f t="shared" si="30"/>
        <v>4</v>
      </c>
      <c r="G203" s="9">
        <f t="shared" si="31"/>
        <v>4</v>
      </c>
      <c r="H203" t="str">
        <f>'(Raw) LensesGH'!D203</f>
        <v>77mm</v>
      </c>
      <c r="I203" s="2">
        <f t="shared" si="32"/>
        <v>77</v>
      </c>
      <c r="J203" s="2" t="str">
        <f>'(Raw) LensesGH'!E203</f>
        <v>1:1.00</v>
      </c>
      <c r="K203" s="40">
        <f t="shared" si="33"/>
        <v>1</v>
      </c>
      <c r="L203" t="str">
        <f>'(Raw) LensesGH'!F203</f>
        <v>Pentax K</v>
      </c>
      <c r="M203" t="str">
        <f>'(Raw) LensesGH'!G203</f>
        <v>APS-C/ Kleinbild</v>
      </c>
      <c r="N203" t="str">
        <f>'(Raw) LensesGH'!H203</f>
        <v>410g</v>
      </c>
      <c r="O203" s="5">
        <f t="shared" si="34"/>
        <v>410</v>
      </c>
      <c r="P203" t="str">
        <f>'(Raw) LensesGH'!I203</f>
        <v>83.8 x 64.7mm</v>
      </c>
      <c r="Q203" s="39">
        <f t="shared" si="35"/>
        <v>83.8</v>
      </c>
      <c r="R203" s="39">
        <f t="shared" si="27"/>
        <v>64.7</v>
      </c>
    </row>
    <row r="204" spans="1:18" x14ac:dyDescent="0.25">
      <c r="A204" t="str">
        <f>'(Raw) LensesGH'!A204</f>
        <v>Laowa 15mm 4.0 1:1 Macro für Sony A schwarz</v>
      </c>
      <c r="B204" t="str">
        <f>'(Raw) LensesGH'!B204</f>
        <v>15mm</v>
      </c>
      <c r="C204" s="5">
        <f t="shared" si="28"/>
        <v>15</v>
      </c>
      <c r="D204" s="5">
        <f t="shared" si="29"/>
        <v>15</v>
      </c>
      <c r="E204" t="str">
        <f>'(Raw) LensesGH'!C204</f>
        <v>1:4.0</v>
      </c>
      <c r="F204" s="9">
        <f t="shared" si="30"/>
        <v>4</v>
      </c>
      <c r="G204" s="9">
        <f t="shared" si="31"/>
        <v>4</v>
      </c>
      <c r="H204" t="str">
        <f>'(Raw) LensesGH'!D204</f>
        <v>77mm</v>
      </c>
      <c r="I204" s="2">
        <f t="shared" si="32"/>
        <v>77</v>
      </c>
      <c r="J204" s="2" t="str">
        <f>'(Raw) LensesGH'!E204</f>
        <v>1:1.00</v>
      </c>
      <c r="K204" s="40">
        <f t="shared" si="33"/>
        <v>1</v>
      </c>
      <c r="L204" t="str">
        <f>'(Raw) LensesGH'!F204</f>
        <v>Sony A</v>
      </c>
      <c r="M204" t="str">
        <f>'(Raw) LensesGH'!G204</f>
        <v>APS-C/ Kleinbild</v>
      </c>
      <c r="N204" t="str">
        <f>'(Raw) LensesGH'!H204</f>
        <v>410g</v>
      </c>
      <c r="O204" s="5">
        <f t="shared" si="34"/>
        <v>410</v>
      </c>
      <c r="P204" t="str">
        <f>'(Raw) LensesGH'!I204</f>
        <v>83.8 x 64.7mm</v>
      </c>
      <c r="Q204" s="39">
        <f t="shared" si="35"/>
        <v>83.8</v>
      </c>
      <c r="R204" s="39">
        <f t="shared" si="27"/>
        <v>64.7</v>
      </c>
    </row>
    <row r="205" spans="1:18" x14ac:dyDescent="0.25">
      <c r="A205" t="str">
        <f>'(Raw) LensesGH'!A205</f>
        <v>Laowa 15mm 4.0 1:1 Macro für Sony E schwarz</v>
      </c>
      <c r="B205" t="str">
        <f>'(Raw) LensesGH'!B205</f>
        <v>15mm</v>
      </c>
      <c r="C205" s="5">
        <f t="shared" si="28"/>
        <v>15</v>
      </c>
      <c r="D205" s="5">
        <f t="shared" si="29"/>
        <v>15</v>
      </c>
      <c r="E205" t="str">
        <f>'(Raw) LensesGH'!C205</f>
        <v>1:4.0</v>
      </c>
      <c r="F205" s="9">
        <f t="shared" si="30"/>
        <v>4</v>
      </c>
      <c r="G205" s="9">
        <f t="shared" si="31"/>
        <v>4</v>
      </c>
      <c r="H205" t="str">
        <f>'(Raw) LensesGH'!D205</f>
        <v>77mm</v>
      </c>
      <c r="I205" s="2">
        <f t="shared" si="32"/>
        <v>77</v>
      </c>
      <c r="J205" s="2" t="str">
        <f>'(Raw) LensesGH'!E205</f>
        <v>1:1.00</v>
      </c>
      <c r="K205" s="40">
        <f t="shared" si="33"/>
        <v>1</v>
      </c>
      <c r="L205" t="str">
        <f>'(Raw) LensesGH'!F205</f>
        <v>Sony E</v>
      </c>
      <c r="M205" t="str">
        <f>'(Raw) LensesGH'!G205</f>
        <v>APS-C/ Kleinbild</v>
      </c>
      <c r="N205" t="str">
        <f>'(Raw) LensesGH'!H205</f>
        <v>410g</v>
      </c>
      <c r="O205" s="5">
        <f t="shared" si="34"/>
        <v>410</v>
      </c>
      <c r="P205" t="str">
        <f>'(Raw) LensesGH'!I205</f>
        <v>83.8 x 64.7mm</v>
      </c>
      <c r="Q205" s="39">
        <f t="shared" si="35"/>
        <v>83.8</v>
      </c>
      <c r="R205" s="39">
        <f t="shared" si="27"/>
        <v>64.7</v>
      </c>
    </row>
    <row r="206" spans="1:18" x14ac:dyDescent="0.25">
      <c r="A206" t="str">
        <f>'(Raw) LensesGH'!A206</f>
        <v>Laowa 60mm 2.8 2:1 Ultra-Macro für Canon EF schwarz</v>
      </c>
      <c r="B206" t="str">
        <f>'(Raw) LensesGH'!B206</f>
        <v>60mm</v>
      </c>
      <c r="C206" s="5">
        <f t="shared" si="28"/>
        <v>60</v>
      </c>
      <c r="D206" s="5">
        <f t="shared" si="29"/>
        <v>60</v>
      </c>
      <c r="E206" t="str">
        <f>'(Raw) LensesGH'!C206</f>
        <v>1:2.8</v>
      </c>
      <c r="F206" s="9">
        <f t="shared" si="30"/>
        <v>2.8</v>
      </c>
      <c r="G206" s="9">
        <f t="shared" si="31"/>
        <v>2.8</v>
      </c>
      <c r="H206" t="str">
        <f>'(Raw) LensesGH'!D206</f>
        <v>62mm</v>
      </c>
      <c r="I206" s="2">
        <f t="shared" si="32"/>
        <v>62</v>
      </c>
      <c r="J206" s="2" t="str">
        <f>'(Raw) LensesGH'!E206</f>
        <v>1:0.50</v>
      </c>
      <c r="K206" s="40">
        <f t="shared" si="33"/>
        <v>0.5</v>
      </c>
      <c r="L206" t="str">
        <f>'(Raw) LensesGH'!F206</f>
        <v>Canon EF</v>
      </c>
      <c r="M206" t="str">
        <f>'(Raw) LensesGH'!G206</f>
        <v>APS-C/ Kleinbild</v>
      </c>
      <c r="N206" t="str">
        <f>'(Raw) LensesGH'!H206</f>
        <v>503g</v>
      </c>
      <c r="O206" s="5">
        <f t="shared" si="34"/>
        <v>503</v>
      </c>
      <c r="P206" t="str">
        <f>'(Raw) LensesGH'!I206</f>
        <v>70 x 95mm</v>
      </c>
      <c r="Q206" s="39">
        <f t="shared" si="35"/>
        <v>70</v>
      </c>
      <c r="R206" s="39">
        <f t="shared" si="27"/>
        <v>95</v>
      </c>
    </row>
    <row r="207" spans="1:18" x14ac:dyDescent="0.25">
      <c r="A207" t="str">
        <f>'(Raw) LensesGH'!A207</f>
        <v>Laowa 60mm 2.8 2:1 Ultra-Macro für Nikon F schwarz</v>
      </c>
      <c r="B207" t="str">
        <f>'(Raw) LensesGH'!B207</f>
        <v>60mm</v>
      </c>
      <c r="C207" s="5">
        <f t="shared" si="28"/>
        <v>60</v>
      </c>
      <c r="D207" s="5">
        <f t="shared" si="29"/>
        <v>60</v>
      </c>
      <c r="E207" t="str">
        <f>'(Raw) LensesGH'!C207</f>
        <v>1:2.8</v>
      </c>
      <c r="F207" s="9">
        <f t="shared" si="30"/>
        <v>2.8</v>
      </c>
      <c r="G207" s="9">
        <f t="shared" si="31"/>
        <v>2.8</v>
      </c>
      <c r="H207" t="str">
        <f>'(Raw) LensesGH'!D207</f>
        <v>62mm</v>
      </c>
      <c r="I207" s="2">
        <f t="shared" si="32"/>
        <v>62</v>
      </c>
      <c r="J207" s="2" t="str">
        <f>'(Raw) LensesGH'!E207</f>
        <v>1:0.50</v>
      </c>
      <c r="K207" s="40">
        <f t="shared" si="33"/>
        <v>0.5</v>
      </c>
      <c r="L207" t="str">
        <f>'(Raw) LensesGH'!F207</f>
        <v>Nikon F</v>
      </c>
      <c r="M207" t="str">
        <f>'(Raw) LensesGH'!G207</f>
        <v>APS-C/ Kleinbild</v>
      </c>
      <c r="N207" t="str">
        <f>'(Raw) LensesGH'!H207</f>
        <v>503g</v>
      </c>
      <c r="O207" s="5">
        <f t="shared" si="34"/>
        <v>503</v>
      </c>
      <c r="P207" t="str">
        <f>'(Raw) LensesGH'!I207</f>
        <v>70 x 95mm</v>
      </c>
      <c r="Q207" s="39">
        <f t="shared" si="35"/>
        <v>70</v>
      </c>
      <c r="R207" s="39">
        <f t="shared" si="27"/>
        <v>95</v>
      </c>
    </row>
    <row r="208" spans="1:18" x14ac:dyDescent="0.25">
      <c r="A208" t="str">
        <f>'(Raw) LensesGH'!A208</f>
        <v>Laowa 60mm 2.8 2:1 Ultra-Macro für Pentax K schwarz</v>
      </c>
      <c r="B208" t="str">
        <f>'(Raw) LensesGH'!B208</f>
        <v>60mm</v>
      </c>
      <c r="C208" s="5">
        <f t="shared" si="28"/>
        <v>60</v>
      </c>
      <c r="D208" s="5">
        <f t="shared" si="29"/>
        <v>60</v>
      </c>
      <c r="E208" t="str">
        <f>'(Raw) LensesGH'!C208</f>
        <v>1:2.8</v>
      </c>
      <c r="F208" s="9">
        <f t="shared" si="30"/>
        <v>2.8</v>
      </c>
      <c r="G208" s="9">
        <f t="shared" si="31"/>
        <v>2.8</v>
      </c>
      <c r="H208" t="str">
        <f>'(Raw) LensesGH'!D208</f>
        <v>62mm</v>
      </c>
      <c r="I208" s="2">
        <f t="shared" si="32"/>
        <v>62</v>
      </c>
      <c r="J208" s="2" t="str">
        <f>'(Raw) LensesGH'!E208</f>
        <v>1:0.50</v>
      </c>
      <c r="K208" s="40">
        <f t="shared" si="33"/>
        <v>0.5</v>
      </c>
      <c r="L208" t="str">
        <f>'(Raw) LensesGH'!F208</f>
        <v>Pentax K</v>
      </c>
      <c r="M208" t="str">
        <f>'(Raw) LensesGH'!G208</f>
        <v>APS-C/ Kleinbild</v>
      </c>
      <c r="N208" t="str">
        <f>'(Raw) LensesGH'!H208</f>
        <v>503g</v>
      </c>
      <c r="O208" s="5">
        <f t="shared" si="34"/>
        <v>503</v>
      </c>
      <c r="P208" t="str">
        <f>'(Raw) LensesGH'!I208</f>
        <v>70 x 95mm</v>
      </c>
      <c r="Q208" s="39">
        <f t="shared" si="35"/>
        <v>70</v>
      </c>
      <c r="R208" s="39">
        <f t="shared" si="27"/>
        <v>95</v>
      </c>
    </row>
    <row r="209" spans="1:18" x14ac:dyDescent="0.25">
      <c r="A209" t="str">
        <f>'(Raw) LensesGH'!A209</f>
        <v>Laowa 60mm 2.8 2:1 Ultra-Macro für Sony A schwarz</v>
      </c>
      <c r="B209" t="str">
        <f>'(Raw) LensesGH'!B209</f>
        <v>60mm</v>
      </c>
      <c r="C209" s="5">
        <f t="shared" si="28"/>
        <v>60</v>
      </c>
      <c r="D209" s="5">
        <f t="shared" si="29"/>
        <v>60</v>
      </c>
      <c r="E209" t="str">
        <f>'(Raw) LensesGH'!C209</f>
        <v>1:2.8</v>
      </c>
      <c r="F209" s="9">
        <f t="shared" si="30"/>
        <v>2.8</v>
      </c>
      <c r="G209" s="9">
        <f t="shared" si="31"/>
        <v>2.8</v>
      </c>
      <c r="H209" t="str">
        <f>'(Raw) LensesGH'!D209</f>
        <v>62mm</v>
      </c>
      <c r="I209" s="2">
        <f t="shared" si="32"/>
        <v>62</v>
      </c>
      <c r="J209" s="2" t="str">
        <f>'(Raw) LensesGH'!E209</f>
        <v>1:0.50</v>
      </c>
      <c r="K209" s="40">
        <f t="shared" si="33"/>
        <v>0.5</v>
      </c>
      <c r="L209" t="str">
        <f>'(Raw) LensesGH'!F209</f>
        <v>Sony A</v>
      </c>
      <c r="M209" t="str">
        <f>'(Raw) LensesGH'!G209</f>
        <v>APS-C/ Kleinbild</v>
      </c>
      <c r="N209" t="str">
        <f>'(Raw) LensesGH'!H209</f>
        <v>503g</v>
      </c>
      <c r="O209" s="5">
        <f t="shared" si="34"/>
        <v>503</v>
      </c>
      <c r="P209" t="str">
        <f>'(Raw) LensesGH'!I209</f>
        <v>70 x 95mm</v>
      </c>
      <c r="Q209" s="39">
        <f t="shared" si="35"/>
        <v>70</v>
      </c>
      <c r="R209" s="39">
        <f t="shared" si="27"/>
        <v>95</v>
      </c>
    </row>
    <row r="210" spans="1:18" x14ac:dyDescent="0.25">
      <c r="A210" t="str">
        <f>'(Raw) LensesGH'!A210</f>
        <v>Laowa 60mm 2.8 2:1 Ultra-Macro für Sony E schwarz</v>
      </c>
      <c r="B210" t="str">
        <f>'(Raw) LensesGH'!B210</f>
        <v>60mm</v>
      </c>
      <c r="C210" s="5">
        <f t="shared" si="28"/>
        <v>60</v>
      </c>
      <c r="D210" s="5">
        <f t="shared" si="29"/>
        <v>60</v>
      </c>
      <c r="E210" t="str">
        <f>'(Raw) LensesGH'!C210</f>
        <v>1:2.8</v>
      </c>
      <c r="F210" s="9">
        <f t="shared" si="30"/>
        <v>2.8</v>
      </c>
      <c r="G210" s="9">
        <f t="shared" si="31"/>
        <v>2.8</v>
      </c>
      <c r="H210" t="str">
        <f>'(Raw) LensesGH'!D210</f>
        <v>62mm</v>
      </c>
      <c r="I210" s="2">
        <f t="shared" si="32"/>
        <v>62</v>
      </c>
      <c r="J210" s="2" t="str">
        <f>'(Raw) LensesGH'!E210</f>
        <v>1:0.50</v>
      </c>
      <c r="K210" s="40">
        <f t="shared" si="33"/>
        <v>0.5</v>
      </c>
      <c r="L210" t="str">
        <f>'(Raw) LensesGH'!F210</f>
        <v>Sony E</v>
      </c>
      <c r="M210" t="str">
        <f>'(Raw) LensesGH'!G210</f>
        <v>APS-C/ Kleinbild</v>
      </c>
      <c r="N210" t="str">
        <f>'(Raw) LensesGH'!H210</f>
        <v>503g</v>
      </c>
      <c r="O210" s="5">
        <f t="shared" si="34"/>
        <v>503</v>
      </c>
      <c r="P210" t="str">
        <f>'(Raw) LensesGH'!I210</f>
        <v>70 x 95mm</v>
      </c>
      <c r="Q210" s="39">
        <f t="shared" si="35"/>
        <v>70</v>
      </c>
      <c r="R210" s="39">
        <f t="shared" si="27"/>
        <v>95</v>
      </c>
    </row>
    <row r="211" spans="1:18" x14ac:dyDescent="0.25">
      <c r="A211" t="str">
        <f>'(Raw) LensesGH'!A211</f>
        <v>Laowa 7.5mm 2.0 für Micro-Four-Thirds schwarz</v>
      </c>
      <c r="B211" t="str">
        <f>'(Raw) LensesGH'!B211</f>
        <v>7.5mm</v>
      </c>
      <c r="C211" s="5">
        <f t="shared" si="28"/>
        <v>7.5</v>
      </c>
      <c r="D211" s="5">
        <f t="shared" si="29"/>
        <v>7.5</v>
      </c>
      <c r="E211" t="str">
        <f>'(Raw) LensesGH'!C211</f>
        <v>1:2.0</v>
      </c>
      <c r="F211" s="9">
        <f t="shared" si="30"/>
        <v>2</v>
      </c>
      <c r="G211" s="9">
        <f t="shared" si="31"/>
        <v>2</v>
      </c>
      <c r="H211" t="str">
        <f>'(Raw) LensesGH'!D211</f>
        <v>46mm</v>
      </c>
      <c r="I211" s="2">
        <f t="shared" si="32"/>
        <v>46</v>
      </c>
      <c r="J211" s="2" t="str">
        <f>'(Raw) LensesGH'!E211</f>
        <v>1:9.09</v>
      </c>
      <c r="K211" s="40">
        <f t="shared" si="33"/>
        <v>9.09</v>
      </c>
      <c r="L211" t="str">
        <f>'(Raw) LensesGH'!F211</f>
        <v>Micro-Four-Thirds</v>
      </c>
      <c r="M211" t="str">
        <f>'(Raw) LensesGH'!G211</f>
        <v>Micro-Four-Thirds</v>
      </c>
      <c r="N211" t="str">
        <f>'(Raw) LensesGH'!H211</f>
        <v>170g</v>
      </c>
      <c r="O211" s="5">
        <f t="shared" si="34"/>
        <v>170</v>
      </c>
      <c r="P211" t="str">
        <f>'(Raw) LensesGH'!I211</f>
        <v>55 x 50mm</v>
      </c>
      <c r="Q211" s="39">
        <f t="shared" si="35"/>
        <v>55</v>
      </c>
      <c r="R211" s="39">
        <f t="shared" si="27"/>
        <v>50</v>
      </c>
    </row>
    <row r="212" spans="1:18" x14ac:dyDescent="0.25">
      <c r="A212" t="str">
        <f>'(Raw) LensesGH'!A212</f>
        <v>Laowa 7.5mm 2.0 für Micro-Four-Thirds silber</v>
      </c>
      <c r="B212" t="str">
        <f>'(Raw) LensesGH'!B212</f>
        <v>7.5mm</v>
      </c>
      <c r="C212" s="5">
        <f t="shared" si="28"/>
        <v>7.5</v>
      </c>
      <c r="D212" s="5">
        <f t="shared" si="29"/>
        <v>7.5</v>
      </c>
      <c r="E212" t="str">
        <f>'(Raw) LensesGH'!C212</f>
        <v>1:2.0</v>
      </c>
      <c r="F212" s="9">
        <f t="shared" si="30"/>
        <v>2</v>
      </c>
      <c r="G212" s="9">
        <f t="shared" si="31"/>
        <v>2</v>
      </c>
      <c r="H212" t="str">
        <f>'(Raw) LensesGH'!D212</f>
        <v>46mm</v>
      </c>
      <c r="I212" s="2">
        <f t="shared" si="32"/>
        <v>46</v>
      </c>
      <c r="J212" s="2" t="str">
        <f>'(Raw) LensesGH'!E212</f>
        <v>1:9.09</v>
      </c>
      <c r="K212" s="40">
        <f t="shared" si="33"/>
        <v>9.09</v>
      </c>
      <c r="L212" t="str">
        <f>'(Raw) LensesGH'!F212</f>
        <v>Micro-Four-Thirds</v>
      </c>
      <c r="M212" t="str">
        <f>'(Raw) LensesGH'!G212</f>
        <v>Micro-Four-Thirds</v>
      </c>
      <c r="N212" t="str">
        <f>'(Raw) LensesGH'!H212</f>
        <v>170g</v>
      </c>
      <c r="O212" s="5">
        <f t="shared" si="34"/>
        <v>170</v>
      </c>
      <c r="P212" t="str">
        <f>'(Raw) LensesGH'!I212</f>
        <v>55 x 50mm</v>
      </c>
      <c r="Q212" s="39">
        <f t="shared" si="35"/>
        <v>55</v>
      </c>
      <c r="R212" s="39">
        <f t="shared" si="27"/>
        <v>50</v>
      </c>
    </row>
    <row r="213" spans="1:18" x14ac:dyDescent="0.25">
      <c r="A213" t="str">
        <f>'(Raw) LensesGH'!A213</f>
        <v>Laowa 7.5mm 2.0 Lightweight für Micro-Four-Thirds schwarz</v>
      </c>
      <c r="B213" t="str">
        <f>'(Raw) LensesGH'!B213</f>
        <v>7.5mm</v>
      </c>
      <c r="C213" s="5">
        <f t="shared" si="28"/>
        <v>7.5</v>
      </c>
      <c r="D213" s="5">
        <f t="shared" si="29"/>
        <v>7.5</v>
      </c>
      <c r="E213" t="str">
        <f>'(Raw) LensesGH'!C213</f>
        <v>1:2.0</v>
      </c>
      <c r="F213" s="9">
        <f t="shared" si="30"/>
        <v>2</v>
      </c>
      <c r="G213" s="9">
        <f t="shared" si="31"/>
        <v>2</v>
      </c>
      <c r="H213" t="str">
        <f>'(Raw) LensesGH'!D213</f>
        <v>46mm</v>
      </c>
      <c r="I213" s="2">
        <f t="shared" si="32"/>
        <v>46</v>
      </c>
      <c r="J213" s="2" t="str">
        <f>'(Raw) LensesGH'!E213</f>
        <v>1:9.09</v>
      </c>
      <c r="K213" s="40">
        <f t="shared" si="33"/>
        <v>9.09</v>
      </c>
      <c r="L213" t="str">
        <f>'(Raw) LensesGH'!F213</f>
        <v>Micro-Four-Thirds</v>
      </c>
      <c r="M213" t="str">
        <f>'(Raw) LensesGH'!G213</f>
        <v>Micro-Four-Thirds</v>
      </c>
      <c r="N213" t="str">
        <f>'(Raw) LensesGH'!H213</f>
        <v>150g</v>
      </c>
      <c r="O213" s="5">
        <f t="shared" si="34"/>
        <v>150</v>
      </c>
      <c r="P213" t="str">
        <f>'(Raw) LensesGH'!I213</f>
        <v>55 x 50mm</v>
      </c>
      <c r="Q213" s="39">
        <f t="shared" si="35"/>
        <v>55</v>
      </c>
      <c r="R213" s="39">
        <f t="shared" si="27"/>
        <v>50</v>
      </c>
    </row>
    <row r="214" spans="1:18" x14ac:dyDescent="0.25">
      <c r="A214" t="str">
        <f>'(Raw) LensesGH'!A214</f>
        <v>Laowa 7.5mm 2.0 Lightweight für Micro-Four-Thirds silber</v>
      </c>
      <c r="B214" t="str">
        <f>'(Raw) LensesGH'!B214</f>
        <v>7.5mm</v>
      </c>
      <c r="C214" s="5">
        <f t="shared" si="28"/>
        <v>7.5</v>
      </c>
      <c r="D214" s="5">
        <f t="shared" si="29"/>
        <v>7.5</v>
      </c>
      <c r="E214" t="str">
        <f>'(Raw) LensesGH'!C214</f>
        <v>1:2.0</v>
      </c>
      <c r="F214" s="9">
        <f t="shared" si="30"/>
        <v>2</v>
      </c>
      <c r="G214" s="9">
        <f t="shared" si="31"/>
        <v>2</v>
      </c>
      <c r="H214" t="str">
        <f>'(Raw) LensesGH'!D214</f>
        <v>46mm</v>
      </c>
      <c r="I214" s="2">
        <f t="shared" si="32"/>
        <v>46</v>
      </c>
      <c r="J214" s="2" t="str">
        <f>'(Raw) LensesGH'!E214</f>
        <v>1:9.09</v>
      </c>
      <c r="K214" s="40">
        <f t="shared" si="33"/>
        <v>9.09</v>
      </c>
      <c r="L214" t="str">
        <f>'(Raw) LensesGH'!F214</f>
        <v>Micro-Four-Thirds</v>
      </c>
      <c r="M214" t="str">
        <f>'(Raw) LensesGH'!G214</f>
        <v>Micro-Four-Thirds</v>
      </c>
      <c r="N214" t="str">
        <f>'(Raw) LensesGH'!H214</f>
        <v>150g</v>
      </c>
      <c r="O214" s="5">
        <f t="shared" si="34"/>
        <v>150</v>
      </c>
      <c r="P214" t="str">
        <f>'(Raw) LensesGH'!I214</f>
        <v>55 x 50mm</v>
      </c>
      <c r="Q214" s="39">
        <f t="shared" si="35"/>
        <v>55</v>
      </c>
      <c r="R214" s="39">
        <f t="shared" si="27"/>
        <v>50</v>
      </c>
    </row>
    <row r="215" spans="1:18" x14ac:dyDescent="0.25">
      <c r="A215" t="str">
        <f>'(Raw) LensesGH'!A215</f>
        <v>Leica APO-Elmarit-SL 90-280mm 2.8-4.0 ASPH schwarz</v>
      </c>
      <c r="B215" t="str">
        <f>'(Raw) LensesGH'!B215</f>
        <v>90 - 280mm</v>
      </c>
      <c r="C215" s="5">
        <f t="shared" si="28"/>
        <v>90</v>
      </c>
      <c r="D215" s="5">
        <f t="shared" si="29"/>
        <v>280</v>
      </c>
      <c r="E215" t="str">
        <f>'(Raw) LensesGH'!C215</f>
        <v>1:2.8-1:4.0</v>
      </c>
      <c r="F215" s="9">
        <f t="shared" si="30"/>
        <v>2.8</v>
      </c>
      <c r="G215" s="9">
        <f t="shared" si="31"/>
        <v>2.8</v>
      </c>
      <c r="H215" t="str">
        <f>'(Raw) LensesGH'!D215</f>
        <v>82mm</v>
      </c>
      <c r="I215" s="2">
        <f t="shared" si="32"/>
        <v>82</v>
      </c>
      <c r="J215" s="2" t="str">
        <f>'(Raw) LensesGH'!E215</f>
        <v>1:4.80</v>
      </c>
      <c r="K215" s="40">
        <f t="shared" si="33"/>
        <v>4.8</v>
      </c>
      <c r="L215" t="str">
        <f>'(Raw) LensesGH'!F215</f>
        <v>Leica L</v>
      </c>
      <c r="M215" t="str">
        <f>'(Raw) LensesGH'!G215</f>
        <v>APS-C/ Kleinbild</v>
      </c>
      <c r="N215" t="str">
        <f>'(Raw) LensesGH'!H215</f>
        <v>1710g</v>
      </c>
      <c r="O215" s="5">
        <f t="shared" si="34"/>
        <v>1710</v>
      </c>
      <c r="P215" t="str">
        <f>'(Raw) LensesGH'!I215</f>
        <v>88 x 238mm</v>
      </c>
      <c r="Q215" s="39">
        <f t="shared" si="35"/>
        <v>88</v>
      </c>
      <c r="R215" s="39">
        <f t="shared" si="27"/>
        <v>238</v>
      </c>
    </row>
    <row r="216" spans="1:18" x14ac:dyDescent="0.25">
      <c r="A216" t="str">
        <f>'(Raw) LensesGH'!A216</f>
        <v>Leica APO-Elmar-S 180mm 3.5 ASPH CS schwarz</v>
      </c>
      <c r="B216" t="str">
        <f>'(Raw) LensesGH'!B216</f>
        <v>180mm</v>
      </c>
      <c r="C216" s="5">
        <f t="shared" si="28"/>
        <v>180</v>
      </c>
      <c r="D216" s="5">
        <f t="shared" si="29"/>
        <v>180</v>
      </c>
      <c r="E216" t="str">
        <f>'(Raw) LensesGH'!C216</f>
        <v>1:3.5</v>
      </c>
      <c r="F216" s="9">
        <f t="shared" si="30"/>
        <v>3.5</v>
      </c>
      <c r="G216" s="9">
        <f t="shared" si="31"/>
        <v>3.5</v>
      </c>
      <c r="H216" t="str">
        <f>'(Raw) LensesGH'!D216</f>
        <v>72mm</v>
      </c>
      <c r="I216" s="2">
        <f t="shared" si="32"/>
        <v>72</v>
      </c>
      <c r="J216" s="2" t="str">
        <f>'(Raw) LensesGH'!E216</f>
        <v>1:6.80</v>
      </c>
      <c r="K216" s="40">
        <f t="shared" si="33"/>
        <v>6.8</v>
      </c>
      <c r="L216" t="str">
        <f>'(Raw) LensesGH'!F216</f>
        <v>Leica S</v>
      </c>
      <c r="M216" t="str">
        <f>'(Raw) LensesGH'!G216</f>
        <v>APS-C/ Kleinbild</v>
      </c>
      <c r="N216" t="str">
        <f>'(Raw) LensesGH'!H216</f>
        <v>1150g</v>
      </c>
      <c r="O216" s="5">
        <f t="shared" si="34"/>
        <v>1150</v>
      </c>
      <c r="P216" t="str">
        <f>'(Raw) LensesGH'!I216</f>
        <v>88x151mm</v>
      </c>
      <c r="Q216" s="39">
        <f t="shared" si="35"/>
        <v>88</v>
      </c>
      <c r="R216" s="39">
        <f t="shared" si="27"/>
        <v>151</v>
      </c>
    </row>
    <row r="217" spans="1:18" x14ac:dyDescent="0.25">
      <c r="A217" t="str">
        <f>'(Raw) LensesGH'!A217</f>
        <v>Leica APO-Elmar-S 180mm 3.5 ASPH schwarz</v>
      </c>
      <c r="B217" t="str">
        <f>'(Raw) LensesGH'!B217</f>
        <v>180mm</v>
      </c>
      <c r="C217" s="5">
        <f t="shared" si="28"/>
        <v>180</v>
      </c>
      <c r="D217" s="5">
        <f t="shared" si="29"/>
        <v>180</v>
      </c>
      <c r="E217" t="str">
        <f>'(Raw) LensesGH'!C217</f>
        <v>1:3.5</v>
      </c>
      <c r="F217" s="9">
        <f t="shared" si="30"/>
        <v>3.5</v>
      </c>
      <c r="G217" s="9">
        <f t="shared" si="31"/>
        <v>3.5</v>
      </c>
      <c r="H217" t="str">
        <f>'(Raw) LensesGH'!D217</f>
        <v>72mm</v>
      </c>
      <c r="I217" s="2">
        <f t="shared" si="32"/>
        <v>72</v>
      </c>
      <c r="J217" s="2" t="str">
        <f>'(Raw) LensesGH'!E217</f>
        <v>1:6.80</v>
      </c>
      <c r="K217" s="40">
        <f t="shared" si="33"/>
        <v>6.8</v>
      </c>
      <c r="L217" t="str">
        <f>'(Raw) LensesGH'!F217</f>
        <v>Leica S</v>
      </c>
      <c r="M217" t="str">
        <f>'(Raw) LensesGH'!G217</f>
        <v>APS-C/ Kleinbild</v>
      </c>
      <c r="N217" t="str">
        <f>'(Raw) LensesGH'!H217</f>
        <v>1150g</v>
      </c>
      <c r="O217" s="5">
        <f t="shared" si="34"/>
        <v>1150</v>
      </c>
      <c r="P217" t="str">
        <f>'(Raw) LensesGH'!I217</f>
        <v>88x151mm</v>
      </c>
      <c r="Q217" s="39">
        <f t="shared" si="35"/>
        <v>88</v>
      </c>
      <c r="R217" s="39">
        <f t="shared" si="27"/>
        <v>151</v>
      </c>
    </row>
    <row r="218" spans="1:18" x14ac:dyDescent="0.25">
      <c r="A218" t="str">
        <f>'(Raw) LensesGH'!A218</f>
        <v>Leica APO-Macro-Elmarit-TL 60mm 2.8 ASPH schwarz</v>
      </c>
      <c r="B218" t="str">
        <f>'(Raw) LensesGH'!B218</f>
        <v>60mm</v>
      </c>
      <c r="C218" s="5">
        <f t="shared" si="28"/>
        <v>60</v>
      </c>
      <c r="D218" s="5">
        <f t="shared" si="29"/>
        <v>60</v>
      </c>
      <c r="E218" t="str">
        <f>'(Raw) LensesGH'!C218</f>
        <v>1:2.8</v>
      </c>
      <c r="F218" s="9">
        <f t="shared" si="30"/>
        <v>2.8</v>
      </c>
      <c r="G218" s="9">
        <f t="shared" si="31"/>
        <v>2.8</v>
      </c>
      <c r="H218" t="str">
        <f>'(Raw) LensesGH'!D218</f>
        <v>60mm</v>
      </c>
      <c r="I218" s="2">
        <f t="shared" si="32"/>
        <v>60</v>
      </c>
      <c r="J218" s="2" t="str">
        <f>'(Raw) LensesGH'!E218</f>
        <v>1:1.00</v>
      </c>
      <c r="K218" s="40">
        <f t="shared" si="33"/>
        <v>1</v>
      </c>
      <c r="L218" t="str">
        <f>'(Raw) LensesGH'!F218</f>
        <v>Leica L</v>
      </c>
      <c r="M218" t="str">
        <f>'(Raw) LensesGH'!G218</f>
        <v>APS-C/ Kleinbild</v>
      </c>
      <c r="N218" t="str">
        <f>'(Raw) LensesGH'!H218</f>
        <v>320g</v>
      </c>
      <c r="O218" s="5">
        <f t="shared" si="34"/>
        <v>320</v>
      </c>
      <c r="P218" t="str">
        <f>'(Raw) LensesGH'!I218</f>
        <v>68 x 89mm</v>
      </c>
      <c r="Q218" s="39">
        <f t="shared" si="35"/>
        <v>68</v>
      </c>
      <c r="R218" s="39">
        <f t="shared" si="27"/>
        <v>89</v>
      </c>
    </row>
    <row r="219" spans="1:18" x14ac:dyDescent="0.25">
      <c r="A219" t="str">
        <f>'(Raw) LensesGH'!A219</f>
        <v>Leica APO-Macro-Elmarit-TL 60mm 2.8 ASPH silber</v>
      </c>
      <c r="B219" t="str">
        <f>'(Raw) LensesGH'!B219</f>
        <v>60mm</v>
      </c>
      <c r="C219" s="5">
        <f t="shared" si="28"/>
        <v>60</v>
      </c>
      <c r="D219" s="5">
        <f t="shared" si="29"/>
        <v>60</v>
      </c>
      <c r="E219" t="str">
        <f>'(Raw) LensesGH'!C219</f>
        <v>1:2.8</v>
      </c>
      <c r="F219" s="9">
        <f t="shared" si="30"/>
        <v>2.8</v>
      </c>
      <c r="G219" s="9">
        <f t="shared" si="31"/>
        <v>2.8</v>
      </c>
      <c r="H219" t="str">
        <f>'(Raw) LensesGH'!D219</f>
        <v>60mm</v>
      </c>
      <c r="I219" s="2">
        <f t="shared" si="32"/>
        <v>60</v>
      </c>
      <c r="J219" s="2" t="str">
        <f>'(Raw) LensesGH'!E219</f>
        <v>1:1.00</v>
      </c>
      <c r="K219" s="40">
        <f t="shared" si="33"/>
        <v>1</v>
      </c>
      <c r="L219" t="str">
        <f>'(Raw) LensesGH'!F219</f>
        <v>Leica L</v>
      </c>
      <c r="M219" t="str">
        <f>'(Raw) LensesGH'!G219</f>
        <v>APS-C/ Kleinbild</v>
      </c>
      <c r="N219" t="str">
        <f>'(Raw) LensesGH'!H219</f>
        <v>320g</v>
      </c>
      <c r="O219" s="5">
        <f t="shared" si="34"/>
        <v>320</v>
      </c>
      <c r="P219" t="str">
        <f>'(Raw) LensesGH'!I219</f>
        <v>68 x 89mm</v>
      </c>
      <c r="Q219" s="39">
        <f t="shared" si="35"/>
        <v>68</v>
      </c>
      <c r="R219" s="39">
        <f t="shared" si="27"/>
        <v>89</v>
      </c>
    </row>
    <row r="220" spans="1:18" x14ac:dyDescent="0.25">
      <c r="A220" t="str">
        <f>'(Raw) LensesGH'!A220</f>
        <v>Leica APO-Macro-Summarit-S 120mm 2.5 ASPH CS schwarz</v>
      </c>
      <c r="B220" t="str">
        <f>'(Raw) LensesGH'!B220</f>
        <v>120mm</v>
      </c>
      <c r="C220" s="5">
        <f t="shared" si="28"/>
        <v>120</v>
      </c>
      <c r="D220" s="5">
        <f t="shared" si="29"/>
        <v>120</v>
      </c>
      <c r="E220" t="str">
        <f>'(Raw) LensesGH'!C220</f>
        <v>1:2.5</v>
      </c>
      <c r="F220" s="9">
        <f t="shared" si="30"/>
        <v>2.5</v>
      </c>
      <c r="G220" s="9">
        <f t="shared" si="31"/>
        <v>2.5</v>
      </c>
      <c r="H220" t="str">
        <f>'(Raw) LensesGH'!D220</f>
        <v>72mm</v>
      </c>
      <c r="I220" s="2">
        <f t="shared" si="32"/>
        <v>72</v>
      </c>
      <c r="J220" s="2" t="str">
        <f>'(Raw) LensesGH'!E220</f>
        <v>1:2.10</v>
      </c>
      <c r="K220" s="40">
        <f t="shared" si="33"/>
        <v>2.1</v>
      </c>
      <c r="L220" t="str">
        <f>'(Raw) LensesGH'!F220</f>
        <v>Leica S</v>
      </c>
      <c r="M220" t="str">
        <f>'(Raw) LensesGH'!G220</f>
        <v>APS-C/ Kleinbild</v>
      </c>
      <c r="N220" t="str">
        <f>'(Raw) LensesGH'!H220</f>
        <v>1135g</v>
      </c>
      <c r="O220" s="5">
        <f t="shared" si="34"/>
        <v>1135</v>
      </c>
      <c r="P220" t="str">
        <f>'(Raw) LensesGH'!I220</f>
        <v>91x128mm</v>
      </c>
      <c r="Q220" s="39">
        <f t="shared" si="35"/>
        <v>91</v>
      </c>
      <c r="R220" s="39">
        <f t="shared" si="27"/>
        <v>128</v>
      </c>
    </row>
    <row r="221" spans="1:18" x14ac:dyDescent="0.25">
      <c r="A221" t="str">
        <f>'(Raw) LensesGH'!A221</f>
        <v>Leica APO-Macro-Summarit-S 120mm 2.5 ASPH schwarz</v>
      </c>
      <c r="B221" t="str">
        <f>'(Raw) LensesGH'!B221</f>
        <v>120mm</v>
      </c>
      <c r="C221" s="5">
        <f t="shared" si="28"/>
        <v>120</v>
      </c>
      <c r="D221" s="5">
        <f t="shared" si="29"/>
        <v>120</v>
      </c>
      <c r="E221" t="str">
        <f>'(Raw) LensesGH'!C221</f>
        <v>1:2.5</v>
      </c>
      <c r="F221" s="9">
        <f t="shared" si="30"/>
        <v>2.5</v>
      </c>
      <c r="G221" s="9">
        <f t="shared" si="31"/>
        <v>2.5</v>
      </c>
      <c r="H221" t="str">
        <f>'(Raw) LensesGH'!D221</f>
        <v>72mm</v>
      </c>
      <c r="I221" s="2">
        <f t="shared" si="32"/>
        <v>72</v>
      </c>
      <c r="J221" s="2" t="str">
        <f>'(Raw) LensesGH'!E221</f>
        <v>1:2.10</v>
      </c>
      <c r="K221" s="40">
        <f t="shared" si="33"/>
        <v>2.1</v>
      </c>
      <c r="L221" t="str">
        <f>'(Raw) LensesGH'!F221</f>
        <v>Leica S</v>
      </c>
      <c r="M221" t="str">
        <f>'(Raw) LensesGH'!G221</f>
        <v>APS-C/ Kleinbild</v>
      </c>
      <c r="N221" t="str">
        <f>'(Raw) LensesGH'!H221</f>
        <v>1135g</v>
      </c>
      <c r="O221" s="5">
        <f t="shared" si="34"/>
        <v>1135</v>
      </c>
      <c r="P221" t="str">
        <f>'(Raw) LensesGH'!I221</f>
        <v>91x128mm</v>
      </c>
      <c r="Q221" s="39">
        <f t="shared" si="35"/>
        <v>91</v>
      </c>
      <c r="R221" s="39">
        <f t="shared" si="27"/>
        <v>128</v>
      </c>
    </row>
    <row r="222" spans="1:18" x14ac:dyDescent="0.25">
      <c r="A222" t="str">
        <f>'(Raw) LensesGH'!A222</f>
        <v>Leica APO-Summicron-M 50mm 2.0 ASPH schwarz</v>
      </c>
      <c r="B222" t="str">
        <f>'(Raw) LensesGH'!B222</f>
        <v>50mm</v>
      </c>
      <c r="C222" s="5">
        <f t="shared" si="28"/>
        <v>50</v>
      </c>
      <c r="D222" s="5">
        <f t="shared" si="29"/>
        <v>50</v>
      </c>
      <c r="E222" t="str">
        <f>'(Raw) LensesGH'!C222</f>
        <v>1:2.0</v>
      </c>
      <c r="F222" s="9">
        <f t="shared" si="30"/>
        <v>2</v>
      </c>
      <c r="G222" s="9">
        <f t="shared" si="31"/>
        <v>2</v>
      </c>
      <c r="H222" t="str">
        <f>'(Raw) LensesGH'!D222</f>
        <v>39mm</v>
      </c>
      <c r="I222" s="2">
        <f t="shared" si="32"/>
        <v>39</v>
      </c>
      <c r="J222" s="2" t="str">
        <f>'(Raw) LensesGH'!E222</f>
        <v>1:11.50</v>
      </c>
      <c r="K222" s="40">
        <f t="shared" si="33"/>
        <v>11.5</v>
      </c>
      <c r="L222" t="str">
        <f>'(Raw) LensesGH'!F222</f>
        <v>Leica M</v>
      </c>
      <c r="M222" t="str">
        <f>'(Raw) LensesGH'!G222</f>
        <v>APS-C/ Kleinbild</v>
      </c>
      <c r="N222" t="str">
        <f>'(Raw) LensesGH'!H222</f>
        <v>300g</v>
      </c>
      <c r="O222" s="5">
        <f t="shared" si="34"/>
        <v>300</v>
      </c>
      <c r="P222" t="str">
        <f>'(Raw) LensesGH'!I222</f>
        <v>53 x 47mm</v>
      </c>
      <c r="Q222" s="39">
        <f t="shared" si="35"/>
        <v>53</v>
      </c>
      <c r="R222" s="39">
        <f t="shared" si="27"/>
        <v>47</v>
      </c>
    </row>
    <row r="223" spans="1:18" x14ac:dyDescent="0.25">
      <c r="A223" t="str">
        <f>'(Raw) LensesGH'!A223</f>
        <v>Leica APO-Summicron-M 50mm 2.0 ASPH silber</v>
      </c>
      <c r="B223" t="str">
        <f>'(Raw) LensesGH'!B223</f>
        <v>50mm</v>
      </c>
      <c r="C223" s="5">
        <f t="shared" si="28"/>
        <v>50</v>
      </c>
      <c r="D223" s="5">
        <f t="shared" si="29"/>
        <v>50</v>
      </c>
      <c r="E223" t="str">
        <f>'(Raw) LensesGH'!C223</f>
        <v>1:2.0</v>
      </c>
      <c r="F223" s="9">
        <f t="shared" si="30"/>
        <v>2</v>
      </c>
      <c r="G223" s="9">
        <f t="shared" si="31"/>
        <v>2</v>
      </c>
      <c r="H223" t="str">
        <f>'(Raw) LensesGH'!D223</f>
        <v>39mm</v>
      </c>
      <c r="I223" s="2">
        <f t="shared" si="32"/>
        <v>39</v>
      </c>
      <c r="J223" s="2" t="str">
        <f>'(Raw) LensesGH'!E223</f>
        <v>1:11.50</v>
      </c>
      <c r="K223" s="40">
        <f t="shared" si="33"/>
        <v>11.5</v>
      </c>
      <c r="L223" t="str">
        <f>'(Raw) LensesGH'!F223</f>
        <v>Leica M</v>
      </c>
      <c r="M223" t="str">
        <f>'(Raw) LensesGH'!G223</f>
        <v>APS-C/ Kleinbild</v>
      </c>
      <c r="N223" t="str">
        <f>'(Raw) LensesGH'!H223</f>
        <v>300g</v>
      </c>
      <c r="O223" s="5">
        <f t="shared" si="34"/>
        <v>300</v>
      </c>
      <c r="P223" t="str">
        <f>'(Raw) LensesGH'!I223</f>
        <v>53 x 47mm</v>
      </c>
      <c r="Q223" s="39">
        <f t="shared" si="35"/>
        <v>53</v>
      </c>
      <c r="R223" s="39">
        <f t="shared" si="27"/>
        <v>47</v>
      </c>
    </row>
    <row r="224" spans="1:18" x14ac:dyDescent="0.25">
      <c r="A224" t="str">
        <f>'(Raw) LensesGH'!A224</f>
        <v>Leica APO-Summicron-M 75mm 2.0 ASPH schwarz</v>
      </c>
      <c r="B224" t="str">
        <f>'(Raw) LensesGH'!B224</f>
        <v>75mm</v>
      </c>
      <c r="C224" s="5">
        <f t="shared" si="28"/>
        <v>75</v>
      </c>
      <c r="D224" s="5">
        <f t="shared" si="29"/>
        <v>75</v>
      </c>
      <c r="E224" t="str">
        <f>'(Raw) LensesGH'!C224</f>
        <v>1:2.0</v>
      </c>
      <c r="F224" s="9">
        <f t="shared" si="30"/>
        <v>2</v>
      </c>
      <c r="G224" s="9">
        <f t="shared" si="31"/>
        <v>2</v>
      </c>
      <c r="H224" t="str">
        <f>'(Raw) LensesGH'!D224</f>
        <v>49mm</v>
      </c>
      <c r="I224" s="2">
        <f t="shared" si="32"/>
        <v>49</v>
      </c>
      <c r="J224" s="2" t="str">
        <f>'(Raw) LensesGH'!E224</f>
        <v>1:7.00</v>
      </c>
      <c r="K224" s="40">
        <f t="shared" si="33"/>
        <v>7</v>
      </c>
      <c r="L224" t="str">
        <f>'(Raw) LensesGH'!F224</f>
        <v>Leica M</v>
      </c>
      <c r="M224" t="str">
        <f>'(Raw) LensesGH'!G224</f>
        <v>APS-C/ Kleinbild</v>
      </c>
      <c r="N224" t="str">
        <f>'(Raw) LensesGH'!H224</f>
        <v>430g</v>
      </c>
      <c r="O224" s="5">
        <f t="shared" si="34"/>
        <v>430</v>
      </c>
      <c r="P224" t="str">
        <f>'(Raw) LensesGH'!I224</f>
        <v>58 x 66.8mm</v>
      </c>
      <c r="Q224" s="39">
        <f t="shared" si="35"/>
        <v>58</v>
      </c>
      <c r="R224" s="39">
        <f t="shared" si="27"/>
        <v>66.8</v>
      </c>
    </row>
    <row r="225" spans="1:18" x14ac:dyDescent="0.25">
      <c r="A225" t="str">
        <f>'(Raw) LensesGH'!A225</f>
        <v>Leica APO-Summicron-M 90mm 2.0 ASPH schwarz</v>
      </c>
      <c r="B225" t="str">
        <f>'(Raw) LensesGH'!B225</f>
        <v>90mm</v>
      </c>
      <c r="C225" s="5">
        <f t="shared" si="28"/>
        <v>90</v>
      </c>
      <c r="D225" s="5">
        <f t="shared" si="29"/>
        <v>90</v>
      </c>
      <c r="E225" t="str">
        <f>'(Raw) LensesGH'!C225</f>
        <v>1:2.0</v>
      </c>
      <c r="F225" s="9">
        <f t="shared" si="30"/>
        <v>2</v>
      </c>
      <c r="G225" s="9">
        <f t="shared" si="31"/>
        <v>2</v>
      </c>
      <c r="H225" t="str">
        <f>'(Raw) LensesGH'!D225</f>
        <v>55mm</v>
      </c>
      <c r="I225" s="2">
        <f t="shared" si="32"/>
        <v>55</v>
      </c>
      <c r="J225" s="2" t="str">
        <f>'(Raw) LensesGH'!E225</f>
        <v>1:9.00</v>
      </c>
      <c r="K225" s="40">
        <f t="shared" si="33"/>
        <v>9</v>
      </c>
      <c r="L225" t="str">
        <f>'(Raw) LensesGH'!F225</f>
        <v>Leica M</v>
      </c>
      <c r="M225" t="str">
        <f>'(Raw) LensesGH'!G225</f>
        <v>APS-C/ Kleinbild</v>
      </c>
      <c r="N225" t="str">
        <f>'(Raw) LensesGH'!H225</f>
        <v>500g</v>
      </c>
      <c r="O225" s="5">
        <f t="shared" si="34"/>
        <v>500</v>
      </c>
      <c r="P225" t="str">
        <f>'(Raw) LensesGH'!I225</f>
        <v>64 x 78mm</v>
      </c>
      <c r="Q225" s="39">
        <f t="shared" si="35"/>
        <v>64</v>
      </c>
      <c r="R225" s="39">
        <f t="shared" si="27"/>
        <v>78</v>
      </c>
    </row>
    <row r="226" spans="1:18" x14ac:dyDescent="0.25">
      <c r="A226" t="str">
        <f>'(Raw) LensesGH'!A226</f>
        <v>Leica APO-Telyt-M 135mm 3.4 schwarz</v>
      </c>
      <c r="B226" t="str">
        <f>'(Raw) LensesGH'!B226</f>
        <v>135mm</v>
      </c>
      <c r="C226" s="5">
        <f t="shared" si="28"/>
        <v>135</v>
      </c>
      <c r="D226" s="5">
        <f t="shared" si="29"/>
        <v>135</v>
      </c>
      <c r="E226" t="str">
        <f>'(Raw) LensesGH'!C226</f>
        <v>1:3.4</v>
      </c>
      <c r="F226" s="9">
        <f t="shared" si="30"/>
        <v>3.4</v>
      </c>
      <c r="G226" s="9">
        <f t="shared" si="31"/>
        <v>3.4</v>
      </c>
      <c r="H226" t="str">
        <f>'(Raw) LensesGH'!D226</f>
        <v>49mm</v>
      </c>
      <c r="I226" s="2">
        <f t="shared" si="32"/>
        <v>49</v>
      </c>
      <c r="J226" s="2" t="str">
        <f>'(Raw) LensesGH'!E226</f>
        <v>1:9.00</v>
      </c>
      <c r="K226" s="40">
        <f t="shared" si="33"/>
        <v>9</v>
      </c>
      <c r="L226" t="str">
        <f>'(Raw) LensesGH'!F226</f>
        <v>Leica M</v>
      </c>
      <c r="M226" t="str">
        <f>'(Raw) LensesGH'!G226</f>
        <v>APS-C/ Kleinbild</v>
      </c>
      <c r="N226" t="str">
        <f>'(Raw) LensesGH'!H226</f>
        <v>450g</v>
      </c>
      <c r="O226" s="5">
        <f t="shared" si="34"/>
        <v>450</v>
      </c>
      <c r="P226" t="str">
        <f>'(Raw) LensesGH'!I226</f>
        <v>58.5 x 104.7mm</v>
      </c>
      <c r="Q226" s="39">
        <f t="shared" si="35"/>
        <v>58.5</v>
      </c>
      <c r="R226" s="39">
        <f t="shared" si="27"/>
        <v>104.7</v>
      </c>
    </row>
    <row r="227" spans="1:18" x14ac:dyDescent="0.25">
      <c r="A227" t="str">
        <f>'(Raw) LensesGH'!A227</f>
        <v>Leica Apo-Vario-Elmar-T 55-135mm 3.5-4.5 ASPH schwarz</v>
      </c>
      <c r="B227" t="str">
        <f>'(Raw) LensesGH'!B227</f>
        <v>55 - 135mm</v>
      </c>
      <c r="C227" s="5">
        <f t="shared" si="28"/>
        <v>55</v>
      </c>
      <c r="D227" s="5">
        <f t="shared" si="29"/>
        <v>135</v>
      </c>
      <c r="E227" t="str">
        <f>'(Raw) LensesGH'!C227</f>
        <v>1:3.5-1:4.5</v>
      </c>
      <c r="F227" s="9">
        <f t="shared" si="30"/>
        <v>3.5</v>
      </c>
      <c r="G227" s="9">
        <f t="shared" si="31"/>
        <v>3.5</v>
      </c>
      <c r="H227" t="str">
        <f>'(Raw) LensesGH'!D227</f>
        <v>60mm</v>
      </c>
      <c r="I227" s="2">
        <f t="shared" si="32"/>
        <v>60</v>
      </c>
      <c r="J227" s="2" t="str">
        <f>'(Raw) LensesGH'!E227</f>
        <v>1:17.10</v>
      </c>
      <c r="K227" s="40">
        <f t="shared" si="33"/>
        <v>17.100000000000001</v>
      </c>
      <c r="L227" t="str">
        <f>'(Raw) LensesGH'!F227</f>
        <v>Leica T</v>
      </c>
      <c r="M227" t="str">
        <f>'(Raw) LensesGH'!G227</f>
        <v>APS-C</v>
      </c>
      <c r="N227" t="str">
        <f>'(Raw) LensesGH'!H227</f>
        <v>500g</v>
      </c>
      <c r="O227" s="5">
        <f t="shared" si="34"/>
        <v>500</v>
      </c>
      <c r="P227" t="str">
        <f>'(Raw) LensesGH'!I227</f>
        <v>68 x 110mm</v>
      </c>
      <c r="Q227" s="39">
        <f t="shared" si="35"/>
        <v>68</v>
      </c>
      <c r="R227" s="39">
        <f t="shared" si="27"/>
        <v>110</v>
      </c>
    </row>
    <row r="228" spans="1:18" x14ac:dyDescent="0.25">
      <c r="A228" t="str">
        <f>'(Raw) LensesGH'!A228</f>
        <v>Leica Elmarit-M 28mm 2.8 ASPH schwarz (11606)</v>
      </c>
      <c r="B228" t="str">
        <f>'(Raw) LensesGH'!B228</f>
        <v>28mm</v>
      </c>
      <c r="C228" s="5">
        <f t="shared" si="28"/>
        <v>28</v>
      </c>
      <c r="D228" s="5">
        <f t="shared" si="29"/>
        <v>28</v>
      </c>
      <c r="E228" t="str">
        <f>'(Raw) LensesGH'!C228</f>
        <v>1:2.8</v>
      </c>
      <c r="F228" s="9">
        <f t="shared" si="30"/>
        <v>2.8</v>
      </c>
      <c r="G228" s="9">
        <f t="shared" si="31"/>
        <v>2.8</v>
      </c>
      <c r="H228" t="str">
        <f>'(Raw) LensesGH'!D228</f>
        <v>39mm</v>
      </c>
      <c r="I228" s="2">
        <f t="shared" si="32"/>
        <v>39</v>
      </c>
      <c r="J228" s="2" t="str">
        <f>'(Raw) LensesGH'!E228</f>
        <v>1:22.00</v>
      </c>
      <c r="K228" s="40">
        <f t="shared" si="33"/>
        <v>22</v>
      </c>
      <c r="L228" t="str">
        <f>'(Raw) LensesGH'!F228</f>
        <v>Leica M</v>
      </c>
      <c r="M228" t="str">
        <f>'(Raw) LensesGH'!G228</f>
        <v>APS-C/ Kleinbild</v>
      </c>
      <c r="N228" t="str">
        <f>'(Raw) LensesGH'!H228</f>
        <v>180g</v>
      </c>
      <c r="O228" s="5">
        <f t="shared" si="34"/>
        <v>180</v>
      </c>
      <c r="P228" t="str">
        <f>'(Raw) LensesGH'!I228</f>
        <v>52 x 46mm</v>
      </c>
      <c r="Q228" s="39">
        <f t="shared" si="35"/>
        <v>52</v>
      </c>
      <c r="R228" s="39">
        <f t="shared" si="27"/>
        <v>46</v>
      </c>
    </row>
    <row r="229" spans="1:18" x14ac:dyDescent="0.25">
      <c r="A229" t="str">
        <f>'(Raw) LensesGH'!A229</f>
        <v>Leica Elmarit-M 28mm 2.8 ASPH schwarz (11677)</v>
      </c>
      <c r="B229" t="str">
        <f>'(Raw) LensesGH'!B229</f>
        <v>28mm</v>
      </c>
      <c r="C229" s="5">
        <f t="shared" si="28"/>
        <v>28</v>
      </c>
      <c r="D229" s="5">
        <f t="shared" si="29"/>
        <v>28</v>
      </c>
      <c r="E229" t="str">
        <f>'(Raw) LensesGH'!C229</f>
        <v>1:2.8</v>
      </c>
      <c r="F229" s="9">
        <f t="shared" si="30"/>
        <v>2.8</v>
      </c>
      <c r="G229" s="9">
        <f t="shared" si="31"/>
        <v>2.8</v>
      </c>
      <c r="H229" t="str">
        <f>'(Raw) LensesGH'!D229</f>
        <v>39mm</v>
      </c>
      <c r="I229" s="2">
        <f t="shared" si="32"/>
        <v>39</v>
      </c>
      <c r="J229" s="2" t="str">
        <f>'(Raw) LensesGH'!E229</f>
        <v>1:22.20</v>
      </c>
      <c r="K229" s="40">
        <f t="shared" si="33"/>
        <v>22.2</v>
      </c>
      <c r="L229" t="str">
        <f>'(Raw) LensesGH'!F229</f>
        <v>Leica M</v>
      </c>
      <c r="M229" t="str">
        <f>'(Raw) LensesGH'!G229</f>
        <v>APS-C/ Kleinbild</v>
      </c>
      <c r="N229" t="str">
        <f>'(Raw) LensesGH'!H229</f>
        <v>175g</v>
      </c>
      <c r="O229" s="5">
        <f t="shared" si="34"/>
        <v>175</v>
      </c>
      <c r="P229" t="str">
        <f>'(Raw) LensesGH'!I229</f>
        <v>52 x 30.7mm</v>
      </c>
      <c r="Q229" s="39">
        <f t="shared" si="35"/>
        <v>52</v>
      </c>
      <c r="R229" s="39">
        <f t="shared" si="27"/>
        <v>30.7</v>
      </c>
    </row>
    <row r="230" spans="1:18" x14ac:dyDescent="0.25">
      <c r="A230" t="str">
        <f>'(Raw) LensesGH'!A230</f>
        <v>Leica Elmarit-S 30mm 2.8 ASPH CS schwarz</v>
      </c>
      <c r="B230" t="str">
        <f>'(Raw) LensesGH'!B230</f>
        <v>30mm</v>
      </c>
      <c r="C230" s="5">
        <f t="shared" si="28"/>
        <v>30</v>
      </c>
      <c r="D230" s="5">
        <f t="shared" si="29"/>
        <v>30</v>
      </c>
      <c r="E230" t="str">
        <f>'(Raw) LensesGH'!C230</f>
        <v>1:2.8</v>
      </c>
      <c r="F230" s="9">
        <f t="shared" si="30"/>
        <v>2.8</v>
      </c>
      <c r="G230" s="9">
        <f t="shared" si="31"/>
        <v>2.8</v>
      </c>
      <c r="H230" t="str">
        <f>'(Raw) LensesGH'!D230</f>
        <v>82mm</v>
      </c>
      <c r="I230" s="2">
        <f t="shared" si="32"/>
        <v>82</v>
      </c>
      <c r="J230" s="2" t="str">
        <f>'(Raw) LensesGH'!E230</f>
        <v>1:11.30</v>
      </c>
      <c r="K230" s="40">
        <f t="shared" si="33"/>
        <v>11.3</v>
      </c>
      <c r="L230" t="str">
        <f>'(Raw) LensesGH'!F230</f>
        <v>Leica S</v>
      </c>
      <c r="M230" t="str">
        <f>'(Raw) LensesGH'!G230</f>
        <v>APS-C/ Kleinbild</v>
      </c>
      <c r="N230" t="str">
        <f>'(Raw) LensesGH'!H230</f>
        <v>1060g</v>
      </c>
      <c r="O230" s="5">
        <f t="shared" si="34"/>
        <v>1060</v>
      </c>
      <c r="P230" t="str">
        <f>'(Raw) LensesGH'!I230</f>
        <v>88 x 128mm</v>
      </c>
      <c r="Q230" s="39">
        <f t="shared" si="35"/>
        <v>88</v>
      </c>
      <c r="R230" s="39">
        <f t="shared" si="27"/>
        <v>128</v>
      </c>
    </row>
    <row r="231" spans="1:18" x14ac:dyDescent="0.25">
      <c r="A231" t="str">
        <f>'(Raw) LensesGH'!A231</f>
        <v>Leica Elmarit-S 30mm 2.8 ASPH schwarz</v>
      </c>
      <c r="B231" t="str">
        <f>'(Raw) LensesGH'!B231</f>
        <v>30mm</v>
      </c>
      <c r="C231" s="5">
        <f t="shared" si="28"/>
        <v>30</v>
      </c>
      <c r="D231" s="5">
        <f t="shared" si="29"/>
        <v>30</v>
      </c>
      <c r="E231" t="str">
        <f>'(Raw) LensesGH'!C231</f>
        <v>1:2.8</v>
      </c>
      <c r="F231" s="9">
        <f t="shared" si="30"/>
        <v>2.8</v>
      </c>
      <c r="G231" s="9">
        <f t="shared" si="31"/>
        <v>2.8</v>
      </c>
      <c r="H231" t="str">
        <f>'(Raw) LensesGH'!D231</f>
        <v>82mm</v>
      </c>
      <c r="I231" s="2">
        <f t="shared" si="32"/>
        <v>82</v>
      </c>
      <c r="J231" s="2" t="str">
        <f>'(Raw) LensesGH'!E231</f>
        <v>1:11.30</v>
      </c>
      <c r="K231" s="40">
        <f t="shared" si="33"/>
        <v>11.3</v>
      </c>
      <c r="L231" t="str">
        <f>'(Raw) LensesGH'!F231</f>
        <v>Leica S</v>
      </c>
      <c r="M231" t="str">
        <f>'(Raw) LensesGH'!G231</f>
        <v>APS-C/ Kleinbild</v>
      </c>
      <c r="N231" t="str">
        <f>'(Raw) LensesGH'!H231</f>
        <v>1060g</v>
      </c>
      <c r="O231" s="5">
        <f t="shared" si="34"/>
        <v>1060</v>
      </c>
      <c r="P231" t="str">
        <f>'(Raw) LensesGH'!I231</f>
        <v>88 x 128mm</v>
      </c>
      <c r="Q231" s="39">
        <f t="shared" si="35"/>
        <v>88</v>
      </c>
      <c r="R231" s="39">
        <f t="shared" si="27"/>
        <v>128</v>
      </c>
    </row>
    <row r="232" spans="1:18" x14ac:dyDescent="0.25">
      <c r="A232" t="str">
        <f>'(Raw) LensesGH'!A232</f>
        <v>Leica Elmarit-S 45mm 2.8 ASPH CS schwarz</v>
      </c>
      <c r="B232" t="str">
        <f>'(Raw) LensesGH'!B232</f>
        <v>45mm</v>
      </c>
      <c r="C232" s="5">
        <f t="shared" si="28"/>
        <v>45</v>
      </c>
      <c r="D232" s="5">
        <f t="shared" si="29"/>
        <v>45</v>
      </c>
      <c r="E232" t="str">
        <f>'(Raw) LensesGH'!C232</f>
        <v>1:2.8</v>
      </c>
      <c r="F232" s="9">
        <f t="shared" si="30"/>
        <v>2.8</v>
      </c>
      <c r="G232" s="9">
        <f t="shared" si="31"/>
        <v>2.8</v>
      </c>
      <c r="H232" t="str">
        <f>'(Raw) LensesGH'!D232</f>
        <v>82mm</v>
      </c>
      <c r="I232" s="2">
        <f t="shared" si="32"/>
        <v>82</v>
      </c>
      <c r="J232" s="2" t="str">
        <f>'(Raw) LensesGH'!E232</f>
        <v>1:10.10</v>
      </c>
      <c r="K232" s="40">
        <f t="shared" si="33"/>
        <v>10.1</v>
      </c>
      <c r="L232" t="str">
        <f>'(Raw) LensesGH'!F232</f>
        <v>Leica S</v>
      </c>
      <c r="M232" t="str">
        <f>'(Raw) LensesGH'!G232</f>
        <v>APS-C/ Kleinbild</v>
      </c>
      <c r="N232" t="str">
        <f>'(Raw) LensesGH'!H232</f>
        <v>1300g</v>
      </c>
      <c r="O232" s="5">
        <f t="shared" si="34"/>
        <v>1300</v>
      </c>
      <c r="P232" t="str">
        <f>'(Raw) LensesGH'!I232</f>
        <v>88 x 136mm</v>
      </c>
      <c r="Q232" s="39">
        <f t="shared" si="35"/>
        <v>88</v>
      </c>
      <c r="R232" s="39">
        <f t="shared" si="27"/>
        <v>136</v>
      </c>
    </row>
    <row r="233" spans="1:18" x14ac:dyDescent="0.25">
      <c r="A233" t="str">
        <f>'(Raw) LensesGH'!A233</f>
        <v>Leica Elmarit-S 45mm 2.8 ASPH schwarz</v>
      </c>
      <c r="B233" t="str">
        <f>'(Raw) LensesGH'!B233</f>
        <v>45mm</v>
      </c>
      <c r="C233" s="5">
        <f t="shared" si="28"/>
        <v>45</v>
      </c>
      <c r="D233" s="5">
        <f t="shared" si="29"/>
        <v>45</v>
      </c>
      <c r="E233" t="str">
        <f>'(Raw) LensesGH'!C233</f>
        <v>1:2.8</v>
      </c>
      <c r="F233" s="9">
        <f t="shared" si="30"/>
        <v>2.8</v>
      </c>
      <c r="G233" s="9">
        <f t="shared" si="31"/>
        <v>2.8</v>
      </c>
      <c r="H233" t="str">
        <f>'(Raw) LensesGH'!D233</f>
        <v>82mm</v>
      </c>
      <c r="I233" s="2">
        <f t="shared" si="32"/>
        <v>82</v>
      </c>
      <c r="J233" s="2" t="str">
        <f>'(Raw) LensesGH'!E233</f>
        <v>1:10.10</v>
      </c>
      <c r="K233" s="40">
        <f t="shared" si="33"/>
        <v>10.1</v>
      </c>
      <c r="L233" t="str">
        <f>'(Raw) LensesGH'!F233</f>
        <v>Leica S</v>
      </c>
      <c r="M233" t="str">
        <f>'(Raw) LensesGH'!G233</f>
        <v>APS-C/ Kleinbild</v>
      </c>
      <c r="N233" t="str">
        <f>'(Raw) LensesGH'!H233</f>
        <v>1300g</v>
      </c>
      <c r="O233" s="5">
        <f t="shared" si="34"/>
        <v>1300</v>
      </c>
      <c r="P233" t="str">
        <f>'(Raw) LensesGH'!I233</f>
        <v>88 x 136mm</v>
      </c>
      <c r="Q233" s="39">
        <f t="shared" si="35"/>
        <v>88</v>
      </c>
      <c r="R233" s="39">
        <f t="shared" si="27"/>
        <v>136</v>
      </c>
    </row>
    <row r="234" spans="1:18" x14ac:dyDescent="0.25">
      <c r="A234" t="str">
        <f>'(Raw) LensesGH'!A234</f>
        <v>Leica Elmar-M 24mm 3.8 ASPH schwarz</v>
      </c>
      <c r="B234" t="str">
        <f>'(Raw) LensesGH'!B234</f>
        <v>24mm</v>
      </c>
      <c r="C234" s="5">
        <f t="shared" si="28"/>
        <v>24</v>
      </c>
      <c r="D234" s="5">
        <f t="shared" si="29"/>
        <v>24</v>
      </c>
      <c r="E234" t="str">
        <f>'(Raw) LensesGH'!C234</f>
        <v>1:3.8</v>
      </c>
      <c r="F234" s="9">
        <f t="shared" si="30"/>
        <v>3.8</v>
      </c>
      <c r="G234" s="9">
        <f t="shared" si="31"/>
        <v>3.8</v>
      </c>
      <c r="H234" t="str">
        <f>'(Raw) LensesGH'!D234</f>
        <v>39mm</v>
      </c>
      <c r="I234" s="2">
        <f t="shared" si="32"/>
        <v>39</v>
      </c>
      <c r="J234" s="2" t="str">
        <f>'(Raw) LensesGH'!E234</f>
        <v>1:26.00</v>
      </c>
      <c r="K234" s="40">
        <f t="shared" si="33"/>
        <v>26</v>
      </c>
      <c r="L234" t="str">
        <f>'(Raw) LensesGH'!F234</f>
        <v>Leica M</v>
      </c>
      <c r="M234" t="str">
        <f>'(Raw) LensesGH'!G234</f>
        <v>APS-C/ Kleinbild</v>
      </c>
      <c r="N234" t="str">
        <f>'(Raw) LensesGH'!H234</f>
        <v>260g</v>
      </c>
      <c r="O234" s="5">
        <f t="shared" si="34"/>
        <v>260</v>
      </c>
      <c r="P234" t="str">
        <f>'(Raw) LensesGH'!I234</f>
        <v>53 x 40.6mm</v>
      </c>
      <c r="Q234" s="39">
        <f t="shared" si="35"/>
        <v>53</v>
      </c>
      <c r="R234" s="39">
        <f t="shared" si="27"/>
        <v>40.6</v>
      </c>
    </row>
    <row r="235" spans="1:18" x14ac:dyDescent="0.25">
      <c r="A235" t="str">
        <f>'(Raw) LensesGH'!A235</f>
        <v>Leica Makro-Elmar-M 90mm 4.0 schwarz</v>
      </c>
      <c r="B235" t="str">
        <f>'(Raw) LensesGH'!B235</f>
        <v>90mm</v>
      </c>
      <c r="C235" s="5">
        <f t="shared" si="28"/>
        <v>90</v>
      </c>
      <c r="D235" s="5">
        <f t="shared" si="29"/>
        <v>90</v>
      </c>
      <c r="E235" t="str">
        <f>'(Raw) LensesGH'!C235</f>
        <v>1:4.0</v>
      </c>
      <c r="F235" s="9">
        <f t="shared" si="30"/>
        <v>4</v>
      </c>
      <c r="G235" s="9">
        <f t="shared" si="31"/>
        <v>4</v>
      </c>
      <c r="H235" t="str">
        <f>'(Raw) LensesGH'!D235</f>
        <v>39mm</v>
      </c>
      <c r="I235" s="2">
        <f t="shared" si="32"/>
        <v>39</v>
      </c>
      <c r="J235" s="2" t="str">
        <f>'(Raw) LensesGH'!E235</f>
        <v>1:6.70</v>
      </c>
      <c r="K235" s="40">
        <f t="shared" si="33"/>
        <v>6.7</v>
      </c>
      <c r="L235" t="str">
        <f>'(Raw) LensesGH'!F235</f>
        <v>Leica M</v>
      </c>
      <c r="M235" t="str">
        <f>'(Raw) LensesGH'!G235</f>
        <v>APS-C/ Kleinbild</v>
      </c>
      <c r="N235" t="str">
        <f>'(Raw) LensesGH'!H235</f>
        <v>240g</v>
      </c>
      <c r="O235" s="5">
        <f t="shared" si="34"/>
        <v>240</v>
      </c>
      <c r="P235" t="str">
        <f>'(Raw) LensesGH'!I235</f>
        <v>52 x 59mm</v>
      </c>
      <c r="Q235" s="39">
        <f t="shared" si="35"/>
        <v>52</v>
      </c>
      <c r="R235" s="39">
        <f t="shared" si="27"/>
        <v>59</v>
      </c>
    </row>
    <row r="236" spans="1:18" x14ac:dyDescent="0.25">
      <c r="A236" t="str">
        <f>'(Raw) LensesGH'!A236</f>
        <v>Leica Makro-Elmar-M 90mm 4.0 Set schwarz</v>
      </c>
      <c r="B236" t="str">
        <f>'(Raw) LensesGH'!B236</f>
        <v>90mm</v>
      </c>
      <c r="C236" s="5">
        <f t="shared" si="28"/>
        <v>90</v>
      </c>
      <c r="D236" s="5">
        <f t="shared" si="29"/>
        <v>90</v>
      </c>
      <c r="E236" t="str">
        <f>'(Raw) LensesGH'!C236</f>
        <v>1:4.0</v>
      </c>
      <c r="F236" s="9">
        <f t="shared" si="30"/>
        <v>4</v>
      </c>
      <c r="G236" s="9">
        <f t="shared" si="31"/>
        <v>4</v>
      </c>
      <c r="H236" t="str">
        <f>'(Raw) LensesGH'!D236</f>
        <v>39mm</v>
      </c>
      <c r="I236" s="2">
        <f t="shared" si="32"/>
        <v>39</v>
      </c>
      <c r="J236" s="2" t="str">
        <f>'(Raw) LensesGH'!E236</f>
        <v>1:6.70</v>
      </c>
      <c r="K236" s="40">
        <f t="shared" si="33"/>
        <v>6.7</v>
      </c>
      <c r="L236" t="str">
        <f>'(Raw) LensesGH'!F236</f>
        <v>Leica M</v>
      </c>
      <c r="M236" t="str">
        <f>'(Raw) LensesGH'!G236</f>
        <v>APS-C/ Kleinbild</v>
      </c>
      <c r="N236" t="str">
        <f>'(Raw) LensesGH'!H236</f>
        <v>240g</v>
      </c>
      <c r="O236" s="5">
        <f t="shared" si="34"/>
        <v>240</v>
      </c>
      <c r="P236" t="str">
        <f>'(Raw) LensesGH'!I236</f>
        <v>52 x 59mm</v>
      </c>
      <c r="Q236" s="39">
        <f t="shared" si="35"/>
        <v>52</v>
      </c>
      <c r="R236" s="39">
        <f t="shared" si="27"/>
        <v>59</v>
      </c>
    </row>
    <row r="237" spans="1:18" x14ac:dyDescent="0.25">
      <c r="A237" t="str">
        <f>'(Raw) LensesGH'!A237</f>
        <v>Leica Noctilux-M 50mm 0.95 ASPH schwarz</v>
      </c>
      <c r="B237" t="str">
        <f>'(Raw) LensesGH'!B237</f>
        <v>50mm</v>
      </c>
      <c r="C237" s="5">
        <f t="shared" si="28"/>
        <v>50</v>
      </c>
      <c r="D237" s="5">
        <f t="shared" si="29"/>
        <v>50</v>
      </c>
      <c r="E237" t="str">
        <f>'(Raw) LensesGH'!C237</f>
        <v>1:0.95</v>
      </c>
      <c r="F237" s="9">
        <f t="shared" si="30"/>
        <v>0.95</v>
      </c>
      <c r="G237" s="9">
        <f t="shared" si="31"/>
        <v>0.95</v>
      </c>
      <c r="H237" t="str">
        <f>'(Raw) LensesGH'!D237</f>
        <v>60mm</v>
      </c>
      <c r="I237" s="2">
        <f t="shared" si="32"/>
        <v>60</v>
      </c>
      <c r="J237" s="2" t="str">
        <f>'(Raw) LensesGH'!E237</f>
        <v>1:17.00</v>
      </c>
      <c r="K237" s="40">
        <f t="shared" si="33"/>
        <v>17</v>
      </c>
      <c r="L237" t="str">
        <f>'(Raw) LensesGH'!F237</f>
        <v>Leica M</v>
      </c>
      <c r="M237" t="str">
        <f>'(Raw) LensesGH'!G237</f>
        <v>APS-C/ Kleinbild</v>
      </c>
      <c r="N237" t="str">
        <f>'(Raw) LensesGH'!H237</f>
        <v>700g</v>
      </c>
      <c r="O237" s="5">
        <f t="shared" si="34"/>
        <v>700</v>
      </c>
      <c r="P237" t="str">
        <f>'(Raw) LensesGH'!I237</f>
        <v>73 x 75.1mm</v>
      </c>
      <c r="Q237" s="39">
        <f t="shared" si="35"/>
        <v>73</v>
      </c>
      <c r="R237" s="39">
        <f t="shared" si="27"/>
        <v>75.099999999999994</v>
      </c>
    </row>
    <row r="238" spans="1:18" x14ac:dyDescent="0.25">
      <c r="A238" t="str">
        <f>'(Raw) LensesGH'!A238</f>
        <v>Leica Noctilux-M 50mm 0.95 ASPH silber</v>
      </c>
      <c r="B238" t="str">
        <f>'(Raw) LensesGH'!B238</f>
        <v>50mm</v>
      </c>
      <c r="C238" s="5">
        <f t="shared" si="28"/>
        <v>50</v>
      </c>
      <c r="D238" s="5">
        <f t="shared" si="29"/>
        <v>50</v>
      </c>
      <c r="E238" t="str">
        <f>'(Raw) LensesGH'!C238</f>
        <v>1:0.95</v>
      </c>
      <c r="F238" s="9">
        <f t="shared" si="30"/>
        <v>0.95</v>
      </c>
      <c r="G238" s="9">
        <f t="shared" si="31"/>
        <v>0.95</v>
      </c>
      <c r="H238" t="str">
        <f>'(Raw) LensesGH'!D238</f>
        <v>60mm</v>
      </c>
      <c r="I238" s="2">
        <f t="shared" si="32"/>
        <v>60</v>
      </c>
      <c r="J238" s="2" t="str">
        <f>'(Raw) LensesGH'!E238</f>
        <v>1:17.00</v>
      </c>
      <c r="K238" s="40">
        <f t="shared" si="33"/>
        <v>17</v>
      </c>
      <c r="L238" t="str">
        <f>'(Raw) LensesGH'!F238</f>
        <v>Leica M</v>
      </c>
      <c r="M238" t="str">
        <f>'(Raw) LensesGH'!G238</f>
        <v>APS-C/ Kleinbild</v>
      </c>
      <c r="N238" t="str">
        <f>'(Raw) LensesGH'!H238</f>
        <v>700g</v>
      </c>
      <c r="O238" s="5">
        <f t="shared" si="34"/>
        <v>700</v>
      </c>
      <c r="P238" t="str">
        <f>'(Raw) LensesGH'!I238</f>
        <v>73 x 75.1mm</v>
      </c>
      <c r="Q238" s="39">
        <f t="shared" si="35"/>
        <v>73</v>
      </c>
      <c r="R238" s="39">
        <f t="shared" si="27"/>
        <v>75.099999999999994</v>
      </c>
    </row>
    <row r="239" spans="1:18" x14ac:dyDescent="0.25">
      <c r="A239" t="str">
        <f>'(Raw) LensesGH'!A239</f>
        <v>Leica Summarit-M 35mm 2.4 ASPH schwarz</v>
      </c>
      <c r="B239" t="str">
        <f>'(Raw) LensesGH'!B239</f>
        <v>35mm</v>
      </c>
      <c r="C239" s="5">
        <f t="shared" si="28"/>
        <v>35</v>
      </c>
      <c r="D239" s="5">
        <f t="shared" si="29"/>
        <v>35</v>
      </c>
      <c r="E239" t="str">
        <f>'(Raw) LensesGH'!C239</f>
        <v>1:2.4</v>
      </c>
      <c r="F239" s="9">
        <f t="shared" si="30"/>
        <v>2.4</v>
      </c>
      <c r="G239" s="9">
        <f t="shared" si="31"/>
        <v>2.4</v>
      </c>
      <c r="H239">
        <f>'(Raw) LensesGH'!D239</f>
        <v>0</v>
      </c>
      <c r="I239" s="2">
        <f t="shared" si="32"/>
        <v>0</v>
      </c>
      <c r="J239" s="2">
        <f>'(Raw) LensesGH'!E239</f>
        <v>0</v>
      </c>
      <c r="K239" s="40">
        <f t="shared" si="33"/>
        <v>0</v>
      </c>
      <c r="L239" t="str">
        <f>'(Raw) LensesGH'!F239</f>
        <v>Leica M</v>
      </c>
      <c r="M239" t="str">
        <f>'(Raw) LensesGH'!G239</f>
        <v>APS-C/ Kleinbild</v>
      </c>
      <c r="N239" t="str">
        <f>'(Raw) LensesGH'!H239</f>
        <v>197g</v>
      </c>
      <c r="O239" s="5">
        <f t="shared" si="34"/>
        <v>197</v>
      </c>
      <c r="P239" t="str">
        <f>'(Raw) LensesGH'!I239</f>
        <v>52 x 34mm</v>
      </c>
      <c r="Q239" s="39">
        <f t="shared" si="35"/>
        <v>52</v>
      </c>
      <c r="R239" s="39">
        <f t="shared" si="27"/>
        <v>34</v>
      </c>
    </row>
    <row r="240" spans="1:18" x14ac:dyDescent="0.25">
      <c r="A240" t="str">
        <f>'(Raw) LensesGH'!A240</f>
        <v>Leica Summarit-M 35mm 2.4 ASPH silber</v>
      </c>
      <c r="B240" t="str">
        <f>'(Raw) LensesGH'!B240</f>
        <v>35mm</v>
      </c>
      <c r="C240" s="5">
        <f t="shared" si="28"/>
        <v>35</v>
      </c>
      <c r="D240" s="5">
        <f t="shared" si="29"/>
        <v>35</v>
      </c>
      <c r="E240" t="str">
        <f>'(Raw) LensesGH'!C240</f>
        <v>1:2.4</v>
      </c>
      <c r="F240" s="9">
        <f t="shared" si="30"/>
        <v>2.4</v>
      </c>
      <c r="G240" s="9">
        <f t="shared" si="31"/>
        <v>2.4</v>
      </c>
      <c r="H240">
        <f>'(Raw) LensesGH'!D240</f>
        <v>0</v>
      </c>
      <c r="I240" s="2">
        <f t="shared" si="32"/>
        <v>0</v>
      </c>
      <c r="J240" s="2">
        <f>'(Raw) LensesGH'!E240</f>
        <v>0</v>
      </c>
      <c r="K240" s="40">
        <f t="shared" si="33"/>
        <v>0</v>
      </c>
      <c r="L240" t="str">
        <f>'(Raw) LensesGH'!F240</f>
        <v>Leica M</v>
      </c>
      <c r="M240" t="str">
        <f>'(Raw) LensesGH'!G240</f>
        <v>APS-C/ Kleinbild</v>
      </c>
      <c r="N240" t="str">
        <f>'(Raw) LensesGH'!H240</f>
        <v>197g</v>
      </c>
      <c r="O240" s="5">
        <f t="shared" si="34"/>
        <v>197</v>
      </c>
      <c r="P240" t="str">
        <f>'(Raw) LensesGH'!I240</f>
        <v>52 x 34mm</v>
      </c>
      <c r="Q240" s="39">
        <f t="shared" si="35"/>
        <v>52</v>
      </c>
      <c r="R240" s="39">
        <f t="shared" si="27"/>
        <v>34</v>
      </c>
    </row>
    <row r="241" spans="1:18" x14ac:dyDescent="0.25">
      <c r="A241" t="str">
        <f>'(Raw) LensesGH'!A241</f>
        <v>Leica Summarit-M 35mm 2.5 schwarz</v>
      </c>
      <c r="B241" t="str">
        <f>'(Raw) LensesGH'!B241</f>
        <v>35mm</v>
      </c>
      <c r="C241" s="5">
        <f t="shared" si="28"/>
        <v>35</v>
      </c>
      <c r="D241" s="5">
        <f t="shared" si="29"/>
        <v>35</v>
      </c>
      <c r="E241" t="str">
        <f>'(Raw) LensesGH'!C241</f>
        <v>1:2.5</v>
      </c>
      <c r="F241" s="9">
        <f t="shared" si="30"/>
        <v>2.5</v>
      </c>
      <c r="G241" s="9">
        <f t="shared" si="31"/>
        <v>2.5</v>
      </c>
      <c r="H241">
        <f>'(Raw) LensesGH'!D241</f>
        <v>0</v>
      </c>
      <c r="I241" s="2">
        <f t="shared" si="32"/>
        <v>0</v>
      </c>
      <c r="J241" s="2" t="str">
        <f>'(Raw) LensesGH'!E241</f>
        <v>1:20.40</v>
      </c>
      <c r="K241" s="40">
        <f t="shared" si="33"/>
        <v>20.399999999999999</v>
      </c>
      <c r="L241" t="str">
        <f>'(Raw) LensesGH'!F241</f>
        <v>Leica M</v>
      </c>
      <c r="M241" t="str">
        <f>'(Raw) LensesGH'!G241</f>
        <v>APS-C/ Kleinbild</v>
      </c>
      <c r="N241" t="str">
        <f>'(Raw) LensesGH'!H241</f>
        <v>220g</v>
      </c>
      <c r="O241" s="5">
        <f t="shared" si="34"/>
        <v>220</v>
      </c>
      <c r="P241" t="str">
        <f>'(Raw) LensesGH'!I241</f>
        <v>51.4 x 34mm</v>
      </c>
      <c r="Q241" s="39">
        <f t="shared" si="35"/>
        <v>51.4</v>
      </c>
      <c r="R241" s="39">
        <f t="shared" si="27"/>
        <v>34</v>
      </c>
    </row>
    <row r="242" spans="1:18" x14ac:dyDescent="0.25">
      <c r="A242" t="str">
        <f>'(Raw) LensesGH'!A242</f>
        <v>Leica Summarit-M 50mm 2.4 schwarz</v>
      </c>
      <c r="B242" t="str">
        <f>'(Raw) LensesGH'!B242</f>
        <v>50mm</v>
      </c>
      <c r="C242" s="5">
        <f t="shared" si="28"/>
        <v>50</v>
      </c>
      <c r="D242" s="5">
        <f t="shared" si="29"/>
        <v>50</v>
      </c>
      <c r="E242" t="str">
        <f>'(Raw) LensesGH'!C242</f>
        <v>1:2.4</v>
      </c>
      <c r="F242" s="9">
        <f t="shared" si="30"/>
        <v>2.4</v>
      </c>
      <c r="G242" s="9">
        <f t="shared" si="31"/>
        <v>2.4</v>
      </c>
      <c r="H242">
        <f>'(Raw) LensesGH'!D242</f>
        <v>0</v>
      </c>
      <c r="I242" s="2">
        <f t="shared" si="32"/>
        <v>0</v>
      </c>
      <c r="J242" s="2">
        <f>'(Raw) LensesGH'!E242</f>
        <v>0</v>
      </c>
      <c r="K242" s="40">
        <f t="shared" si="33"/>
        <v>0</v>
      </c>
      <c r="L242" t="str">
        <f>'(Raw) LensesGH'!F242</f>
        <v>Leica M</v>
      </c>
      <c r="M242" t="str">
        <f>'(Raw) LensesGH'!G242</f>
        <v>APS-C/ Kleinbild</v>
      </c>
      <c r="N242" t="str">
        <f>'(Raw) LensesGH'!H242</f>
        <v>190g</v>
      </c>
      <c r="O242" s="5">
        <f t="shared" si="34"/>
        <v>190</v>
      </c>
      <c r="P242" t="str">
        <f>'(Raw) LensesGH'!I242</f>
        <v>52 x 33mm</v>
      </c>
      <c r="Q242" s="39">
        <f t="shared" si="35"/>
        <v>52</v>
      </c>
      <c r="R242" s="39">
        <f t="shared" si="27"/>
        <v>33</v>
      </c>
    </row>
    <row r="243" spans="1:18" x14ac:dyDescent="0.25">
      <c r="A243" t="str">
        <f>'(Raw) LensesGH'!A243</f>
        <v>Leica Summarit-M 50mm 2.4 silber</v>
      </c>
      <c r="B243" t="str">
        <f>'(Raw) LensesGH'!B243</f>
        <v>50mm</v>
      </c>
      <c r="C243" s="5">
        <f t="shared" si="28"/>
        <v>50</v>
      </c>
      <c r="D243" s="5">
        <f t="shared" si="29"/>
        <v>50</v>
      </c>
      <c r="E243" t="str">
        <f>'(Raw) LensesGH'!C243</f>
        <v>1:2.4</v>
      </c>
      <c r="F243" s="9">
        <f t="shared" si="30"/>
        <v>2.4</v>
      </c>
      <c r="G243" s="9">
        <f t="shared" si="31"/>
        <v>2.4</v>
      </c>
      <c r="H243">
        <f>'(Raw) LensesGH'!D243</f>
        <v>0</v>
      </c>
      <c r="I243" s="2">
        <f t="shared" si="32"/>
        <v>0</v>
      </c>
      <c r="J243" s="2">
        <f>'(Raw) LensesGH'!E243</f>
        <v>0</v>
      </c>
      <c r="K243" s="40">
        <f t="shared" si="33"/>
        <v>0</v>
      </c>
      <c r="L243" t="str">
        <f>'(Raw) LensesGH'!F243</f>
        <v>Leica M</v>
      </c>
      <c r="M243" t="str">
        <f>'(Raw) LensesGH'!G243</f>
        <v>APS-C/ Kleinbild</v>
      </c>
      <c r="N243" t="str">
        <f>'(Raw) LensesGH'!H243</f>
        <v>190g</v>
      </c>
      <c r="O243" s="5">
        <f t="shared" si="34"/>
        <v>190</v>
      </c>
      <c r="P243" t="str">
        <f>'(Raw) LensesGH'!I243</f>
        <v>52 x 33mm</v>
      </c>
      <c r="Q243" s="39">
        <f t="shared" si="35"/>
        <v>52</v>
      </c>
      <c r="R243" s="39">
        <f t="shared" si="27"/>
        <v>33</v>
      </c>
    </row>
    <row r="244" spans="1:18" x14ac:dyDescent="0.25">
      <c r="A244" t="str">
        <f>'(Raw) LensesGH'!A244</f>
        <v>Leica Summarit-M 50mm 2.5 schwarz</v>
      </c>
      <c r="B244" t="str">
        <f>'(Raw) LensesGH'!B244</f>
        <v>50mm</v>
      </c>
      <c r="C244" s="5">
        <f t="shared" si="28"/>
        <v>50</v>
      </c>
      <c r="D244" s="5">
        <f t="shared" si="29"/>
        <v>50</v>
      </c>
      <c r="E244" t="str">
        <f>'(Raw) LensesGH'!C244</f>
        <v>1:2.5</v>
      </c>
      <c r="F244" s="9">
        <f t="shared" si="30"/>
        <v>2.5</v>
      </c>
      <c r="G244" s="9">
        <f t="shared" si="31"/>
        <v>2.5</v>
      </c>
      <c r="H244">
        <f>'(Raw) LensesGH'!D244</f>
        <v>0</v>
      </c>
      <c r="I244" s="2">
        <f t="shared" si="32"/>
        <v>0</v>
      </c>
      <c r="J244" s="2" t="str">
        <f>'(Raw) LensesGH'!E244</f>
        <v>1:14.10</v>
      </c>
      <c r="K244" s="40">
        <f t="shared" si="33"/>
        <v>14.1</v>
      </c>
      <c r="L244" t="str">
        <f>'(Raw) LensesGH'!F244</f>
        <v>Leica M</v>
      </c>
      <c r="M244" t="str">
        <f>'(Raw) LensesGH'!G244</f>
        <v>APS-C/ Kleinbild</v>
      </c>
      <c r="N244" t="str">
        <f>'(Raw) LensesGH'!H244</f>
        <v>230g</v>
      </c>
      <c r="O244" s="5">
        <f t="shared" si="34"/>
        <v>230</v>
      </c>
      <c r="P244" t="str">
        <f>'(Raw) LensesGH'!I244</f>
        <v>51.5 x 33mm</v>
      </c>
      <c r="Q244" s="39">
        <f t="shared" si="35"/>
        <v>51.5</v>
      </c>
      <c r="R244" s="39">
        <f t="shared" si="27"/>
        <v>33</v>
      </c>
    </row>
    <row r="245" spans="1:18" x14ac:dyDescent="0.25">
      <c r="A245" t="str">
        <f>'(Raw) LensesGH'!A245</f>
        <v>Leica Summarit-M 75mm 2.4 schwarz</v>
      </c>
      <c r="B245" t="str">
        <f>'(Raw) LensesGH'!B245</f>
        <v>75mm</v>
      </c>
      <c r="C245" s="5">
        <f t="shared" si="28"/>
        <v>75</v>
      </c>
      <c r="D245" s="5">
        <f t="shared" si="29"/>
        <v>75</v>
      </c>
      <c r="E245" t="str">
        <f>'(Raw) LensesGH'!C245</f>
        <v>1:2.4</v>
      </c>
      <c r="F245" s="9">
        <f t="shared" si="30"/>
        <v>2.4</v>
      </c>
      <c r="G245" s="9">
        <f t="shared" si="31"/>
        <v>2.4</v>
      </c>
      <c r="H245">
        <f>'(Raw) LensesGH'!D245</f>
        <v>0</v>
      </c>
      <c r="I245" s="2">
        <f t="shared" si="32"/>
        <v>0</v>
      </c>
      <c r="J245" s="2">
        <f>'(Raw) LensesGH'!E245</f>
        <v>0</v>
      </c>
      <c r="K245" s="40">
        <f t="shared" si="33"/>
        <v>0</v>
      </c>
      <c r="L245" t="str">
        <f>'(Raw) LensesGH'!F245</f>
        <v>Leica M</v>
      </c>
      <c r="M245" t="str">
        <f>'(Raw) LensesGH'!G245</f>
        <v>APS-C/ Kleinbild</v>
      </c>
      <c r="N245" t="str">
        <f>'(Raw) LensesGH'!H245</f>
        <v>325g</v>
      </c>
      <c r="O245" s="5">
        <f t="shared" si="34"/>
        <v>325</v>
      </c>
      <c r="P245" t="str">
        <f>'(Raw) LensesGH'!I245</f>
        <v>55 x 60.5mm</v>
      </c>
      <c r="Q245" s="39">
        <f t="shared" si="35"/>
        <v>55</v>
      </c>
      <c r="R245" s="39">
        <f t="shared" si="27"/>
        <v>60.5</v>
      </c>
    </row>
    <row r="246" spans="1:18" x14ac:dyDescent="0.25">
      <c r="A246" t="str">
        <f>'(Raw) LensesGH'!A246</f>
        <v>Leica Summarit-M 75mm 2.4 silber</v>
      </c>
      <c r="B246" t="str">
        <f>'(Raw) LensesGH'!B246</f>
        <v>75mm</v>
      </c>
      <c r="C246" s="5">
        <f t="shared" si="28"/>
        <v>75</v>
      </c>
      <c r="D246" s="5">
        <f t="shared" si="29"/>
        <v>75</v>
      </c>
      <c r="E246" t="str">
        <f>'(Raw) LensesGH'!C246</f>
        <v>1:2.4</v>
      </c>
      <c r="F246" s="9">
        <f t="shared" si="30"/>
        <v>2.4</v>
      </c>
      <c r="G246" s="9">
        <f t="shared" si="31"/>
        <v>2.4</v>
      </c>
      <c r="H246">
        <f>'(Raw) LensesGH'!D246</f>
        <v>0</v>
      </c>
      <c r="I246" s="2">
        <f t="shared" si="32"/>
        <v>0</v>
      </c>
      <c r="J246" s="2">
        <f>'(Raw) LensesGH'!E246</f>
        <v>0</v>
      </c>
      <c r="K246" s="40">
        <f t="shared" si="33"/>
        <v>0</v>
      </c>
      <c r="L246" t="str">
        <f>'(Raw) LensesGH'!F246</f>
        <v>Leica M</v>
      </c>
      <c r="M246" t="str">
        <f>'(Raw) LensesGH'!G246</f>
        <v>APS-C/ Kleinbild</v>
      </c>
      <c r="N246" t="str">
        <f>'(Raw) LensesGH'!H246</f>
        <v>325g</v>
      </c>
      <c r="O246" s="5">
        <f t="shared" si="34"/>
        <v>325</v>
      </c>
      <c r="P246" t="str">
        <f>'(Raw) LensesGH'!I246</f>
        <v>55 x 60.5mm</v>
      </c>
      <c r="Q246" s="39">
        <f t="shared" si="35"/>
        <v>55</v>
      </c>
      <c r="R246" s="39">
        <f t="shared" si="27"/>
        <v>60.5</v>
      </c>
    </row>
    <row r="247" spans="1:18" x14ac:dyDescent="0.25">
      <c r="A247" t="str">
        <f>'(Raw) LensesGH'!A247</f>
        <v>Leica Summarit-M 75mm 2.5 schwarz</v>
      </c>
      <c r="B247" t="str">
        <f>'(Raw) LensesGH'!B247</f>
        <v>75mm</v>
      </c>
      <c r="C247" s="5">
        <f t="shared" si="28"/>
        <v>75</v>
      </c>
      <c r="D247" s="5">
        <f t="shared" si="29"/>
        <v>75</v>
      </c>
      <c r="E247" t="str">
        <f>'(Raw) LensesGH'!C247</f>
        <v>1:2.5</v>
      </c>
      <c r="F247" s="9">
        <f t="shared" si="30"/>
        <v>2.5</v>
      </c>
      <c r="G247" s="9">
        <f t="shared" si="31"/>
        <v>2.5</v>
      </c>
      <c r="H247">
        <f>'(Raw) LensesGH'!D247</f>
        <v>0</v>
      </c>
      <c r="I247" s="2">
        <f t="shared" si="32"/>
        <v>0</v>
      </c>
      <c r="J247" s="2" t="str">
        <f>'(Raw) LensesGH'!E247</f>
        <v>1:9.90</v>
      </c>
      <c r="K247" s="40">
        <f t="shared" si="33"/>
        <v>9.9</v>
      </c>
      <c r="L247" t="str">
        <f>'(Raw) LensesGH'!F247</f>
        <v>Leica M</v>
      </c>
      <c r="M247" t="str">
        <f>'(Raw) LensesGH'!G247</f>
        <v>APS-C/ Kleinbild</v>
      </c>
      <c r="N247" t="str">
        <f>'(Raw) LensesGH'!H247</f>
        <v>345g</v>
      </c>
      <c r="O247" s="5">
        <f t="shared" si="34"/>
        <v>345</v>
      </c>
      <c r="P247" t="str">
        <f>'(Raw) LensesGH'!I247</f>
        <v>55 x 60.5mm</v>
      </c>
      <c r="Q247" s="39">
        <f t="shared" si="35"/>
        <v>55</v>
      </c>
      <c r="R247" s="39">
        <f t="shared" si="27"/>
        <v>60.5</v>
      </c>
    </row>
    <row r="248" spans="1:18" x14ac:dyDescent="0.25">
      <c r="A248" t="str">
        <f>'(Raw) LensesGH'!A248</f>
        <v>Leica Summarit-M 90mm 2.4 schwarz</v>
      </c>
      <c r="B248" t="str">
        <f>'(Raw) LensesGH'!B248</f>
        <v>90mm</v>
      </c>
      <c r="C248" s="5">
        <f t="shared" si="28"/>
        <v>90</v>
      </c>
      <c r="D248" s="5">
        <f t="shared" si="29"/>
        <v>90</v>
      </c>
      <c r="E248" t="str">
        <f>'(Raw) LensesGH'!C248</f>
        <v>1:2.4</v>
      </c>
      <c r="F248" s="9">
        <f t="shared" si="30"/>
        <v>2.4</v>
      </c>
      <c r="G248" s="9">
        <f t="shared" si="31"/>
        <v>2.4</v>
      </c>
      <c r="H248">
        <f>'(Raw) LensesGH'!D248</f>
        <v>0</v>
      </c>
      <c r="I248" s="2">
        <f t="shared" si="32"/>
        <v>0</v>
      </c>
      <c r="J248" s="2">
        <f>'(Raw) LensesGH'!E248</f>
        <v>0</v>
      </c>
      <c r="K248" s="40">
        <f t="shared" si="33"/>
        <v>0</v>
      </c>
      <c r="L248" t="str">
        <f>'(Raw) LensesGH'!F248</f>
        <v>Leica M</v>
      </c>
      <c r="M248" t="str">
        <f>'(Raw) LensesGH'!G248</f>
        <v>APS-C/ Kleinbild</v>
      </c>
      <c r="N248" t="str">
        <f>'(Raw) LensesGH'!H248</f>
        <v>346g</v>
      </c>
      <c r="O248" s="5">
        <f t="shared" si="34"/>
        <v>346</v>
      </c>
      <c r="P248" t="str">
        <f>'(Raw) LensesGH'!I248</f>
        <v>55 x 67mm</v>
      </c>
      <c r="Q248" s="39">
        <f t="shared" si="35"/>
        <v>55</v>
      </c>
      <c r="R248" s="39">
        <f t="shared" si="27"/>
        <v>67</v>
      </c>
    </row>
    <row r="249" spans="1:18" x14ac:dyDescent="0.25">
      <c r="A249" t="str">
        <f>'(Raw) LensesGH'!A249</f>
        <v>Leica Summarit-M 90mm 2.4 silber</v>
      </c>
      <c r="B249" t="str">
        <f>'(Raw) LensesGH'!B249</f>
        <v>90mm</v>
      </c>
      <c r="C249" s="5">
        <f t="shared" si="28"/>
        <v>90</v>
      </c>
      <c r="D249" s="5">
        <f t="shared" si="29"/>
        <v>90</v>
      </c>
      <c r="E249" t="str">
        <f>'(Raw) LensesGH'!C249</f>
        <v>1:2.4</v>
      </c>
      <c r="F249" s="9">
        <f t="shared" si="30"/>
        <v>2.4</v>
      </c>
      <c r="G249" s="9">
        <f t="shared" si="31"/>
        <v>2.4</v>
      </c>
      <c r="H249">
        <f>'(Raw) LensesGH'!D249</f>
        <v>0</v>
      </c>
      <c r="I249" s="2">
        <f t="shared" si="32"/>
        <v>0</v>
      </c>
      <c r="J249" s="2">
        <f>'(Raw) LensesGH'!E249</f>
        <v>0</v>
      </c>
      <c r="K249" s="40">
        <f t="shared" si="33"/>
        <v>0</v>
      </c>
      <c r="L249" t="str">
        <f>'(Raw) LensesGH'!F249</f>
        <v>Leica M</v>
      </c>
      <c r="M249" t="str">
        <f>'(Raw) LensesGH'!G249</f>
        <v>APS-C/ Kleinbild</v>
      </c>
      <c r="N249" t="str">
        <f>'(Raw) LensesGH'!H249</f>
        <v>346g</v>
      </c>
      <c r="O249" s="5">
        <f t="shared" si="34"/>
        <v>346</v>
      </c>
      <c r="P249" t="str">
        <f>'(Raw) LensesGH'!I249</f>
        <v>55 x 67mm</v>
      </c>
      <c r="Q249" s="39">
        <f t="shared" si="35"/>
        <v>55</v>
      </c>
      <c r="R249" s="39">
        <f t="shared" si="27"/>
        <v>67</v>
      </c>
    </row>
    <row r="250" spans="1:18" x14ac:dyDescent="0.25">
      <c r="A250" t="str">
        <f>'(Raw) LensesGH'!A250</f>
        <v>Leica Summarit-S 35mm 2.5 ASPH schwarz</v>
      </c>
      <c r="B250" t="str">
        <f>'(Raw) LensesGH'!B250</f>
        <v>35mm</v>
      </c>
      <c r="C250" s="5">
        <f t="shared" si="28"/>
        <v>35</v>
      </c>
      <c r="D250" s="5">
        <f t="shared" si="29"/>
        <v>35</v>
      </c>
      <c r="E250" t="str">
        <f>'(Raw) LensesGH'!C250</f>
        <v>1:2.5</v>
      </c>
      <c r="F250" s="9">
        <f t="shared" si="30"/>
        <v>2.5</v>
      </c>
      <c r="G250" s="9">
        <f t="shared" si="31"/>
        <v>2.5</v>
      </c>
      <c r="H250" t="str">
        <f>'(Raw) LensesGH'!D250</f>
        <v>82mm</v>
      </c>
      <c r="I250" s="2">
        <f t="shared" si="32"/>
        <v>82</v>
      </c>
      <c r="J250" s="2" t="str">
        <f>'(Raw) LensesGH'!E250</f>
        <v>1:11.10</v>
      </c>
      <c r="K250" s="40">
        <f t="shared" si="33"/>
        <v>11.1</v>
      </c>
      <c r="L250" t="str">
        <f>'(Raw) LensesGH'!F250</f>
        <v>Leica S</v>
      </c>
      <c r="M250" t="str">
        <f>'(Raw) LensesGH'!G250</f>
        <v>APS-C/ Kleinbild</v>
      </c>
      <c r="N250" t="str">
        <f>'(Raw) LensesGH'!H250</f>
        <v>930g</v>
      </c>
      <c r="O250" s="5">
        <f t="shared" si="34"/>
        <v>930</v>
      </c>
      <c r="P250" t="str">
        <f>'(Raw) LensesGH'!I250</f>
        <v>88 x 122mm</v>
      </c>
      <c r="Q250" s="39">
        <f t="shared" si="35"/>
        <v>88</v>
      </c>
      <c r="R250" s="39">
        <f t="shared" si="27"/>
        <v>122</v>
      </c>
    </row>
    <row r="251" spans="1:18" x14ac:dyDescent="0.25">
      <c r="A251" t="str">
        <f>'(Raw) LensesGH'!A251</f>
        <v>Leica Summarit-S 70mm 2.5 ASPH CS schwarz</v>
      </c>
      <c r="B251" t="str">
        <f>'(Raw) LensesGH'!B251</f>
        <v>70mm</v>
      </c>
      <c r="C251" s="5">
        <f t="shared" si="28"/>
        <v>70</v>
      </c>
      <c r="D251" s="5">
        <f t="shared" si="29"/>
        <v>70</v>
      </c>
      <c r="E251" t="str">
        <f>'(Raw) LensesGH'!C251</f>
        <v>1:2.5</v>
      </c>
      <c r="F251" s="9">
        <f t="shared" si="30"/>
        <v>2.5</v>
      </c>
      <c r="G251" s="9">
        <f t="shared" si="31"/>
        <v>2.5</v>
      </c>
      <c r="H251" t="str">
        <f>'(Raw) LensesGH'!D251</f>
        <v>82mm</v>
      </c>
      <c r="I251" s="2">
        <f t="shared" si="32"/>
        <v>82</v>
      </c>
      <c r="J251" s="2" t="str">
        <f>'(Raw) LensesGH'!E251</f>
        <v>1:4.70</v>
      </c>
      <c r="K251" s="40">
        <f t="shared" si="33"/>
        <v>4.7</v>
      </c>
      <c r="L251" t="str">
        <f>'(Raw) LensesGH'!F251</f>
        <v>Leica S</v>
      </c>
      <c r="M251" t="str">
        <f>'(Raw) LensesGH'!G251</f>
        <v>APS-C/ Kleinbild</v>
      </c>
      <c r="N251" t="str">
        <f>'(Raw) LensesGH'!H251</f>
        <v>740g</v>
      </c>
      <c r="O251" s="5">
        <f t="shared" si="34"/>
        <v>740</v>
      </c>
      <c r="P251" t="str">
        <f>'(Raw) LensesGH'!I251</f>
        <v>90 x 93mm</v>
      </c>
      <c r="Q251" s="39">
        <f t="shared" si="35"/>
        <v>90</v>
      </c>
      <c r="R251" s="39">
        <f t="shared" si="27"/>
        <v>93</v>
      </c>
    </row>
    <row r="252" spans="1:18" x14ac:dyDescent="0.25">
      <c r="A252" t="str">
        <f>'(Raw) LensesGH'!A252</f>
        <v>Leica Summarit-S 70mm 2.5 ASPH schwarz</v>
      </c>
      <c r="B252" t="str">
        <f>'(Raw) LensesGH'!B252</f>
        <v>70mm</v>
      </c>
      <c r="C252" s="5">
        <f t="shared" si="28"/>
        <v>70</v>
      </c>
      <c r="D252" s="5">
        <f t="shared" si="29"/>
        <v>70</v>
      </c>
      <c r="E252" t="str">
        <f>'(Raw) LensesGH'!C252</f>
        <v>1:2.5</v>
      </c>
      <c r="F252" s="9">
        <f t="shared" si="30"/>
        <v>2.5</v>
      </c>
      <c r="G252" s="9">
        <f t="shared" si="31"/>
        <v>2.5</v>
      </c>
      <c r="H252" t="str">
        <f>'(Raw) LensesGH'!D252</f>
        <v>82mm</v>
      </c>
      <c r="I252" s="2">
        <f t="shared" si="32"/>
        <v>82</v>
      </c>
      <c r="J252" s="2" t="str">
        <f>'(Raw) LensesGH'!E252</f>
        <v>1:4.70</v>
      </c>
      <c r="K252" s="40">
        <f t="shared" si="33"/>
        <v>4.7</v>
      </c>
      <c r="L252" t="str">
        <f>'(Raw) LensesGH'!F252</f>
        <v>Leica S</v>
      </c>
      <c r="M252" t="str">
        <f>'(Raw) LensesGH'!G252</f>
        <v>APS-C/ Kleinbild</v>
      </c>
      <c r="N252" t="str">
        <f>'(Raw) LensesGH'!H252</f>
        <v>740g</v>
      </c>
      <c r="O252" s="5">
        <f t="shared" si="34"/>
        <v>740</v>
      </c>
      <c r="P252" t="str">
        <f>'(Raw) LensesGH'!I252</f>
        <v>90 x 93mm</v>
      </c>
      <c r="Q252" s="39">
        <f t="shared" si="35"/>
        <v>90</v>
      </c>
      <c r="R252" s="39">
        <f t="shared" si="27"/>
        <v>93</v>
      </c>
    </row>
    <row r="253" spans="1:18" x14ac:dyDescent="0.25">
      <c r="A253" t="str">
        <f>'(Raw) LensesGH'!A253</f>
        <v>Leica Summaron-M 28mm 5.6 silber</v>
      </c>
      <c r="B253" t="str">
        <f>'(Raw) LensesGH'!B253</f>
        <v>28mm</v>
      </c>
      <c r="C253" s="5">
        <f t="shared" si="28"/>
        <v>28</v>
      </c>
      <c r="D253" s="5">
        <f t="shared" si="29"/>
        <v>28</v>
      </c>
      <c r="E253" t="str">
        <f>'(Raw) LensesGH'!C253</f>
        <v>1:5.6</v>
      </c>
      <c r="F253" s="9">
        <f t="shared" si="30"/>
        <v>5.6</v>
      </c>
      <c r="G253" s="9">
        <f t="shared" si="31"/>
        <v>5.6</v>
      </c>
      <c r="H253" t="str">
        <f>'(Raw) LensesGH'!D253</f>
        <v>34mm</v>
      </c>
      <c r="I253" s="2">
        <f t="shared" si="32"/>
        <v>34</v>
      </c>
      <c r="J253" s="2" t="str">
        <f>'(Raw) LensesGH'!E253</f>
        <v>1:33.40</v>
      </c>
      <c r="K253" s="40">
        <f t="shared" si="33"/>
        <v>33.4</v>
      </c>
      <c r="L253" t="str">
        <f>'(Raw) LensesGH'!F253</f>
        <v>Leica M</v>
      </c>
      <c r="M253" t="str">
        <f>'(Raw) LensesGH'!G253</f>
        <v>APS-C/ Kleinbild</v>
      </c>
      <c r="N253" t="str">
        <f>'(Raw) LensesGH'!H253</f>
        <v>165g</v>
      </c>
      <c r="O253" s="5">
        <f t="shared" si="34"/>
        <v>165</v>
      </c>
      <c r="P253" t="str">
        <f>'(Raw) LensesGH'!I253</f>
        <v>51 x 18mm</v>
      </c>
      <c r="Q253" s="39">
        <f t="shared" si="35"/>
        <v>51</v>
      </c>
      <c r="R253" s="39">
        <f t="shared" si="27"/>
        <v>18</v>
      </c>
    </row>
    <row r="254" spans="1:18" x14ac:dyDescent="0.25">
      <c r="A254" t="str">
        <f>'(Raw) LensesGH'!A254</f>
        <v>Leica Summicron-M 28mm 2.0 ASPH schwarz</v>
      </c>
      <c r="B254" t="str">
        <f>'(Raw) LensesGH'!B254</f>
        <v>28mm</v>
      </c>
      <c r="C254" s="5">
        <f t="shared" si="28"/>
        <v>28</v>
      </c>
      <c r="D254" s="5">
        <f t="shared" si="29"/>
        <v>28</v>
      </c>
      <c r="E254" t="str">
        <f>'(Raw) LensesGH'!C254</f>
        <v>1:2.0</v>
      </c>
      <c r="F254" s="9">
        <f t="shared" si="30"/>
        <v>2</v>
      </c>
      <c r="G254" s="9">
        <f t="shared" si="31"/>
        <v>2</v>
      </c>
      <c r="H254" t="str">
        <f>'(Raw) LensesGH'!D254</f>
        <v>46mm</v>
      </c>
      <c r="I254" s="2">
        <f t="shared" si="32"/>
        <v>46</v>
      </c>
      <c r="J254" s="2" t="str">
        <f>'(Raw) LensesGH'!E254</f>
        <v>1:22.00</v>
      </c>
      <c r="K254" s="40">
        <f t="shared" si="33"/>
        <v>22</v>
      </c>
      <c r="L254" t="str">
        <f>'(Raw) LensesGH'!F254</f>
        <v>Leica M</v>
      </c>
      <c r="M254" t="str">
        <f>'(Raw) LensesGH'!G254</f>
        <v>APS-C/ Kleinbild</v>
      </c>
      <c r="N254" t="str">
        <f>'(Raw) LensesGH'!H254</f>
        <v>270g</v>
      </c>
      <c r="O254" s="5">
        <f t="shared" si="34"/>
        <v>270</v>
      </c>
      <c r="P254" t="str">
        <f>'(Raw) LensesGH'!I254</f>
        <v>53 x 40.8mm</v>
      </c>
      <c r="Q254" s="39">
        <f t="shared" si="35"/>
        <v>53</v>
      </c>
      <c r="R254" s="39">
        <f t="shared" si="27"/>
        <v>40.799999999999997</v>
      </c>
    </row>
    <row r="255" spans="1:18" x14ac:dyDescent="0.25">
      <c r="A255" t="str">
        <f>'(Raw) LensesGH'!A255</f>
        <v>Leica Summicron-M 35mm 2.0 ASPH schwarz</v>
      </c>
      <c r="B255" t="str">
        <f>'(Raw) LensesGH'!B255</f>
        <v>35mm</v>
      </c>
      <c r="C255" s="5">
        <f t="shared" si="28"/>
        <v>35</v>
      </c>
      <c r="D255" s="5">
        <f t="shared" si="29"/>
        <v>35</v>
      </c>
      <c r="E255" t="str">
        <f>'(Raw) LensesGH'!C255</f>
        <v>1:2.0</v>
      </c>
      <c r="F255" s="9">
        <f t="shared" si="30"/>
        <v>2</v>
      </c>
      <c r="G255" s="9">
        <f t="shared" si="31"/>
        <v>2</v>
      </c>
      <c r="H255" t="str">
        <f>'(Raw) LensesGH'!D255</f>
        <v>39mm</v>
      </c>
      <c r="I255" s="2">
        <f t="shared" si="32"/>
        <v>39</v>
      </c>
      <c r="J255" s="2" t="str">
        <f>'(Raw) LensesGH'!E255</f>
        <v>1:17.50</v>
      </c>
      <c r="K255" s="40">
        <f t="shared" si="33"/>
        <v>17.5</v>
      </c>
      <c r="L255" t="str">
        <f>'(Raw) LensesGH'!F255</f>
        <v>Leica M</v>
      </c>
      <c r="M255" t="str">
        <f>'(Raw) LensesGH'!G255</f>
        <v>APS-C/ Kleinbild</v>
      </c>
      <c r="N255" t="str">
        <f>'(Raw) LensesGH'!H255</f>
        <v>255g</v>
      </c>
      <c r="O255" s="5">
        <f t="shared" si="34"/>
        <v>255</v>
      </c>
      <c r="P255" t="str">
        <f>'(Raw) LensesGH'!I255</f>
        <v>53 x 34.5mm</v>
      </c>
      <c r="Q255" s="39">
        <f t="shared" si="35"/>
        <v>53</v>
      </c>
      <c r="R255" s="39">
        <f t="shared" si="27"/>
        <v>34.5</v>
      </c>
    </row>
    <row r="256" spans="1:18" x14ac:dyDescent="0.25">
      <c r="A256" t="str">
        <f>'(Raw) LensesGH'!A256</f>
        <v>Leica Summicron-M 35mm 2.0 ASPH schwarz (11673)</v>
      </c>
      <c r="B256" t="str">
        <f>'(Raw) LensesGH'!B256</f>
        <v>35mm</v>
      </c>
      <c r="C256" s="5">
        <f t="shared" si="28"/>
        <v>35</v>
      </c>
      <c r="D256" s="5">
        <f t="shared" si="29"/>
        <v>35</v>
      </c>
      <c r="E256" t="str">
        <f>'(Raw) LensesGH'!C256</f>
        <v>1:2.0</v>
      </c>
      <c r="F256" s="9">
        <f t="shared" si="30"/>
        <v>2</v>
      </c>
      <c r="G256" s="9">
        <f t="shared" si="31"/>
        <v>2</v>
      </c>
      <c r="H256" t="str">
        <f>'(Raw) LensesGH'!D256</f>
        <v>39mm</v>
      </c>
      <c r="I256" s="2">
        <f t="shared" si="32"/>
        <v>39</v>
      </c>
      <c r="J256" s="2" t="str">
        <f>'(Raw) LensesGH'!E256</f>
        <v>1:17.40</v>
      </c>
      <c r="K256" s="40">
        <f t="shared" si="33"/>
        <v>17.399999999999999</v>
      </c>
      <c r="L256" t="str">
        <f>'(Raw) LensesGH'!F256</f>
        <v>Leica M</v>
      </c>
      <c r="M256" t="str">
        <f>'(Raw) LensesGH'!G256</f>
        <v>APS-C/ Kleinbild</v>
      </c>
      <c r="N256" t="str">
        <f>'(Raw) LensesGH'!H256</f>
        <v>252g</v>
      </c>
      <c r="O256" s="5">
        <f t="shared" si="34"/>
        <v>252</v>
      </c>
      <c r="P256" t="str">
        <f>'(Raw) LensesGH'!I256</f>
        <v>53 x 35.7mm</v>
      </c>
      <c r="Q256" s="39">
        <f t="shared" si="35"/>
        <v>53</v>
      </c>
      <c r="R256" s="39">
        <f t="shared" si="27"/>
        <v>35.700000000000003</v>
      </c>
    </row>
    <row r="257" spans="1:18" x14ac:dyDescent="0.25">
      <c r="A257" t="str">
        <f>'(Raw) LensesGH'!A257</f>
        <v>Leica Summicron-M 35mm 2.0 ASPH silber</v>
      </c>
      <c r="B257" t="str">
        <f>'(Raw) LensesGH'!B257</f>
        <v>35mm</v>
      </c>
      <c r="C257" s="5">
        <f t="shared" si="28"/>
        <v>35</v>
      </c>
      <c r="D257" s="5">
        <f t="shared" si="29"/>
        <v>35</v>
      </c>
      <c r="E257" t="str">
        <f>'(Raw) LensesGH'!C257</f>
        <v>1:2.0</v>
      </c>
      <c r="F257" s="9">
        <f t="shared" si="30"/>
        <v>2</v>
      </c>
      <c r="G257" s="9">
        <f t="shared" si="31"/>
        <v>2</v>
      </c>
      <c r="H257" t="str">
        <f>'(Raw) LensesGH'!D257</f>
        <v>39mm</v>
      </c>
      <c r="I257" s="2">
        <f t="shared" si="32"/>
        <v>39</v>
      </c>
      <c r="J257" s="2" t="str">
        <f>'(Raw) LensesGH'!E257</f>
        <v>1:17.40</v>
      </c>
      <c r="K257" s="40">
        <f t="shared" si="33"/>
        <v>17.399999999999999</v>
      </c>
      <c r="L257" t="str">
        <f>'(Raw) LensesGH'!F257</f>
        <v>Leica M</v>
      </c>
      <c r="M257" t="str">
        <f>'(Raw) LensesGH'!G257</f>
        <v>APS-C/ Kleinbild</v>
      </c>
      <c r="N257" t="str">
        <f>'(Raw) LensesGH'!H257</f>
        <v>252g</v>
      </c>
      <c r="O257" s="5">
        <f t="shared" si="34"/>
        <v>252</v>
      </c>
      <c r="P257" t="str">
        <f>'(Raw) LensesGH'!I257</f>
        <v>53 x 35.7mm</v>
      </c>
      <c r="Q257" s="39">
        <f t="shared" si="35"/>
        <v>53</v>
      </c>
      <c r="R257" s="39">
        <f t="shared" si="27"/>
        <v>35.700000000000003</v>
      </c>
    </row>
    <row r="258" spans="1:18" x14ac:dyDescent="0.25">
      <c r="A258" t="str">
        <f>'(Raw) LensesGH'!A258</f>
        <v>Leica Summicron-M 50mm 2.0 schwarz</v>
      </c>
      <c r="B258" t="str">
        <f>'(Raw) LensesGH'!B258</f>
        <v>50mm</v>
      </c>
      <c r="C258" s="5">
        <f t="shared" si="28"/>
        <v>50</v>
      </c>
      <c r="D258" s="5">
        <f t="shared" si="29"/>
        <v>50</v>
      </c>
      <c r="E258" t="str">
        <f>'(Raw) LensesGH'!C258</f>
        <v>1:2.0</v>
      </c>
      <c r="F258" s="9">
        <f t="shared" si="30"/>
        <v>2</v>
      </c>
      <c r="G258" s="9">
        <f t="shared" si="31"/>
        <v>2</v>
      </c>
      <c r="H258" t="str">
        <f>'(Raw) LensesGH'!D258</f>
        <v>39mm</v>
      </c>
      <c r="I258" s="2">
        <f t="shared" si="32"/>
        <v>39</v>
      </c>
      <c r="J258" s="2" t="str">
        <f>'(Raw) LensesGH'!E258</f>
        <v>1:11.50</v>
      </c>
      <c r="K258" s="40">
        <f t="shared" si="33"/>
        <v>11.5</v>
      </c>
      <c r="L258" t="str">
        <f>'(Raw) LensesGH'!F258</f>
        <v>Leica M</v>
      </c>
      <c r="M258" t="str">
        <f>'(Raw) LensesGH'!G258</f>
        <v>APS-C/ Kleinbild</v>
      </c>
      <c r="N258" t="str">
        <f>'(Raw) LensesGH'!H258</f>
        <v>335g</v>
      </c>
      <c r="O258" s="5">
        <f t="shared" si="34"/>
        <v>335</v>
      </c>
      <c r="P258" t="str">
        <f>'(Raw) LensesGH'!I258</f>
        <v>53 x 43.5mm</v>
      </c>
      <c r="Q258" s="39">
        <f t="shared" si="35"/>
        <v>53</v>
      </c>
      <c r="R258" s="39">
        <f t="shared" ref="R258:R321" si="36">getSizeLength(P258)</f>
        <v>43.5</v>
      </c>
    </row>
    <row r="259" spans="1:18" x14ac:dyDescent="0.25">
      <c r="A259" t="str">
        <f>'(Raw) LensesGH'!A259</f>
        <v>Leica Summicron-S 100mm 2.0 ASPH schwarz</v>
      </c>
      <c r="B259" t="str">
        <f>'(Raw) LensesGH'!B259</f>
        <v>100mm</v>
      </c>
      <c r="C259" s="5">
        <f t="shared" ref="C259:C322" si="37">getFocalLengthStart(B259)</f>
        <v>100</v>
      </c>
      <c r="D259" s="5">
        <f t="shared" ref="D259:D322" si="38">getFocalLengthEnd(B259)</f>
        <v>100</v>
      </c>
      <c r="E259" t="str">
        <f>'(Raw) LensesGH'!C259</f>
        <v>1:2.0</v>
      </c>
      <c r="F259" s="9">
        <f t="shared" ref="F259:F322" si="39">getApertureStart(E259)</f>
        <v>2</v>
      </c>
      <c r="G259" s="9">
        <f t="shared" ref="G259:G322" si="40">getApertureEnd(F259)</f>
        <v>2</v>
      </c>
      <c r="H259">
        <f>'(Raw) LensesGH'!D259</f>
        <v>0</v>
      </c>
      <c r="I259" s="2">
        <f t="shared" ref="I259:I322" si="41">getFiltersizeAsDouble(H259)</f>
        <v>0</v>
      </c>
      <c r="J259" s="2">
        <f>'(Raw) LensesGH'!E259</f>
        <v>0</v>
      </c>
      <c r="K259" s="40">
        <f t="shared" ref="K259:K322" si="42">getMagnification(J259)</f>
        <v>0</v>
      </c>
      <c r="L259" t="str">
        <f>'(Raw) LensesGH'!F259</f>
        <v>Leica S</v>
      </c>
      <c r="M259" t="str">
        <f>'(Raw) LensesGH'!G259</f>
        <v>APS-C/ Kleinbild</v>
      </c>
      <c r="N259" t="str">
        <f>'(Raw) LensesGH'!H259</f>
        <v>910g</v>
      </c>
      <c r="O259" s="5">
        <f t="shared" ref="O259:O322" si="43">getWeightAsDouble(N259)</f>
        <v>910</v>
      </c>
      <c r="P259" t="str">
        <f>'(Raw) LensesGH'!I259</f>
        <v>91 x 102mm</v>
      </c>
      <c r="Q259" s="39">
        <f t="shared" ref="Q259:Q322" si="44">getSizeDiameter(P259)</f>
        <v>91</v>
      </c>
      <c r="R259" s="39">
        <f t="shared" si="36"/>
        <v>102</v>
      </c>
    </row>
    <row r="260" spans="1:18" x14ac:dyDescent="0.25">
      <c r="A260" t="str">
        <f>'(Raw) LensesGH'!A260</f>
        <v>Leica Summicron-T 23mm 2.0 ASPH schwarz</v>
      </c>
      <c r="B260" t="str">
        <f>'(Raw) LensesGH'!B260</f>
        <v>23mm</v>
      </c>
      <c r="C260" s="5">
        <f t="shared" si="37"/>
        <v>23</v>
      </c>
      <c r="D260" s="5">
        <f t="shared" si="38"/>
        <v>23</v>
      </c>
      <c r="E260" t="str">
        <f>'(Raw) LensesGH'!C260</f>
        <v>1:2.0</v>
      </c>
      <c r="F260" s="9">
        <f t="shared" si="39"/>
        <v>2</v>
      </c>
      <c r="G260" s="9">
        <f t="shared" si="40"/>
        <v>2</v>
      </c>
      <c r="H260" t="str">
        <f>'(Raw) LensesGH'!D260</f>
        <v>52mm</v>
      </c>
      <c r="I260" s="2">
        <f t="shared" si="41"/>
        <v>52</v>
      </c>
      <c r="J260" s="2" t="str">
        <f>'(Raw) LensesGH'!E260</f>
        <v>1:12.60</v>
      </c>
      <c r="K260" s="40">
        <f t="shared" si="42"/>
        <v>12.6</v>
      </c>
      <c r="L260" t="str">
        <f>'(Raw) LensesGH'!F260</f>
        <v>Leica T</v>
      </c>
      <c r="M260" t="str">
        <f>'(Raw) LensesGH'!G260</f>
        <v>APS-C</v>
      </c>
      <c r="N260" t="str">
        <f>'(Raw) LensesGH'!H260</f>
        <v>154g</v>
      </c>
      <c r="O260" s="5">
        <f t="shared" si="43"/>
        <v>154</v>
      </c>
      <c r="P260" t="str">
        <f>'(Raw) LensesGH'!I260</f>
        <v>63 x 37mm</v>
      </c>
      <c r="Q260" s="39">
        <f t="shared" si="44"/>
        <v>63</v>
      </c>
      <c r="R260" s="39">
        <f t="shared" si="36"/>
        <v>37</v>
      </c>
    </row>
    <row r="261" spans="1:18" x14ac:dyDescent="0.25">
      <c r="A261" t="str">
        <f>'(Raw) LensesGH'!A261</f>
        <v>Leica Summilux-M 21mm 1.4 ASPH schwarz</v>
      </c>
      <c r="B261" t="str">
        <f>'(Raw) LensesGH'!B261</f>
        <v>21mm</v>
      </c>
      <c r="C261" s="5">
        <f t="shared" si="37"/>
        <v>21</v>
      </c>
      <c r="D261" s="5">
        <f t="shared" si="38"/>
        <v>21</v>
      </c>
      <c r="E261" t="str">
        <f>'(Raw) LensesGH'!C261</f>
        <v>1:1.4</v>
      </c>
      <c r="F261" s="9">
        <f t="shared" si="39"/>
        <v>1.4</v>
      </c>
      <c r="G261" s="9">
        <f t="shared" si="40"/>
        <v>1.4</v>
      </c>
      <c r="H261">
        <f>'(Raw) LensesGH'!D261</f>
        <v>0</v>
      </c>
      <c r="I261" s="2">
        <f t="shared" si="41"/>
        <v>0</v>
      </c>
      <c r="J261" s="2" t="str">
        <f>'(Raw) LensesGH'!E261</f>
        <v>1:29.41</v>
      </c>
      <c r="K261" s="40">
        <f t="shared" si="42"/>
        <v>29.41</v>
      </c>
      <c r="L261" t="str">
        <f>'(Raw) LensesGH'!F261</f>
        <v>Leica M</v>
      </c>
      <c r="M261" t="str">
        <f>'(Raw) LensesGH'!G261</f>
        <v>APS-C/ Kleinbild</v>
      </c>
      <c r="N261" t="str">
        <f>'(Raw) LensesGH'!H261</f>
        <v>580g</v>
      </c>
      <c r="O261" s="5">
        <f t="shared" si="43"/>
        <v>580</v>
      </c>
      <c r="P261" t="str">
        <f>'(Raw) LensesGH'!I261</f>
        <v>69.5 x 66mm</v>
      </c>
      <c r="Q261" s="39">
        <f t="shared" si="44"/>
        <v>69.5</v>
      </c>
      <c r="R261" s="39">
        <f t="shared" si="36"/>
        <v>66</v>
      </c>
    </row>
    <row r="262" spans="1:18" x14ac:dyDescent="0.25">
      <c r="A262" t="str">
        <f>'(Raw) LensesGH'!A262</f>
        <v>Leica Summilux-M 24mm 1.4 ASPH schwarz</v>
      </c>
      <c r="B262" t="str">
        <f>'(Raw) LensesGH'!B262</f>
        <v>24mm</v>
      </c>
      <c r="C262" s="5">
        <f t="shared" si="37"/>
        <v>24</v>
      </c>
      <c r="D262" s="5">
        <f t="shared" si="38"/>
        <v>24</v>
      </c>
      <c r="E262" t="str">
        <f>'(Raw) LensesGH'!C262</f>
        <v>1:1.4</v>
      </c>
      <c r="F262" s="9">
        <f t="shared" si="39"/>
        <v>1.4</v>
      </c>
      <c r="G262" s="9">
        <f t="shared" si="40"/>
        <v>1.4</v>
      </c>
      <c r="H262">
        <f>'(Raw) LensesGH'!D262</f>
        <v>0</v>
      </c>
      <c r="I262" s="2">
        <f t="shared" si="41"/>
        <v>0</v>
      </c>
      <c r="J262" s="2" t="str">
        <f>'(Raw) LensesGH'!E262</f>
        <v>1:25.00</v>
      </c>
      <c r="K262" s="40">
        <f t="shared" si="42"/>
        <v>25</v>
      </c>
      <c r="L262" t="str">
        <f>'(Raw) LensesGH'!F262</f>
        <v>Leica M</v>
      </c>
      <c r="M262" t="str">
        <f>'(Raw) LensesGH'!G262</f>
        <v>APS-C/ Kleinbild</v>
      </c>
      <c r="N262" t="str">
        <f>'(Raw) LensesGH'!H262</f>
        <v>500g</v>
      </c>
      <c r="O262" s="5">
        <f t="shared" si="43"/>
        <v>500</v>
      </c>
      <c r="P262" t="str">
        <f>'(Raw) LensesGH'!I262</f>
        <v>61 x 58.5mm</v>
      </c>
      <c r="Q262" s="39">
        <f t="shared" si="44"/>
        <v>61</v>
      </c>
      <c r="R262" s="39">
        <f t="shared" si="36"/>
        <v>58.5</v>
      </c>
    </row>
    <row r="263" spans="1:18" x14ac:dyDescent="0.25">
      <c r="A263" t="str">
        <f>'(Raw) LensesGH'!A263</f>
        <v>Leica Summilux-M 28mm 1.4 ASPH schwarz</v>
      </c>
      <c r="B263" t="str">
        <f>'(Raw) LensesGH'!B263</f>
        <v>28mm</v>
      </c>
      <c r="C263" s="5">
        <f t="shared" si="37"/>
        <v>28</v>
      </c>
      <c r="D263" s="5">
        <f t="shared" si="38"/>
        <v>28</v>
      </c>
      <c r="E263" t="str">
        <f>'(Raw) LensesGH'!C263</f>
        <v>1:1.4</v>
      </c>
      <c r="F263" s="9">
        <f t="shared" si="39"/>
        <v>1.4</v>
      </c>
      <c r="G263" s="9">
        <f t="shared" si="40"/>
        <v>1.4</v>
      </c>
      <c r="H263" t="str">
        <f>'(Raw) LensesGH'!D263</f>
        <v>49mm</v>
      </c>
      <c r="I263" s="2">
        <f t="shared" si="41"/>
        <v>49</v>
      </c>
      <c r="J263" s="2" t="str">
        <f>'(Raw) LensesGH'!E263</f>
        <v>1:21.90</v>
      </c>
      <c r="K263" s="40">
        <f t="shared" si="42"/>
        <v>21.9</v>
      </c>
      <c r="L263" t="str">
        <f>'(Raw) LensesGH'!F263</f>
        <v>Leica M</v>
      </c>
      <c r="M263" t="str">
        <f>'(Raw) LensesGH'!G263</f>
        <v>APS-C/ Kleinbild</v>
      </c>
      <c r="N263" t="str">
        <f>'(Raw) LensesGH'!H263</f>
        <v>440g</v>
      </c>
      <c r="O263" s="5">
        <f t="shared" si="43"/>
        <v>440</v>
      </c>
      <c r="P263" t="str">
        <f>'(Raw) LensesGH'!I263</f>
        <v>61 x 67mm</v>
      </c>
      <c r="Q263" s="39">
        <f t="shared" si="44"/>
        <v>61</v>
      </c>
      <c r="R263" s="39">
        <f t="shared" si="36"/>
        <v>67</v>
      </c>
    </row>
    <row r="264" spans="1:18" x14ac:dyDescent="0.25">
      <c r="A264" t="str">
        <f>'(Raw) LensesGH'!A264</f>
        <v>Leica Summilux-M 35mm 1.4 ASPH schwarz</v>
      </c>
      <c r="B264" t="str">
        <f>'(Raw) LensesGH'!B264</f>
        <v>35mm</v>
      </c>
      <c r="C264" s="5">
        <f t="shared" si="37"/>
        <v>35</v>
      </c>
      <c r="D264" s="5">
        <f t="shared" si="38"/>
        <v>35</v>
      </c>
      <c r="E264" t="str">
        <f>'(Raw) LensesGH'!C264</f>
        <v>1:1.4</v>
      </c>
      <c r="F264" s="9">
        <f t="shared" si="39"/>
        <v>1.4</v>
      </c>
      <c r="G264" s="9">
        <f t="shared" si="40"/>
        <v>1.4</v>
      </c>
      <c r="H264" t="str">
        <f>'(Raw) LensesGH'!D264</f>
        <v>46mm</v>
      </c>
      <c r="I264" s="2">
        <f t="shared" si="41"/>
        <v>46</v>
      </c>
      <c r="J264" s="2" t="str">
        <f>'(Raw) LensesGH'!E264</f>
        <v>1:17.40</v>
      </c>
      <c r="K264" s="40">
        <f t="shared" si="42"/>
        <v>17.399999999999999</v>
      </c>
      <c r="L264" t="str">
        <f>'(Raw) LensesGH'!F264</f>
        <v>Leica M</v>
      </c>
      <c r="M264" t="str">
        <f>'(Raw) LensesGH'!G264</f>
        <v>APS-C/ Kleinbild</v>
      </c>
      <c r="N264" t="str">
        <f>'(Raw) LensesGH'!H264</f>
        <v>250g</v>
      </c>
      <c r="O264" s="5">
        <f t="shared" si="43"/>
        <v>250</v>
      </c>
      <c r="P264" t="str">
        <f>'(Raw) LensesGH'!I264</f>
        <v>53 x 46.2mm</v>
      </c>
      <c r="Q264" s="39">
        <f t="shared" si="44"/>
        <v>53</v>
      </c>
      <c r="R264" s="39">
        <f t="shared" si="36"/>
        <v>46.2</v>
      </c>
    </row>
    <row r="265" spans="1:18" x14ac:dyDescent="0.25">
      <c r="A265" t="str">
        <f>'(Raw) LensesGH'!A265</f>
        <v>Leica Summilux-M 35mm 1.4 ASPH silber</v>
      </c>
      <c r="B265" t="str">
        <f>'(Raw) LensesGH'!B265</f>
        <v>35mm</v>
      </c>
      <c r="C265" s="5">
        <f t="shared" si="37"/>
        <v>35</v>
      </c>
      <c r="D265" s="5">
        <f t="shared" si="38"/>
        <v>35</v>
      </c>
      <c r="E265" t="str">
        <f>'(Raw) LensesGH'!C265</f>
        <v>1:1.4</v>
      </c>
      <c r="F265" s="9">
        <f t="shared" si="39"/>
        <v>1.4</v>
      </c>
      <c r="G265" s="9">
        <f t="shared" si="40"/>
        <v>1.4</v>
      </c>
      <c r="H265" t="str">
        <f>'(Raw) LensesGH'!D265</f>
        <v>46mm</v>
      </c>
      <c r="I265" s="2">
        <f t="shared" si="41"/>
        <v>46</v>
      </c>
      <c r="J265" s="2" t="str">
        <f>'(Raw) LensesGH'!E265</f>
        <v>1:17.40</v>
      </c>
      <c r="K265" s="40">
        <f t="shared" si="42"/>
        <v>17.399999999999999</v>
      </c>
      <c r="L265" t="str">
        <f>'(Raw) LensesGH'!F265</f>
        <v>Leica M</v>
      </c>
      <c r="M265" t="str">
        <f>'(Raw) LensesGH'!G265</f>
        <v>APS-C/ Kleinbild</v>
      </c>
      <c r="N265" t="str">
        <f>'(Raw) LensesGH'!H265</f>
        <v>320g</v>
      </c>
      <c r="O265" s="5">
        <f t="shared" si="43"/>
        <v>320</v>
      </c>
      <c r="P265" t="str">
        <f>'(Raw) LensesGH'!I265</f>
        <v>56 x 46mm</v>
      </c>
      <c r="Q265" s="39">
        <f t="shared" si="44"/>
        <v>56</v>
      </c>
      <c r="R265" s="39">
        <f t="shared" si="36"/>
        <v>46</v>
      </c>
    </row>
    <row r="266" spans="1:18" x14ac:dyDescent="0.25">
      <c r="A266" t="str">
        <f>'(Raw) LensesGH'!A266</f>
        <v>Leica Summilux-M 50mm 1.4 ASPH schwarz</v>
      </c>
      <c r="B266" t="str">
        <f>'(Raw) LensesGH'!B266</f>
        <v>50mm</v>
      </c>
      <c r="C266" s="5">
        <f t="shared" si="37"/>
        <v>50</v>
      </c>
      <c r="D266" s="5">
        <f t="shared" si="38"/>
        <v>50</v>
      </c>
      <c r="E266" t="str">
        <f>'(Raw) LensesGH'!C266</f>
        <v>1:1.4</v>
      </c>
      <c r="F266" s="9">
        <f t="shared" si="39"/>
        <v>1.4</v>
      </c>
      <c r="G266" s="9">
        <f t="shared" si="40"/>
        <v>1.4</v>
      </c>
      <c r="H266" t="str">
        <f>'(Raw) LensesGH'!D266</f>
        <v>46mm</v>
      </c>
      <c r="I266" s="2">
        <f t="shared" si="41"/>
        <v>46</v>
      </c>
      <c r="J266" s="2" t="str">
        <f>'(Raw) LensesGH'!E266</f>
        <v>1:11.30</v>
      </c>
      <c r="K266" s="40">
        <f t="shared" si="42"/>
        <v>11.3</v>
      </c>
      <c r="L266" t="str">
        <f>'(Raw) LensesGH'!F266</f>
        <v>Leica M</v>
      </c>
      <c r="M266" t="str">
        <f>'(Raw) LensesGH'!G266</f>
        <v>APS-C/ Kleinbild</v>
      </c>
      <c r="N266" t="str">
        <f>'(Raw) LensesGH'!H266</f>
        <v>335g</v>
      </c>
      <c r="O266" s="5">
        <f t="shared" si="43"/>
        <v>335</v>
      </c>
      <c r="P266" t="str">
        <f>'(Raw) LensesGH'!I266</f>
        <v>53.5 x 52.5mm</v>
      </c>
      <c r="Q266" s="39">
        <f t="shared" si="44"/>
        <v>53.5</v>
      </c>
      <c r="R266" s="39">
        <f t="shared" si="36"/>
        <v>52.5</v>
      </c>
    </row>
    <row r="267" spans="1:18" x14ac:dyDescent="0.25">
      <c r="A267" t="str">
        <f>'(Raw) LensesGH'!A267</f>
        <v>Leica Summilux-M 50mm 1.4 ASPH silber/verchromt</v>
      </c>
      <c r="B267" t="str">
        <f>'(Raw) LensesGH'!B267</f>
        <v>50mm</v>
      </c>
      <c r="C267" s="5">
        <f t="shared" si="37"/>
        <v>50</v>
      </c>
      <c r="D267" s="5">
        <f t="shared" si="38"/>
        <v>50</v>
      </c>
      <c r="E267" t="str">
        <f>'(Raw) LensesGH'!C267</f>
        <v>1:1.4</v>
      </c>
      <c r="F267" s="9">
        <f t="shared" si="39"/>
        <v>1.4</v>
      </c>
      <c r="G267" s="9">
        <f t="shared" si="40"/>
        <v>1.4</v>
      </c>
      <c r="H267" t="str">
        <f>'(Raw) LensesGH'!D267</f>
        <v>46mm</v>
      </c>
      <c r="I267" s="2">
        <f t="shared" si="41"/>
        <v>46</v>
      </c>
      <c r="J267" s="2" t="str">
        <f>'(Raw) LensesGH'!E267</f>
        <v>1:11.30</v>
      </c>
      <c r="K267" s="40">
        <f t="shared" si="42"/>
        <v>11.3</v>
      </c>
      <c r="L267" t="str">
        <f>'(Raw) LensesGH'!F267</f>
        <v>Leica M</v>
      </c>
      <c r="M267" t="str">
        <f>'(Raw) LensesGH'!G267</f>
        <v>APS-C/ Kleinbild</v>
      </c>
      <c r="N267" t="str">
        <f>'(Raw) LensesGH'!H267</f>
        <v>335g</v>
      </c>
      <c r="O267" s="5">
        <f t="shared" si="43"/>
        <v>335</v>
      </c>
      <c r="P267" t="str">
        <f>'(Raw) LensesGH'!I267</f>
        <v>53.5 x 52.5mm</v>
      </c>
      <c r="Q267" s="39">
        <f t="shared" si="44"/>
        <v>53.5</v>
      </c>
      <c r="R267" s="39">
        <f t="shared" si="36"/>
        <v>52.5</v>
      </c>
    </row>
    <row r="268" spans="1:18" x14ac:dyDescent="0.25">
      <c r="A268" t="str">
        <f>'(Raw) LensesGH'!A268</f>
        <v>Leica Summilux-SL 50mm 1.4 ASPH schwarz</v>
      </c>
      <c r="B268" t="str">
        <f>'(Raw) LensesGH'!B268</f>
        <v>50mm</v>
      </c>
      <c r="C268" s="5">
        <f t="shared" si="37"/>
        <v>50</v>
      </c>
      <c r="D268" s="5">
        <f t="shared" si="38"/>
        <v>50</v>
      </c>
      <c r="E268" t="str">
        <f>'(Raw) LensesGH'!C268</f>
        <v>1:1.4</v>
      </c>
      <c r="F268" s="9">
        <f t="shared" si="39"/>
        <v>1.4</v>
      </c>
      <c r="G268" s="9">
        <f t="shared" si="40"/>
        <v>1.4</v>
      </c>
      <c r="H268" t="str">
        <f>'(Raw) LensesGH'!D268</f>
        <v>82mm</v>
      </c>
      <c r="I268" s="2">
        <f t="shared" si="41"/>
        <v>82</v>
      </c>
      <c r="J268" s="2" t="str">
        <f>'(Raw) LensesGH'!E268</f>
        <v>1:10.00</v>
      </c>
      <c r="K268" s="40">
        <f t="shared" si="42"/>
        <v>10</v>
      </c>
      <c r="L268" t="str">
        <f>'(Raw) LensesGH'!F268</f>
        <v>Leica L</v>
      </c>
      <c r="M268" t="str">
        <f>'(Raw) LensesGH'!G268</f>
        <v>APS-C/ Kleinbild</v>
      </c>
      <c r="N268" t="str">
        <f>'(Raw) LensesGH'!H268</f>
        <v>1070g</v>
      </c>
      <c r="O268" s="5">
        <f t="shared" si="43"/>
        <v>1070</v>
      </c>
      <c r="P268" t="str">
        <f>'(Raw) LensesGH'!I268</f>
        <v>88 x 124mm</v>
      </c>
      <c r="Q268" s="39">
        <f t="shared" si="44"/>
        <v>88</v>
      </c>
      <c r="R268" s="39">
        <f t="shared" si="36"/>
        <v>124</v>
      </c>
    </row>
    <row r="269" spans="1:18" x14ac:dyDescent="0.25">
      <c r="A269" t="str">
        <f>'(Raw) LensesGH'!A269</f>
        <v>Leica Summilux-TL 35mm 1.4 ASPH schwarz</v>
      </c>
      <c r="B269" t="str">
        <f>'(Raw) LensesGH'!B269</f>
        <v>35mm</v>
      </c>
      <c r="C269" s="5">
        <f t="shared" si="37"/>
        <v>35</v>
      </c>
      <c r="D269" s="5">
        <f t="shared" si="38"/>
        <v>35</v>
      </c>
      <c r="E269" t="str">
        <f>'(Raw) LensesGH'!C269</f>
        <v>1:1.4</v>
      </c>
      <c r="F269" s="9">
        <f t="shared" si="39"/>
        <v>1.4</v>
      </c>
      <c r="G269" s="9">
        <f t="shared" si="40"/>
        <v>1.4</v>
      </c>
      <c r="H269" t="str">
        <f>'(Raw) LensesGH'!D269</f>
        <v>60mm</v>
      </c>
      <c r="I269" s="2">
        <f t="shared" si="41"/>
        <v>60</v>
      </c>
      <c r="J269" s="2" t="str">
        <f>'(Raw) LensesGH'!E269</f>
        <v>1:9.40</v>
      </c>
      <c r="K269" s="40">
        <f t="shared" si="42"/>
        <v>9.4</v>
      </c>
      <c r="L269" t="str">
        <f>'(Raw) LensesGH'!F269</f>
        <v>Leica L</v>
      </c>
      <c r="M269" t="str">
        <f>'(Raw) LensesGH'!G269</f>
        <v>APS-C/ Kleinbild</v>
      </c>
      <c r="N269" t="str">
        <f>'(Raw) LensesGH'!H269</f>
        <v>428g</v>
      </c>
      <c r="O269" s="5">
        <f t="shared" si="43"/>
        <v>428</v>
      </c>
      <c r="P269" t="str">
        <f>'(Raw) LensesGH'!I269</f>
        <v>70 x 77mm</v>
      </c>
      <c r="Q269" s="39">
        <f t="shared" si="44"/>
        <v>70</v>
      </c>
      <c r="R269" s="39">
        <f t="shared" si="36"/>
        <v>77</v>
      </c>
    </row>
    <row r="270" spans="1:18" x14ac:dyDescent="0.25">
      <c r="A270" t="str">
        <f>'(Raw) LensesGH'!A270</f>
        <v>Leica Summilux-TL 35mm 1.4 ASPH silber</v>
      </c>
      <c r="B270" t="str">
        <f>'(Raw) LensesGH'!B270</f>
        <v>35mm</v>
      </c>
      <c r="C270" s="5">
        <f t="shared" si="37"/>
        <v>35</v>
      </c>
      <c r="D270" s="5">
        <f t="shared" si="38"/>
        <v>35</v>
      </c>
      <c r="E270" t="str">
        <f>'(Raw) LensesGH'!C270</f>
        <v>1:1.4</v>
      </c>
      <c r="F270" s="9">
        <f t="shared" si="39"/>
        <v>1.4</v>
      </c>
      <c r="G270" s="9">
        <f t="shared" si="40"/>
        <v>1.4</v>
      </c>
      <c r="H270" t="str">
        <f>'(Raw) LensesGH'!D270</f>
        <v>60mm</v>
      </c>
      <c r="I270" s="2">
        <f t="shared" si="41"/>
        <v>60</v>
      </c>
      <c r="J270" s="2" t="str">
        <f>'(Raw) LensesGH'!E270</f>
        <v>1:9.40</v>
      </c>
      <c r="K270" s="40">
        <f t="shared" si="42"/>
        <v>9.4</v>
      </c>
      <c r="L270" t="str">
        <f>'(Raw) LensesGH'!F270</f>
        <v>Leica L</v>
      </c>
      <c r="M270" t="str">
        <f>'(Raw) LensesGH'!G270</f>
        <v>APS-C/ Kleinbild</v>
      </c>
      <c r="N270" t="str">
        <f>'(Raw) LensesGH'!H270</f>
        <v>428g</v>
      </c>
      <c r="O270" s="5">
        <f t="shared" si="43"/>
        <v>428</v>
      </c>
      <c r="P270" t="str">
        <f>'(Raw) LensesGH'!I270</f>
        <v>70 x 77mm</v>
      </c>
      <c r="Q270" s="39">
        <f t="shared" si="44"/>
        <v>70</v>
      </c>
      <c r="R270" s="39">
        <f t="shared" si="36"/>
        <v>77</v>
      </c>
    </row>
    <row r="271" spans="1:18" x14ac:dyDescent="0.25">
      <c r="A271" t="str">
        <f>'(Raw) LensesGH'!A271</f>
        <v>Leica Super-Elmar-M 18mm 3.8 ASPH schwarz</v>
      </c>
      <c r="B271" t="str">
        <f>'(Raw) LensesGH'!B271</f>
        <v>18mm</v>
      </c>
      <c r="C271" s="5">
        <f t="shared" si="37"/>
        <v>18</v>
      </c>
      <c r="D271" s="5">
        <f t="shared" si="38"/>
        <v>18</v>
      </c>
      <c r="E271" t="str">
        <f>'(Raw) LensesGH'!C271</f>
        <v>1:3.8</v>
      </c>
      <c r="F271" s="9">
        <f t="shared" si="39"/>
        <v>3.8</v>
      </c>
      <c r="G271" s="9">
        <f t="shared" si="40"/>
        <v>3.8</v>
      </c>
      <c r="H271" t="str">
        <f>'(Raw) LensesGH'!D271</f>
        <v>77mm</v>
      </c>
      <c r="I271" s="2">
        <f t="shared" si="41"/>
        <v>77</v>
      </c>
      <c r="J271" s="2" t="str">
        <f>'(Raw) LensesGH'!E271</f>
        <v>1:34.60</v>
      </c>
      <c r="K271" s="40">
        <f t="shared" si="42"/>
        <v>34.6</v>
      </c>
      <c r="L271" t="str">
        <f>'(Raw) LensesGH'!F271</f>
        <v>Leica M</v>
      </c>
      <c r="M271" t="str">
        <f>'(Raw) LensesGH'!G271</f>
        <v>APS-C/ Kleinbild</v>
      </c>
      <c r="N271" t="str">
        <f>'(Raw) LensesGH'!H271</f>
        <v>310g</v>
      </c>
      <c r="O271" s="5">
        <f t="shared" si="43"/>
        <v>310</v>
      </c>
      <c r="P271" t="str">
        <f>'(Raw) LensesGH'!I271</f>
        <v>61 x 58mm</v>
      </c>
      <c r="Q271" s="39">
        <f t="shared" si="44"/>
        <v>61</v>
      </c>
      <c r="R271" s="39">
        <f t="shared" si="36"/>
        <v>58</v>
      </c>
    </row>
    <row r="272" spans="1:18" x14ac:dyDescent="0.25">
      <c r="A272" t="str">
        <f>'(Raw) LensesGH'!A272</f>
        <v>Leica Super-Elmar-M 21mm 3.4 ASPH schwarz</v>
      </c>
      <c r="B272" t="str">
        <f>'(Raw) LensesGH'!B272</f>
        <v>21mm</v>
      </c>
      <c r="C272" s="5">
        <f t="shared" si="37"/>
        <v>21</v>
      </c>
      <c r="D272" s="5">
        <f t="shared" si="38"/>
        <v>21</v>
      </c>
      <c r="E272" t="str">
        <f>'(Raw) LensesGH'!C272</f>
        <v>1:3.4</v>
      </c>
      <c r="F272" s="9">
        <f t="shared" si="39"/>
        <v>3.4</v>
      </c>
      <c r="G272" s="9">
        <f t="shared" si="40"/>
        <v>3.4</v>
      </c>
      <c r="H272" t="str">
        <f>'(Raw) LensesGH'!D272</f>
        <v>46mm</v>
      </c>
      <c r="I272" s="2">
        <f t="shared" si="41"/>
        <v>46</v>
      </c>
      <c r="J272" s="2" t="str">
        <f>'(Raw) LensesGH'!E272</f>
        <v>1:29.80</v>
      </c>
      <c r="K272" s="40">
        <f t="shared" si="42"/>
        <v>29.8</v>
      </c>
      <c r="L272" t="str">
        <f>'(Raw) LensesGH'!F272</f>
        <v>Leica M</v>
      </c>
      <c r="M272" t="str">
        <f>'(Raw) LensesGH'!G272</f>
        <v>APS-C/ Kleinbild</v>
      </c>
      <c r="N272" t="str">
        <f>'(Raw) LensesGH'!H272</f>
        <v>279g</v>
      </c>
      <c r="O272" s="5">
        <f t="shared" si="43"/>
        <v>279</v>
      </c>
      <c r="P272" t="str">
        <f>'(Raw) LensesGH'!I272</f>
        <v>53 x 43mm</v>
      </c>
      <c r="Q272" s="39">
        <f t="shared" si="44"/>
        <v>53</v>
      </c>
      <c r="R272" s="39">
        <f t="shared" si="36"/>
        <v>43</v>
      </c>
    </row>
    <row r="273" spans="1:18" x14ac:dyDescent="0.25">
      <c r="A273" t="str">
        <f>'(Raw) LensesGH'!A273</f>
        <v>Leica Super-Elmar-S 24mm 3.5 ASPH schwarz</v>
      </c>
      <c r="B273" t="str">
        <f>'(Raw) LensesGH'!B273</f>
        <v>24mm</v>
      </c>
      <c r="C273" s="5">
        <f t="shared" si="37"/>
        <v>24</v>
      </c>
      <c r="D273" s="5">
        <f t="shared" si="38"/>
        <v>24</v>
      </c>
      <c r="E273" t="str">
        <f>'(Raw) LensesGH'!C273</f>
        <v>1:3.5</v>
      </c>
      <c r="F273" s="9">
        <f t="shared" si="39"/>
        <v>3.5</v>
      </c>
      <c r="G273" s="9">
        <f t="shared" si="40"/>
        <v>3.5</v>
      </c>
      <c r="H273" t="str">
        <f>'(Raw) LensesGH'!D273</f>
        <v>95mm</v>
      </c>
      <c r="I273" s="2">
        <f t="shared" si="41"/>
        <v>95</v>
      </c>
      <c r="J273" s="2" t="str">
        <f>'(Raw) LensesGH'!E273</f>
        <v>1:11.30</v>
      </c>
      <c r="K273" s="40">
        <f t="shared" si="42"/>
        <v>11.3</v>
      </c>
      <c r="L273" t="str">
        <f>'(Raw) LensesGH'!F273</f>
        <v>Leica S</v>
      </c>
      <c r="M273" t="str">
        <f>'(Raw) LensesGH'!G273</f>
        <v>APS-C/ Kleinbild</v>
      </c>
      <c r="N273" t="str">
        <f>'(Raw) LensesGH'!H273</f>
        <v>1110g</v>
      </c>
      <c r="O273" s="5">
        <f t="shared" si="43"/>
        <v>1110</v>
      </c>
      <c r="P273" t="str">
        <f>'(Raw) LensesGH'!I273</f>
        <v>101 x 112mm</v>
      </c>
      <c r="Q273" s="39">
        <f t="shared" si="44"/>
        <v>101</v>
      </c>
      <c r="R273" s="39">
        <f t="shared" si="36"/>
        <v>112</v>
      </c>
    </row>
    <row r="274" spans="1:18" x14ac:dyDescent="0.25">
      <c r="A274" t="str">
        <f>'(Raw) LensesGH'!A274</f>
        <v>Leica Super-Vario-Elmar-T 11-23mm 3.5-4.5 ASPH schwarz</v>
      </c>
      <c r="B274" t="str">
        <f>'(Raw) LensesGH'!B274</f>
        <v>11 - 23mm</v>
      </c>
      <c r="C274" s="5">
        <f t="shared" si="37"/>
        <v>11</v>
      </c>
      <c r="D274" s="5">
        <f t="shared" si="38"/>
        <v>23</v>
      </c>
      <c r="E274" t="str">
        <f>'(Raw) LensesGH'!C274</f>
        <v>1:3.5-1:4.5</v>
      </c>
      <c r="F274" s="9">
        <f t="shared" si="39"/>
        <v>3.5</v>
      </c>
      <c r="G274" s="9">
        <f t="shared" si="40"/>
        <v>3.5</v>
      </c>
      <c r="H274" t="str">
        <f>'(Raw) LensesGH'!D274</f>
        <v>67mm</v>
      </c>
      <c r="I274" s="2">
        <f t="shared" si="41"/>
        <v>67</v>
      </c>
      <c r="J274" s="2" t="str">
        <f>'(Raw) LensesGH'!E274</f>
        <v>1:9.70</v>
      </c>
      <c r="K274" s="40">
        <f t="shared" si="42"/>
        <v>9.6999999999999993</v>
      </c>
      <c r="L274" t="str">
        <f>'(Raw) LensesGH'!F274</f>
        <v>Leica T</v>
      </c>
      <c r="M274" t="str">
        <f>'(Raw) LensesGH'!G274</f>
        <v>APS-C</v>
      </c>
      <c r="N274" t="str">
        <f>'(Raw) LensesGH'!H274</f>
        <v>386g</v>
      </c>
      <c r="O274" s="5">
        <f t="shared" si="43"/>
        <v>386</v>
      </c>
      <c r="P274" t="str">
        <f>'(Raw) LensesGH'!I274</f>
        <v>73 x 77mm</v>
      </c>
      <c r="Q274" s="39">
        <f t="shared" si="44"/>
        <v>73</v>
      </c>
      <c r="R274" s="39">
        <f t="shared" si="36"/>
        <v>77</v>
      </c>
    </row>
    <row r="275" spans="1:18" x14ac:dyDescent="0.25">
      <c r="A275" t="str">
        <f>'(Raw) LensesGH'!A275</f>
        <v>Leica Thambar-M 90mm 2.2 schwarz</v>
      </c>
      <c r="B275" t="str">
        <f>'(Raw) LensesGH'!B275</f>
        <v>90mm</v>
      </c>
      <c r="C275" s="5">
        <f t="shared" si="37"/>
        <v>90</v>
      </c>
      <c r="D275" s="5">
        <f t="shared" si="38"/>
        <v>90</v>
      </c>
      <c r="E275" t="str">
        <f>'(Raw) LensesGH'!C275</f>
        <v>1:2.2</v>
      </c>
      <c r="F275" s="9">
        <f t="shared" si="39"/>
        <v>2.2000000000000002</v>
      </c>
      <c r="G275" s="9">
        <f t="shared" si="40"/>
        <v>2.2000000000000002</v>
      </c>
      <c r="H275" t="str">
        <f>'(Raw) LensesGH'!D275</f>
        <v>49mm</v>
      </c>
      <c r="I275" s="2">
        <f t="shared" si="41"/>
        <v>49</v>
      </c>
      <c r="J275" s="2" t="str">
        <f>'(Raw) LensesGH'!E275</f>
        <v>1:9.00</v>
      </c>
      <c r="K275" s="40">
        <f t="shared" si="42"/>
        <v>9</v>
      </c>
      <c r="L275" t="str">
        <f>'(Raw) LensesGH'!F275</f>
        <v>Leica M</v>
      </c>
      <c r="M275" t="str">
        <f>'(Raw) LensesGH'!G275</f>
        <v>APS-C/ Kleinbild</v>
      </c>
      <c r="N275" t="str">
        <f>'(Raw) LensesGH'!H275</f>
        <v>500g</v>
      </c>
      <c r="O275" s="5">
        <f t="shared" si="43"/>
        <v>500</v>
      </c>
      <c r="P275" t="str">
        <f>'(Raw) LensesGH'!I275</f>
        <v>57 x 90mm</v>
      </c>
      <c r="Q275" s="39">
        <f t="shared" si="44"/>
        <v>57</v>
      </c>
      <c r="R275" s="39">
        <f t="shared" si="36"/>
        <v>90</v>
      </c>
    </row>
    <row r="276" spans="1:18" x14ac:dyDescent="0.25">
      <c r="A276" t="str">
        <f>'(Raw) LensesGH'!A276</f>
        <v>Leica Tri-Elmar-M 16-18-21mm 4.0 ASPH schwarz</v>
      </c>
      <c r="B276" t="str">
        <f>'(Raw) LensesGH'!B276</f>
        <v>16-21mm</v>
      </c>
      <c r="C276" s="5">
        <f t="shared" si="37"/>
        <v>16</v>
      </c>
      <c r="D276" s="5">
        <f t="shared" si="38"/>
        <v>21</v>
      </c>
      <c r="E276" t="str">
        <f>'(Raw) LensesGH'!C276</f>
        <v>1:4.0</v>
      </c>
      <c r="F276" s="9">
        <f t="shared" si="39"/>
        <v>4</v>
      </c>
      <c r="G276" s="9">
        <f t="shared" si="40"/>
        <v>4</v>
      </c>
      <c r="H276" t="str">
        <f>'(Raw) LensesGH'!D276</f>
        <v>67mm</v>
      </c>
      <c r="I276" s="2">
        <f t="shared" si="41"/>
        <v>67</v>
      </c>
      <c r="J276" s="2" t="str">
        <f>'(Raw) LensesGH'!E276</f>
        <v>1:30.00</v>
      </c>
      <c r="K276" s="40">
        <f t="shared" si="42"/>
        <v>30</v>
      </c>
      <c r="L276" t="str">
        <f>'(Raw) LensesGH'!F276</f>
        <v>Leica M</v>
      </c>
      <c r="M276" t="str">
        <f>'(Raw) LensesGH'!G276</f>
        <v>APS-C/ Kleinbild</v>
      </c>
      <c r="N276" t="str">
        <f>'(Raw) LensesGH'!H276</f>
        <v>335g</v>
      </c>
      <c r="O276" s="5">
        <f t="shared" si="43"/>
        <v>335</v>
      </c>
      <c r="P276" t="str">
        <f>'(Raw) LensesGH'!I276</f>
        <v>54 x 66mm</v>
      </c>
      <c r="Q276" s="39">
        <f t="shared" si="44"/>
        <v>54</v>
      </c>
      <c r="R276" s="39">
        <f t="shared" si="36"/>
        <v>66</v>
      </c>
    </row>
    <row r="277" spans="1:18" x14ac:dyDescent="0.25">
      <c r="A277" t="str">
        <f>'(Raw) LensesGH'!A277</f>
        <v>Leica TS-APO-Elmar-S 120mm 5.6 Tilt/Shift schwarz</v>
      </c>
      <c r="B277" t="str">
        <f>'(Raw) LensesGH'!B277</f>
        <v>120mm</v>
      </c>
      <c r="C277" s="5">
        <f t="shared" si="37"/>
        <v>120</v>
      </c>
      <c r="D277" s="5">
        <f t="shared" si="38"/>
        <v>120</v>
      </c>
      <c r="E277" t="str">
        <f>'(Raw) LensesGH'!C277</f>
        <v>1:5.6</v>
      </c>
      <c r="F277" s="9">
        <f t="shared" si="39"/>
        <v>5.6</v>
      </c>
      <c r="G277" s="9">
        <f t="shared" si="40"/>
        <v>5.6</v>
      </c>
      <c r="H277" t="str">
        <f>'(Raw) LensesGH'!D277</f>
        <v>95mm</v>
      </c>
      <c r="I277" s="2">
        <f t="shared" si="41"/>
        <v>95</v>
      </c>
      <c r="J277" s="2" t="str">
        <f>'(Raw) LensesGH'!E277</f>
        <v>1:5.30</v>
      </c>
      <c r="K277" s="40">
        <f t="shared" si="42"/>
        <v>5.3</v>
      </c>
      <c r="L277" t="str">
        <f>'(Raw) LensesGH'!F277</f>
        <v>Leica S</v>
      </c>
      <c r="M277" t="str">
        <f>'(Raw) LensesGH'!G277</f>
        <v>APS-C/ Kleinbild</v>
      </c>
      <c r="N277" t="str">
        <f>'(Raw) LensesGH'!H277</f>
        <v>1110g</v>
      </c>
      <c r="O277" s="5">
        <f t="shared" si="43"/>
        <v>1110</v>
      </c>
      <c r="P277" t="str">
        <f>'(Raw) LensesGH'!I277</f>
        <v>108 x 144mm</v>
      </c>
      <c r="Q277" s="39">
        <f t="shared" si="44"/>
        <v>108</v>
      </c>
      <c r="R277" s="39">
        <f t="shared" si="36"/>
        <v>144</v>
      </c>
    </row>
    <row r="278" spans="1:18" x14ac:dyDescent="0.25">
      <c r="A278" t="str">
        <f>'(Raw) LensesGH'!A278</f>
        <v>Leica Vario-Elmarit-SL 24-90mm 2.8-4.0 ASPH schwarz</v>
      </c>
      <c r="B278" t="str">
        <f>'(Raw) LensesGH'!B278</f>
        <v>24 - 90mm</v>
      </c>
      <c r="C278" s="5">
        <f t="shared" si="37"/>
        <v>24</v>
      </c>
      <c r="D278" s="5">
        <f t="shared" si="38"/>
        <v>90</v>
      </c>
      <c r="E278" t="str">
        <f>'(Raw) LensesGH'!C278</f>
        <v>1:2.8-1:4.0</v>
      </c>
      <c r="F278" s="9">
        <f t="shared" si="39"/>
        <v>2.8</v>
      </c>
      <c r="G278" s="9">
        <f t="shared" si="40"/>
        <v>2.8</v>
      </c>
      <c r="H278" t="str">
        <f>'(Raw) LensesGH'!D278</f>
        <v>82mm</v>
      </c>
      <c r="I278" s="2">
        <f t="shared" si="41"/>
        <v>82</v>
      </c>
      <c r="J278" s="2">
        <f>'(Raw) LensesGH'!E278</f>
        <v>0</v>
      </c>
      <c r="K278" s="40">
        <f t="shared" si="42"/>
        <v>0</v>
      </c>
      <c r="L278" t="str">
        <f>'(Raw) LensesGH'!F278</f>
        <v>Leica L</v>
      </c>
      <c r="M278" t="str">
        <f>'(Raw) LensesGH'!G278</f>
        <v>APS-C/ Kleinbild</v>
      </c>
      <c r="N278" t="str">
        <f>'(Raw) LensesGH'!H278</f>
        <v>1140g</v>
      </c>
      <c r="O278" s="5">
        <f t="shared" si="43"/>
        <v>1140</v>
      </c>
      <c r="P278" t="str">
        <f>'(Raw) LensesGH'!I278</f>
        <v>88 x 138mm</v>
      </c>
      <c r="Q278" s="39">
        <f t="shared" si="44"/>
        <v>88</v>
      </c>
      <c r="R278" s="39">
        <f t="shared" si="36"/>
        <v>138</v>
      </c>
    </row>
    <row r="279" spans="1:18" x14ac:dyDescent="0.25">
      <c r="A279" t="str">
        <f>'(Raw) LensesGH'!A279</f>
        <v>Leica Vario-Elmar-S 30-90mm 3.5-5.6 schwarz</v>
      </c>
      <c r="B279" t="str">
        <f>'(Raw) LensesGH'!B279</f>
        <v>30 - 90mm</v>
      </c>
      <c r="C279" s="5">
        <f t="shared" si="37"/>
        <v>30</v>
      </c>
      <c r="D279" s="5">
        <f t="shared" si="38"/>
        <v>90</v>
      </c>
      <c r="E279" t="str">
        <f>'(Raw) LensesGH'!C279</f>
        <v>1:3.5-1:5.6</v>
      </c>
      <c r="F279" s="9">
        <f t="shared" si="39"/>
        <v>3.5</v>
      </c>
      <c r="G279" s="9">
        <f t="shared" si="40"/>
        <v>3.5</v>
      </c>
      <c r="H279" t="str">
        <f>'(Raw) LensesGH'!D279</f>
        <v>95mm</v>
      </c>
      <c r="I279" s="2">
        <f t="shared" si="41"/>
        <v>95</v>
      </c>
      <c r="J279" s="2" t="str">
        <f>'(Raw) LensesGH'!E279</f>
        <v>1:6.50</v>
      </c>
      <c r="K279" s="40">
        <f t="shared" si="42"/>
        <v>6.5</v>
      </c>
      <c r="L279" t="str">
        <f>'(Raw) LensesGH'!F279</f>
        <v>Leica S</v>
      </c>
      <c r="M279" t="str">
        <f>'(Raw) LensesGH'!G279</f>
        <v>APS-C/ Kleinbild</v>
      </c>
      <c r="N279" t="str">
        <f>'(Raw) LensesGH'!H279</f>
        <v>1270g</v>
      </c>
      <c r="O279" s="5">
        <f t="shared" si="43"/>
        <v>1270</v>
      </c>
      <c r="P279" t="str">
        <f>'(Raw) LensesGH'!I279</f>
        <v>101 x 114mm</v>
      </c>
      <c r="Q279" s="39">
        <f t="shared" si="44"/>
        <v>101</v>
      </c>
      <c r="R279" s="39">
        <f t="shared" si="36"/>
        <v>114</v>
      </c>
    </row>
    <row r="280" spans="1:18" x14ac:dyDescent="0.25">
      <c r="A280" t="str">
        <f>'(Raw) LensesGH'!A280</f>
        <v>Leica Vario-Elmar-T 18-56mm 3.5-5.6 ASPH schwarz</v>
      </c>
      <c r="B280" t="str">
        <f>'(Raw) LensesGH'!B280</f>
        <v>18 - 56mm</v>
      </c>
      <c r="C280" s="5">
        <f t="shared" si="37"/>
        <v>18</v>
      </c>
      <c r="D280" s="5">
        <f t="shared" si="38"/>
        <v>56</v>
      </c>
      <c r="E280" t="str">
        <f>'(Raw) LensesGH'!C280</f>
        <v>1:3.5-1:5.6</v>
      </c>
      <c r="F280" s="9">
        <f t="shared" si="39"/>
        <v>3.5</v>
      </c>
      <c r="G280" s="9">
        <f t="shared" si="40"/>
        <v>3.5</v>
      </c>
      <c r="H280" t="str">
        <f>'(Raw) LensesGH'!D280</f>
        <v>52mm</v>
      </c>
      <c r="I280" s="2">
        <f t="shared" si="41"/>
        <v>52</v>
      </c>
      <c r="J280" s="2" t="str">
        <f>'(Raw) LensesGH'!E280</f>
        <v>1:7.50</v>
      </c>
      <c r="K280" s="40">
        <f t="shared" si="42"/>
        <v>7.5</v>
      </c>
      <c r="L280" t="str">
        <f>'(Raw) LensesGH'!F280</f>
        <v>Leica T</v>
      </c>
      <c r="M280" t="str">
        <f>'(Raw) LensesGH'!G280</f>
        <v>APS-C</v>
      </c>
      <c r="N280" t="str">
        <f>'(Raw) LensesGH'!H280</f>
        <v>256g</v>
      </c>
      <c r="O280" s="5">
        <f t="shared" si="43"/>
        <v>256</v>
      </c>
      <c r="P280" t="str">
        <f>'(Raw) LensesGH'!I280</f>
        <v>63 x 60mm</v>
      </c>
      <c r="Q280" s="39">
        <f t="shared" si="44"/>
        <v>63</v>
      </c>
      <c r="R280" s="39">
        <f t="shared" si="36"/>
        <v>60</v>
      </c>
    </row>
    <row r="281" spans="1:18" x14ac:dyDescent="0.25">
      <c r="A281" t="str">
        <f>'(Raw) LensesGH'!A281</f>
        <v>Lensbaby Trio 28mm 3.5 für Fujifilm X silber</v>
      </c>
      <c r="B281" t="str">
        <f>'(Raw) LensesGH'!B281</f>
        <v>28mm</v>
      </c>
      <c r="C281" s="5">
        <f t="shared" si="37"/>
        <v>28</v>
      </c>
      <c r="D281" s="5">
        <f t="shared" si="38"/>
        <v>28</v>
      </c>
      <c r="E281" t="str">
        <f>'(Raw) LensesGH'!C281</f>
        <v>1:3.5</v>
      </c>
      <c r="F281" s="9">
        <f t="shared" si="39"/>
        <v>3.5</v>
      </c>
      <c r="G281" s="9">
        <f t="shared" si="40"/>
        <v>3.5</v>
      </c>
      <c r="H281" t="str">
        <f>'(Raw) LensesGH'!D281</f>
        <v>46mm</v>
      </c>
      <c r="I281" s="2">
        <f t="shared" si="41"/>
        <v>46</v>
      </c>
      <c r="J281" s="2">
        <f>'(Raw) LensesGH'!E281</f>
        <v>0</v>
      </c>
      <c r="K281" s="40">
        <f t="shared" si="42"/>
        <v>0</v>
      </c>
      <c r="L281" t="str">
        <f>'(Raw) LensesGH'!F281</f>
        <v>Fujifilm X</v>
      </c>
      <c r="M281" t="str">
        <f>'(Raw) LensesGH'!G281</f>
        <v>APS-C/ Kleinbild</v>
      </c>
      <c r="N281" t="str">
        <f>'(Raw) LensesGH'!H281</f>
        <v>139g</v>
      </c>
      <c r="O281" s="5">
        <f t="shared" si="43"/>
        <v>139</v>
      </c>
      <c r="P281" t="str">
        <f>'(Raw) LensesGH'!I281</f>
        <v>69.9 x 50.8mm</v>
      </c>
      <c r="Q281" s="39">
        <f t="shared" si="44"/>
        <v>69.900000000000006</v>
      </c>
      <c r="R281" s="39">
        <f t="shared" si="36"/>
        <v>50.8</v>
      </c>
    </row>
    <row r="282" spans="1:18" x14ac:dyDescent="0.25">
      <c r="A282" t="str">
        <f>'(Raw) LensesGH'!A282</f>
        <v>Lensbaby Trio 28mm 3.5 für Micro-Four-Thirds silber</v>
      </c>
      <c r="B282" t="str">
        <f>'(Raw) LensesGH'!B282</f>
        <v>28mm</v>
      </c>
      <c r="C282" s="5">
        <f t="shared" si="37"/>
        <v>28</v>
      </c>
      <c r="D282" s="5">
        <f t="shared" si="38"/>
        <v>28</v>
      </c>
      <c r="E282" t="str">
        <f>'(Raw) LensesGH'!C282</f>
        <v>1:3.5</v>
      </c>
      <c r="F282" s="9">
        <f t="shared" si="39"/>
        <v>3.5</v>
      </c>
      <c r="G282" s="9">
        <f t="shared" si="40"/>
        <v>3.5</v>
      </c>
      <c r="H282" t="str">
        <f>'(Raw) LensesGH'!D282</f>
        <v>46mm</v>
      </c>
      <c r="I282" s="2">
        <f t="shared" si="41"/>
        <v>46</v>
      </c>
      <c r="J282" s="2">
        <f>'(Raw) LensesGH'!E282</f>
        <v>0</v>
      </c>
      <c r="K282" s="40">
        <f t="shared" si="42"/>
        <v>0</v>
      </c>
      <c r="L282" t="str">
        <f>'(Raw) LensesGH'!F282</f>
        <v>Micro-Four-Thirds</v>
      </c>
      <c r="M282" t="str">
        <f>'(Raw) LensesGH'!G282</f>
        <v>APS-C/ Kleinbild</v>
      </c>
      <c r="N282" t="str">
        <f>'(Raw) LensesGH'!H282</f>
        <v>139g</v>
      </c>
      <c r="O282" s="5">
        <f t="shared" si="43"/>
        <v>139</v>
      </c>
      <c r="P282" t="str">
        <f>'(Raw) LensesGH'!I282</f>
        <v>69.9 x 50.8mm</v>
      </c>
      <c r="Q282" s="39">
        <f t="shared" si="44"/>
        <v>69.900000000000006</v>
      </c>
      <c r="R282" s="39">
        <f t="shared" si="36"/>
        <v>50.8</v>
      </c>
    </row>
    <row r="283" spans="1:18" x14ac:dyDescent="0.25">
      <c r="A283" t="str">
        <f>'(Raw) LensesGH'!A283</f>
        <v>Lensbaby Trio 28mm 3.5 für Sony E silber</v>
      </c>
      <c r="B283" t="str">
        <f>'(Raw) LensesGH'!B283</f>
        <v>28mm</v>
      </c>
      <c r="C283" s="5">
        <f t="shared" si="37"/>
        <v>28</v>
      </c>
      <c r="D283" s="5">
        <f t="shared" si="38"/>
        <v>28</v>
      </c>
      <c r="E283" t="str">
        <f>'(Raw) LensesGH'!C283</f>
        <v>1:3.5</v>
      </c>
      <c r="F283" s="9">
        <f t="shared" si="39"/>
        <v>3.5</v>
      </c>
      <c r="G283" s="9">
        <f t="shared" si="40"/>
        <v>3.5</v>
      </c>
      <c r="H283" t="str">
        <f>'(Raw) LensesGH'!D283</f>
        <v>46mm</v>
      </c>
      <c r="I283" s="2">
        <f t="shared" si="41"/>
        <v>46</v>
      </c>
      <c r="J283" s="2">
        <f>'(Raw) LensesGH'!E283</f>
        <v>0</v>
      </c>
      <c r="K283" s="40">
        <f t="shared" si="42"/>
        <v>0</v>
      </c>
      <c r="L283" t="str">
        <f>'(Raw) LensesGH'!F283</f>
        <v>Sony E</v>
      </c>
      <c r="M283" t="str">
        <f>'(Raw) LensesGH'!G283</f>
        <v>APS-C/ Kleinbild</v>
      </c>
      <c r="N283" t="str">
        <f>'(Raw) LensesGH'!H283</f>
        <v>139g</v>
      </c>
      <c r="O283" s="5">
        <f t="shared" si="43"/>
        <v>139</v>
      </c>
      <c r="P283" t="str">
        <f>'(Raw) LensesGH'!I283</f>
        <v>69.9 x 50.8mm</v>
      </c>
      <c r="Q283" s="39">
        <f t="shared" si="44"/>
        <v>69.900000000000006</v>
      </c>
      <c r="R283" s="39">
        <f t="shared" si="36"/>
        <v>50.8</v>
      </c>
    </row>
    <row r="284" spans="1:18" x14ac:dyDescent="0.25">
      <c r="A284" t="str">
        <f>'(Raw) LensesGH'!A284</f>
        <v>Lensbaby Twist 60mm 2.5 für Canon EF schwarz</v>
      </c>
      <c r="B284" t="str">
        <f>'(Raw) LensesGH'!B284</f>
        <v>60mm</v>
      </c>
      <c r="C284" s="5">
        <f t="shared" si="37"/>
        <v>60</v>
      </c>
      <c r="D284" s="5">
        <f t="shared" si="38"/>
        <v>60</v>
      </c>
      <c r="E284" t="str">
        <f>'(Raw) LensesGH'!C284</f>
        <v>1:2.5</v>
      </c>
      <c r="F284" s="9">
        <f t="shared" si="39"/>
        <v>2.5</v>
      </c>
      <c r="G284" s="9">
        <f t="shared" si="40"/>
        <v>2.5</v>
      </c>
      <c r="H284" t="str">
        <f>'(Raw) LensesGH'!D284</f>
        <v>46mm</v>
      </c>
      <c r="I284" s="2">
        <f t="shared" si="41"/>
        <v>46</v>
      </c>
      <c r="J284" s="2">
        <f>'(Raw) LensesGH'!E284</f>
        <v>0</v>
      </c>
      <c r="K284" s="40">
        <f t="shared" si="42"/>
        <v>0</v>
      </c>
      <c r="L284" t="str">
        <f>'(Raw) LensesGH'!F284</f>
        <v>Canon EF</v>
      </c>
      <c r="M284" t="str">
        <f>'(Raw) LensesGH'!G284</f>
        <v>APS-C/ Kleinbild</v>
      </c>
      <c r="N284" t="str">
        <f>'(Raw) LensesGH'!H284</f>
        <v>200g</v>
      </c>
      <c r="O284" s="5">
        <f t="shared" si="43"/>
        <v>200</v>
      </c>
      <c r="P284">
        <f>'(Raw) LensesGH'!I284</f>
        <v>0</v>
      </c>
      <c r="Q284" s="39">
        <f t="shared" si="44"/>
        <v>0</v>
      </c>
      <c r="R284" s="39">
        <f t="shared" si="36"/>
        <v>0</v>
      </c>
    </row>
    <row r="285" spans="1:18" x14ac:dyDescent="0.25">
      <c r="A285" t="str">
        <f>'(Raw) LensesGH'!A285</f>
        <v>Lensbaby Twist 60mm 2.5 für Nikon F schwarz</v>
      </c>
      <c r="B285" t="str">
        <f>'(Raw) LensesGH'!B285</f>
        <v>60mm</v>
      </c>
      <c r="C285" s="5">
        <f t="shared" si="37"/>
        <v>60</v>
      </c>
      <c r="D285" s="5">
        <f t="shared" si="38"/>
        <v>60</v>
      </c>
      <c r="E285" t="str">
        <f>'(Raw) LensesGH'!C285</f>
        <v>1:2.5</v>
      </c>
      <c r="F285" s="9">
        <f t="shared" si="39"/>
        <v>2.5</v>
      </c>
      <c r="G285" s="9">
        <f t="shared" si="40"/>
        <v>2.5</v>
      </c>
      <c r="H285" t="str">
        <f>'(Raw) LensesGH'!D285</f>
        <v>46mm</v>
      </c>
      <c r="I285" s="2">
        <f t="shared" si="41"/>
        <v>46</v>
      </c>
      <c r="J285" s="2">
        <f>'(Raw) LensesGH'!E285</f>
        <v>0</v>
      </c>
      <c r="K285" s="40">
        <f t="shared" si="42"/>
        <v>0</v>
      </c>
      <c r="L285" t="str">
        <f>'(Raw) LensesGH'!F285</f>
        <v>Nikon F</v>
      </c>
      <c r="M285" t="str">
        <f>'(Raw) LensesGH'!G285</f>
        <v>APS-C/ Kleinbild</v>
      </c>
      <c r="N285" t="str">
        <f>'(Raw) LensesGH'!H285</f>
        <v>200g</v>
      </c>
      <c r="O285" s="5">
        <f t="shared" si="43"/>
        <v>200</v>
      </c>
      <c r="P285">
        <f>'(Raw) LensesGH'!I285</f>
        <v>0</v>
      </c>
      <c r="Q285" s="39">
        <f t="shared" si="44"/>
        <v>0</v>
      </c>
      <c r="R285" s="39">
        <f t="shared" si="36"/>
        <v>0</v>
      </c>
    </row>
    <row r="286" spans="1:18" x14ac:dyDescent="0.25">
      <c r="A286" t="str">
        <f>'(Raw) LensesGH'!A286</f>
        <v>Lensbaby Twist 60mm 2.5 für Sony E schwarz</v>
      </c>
      <c r="B286" t="str">
        <f>'(Raw) LensesGH'!B286</f>
        <v>60mm</v>
      </c>
      <c r="C286" s="5">
        <f t="shared" si="37"/>
        <v>60</v>
      </c>
      <c r="D286" s="5">
        <f t="shared" si="38"/>
        <v>60</v>
      </c>
      <c r="E286" t="str">
        <f>'(Raw) LensesGH'!C286</f>
        <v>1:2.5</v>
      </c>
      <c r="F286" s="9">
        <f t="shared" si="39"/>
        <v>2.5</v>
      </c>
      <c r="G286" s="9">
        <f t="shared" si="40"/>
        <v>2.5</v>
      </c>
      <c r="H286" t="str">
        <f>'(Raw) LensesGH'!D286</f>
        <v>46mm</v>
      </c>
      <c r="I286" s="2">
        <f t="shared" si="41"/>
        <v>46</v>
      </c>
      <c r="J286" s="2">
        <f>'(Raw) LensesGH'!E286</f>
        <v>0</v>
      </c>
      <c r="K286" s="40">
        <f t="shared" si="42"/>
        <v>0</v>
      </c>
      <c r="L286" t="str">
        <f>'(Raw) LensesGH'!F286</f>
        <v>Sony E</v>
      </c>
      <c r="M286" t="str">
        <f>'(Raw) LensesGH'!G286</f>
        <v>APS-C/ Kleinbild</v>
      </c>
      <c r="N286" t="str">
        <f>'(Raw) LensesGH'!H286</f>
        <v>200g</v>
      </c>
      <c r="O286" s="5">
        <f t="shared" si="43"/>
        <v>200</v>
      </c>
      <c r="P286">
        <f>'(Raw) LensesGH'!I286</f>
        <v>0</v>
      </c>
      <c r="Q286" s="39">
        <f t="shared" si="44"/>
        <v>0</v>
      </c>
      <c r="R286" s="39">
        <f t="shared" si="36"/>
        <v>0</v>
      </c>
    </row>
    <row r="287" spans="1:18" x14ac:dyDescent="0.25">
      <c r="A287" t="str">
        <f>'(Raw) LensesGH'!A287</f>
        <v>Lensbaby Velvet 56mm 1.6 für Canon EF schwarz</v>
      </c>
      <c r="B287" t="str">
        <f>'(Raw) LensesGH'!B287</f>
        <v>56mm</v>
      </c>
      <c r="C287" s="5">
        <f t="shared" si="37"/>
        <v>56</v>
      </c>
      <c r="D287" s="5">
        <f t="shared" si="38"/>
        <v>56</v>
      </c>
      <c r="E287" t="str">
        <f>'(Raw) LensesGH'!C287</f>
        <v>1:1.6</v>
      </c>
      <c r="F287" s="9">
        <f t="shared" si="39"/>
        <v>1.6</v>
      </c>
      <c r="G287" s="9">
        <f t="shared" si="40"/>
        <v>1.6</v>
      </c>
      <c r="H287" t="str">
        <f>'(Raw) LensesGH'!D287</f>
        <v>62mm</v>
      </c>
      <c r="I287" s="2">
        <f t="shared" si="41"/>
        <v>62</v>
      </c>
      <c r="J287" s="2" t="str">
        <f>'(Raw) LensesGH'!E287</f>
        <v>1:2.00</v>
      </c>
      <c r="K287" s="40">
        <f t="shared" si="42"/>
        <v>2</v>
      </c>
      <c r="L287" t="str">
        <f>'(Raw) LensesGH'!F287</f>
        <v>Canon EF</v>
      </c>
      <c r="M287" t="str">
        <f>'(Raw) LensesGH'!G287</f>
        <v>APS-C/ Kleinbild</v>
      </c>
      <c r="N287" t="str">
        <f>'(Raw) LensesGH'!H287</f>
        <v>400g</v>
      </c>
      <c r="O287" s="5">
        <f t="shared" si="43"/>
        <v>400</v>
      </c>
      <c r="P287" t="str">
        <f>'(Raw) LensesGH'!I287</f>
        <v>72 x 85mm</v>
      </c>
      <c r="Q287" s="39">
        <f t="shared" si="44"/>
        <v>72</v>
      </c>
      <c r="R287" s="39">
        <f t="shared" si="36"/>
        <v>85</v>
      </c>
    </row>
    <row r="288" spans="1:18" x14ac:dyDescent="0.25">
      <c r="A288" t="str">
        <f>'(Raw) LensesGH'!A288</f>
        <v>Lensbaby Velvet 56mm 1.6 für Canon EF silber</v>
      </c>
      <c r="B288" t="str">
        <f>'(Raw) LensesGH'!B288</f>
        <v>56mm</v>
      </c>
      <c r="C288" s="5">
        <f t="shared" si="37"/>
        <v>56</v>
      </c>
      <c r="D288" s="5">
        <f t="shared" si="38"/>
        <v>56</v>
      </c>
      <c r="E288" t="str">
        <f>'(Raw) LensesGH'!C288</f>
        <v>1:1.6</v>
      </c>
      <c r="F288" s="9">
        <f t="shared" si="39"/>
        <v>1.6</v>
      </c>
      <c r="G288" s="9">
        <f t="shared" si="40"/>
        <v>1.6</v>
      </c>
      <c r="H288" t="str">
        <f>'(Raw) LensesGH'!D288</f>
        <v>62mm</v>
      </c>
      <c r="I288" s="2">
        <f t="shared" si="41"/>
        <v>62</v>
      </c>
      <c r="J288" s="2" t="str">
        <f>'(Raw) LensesGH'!E288</f>
        <v>1:2.00</v>
      </c>
      <c r="K288" s="40">
        <f t="shared" si="42"/>
        <v>2</v>
      </c>
      <c r="L288" t="str">
        <f>'(Raw) LensesGH'!F288</f>
        <v>Canon EF</v>
      </c>
      <c r="M288" t="str">
        <f>'(Raw) LensesGH'!G288</f>
        <v>APS-C/ Kleinbild</v>
      </c>
      <c r="N288" t="str">
        <f>'(Raw) LensesGH'!H288</f>
        <v>400g</v>
      </c>
      <c r="O288" s="5">
        <f t="shared" si="43"/>
        <v>400</v>
      </c>
      <c r="P288" t="str">
        <f>'(Raw) LensesGH'!I288</f>
        <v>72 x 85mm</v>
      </c>
      <c r="Q288" s="39">
        <f t="shared" si="44"/>
        <v>72</v>
      </c>
      <c r="R288" s="39">
        <f t="shared" si="36"/>
        <v>85</v>
      </c>
    </row>
    <row r="289" spans="1:18" x14ac:dyDescent="0.25">
      <c r="A289" t="str">
        <f>'(Raw) LensesGH'!A289</f>
        <v>Lensbaby Velvet 56mm 1.6 für Fujifilm X schwarz</v>
      </c>
      <c r="B289" t="str">
        <f>'(Raw) LensesGH'!B289</f>
        <v>56mm</v>
      </c>
      <c r="C289" s="5">
        <f t="shared" si="37"/>
        <v>56</v>
      </c>
      <c r="D289" s="5">
        <f t="shared" si="38"/>
        <v>56</v>
      </c>
      <c r="E289" t="str">
        <f>'(Raw) LensesGH'!C289</f>
        <v>1:1.6</v>
      </c>
      <c r="F289" s="9">
        <f t="shared" si="39"/>
        <v>1.6</v>
      </c>
      <c r="G289" s="9">
        <f t="shared" si="40"/>
        <v>1.6</v>
      </c>
      <c r="H289" t="str">
        <f>'(Raw) LensesGH'!D289</f>
        <v>62mm</v>
      </c>
      <c r="I289" s="2">
        <f t="shared" si="41"/>
        <v>62</v>
      </c>
      <c r="J289" s="2" t="str">
        <f>'(Raw) LensesGH'!E289</f>
        <v>1:2.00</v>
      </c>
      <c r="K289" s="40">
        <f t="shared" si="42"/>
        <v>2</v>
      </c>
      <c r="L289" t="str">
        <f>'(Raw) LensesGH'!F289</f>
        <v>Fujifilm X</v>
      </c>
      <c r="M289" t="str">
        <f>'(Raw) LensesGH'!G289</f>
        <v>APS-C/ Kleinbild</v>
      </c>
      <c r="N289" t="str">
        <f>'(Raw) LensesGH'!H289</f>
        <v>400g</v>
      </c>
      <c r="O289" s="5">
        <f t="shared" si="43"/>
        <v>400</v>
      </c>
      <c r="P289" t="str">
        <f>'(Raw) LensesGH'!I289</f>
        <v>72 x 85mm</v>
      </c>
      <c r="Q289" s="39">
        <f t="shared" si="44"/>
        <v>72</v>
      </c>
      <c r="R289" s="39">
        <f t="shared" si="36"/>
        <v>85</v>
      </c>
    </row>
    <row r="290" spans="1:18" x14ac:dyDescent="0.25">
      <c r="A290" t="str">
        <f>'(Raw) LensesGH'!A290</f>
        <v>Lensbaby Velvet 56mm 1.6 für Nikon F schwarz</v>
      </c>
      <c r="B290" t="str">
        <f>'(Raw) LensesGH'!B290</f>
        <v>56mm</v>
      </c>
      <c r="C290" s="5">
        <f t="shared" si="37"/>
        <v>56</v>
      </c>
      <c r="D290" s="5">
        <f t="shared" si="38"/>
        <v>56</v>
      </c>
      <c r="E290" t="str">
        <f>'(Raw) LensesGH'!C290</f>
        <v>1:1.6</v>
      </c>
      <c r="F290" s="9">
        <f t="shared" si="39"/>
        <v>1.6</v>
      </c>
      <c r="G290" s="9">
        <f t="shared" si="40"/>
        <v>1.6</v>
      </c>
      <c r="H290" t="str">
        <f>'(Raw) LensesGH'!D290</f>
        <v>62mm</v>
      </c>
      <c r="I290" s="2">
        <f t="shared" si="41"/>
        <v>62</v>
      </c>
      <c r="J290" s="2" t="str">
        <f>'(Raw) LensesGH'!E290</f>
        <v>1:2.00</v>
      </c>
      <c r="K290" s="40">
        <f t="shared" si="42"/>
        <v>2</v>
      </c>
      <c r="L290" t="str">
        <f>'(Raw) LensesGH'!F290</f>
        <v>Nikon F</v>
      </c>
      <c r="M290" t="str">
        <f>'(Raw) LensesGH'!G290</f>
        <v>APS-C/ Kleinbild</v>
      </c>
      <c r="N290" t="str">
        <f>'(Raw) LensesGH'!H290</f>
        <v>400g</v>
      </c>
      <c r="O290" s="5">
        <f t="shared" si="43"/>
        <v>400</v>
      </c>
      <c r="P290" t="str">
        <f>'(Raw) LensesGH'!I290</f>
        <v>72 x 85mm</v>
      </c>
      <c r="Q290" s="39">
        <f t="shared" si="44"/>
        <v>72</v>
      </c>
      <c r="R290" s="39">
        <f t="shared" si="36"/>
        <v>85</v>
      </c>
    </row>
    <row r="291" spans="1:18" x14ac:dyDescent="0.25">
      <c r="A291" t="str">
        <f>'(Raw) LensesGH'!A291</f>
        <v>Lensbaby Velvet 56mm 1.6 für Nikon F silber</v>
      </c>
      <c r="B291" t="str">
        <f>'(Raw) LensesGH'!B291</f>
        <v>56mm</v>
      </c>
      <c r="C291" s="5">
        <f t="shared" si="37"/>
        <v>56</v>
      </c>
      <c r="D291" s="5">
        <f t="shared" si="38"/>
        <v>56</v>
      </c>
      <c r="E291" t="str">
        <f>'(Raw) LensesGH'!C291</f>
        <v>1:1.6</v>
      </c>
      <c r="F291" s="9">
        <f t="shared" si="39"/>
        <v>1.6</v>
      </c>
      <c r="G291" s="9">
        <f t="shared" si="40"/>
        <v>1.6</v>
      </c>
      <c r="H291" t="str">
        <f>'(Raw) LensesGH'!D291</f>
        <v>62mm</v>
      </c>
      <c r="I291" s="2">
        <f t="shared" si="41"/>
        <v>62</v>
      </c>
      <c r="J291" s="2" t="str">
        <f>'(Raw) LensesGH'!E291</f>
        <v>1:2.00</v>
      </c>
      <c r="K291" s="40">
        <f t="shared" si="42"/>
        <v>2</v>
      </c>
      <c r="L291" t="str">
        <f>'(Raw) LensesGH'!F291</f>
        <v>Nikon F</v>
      </c>
      <c r="M291" t="str">
        <f>'(Raw) LensesGH'!G291</f>
        <v>APS-C/ Kleinbild</v>
      </c>
      <c r="N291" t="str">
        <f>'(Raw) LensesGH'!H291</f>
        <v>400g</v>
      </c>
      <c r="O291" s="5">
        <f t="shared" si="43"/>
        <v>400</v>
      </c>
      <c r="P291" t="str">
        <f>'(Raw) LensesGH'!I291</f>
        <v>72 x 85mm</v>
      </c>
      <c r="Q291" s="39">
        <f t="shared" si="44"/>
        <v>72</v>
      </c>
      <c r="R291" s="39">
        <f t="shared" si="36"/>
        <v>85</v>
      </c>
    </row>
    <row r="292" spans="1:18" x14ac:dyDescent="0.25">
      <c r="A292" t="str">
        <f>'(Raw) LensesGH'!A292</f>
        <v>Lensbaby Velvet 56mm 1.6 für Pentax K schwarz</v>
      </c>
      <c r="B292" t="str">
        <f>'(Raw) LensesGH'!B292</f>
        <v>56mm</v>
      </c>
      <c r="C292" s="5">
        <f t="shared" si="37"/>
        <v>56</v>
      </c>
      <c r="D292" s="5">
        <f t="shared" si="38"/>
        <v>56</v>
      </c>
      <c r="E292" t="str">
        <f>'(Raw) LensesGH'!C292</f>
        <v>1:1.6</v>
      </c>
      <c r="F292" s="9">
        <f t="shared" si="39"/>
        <v>1.6</v>
      </c>
      <c r="G292" s="9">
        <f t="shared" si="40"/>
        <v>1.6</v>
      </c>
      <c r="H292" t="str">
        <f>'(Raw) LensesGH'!D292</f>
        <v>62mm</v>
      </c>
      <c r="I292" s="2">
        <f t="shared" si="41"/>
        <v>62</v>
      </c>
      <c r="J292" s="2" t="str">
        <f>'(Raw) LensesGH'!E292</f>
        <v>1:2.00</v>
      </c>
      <c r="K292" s="40">
        <f t="shared" si="42"/>
        <v>2</v>
      </c>
      <c r="L292" t="str">
        <f>'(Raw) LensesGH'!F292</f>
        <v>Pentax K</v>
      </c>
      <c r="M292" t="str">
        <f>'(Raw) LensesGH'!G292</f>
        <v>APS-C/ Kleinbild</v>
      </c>
      <c r="N292" t="str">
        <f>'(Raw) LensesGH'!H292</f>
        <v>400g</v>
      </c>
      <c r="O292" s="5">
        <f t="shared" si="43"/>
        <v>400</v>
      </c>
      <c r="P292" t="str">
        <f>'(Raw) LensesGH'!I292</f>
        <v>72 x 85mm</v>
      </c>
      <c r="Q292" s="39">
        <f t="shared" si="44"/>
        <v>72</v>
      </c>
      <c r="R292" s="39">
        <f t="shared" si="36"/>
        <v>85</v>
      </c>
    </row>
    <row r="293" spans="1:18" x14ac:dyDescent="0.25">
      <c r="A293" t="str">
        <f>'(Raw) LensesGH'!A293</f>
        <v>Lensbaby Velvet 56mm 1.6 für Samsung NX schwarz</v>
      </c>
      <c r="B293" t="str">
        <f>'(Raw) LensesGH'!B293</f>
        <v>56mm</v>
      </c>
      <c r="C293" s="5">
        <f t="shared" si="37"/>
        <v>56</v>
      </c>
      <c r="D293" s="5">
        <f t="shared" si="38"/>
        <v>56</v>
      </c>
      <c r="E293" t="str">
        <f>'(Raw) LensesGH'!C293</f>
        <v>1:1.6</v>
      </c>
      <c r="F293" s="9">
        <f t="shared" si="39"/>
        <v>1.6</v>
      </c>
      <c r="G293" s="9">
        <f t="shared" si="40"/>
        <v>1.6</v>
      </c>
      <c r="H293" t="str">
        <f>'(Raw) LensesGH'!D293</f>
        <v>62mm</v>
      </c>
      <c r="I293" s="2">
        <f t="shared" si="41"/>
        <v>62</v>
      </c>
      <c r="J293" s="2" t="str">
        <f>'(Raw) LensesGH'!E293</f>
        <v>1:2.00</v>
      </c>
      <c r="K293" s="40">
        <f t="shared" si="42"/>
        <v>2</v>
      </c>
      <c r="L293" t="str">
        <f>'(Raw) LensesGH'!F293</f>
        <v>Samsung NX</v>
      </c>
      <c r="M293" t="str">
        <f>'(Raw) LensesGH'!G293</f>
        <v>APS-C/ Kleinbild</v>
      </c>
      <c r="N293" t="str">
        <f>'(Raw) LensesGH'!H293</f>
        <v>400g</v>
      </c>
      <c r="O293" s="5">
        <f t="shared" si="43"/>
        <v>400</v>
      </c>
      <c r="P293" t="str">
        <f>'(Raw) LensesGH'!I293</f>
        <v>72 x 85mm</v>
      </c>
      <c r="Q293" s="39">
        <f t="shared" si="44"/>
        <v>72</v>
      </c>
      <c r="R293" s="39">
        <f t="shared" si="36"/>
        <v>85</v>
      </c>
    </row>
    <row r="294" spans="1:18" x14ac:dyDescent="0.25">
      <c r="A294" t="str">
        <f>'(Raw) LensesGH'!A294</f>
        <v>Lensbaby Velvet 56mm 1.6 für Sony A schwarz</v>
      </c>
      <c r="B294" t="str">
        <f>'(Raw) LensesGH'!B294</f>
        <v>56mm</v>
      </c>
      <c r="C294" s="5">
        <f t="shared" si="37"/>
        <v>56</v>
      </c>
      <c r="D294" s="5">
        <f t="shared" si="38"/>
        <v>56</v>
      </c>
      <c r="E294" t="str">
        <f>'(Raw) LensesGH'!C294</f>
        <v>1:1.6</v>
      </c>
      <c r="F294" s="9">
        <f t="shared" si="39"/>
        <v>1.6</v>
      </c>
      <c r="G294" s="9">
        <f t="shared" si="40"/>
        <v>1.6</v>
      </c>
      <c r="H294" t="str">
        <f>'(Raw) LensesGH'!D294</f>
        <v>62mm</v>
      </c>
      <c r="I294" s="2">
        <f t="shared" si="41"/>
        <v>62</v>
      </c>
      <c r="J294" s="2" t="str">
        <f>'(Raw) LensesGH'!E294</f>
        <v>1:2.00</v>
      </c>
      <c r="K294" s="40">
        <f t="shared" si="42"/>
        <v>2</v>
      </c>
      <c r="L294" t="str">
        <f>'(Raw) LensesGH'!F294</f>
        <v>Sony A</v>
      </c>
      <c r="M294" t="str">
        <f>'(Raw) LensesGH'!G294</f>
        <v>APS-C/ Kleinbild</v>
      </c>
      <c r="N294" t="str">
        <f>'(Raw) LensesGH'!H294</f>
        <v>400g</v>
      </c>
      <c r="O294" s="5">
        <f t="shared" si="43"/>
        <v>400</v>
      </c>
      <c r="P294" t="str">
        <f>'(Raw) LensesGH'!I294</f>
        <v>72 x 85mm</v>
      </c>
      <c r="Q294" s="39">
        <f t="shared" si="44"/>
        <v>72</v>
      </c>
      <c r="R294" s="39">
        <f t="shared" si="36"/>
        <v>85</v>
      </c>
    </row>
    <row r="295" spans="1:18" x14ac:dyDescent="0.25">
      <c r="A295" t="str">
        <f>'(Raw) LensesGH'!A295</f>
        <v>Lensbaby Velvet 85mm 1.8 für Canon EF schwarz</v>
      </c>
      <c r="B295" t="str">
        <f>'(Raw) LensesGH'!B295</f>
        <v>85mm</v>
      </c>
      <c r="C295" s="5">
        <f t="shared" si="37"/>
        <v>85</v>
      </c>
      <c r="D295" s="5">
        <f t="shared" si="38"/>
        <v>85</v>
      </c>
      <c r="E295" t="str">
        <f>'(Raw) LensesGH'!C295</f>
        <v>1:1.8</v>
      </c>
      <c r="F295" s="9">
        <f t="shared" si="39"/>
        <v>1.8</v>
      </c>
      <c r="G295" s="9">
        <f t="shared" si="40"/>
        <v>1.8</v>
      </c>
      <c r="H295" t="str">
        <f>'(Raw) LensesGH'!D295</f>
        <v>68mm</v>
      </c>
      <c r="I295" s="2">
        <f t="shared" si="41"/>
        <v>68</v>
      </c>
      <c r="J295" s="2" t="str">
        <f>'(Raw) LensesGH'!E295</f>
        <v>1:2.00</v>
      </c>
      <c r="K295" s="40">
        <f t="shared" si="42"/>
        <v>2</v>
      </c>
      <c r="L295" t="str">
        <f>'(Raw) LensesGH'!F295</f>
        <v>Canon EF</v>
      </c>
      <c r="M295" t="str">
        <f>'(Raw) LensesGH'!G295</f>
        <v>APS-C/ Kleinbild</v>
      </c>
      <c r="N295" t="str">
        <f>'(Raw) LensesGH'!H295</f>
        <v>530g</v>
      </c>
      <c r="O295" s="5">
        <f t="shared" si="43"/>
        <v>530</v>
      </c>
      <c r="P295" t="str">
        <f>'(Raw) LensesGH'!I295</f>
        <v>76 x 89mm</v>
      </c>
      <c r="Q295" s="39">
        <f t="shared" si="44"/>
        <v>76</v>
      </c>
      <c r="R295" s="39">
        <f t="shared" si="36"/>
        <v>89</v>
      </c>
    </row>
    <row r="296" spans="1:18" x14ac:dyDescent="0.25">
      <c r="A296" t="str">
        <f>'(Raw) LensesGH'!A296</f>
        <v>Lensbaby Velvet 85mm 1.8 für Fujifilm X schwarz</v>
      </c>
      <c r="B296" t="str">
        <f>'(Raw) LensesGH'!B296</f>
        <v>85mm</v>
      </c>
      <c r="C296" s="5">
        <f t="shared" si="37"/>
        <v>85</v>
      </c>
      <c r="D296" s="5">
        <f t="shared" si="38"/>
        <v>85</v>
      </c>
      <c r="E296" t="str">
        <f>'(Raw) LensesGH'!C296</f>
        <v>1:1.8</v>
      </c>
      <c r="F296" s="9">
        <f t="shared" si="39"/>
        <v>1.8</v>
      </c>
      <c r="G296" s="9">
        <f t="shared" si="40"/>
        <v>1.8</v>
      </c>
      <c r="H296" t="str">
        <f>'(Raw) LensesGH'!D296</f>
        <v>68mm</v>
      </c>
      <c r="I296" s="2">
        <f t="shared" si="41"/>
        <v>68</v>
      </c>
      <c r="J296" s="2" t="str">
        <f>'(Raw) LensesGH'!E296</f>
        <v>1:2.00</v>
      </c>
      <c r="K296" s="40">
        <f t="shared" si="42"/>
        <v>2</v>
      </c>
      <c r="L296" t="str">
        <f>'(Raw) LensesGH'!F296</f>
        <v>Fujifilm X</v>
      </c>
      <c r="M296" t="str">
        <f>'(Raw) LensesGH'!G296</f>
        <v>APS-C/ Kleinbild</v>
      </c>
      <c r="N296" t="str">
        <f>'(Raw) LensesGH'!H296</f>
        <v>530g</v>
      </c>
      <c r="O296" s="5">
        <f t="shared" si="43"/>
        <v>530</v>
      </c>
      <c r="P296" t="str">
        <f>'(Raw) LensesGH'!I296</f>
        <v>76 x 89mm</v>
      </c>
      <c r="Q296" s="39">
        <f t="shared" si="44"/>
        <v>76</v>
      </c>
      <c r="R296" s="39">
        <f t="shared" si="36"/>
        <v>89</v>
      </c>
    </row>
    <row r="297" spans="1:18" x14ac:dyDescent="0.25">
      <c r="A297" t="str">
        <f>'(Raw) LensesGH'!A297</f>
        <v>Lensbaby Velvet 85mm 1.8 für Micro-Four-Thirds schwarz</v>
      </c>
      <c r="B297" t="str">
        <f>'(Raw) LensesGH'!B297</f>
        <v>85mm</v>
      </c>
      <c r="C297" s="5">
        <f t="shared" si="37"/>
        <v>85</v>
      </c>
      <c r="D297" s="5">
        <f t="shared" si="38"/>
        <v>85</v>
      </c>
      <c r="E297" t="str">
        <f>'(Raw) LensesGH'!C297</f>
        <v>1:1.8</v>
      </c>
      <c r="F297" s="9">
        <f t="shared" si="39"/>
        <v>1.8</v>
      </c>
      <c r="G297" s="9">
        <f t="shared" si="40"/>
        <v>1.8</v>
      </c>
      <c r="H297" t="str">
        <f>'(Raw) LensesGH'!D297</f>
        <v>68mm</v>
      </c>
      <c r="I297" s="2">
        <f t="shared" si="41"/>
        <v>68</v>
      </c>
      <c r="J297" s="2" t="str">
        <f>'(Raw) LensesGH'!E297</f>
        <v>1:2.00</v>
      </c>
      <c r="K297" s="40">
        <f t="shared" si="42"/>
        <v>2</v>
      </c>
      <c r="L297" t="str">
        <f>'(Raw) LensesGH'!F297</f>
        <v>Micro-Four-Thirds</v>
      </c>
      <c r="M297" t="str">
        <f>'(Raw) LensesGH'!G297</f>
        <v>APS-C/ Kleinbild</v>
      </c>
      <c r="N297" t="str">
        <f>'(Raw) LensesGH'!H297</f>
        <v>530g</v>
      </c>
      <c r="O297" s="5">
        <f t="shared" si="43"/>
        <v>530</v>
      </c>
      <c r="P297" t="str">
        <f>'(Raw) LensesGH'!I297</f>
        <v>76 x 89mm</v>
      </c>
      <c r="Q297" s="39">
        <f t="shared" si="44"/>
        <v>76</v>
      </c>
      <c r="R297" s="39">
        <f t="shared" si="36"/>
        <v>89</v>
      </c>
    </row>
    <row r="298" spans="1:18" x14ac:dyDescent="0.25">
      <c r="A298" t="str">
        <f>'(Raw) LensesGH'!A298</f>
        <v>Lensbaby Velvet 85mm 1.8 für Nikon F schwarz</v>
      </c>
      <c r="B298" t="str">
        <f>'(Raw) LensesGH'!B298</f>
        <v>85mm</v>
      </c>
      <c r="C298" s="5">
        <f t="shared" si="37"/>
        <v>85</v>
      </c>
      <c r="D298" s="5">
        <f t="shared" si="38"/>
        <v>85</v>
      </c>
      <c r="E298" t="str">
        <f>'(Raw) LensesGH'!C298</f>
        <v>1:1.8</v>
      </c>
      <c r="F298" s="9">
        <f t="shared" si="39"/>
        <v>1.8</v>
      </c>
      <c r="G298" s="9">
        <f t="shared" si="40"/>
        <v>1.8</v>
      </c>
      <c r="H298" t="str">
        <f>'(Raw) LensesGH'!D298</f>
        <v>68mm</v>
      </c>
      <c r="I298" s="2">
        <f t="shared" si="41"/>
        <v>68</v>
      </c>
      <c r="J298" s="2" t="str">
        <f>'(Raw) LensesGH'!E298</f>
        <v>1:2.00</v>
      </c>
      <c r="K298" s="40">
        <f t="shared" si="42"/>
        <v>2</v>
      </c>
      <c r="L298" t="str">
        <f>'(Raw) LensesGH'!F298</f>
        <v>Nikon F</v>
      </c>
      <c r="M298" t="str">
        <f>'(Raw) LensesGH'!G298</f>
        <v>APS-C/ Kleinbild</v>
      </c>
      <c r="N298" t="str">
        <f>'(Raw) LensesGH'!H298</f>
        <v>530g</v>
      </c>
      <c r="O298" s="5">
        <f t="shared" si="43"/>
        <v>530</v>
      </c>
      <c r="P298" t="str">
        <f>'(Raw) LensesGH'!I298</f>
        <v>76 x 89mm</v>
      </c>
      <c r="Q298" s="39">
        <f t="shared" si="44"/>
        <v>76</v>
      </c>
      <c r="R298" s="39">
        <f t="shared" si="36"/>
        <v>89</v>
      </c>
    </row>
    <row r="299" spans="1:18" x14ac:dyDescent="0.25">
      <c r="A299" t="str">
        <f>'(Raw) LensesGH'!A299</f>
        <v>Lensbaby Velvet 85mm 1.8 für Pentax K schwarz</v>
      </c>
      <c r="B299" t="str">
        <f>'(Raw) LensesGH'!B299</f>
        <v>85mm</v>
      </c>
      <c r="C299" s="5">
        <f t="shared" si="37"/>
        <v>85</v>
      </c>
      <c r="D299" s="5">
        <f t="shared" si="38"/>
        <v>85</v>
      </c>
      <c r="E299" t="str">
        <f>'(Raw) LensesGH'!C299</f>
        <v>1:1.8</v>
      </c>
      <c r="F299" s="9">
        <f t="shared" si="39"/>
        <v>1.8</v>
      </c>
      <c r="G299" s="9">
        <f t="shared" si="40"/>
        <v>1.8</v>
      </c>
      <c r="H299" t="str">
        <f>'(Raw) LensesGH'!D299</f>
        <v>68mm</v>
      </c>
      <c r="I299" s="2">
        <f t="shared" si="41"/>
        <v>68</v>
      </c>
      <c r="J299" s="2" t="str">
        <f>'(Raw) LensesGH'!E299</f>
        <v>1:2.00</v>
      </c>
      <c r="K299" s="40">
        <f t="shared" si="42"/>
        <v>2</v>
      </c>
      <c r="L299" t="str">
        <f>'(Raw) LensesGH'!F299</f>
        <v>Pentax K</v>
      </c>
      <c r="M299" t="str">
        <f>'(Raw) LensesGH'!G299</f>
        <v>APS-C/ Kleinbild</v>
      </c>
      <c r="N299" t="str">
        <f>'(Raw) LensesGH'!H299</f>
        <v>530g</v>
      </c>
      <c r="O299" s="5">
        <f t="shared" si="43"/>
        <v>530</v>
      </c>
      <c r="P299" t="str">
        <f>'(Raw) LensesGH'!I299</f>
        <v>76 x 89mm</v>
      </c>
      <c r="Q299" s="39">
        <f t="shared" si="44"/>
        <v>76</v>
      </c>
      <c r="R299" s="39">
        <f t="shared" si="36"/>
        <v>89</v>
      </c>
    </row>
    <row r="300" spans="1:18" x14ac:dyDescent="0.25">
      <c r="A300" t="str">
        <f>'(Raw) LensesGH'!A300</f>
        <v>Lensbaby Velvet 85mm 1.8 für Samsung NX schwarz</v>
      </c>
      <c r="B300" t="str">
        <f>'(Raw) LensesGH'!B300</f>
        <v>85mm</v>
      </c>
      <c r="C300" s="5">
        <f t="shared" si="37"/>
        <v>85</v>
      </c>
      <c r="D300" s="5">
        <f t="shared" si="38"/>
        <v>85</v>
      </c>
      <c r="E300" t="str">
        <f>'(Raw) LensesGH'!C300</f>
        <v>1:1.8</v>
      </c>
      <c r="F300" s="9">
        <f t="shared" si="39"/>
        <v>1.8</v>
      </c>
      <c r="G300" s="9">
        <f t="shared" si="40"/>
        <v>1.8</v>
      </c>
      <c r="H300" t="str">
        <f>'(Raw) LensesGH'!D300</f>
        <v>68mm</v>
      </c>
      <c r="I300" s="2">
        <f t="shared" si="41"/>
        <v>68</v>
      </c>
      <c r="J300" s="2" t="str">
        <f>'(Raw) LensesGH'!E300</f>
        <v>1:2.00</v>
      </c>
      <c r="K300" s="40">
        <f t="shared" si="42"/>
        <v>2</v>
      </c>
      <c r="L300" t="str">
        <f>'(Raw) LensesGH'!F300</f>
        <v>Samsung NX</v>
      </c>
      <c r="M300" t="str">
        <f>'(Raw) LensesGH'!G300</f>
        <v>APS-C/ Kleinbild</v>
      </c>
      <c r="N300" t="str">
        <f>'(Raw) LensesGH'!H300</f>
        <v>530g</v>
      </c>
      <c r="O300" s="5">
        <f t="shared" si="43"/>
        <v>530</v>
      </c>
      <c r="P300" t="str">
        <f>'(Raw) LensesGH'!I300</f>
        <v>76 x 89mm</v>
      </c>
      <c r="Q300" s="39">
        <f t="shared" si="44"/>
        <v>76</v>
      </c>
      <c r="R300" s="39">
        <f t="shared" si="36"/>
        <v>89</v>
      </c>
    </row>
    <row r="301" spans="1:18" x14ac:dyDescent="0.25">
      <c r="A301" t="str">
        <f>'(Raw) LensesGH'!A301</f>
        <v>Lensbaby Velvet 85mm 1.8 für Sony A schwarz</v>
      </c>
      <c r="B301" t="str">
        <f>'(Raw) LensesGH'!B301</f>
        <v>85mm</v>
      </c>
      <c r="C301" s="5">
        <f t="shared" si="37"/>
        <v>85</v>
      </c>
      <c r="D301" s="5">
        <f t="shared" si="38"/>
        <v>85</v>
      </c>
      <c r="E301" t="str">
        <f>'(Raw) LensesGH'!C301</f>
        <v>1:1.8</v>
      </c>
      <c r="F301" s="9">
        <f t="shared" si="39"/>
        <v>1.8</v>
      </c>
      <c r="G301" s="9">
        <f t="shared" si="40"/>
        <v>1.8</v>
      </c>
      <c r="H301" t="str">
        <f>'(Raw) LensesGH'!D301</f>
        <v>68mm</v>
      </c>
      <c r="I301" s="2">
        <f t="shared" si="41"/>
        <v>68</v>
      </c>
      <c r="J301" s="2" t="str">
        <f>'(Raw) LensesGH'!E301</f>
        <v>1:2.00</v>
      </c>
      <c r="K301" s="40">
        <f t="shared" si="42"/>
        <v>2</v>
      </c>
      <c r="L301" t="str">
        <f>'(Raw) LensesGH'!F301</f>
        <v>Sony A</v>
      </c>
      <c r="M301" t="str">
        <f>'(Raw) LensesGH'!G301</f>
        <v>APS-C/ Kleinbild</v>
      </c>
      <c r="N301" t="str">
        <f>'(Raw) LensesGH'!H301</f>
        <v>530g</v>
      </c>
      <c r="O301" s="5">
        <f t="shared" si="43"/>
        <v>530</v>
      </c>
      <c r="P301" t="str">
        <f>'(Raw) LensesGH'!I301</f>
        <v>76 x 89mm</v>
      </c>
      <c r="Q301" s="39">
        <f t="shared" si="44"/>
        <v>76</v>
      </c>
      <c r="R301" s="39">
        <f t="shared" si="36"/>
        <v>89</v>
      </c>
    </row>
    <row r="302" spans="1:18" x14ac:dyDescent="0.25">
      <c r="A302" t="str">
        <f>'(Raw) LensesGH'!A302</f>
        <v>Lensbaby Velvet 85mm 1.8 für Sony E schwarz</v>
      </c>
      <c r="B302" t="str">
        <f>'(Raw) LensesGH'!B302</f>
        <v>85mm</v>
      </c>
      <c r="C302" s="5">
        <f t="shared" si="37"/>
        <v>85</v>
      </c>
      <c r="D302" s="5">
        <f t="shared" si="38"/>
        <v>85</v>
      </c>
      <c r="E302" t="str">
        <f>'(Raw) LensesGH'!C302</f>
        <v>1:1.8</v>
      </c>
      <c r="F302" s="9">
        <f t="shared" si="39"/>
        <v>1.8</v>
      </c>
      <c r="G302" s="9">
        <f t="shared" si="40"/>
        <v>1.8</v>
      </c>
      <c r="H302" t="str">
        <f>'(Raw) LensesGH'!D302</f>
        <v>68mm</v>
      </c>
      <c r="I302" s="2">
        <f t="shared" si="41"/>
        <v>68</v>
      </c>
      <c r="J302" s="2" t="str">
        <f>'(Raw) LensesGH'!E302</f>
        <v>1:2.00</v>
      </c>
      <c r="K302" s="40">
        <f t="shared" si="42"/>
        <v>2</v>
      </c>
      <c r="L302" t="str">
        <f>'(Raw) LensesGH'!F302</f>
        <v>Sony E</v>
      </c>
      <c r="M302" t="str">
        <f>'(Raw) LensesGH'!G302</f>
        <v>APS-C/ Kleinbild</v>
      </c>
      <c r="N302" t="str">
        <f>'(Raw) LensesGH'!H302</f>
        <v>530g</v>
      </c>
      <c r="O302" s="5">
        <f t="shared" si="43"/>
        <v>530</v>
      </c>
      <c r="P302" t="str">
        <f>'(Raw) LensesGH'!I302</f>
        <v>76 x 89mm</v>
      </c>
      <c r="Q302" s="39">
        <f t="shared" si="44"/>
        <v>76</v>
      </c>
      <c r="R302" s="39">
        <f t="shared" si="36"/>
        <v>89</v>
      </c>
    </row>
    <row r="303" spans="1:18" x14ac:dyDescent="0.25">
      <c r="A303" t="str">
        <f>'(Raw) LensesGH'!A303</f>
        <v>Lomography Petzval 58mm 1.9 für Canon EF messing</v>
      </c>
      <c r="B303" t="str">
        <f>'(Raw) LensesGH'!B303</f>
        <v>58mm</v>
      </c>
      <c r="C303" s="5">
        <f t="shared" si="37"/>
        <v>58</v>
      </c>
      <c r="D303" s="5">
        <f t="shared" si="38"/>
        <v>58</v>
      </c>
      <c r="E303" t="str">
        <f>'(Raw) LensesGH'!C303</f>
        <v>1:1.9</v>
      </c>
      <c r="F303" s="9">
        <f t="shared" si="39"/>
        <v>1.9</v>
      </c>
      <c r="G303" s="9">
        <f t="shared" si="40"/>
        <v>1.9</v>
      </c>
      <c r="H303">
        <f>'(Raw) LensesGH'!D303</f>
        <v>0</v>
      </c>
      <c r="I303" s="2">
        <f t="shared" si="41"/>
        <v>0</v>
      </c>
      <c r="J303" s="2">
        <f>'(Raw) LensesGH'!E303</f>
        <v>0</v>
      </c>
      <c r="K303" s="40">
        <f t="shared" si="42"/>
        <v>0</v>
      </c>
      <c r="L303" t="str">
        <f>'(Raw) LensesGH'!F303</f>
        <v>Canon EF</v>
      </c>
      <c r="M303" t="str">
        <f>'(Raw) LensesGH'!G303</f>
        <v>APS-C/ Kleinbild</v>
      </c>
      <c r="N303">
        <f>'(Raw) LensesGH'!H303</f>
        <v>0</v>
      </c>
      <c r="O303" s="5">
        <f t="shared" si="43"/>
        <v>0</v>
      </c>
      <c r="P303">
        <f>'(Raw) LensesGH'!I303</f>
        <v>0</v>
      </c>
      <c r="Q303" s="39">
        <f t="shared" si="44"/>
        <v>0</v>
      </c>
      <c r="R303" s="39">
        <f t="shared" si="36"/>
        <v>0</v>
      </c>
    </row>
    <row r="304" spans="1:18" x14ac:dyDescent="0.25">
      <c r="A304" t="str">
        <f>'(Raw) LensesGH'!A304</f>
        <v>Lomography Petzval 58mm 1.9 für Nikon F messing</v>
      </c>
      <c r="B304" t="str">
        <f>'(Raw) LensesGH'!B304</f>
        <v>58mm</v>
      </c>
      <c r="C304" s="5">
        <f t="shared" si="37"/>
        <v>58</v>
      </c>
      <c r="D304" s="5">
        <f t="shared" si="38"/>
        <v>58</v>
      </c>
      <c r="E304" t="str">
        <f>'(Raw) LensesGH'!C304</f>
        <v>1:1.9</v>
      </c>
      <c r="F304" s="9">
        <f t="shared" si="39"/>
        <v>1.9</v>
      </c>
      <c r="G304" s="9">
        <f t="shared" si="40"/>
        <v>1.9</v>
      </c>
      <c r="H304">
        <f>'(Raw) LensesGH'!D304</f>
        <v>0</v>
      </c>
      <c r="I304" s="2">
        <f t="shared" si="41"/>
        <v>0</v>
      </c>
      <c r="J304" s="2">
        <f>'(Raw) LensesGH'!E304</f>
        <v>0</v>
      </c>
      <c r="K304" s="40">
        <f t="shared" si="42"/>
        <v>0</v>
      </c>
      <c r="L304" t="str">
        <f>'(Raw) LensesGH'!F304</f>
        <v>Nikon F</v>
      </c>
      <c r="M304" t="str">
        <f>'(Raw) LensesGH'!G304</f>
        <v>APS-C/ Kleinbild</v>
      </c>
      <c r="N304">
        <f>'(Raw) LensesGH'!H304</f>
        <v>0</v>
      </c>
      <c r="O304" s="5">
        <f t="shared" si="43"/>
        <v>0</v>
      </c>
      <c r="P304">
        <f>'(Raw) LensesGH'!I304</f>
        <v>0</v>
      </c>
      <c r="Q304" s="39">
        <f t="shared" si="44"/>
        <v>0</v>
      </c>
      <c r="R304" s="39">
        <f t="shared" si="36"/>
        <v>0</v>
      </c>
    </row>
    <row r="305" spans="1:18" x14ac:dyDescent="0.25">
      <c r="A305" t="str">
        <f>'(Raw) LensesGH'!A305</f>
        <v>Meike 12mm 2.8 für Fujifilm X schwarz</v>
      </c>
      <c r="B305" t="str">
        <f>'(Raw) LensesGH'!B305</f>
        <v>12mm</v>
      </c>
      <c r="C305" s="5">
        <f t="shared" si="37"/>
        <v>12</v>
      </c>
      <c r="D305" s="5">
        <f t="shared" si="38"/>
        <v>12</v>
      </c>
      <c r="E305" t="str">
        <f>'(Raw) LensesGH'!C305</f>
        <v>1:2.8</v>
      </c>
      <c r="F305" s="9">
        <f t="shared" si="39"/>
        <v>2.8</v>
      </c>
      <c r="G305" s="9">
        <f t="shared" si="40"/>
        <v>2.8</v>
      </c>
      <c r="H305" t="str">
        <f>'(Raw) LensesGH'!D305</f>
        <v>72mm</v>
      </c>
      <c r="I305" s="2">
        <f t="shared" si="41"/>
        <v>72</v>
      </c>
      <c r="J305" s="2" t="str">
        <f>'(Raw) LensesGH'!E305</f>
        <v>1:8.13</v>
      </c>
      <c r="K305" s="40">
        <f t="shared" si="42"/>
        <v>8.1300000000000008</v>
      </c>
      <c r="L305" t="str">
        <f>'(Raw) LensesGH'!F305</f>
        <v>Fujifilm X</v>
      </c>
      <c r="M305" t="str">
        <f>'(Raw) LensesGH'!G305</f>
        <v>APS-C</v>
      </c>
      <c r="N305" t="str">
        <f>'(Raw) LensesGH'!H305</f>
        <v>360g</v>
      </c>
      <c r="O305" s="5">
        <f t="shared" si="43"/>
        <v>360</v>
      </c>
      <c r="P305" t="str">
        <f>'(Raw) LensesGH'!I305</f>
        <v>78 x 65.8mm</v>
      </c>
      <c r="Q305" s="39">
        <f t="shared" si="44"/>
        <v>78</v>
      </c>
      <c r="R305" s="39">
        <f t="shared" si="36"/>
        <v>65.8</v>
      </c>
    </row>
    <row r="306" spans="1:18" x14ac:dyDescent="0.25">
      <c r="A306" t="str">
        <f>'(Raw) LensesGH'!A306</f>
        <v>Meike 25mm 0.95 für Nikon 1 schwarz</v>
      </c>
      <c r="B306" t="str">
        <f>'(Raw) LensesGH'!B306</f>
        <v>25mm</v>
      </c>
      <c r="C306" s="5">
        <f t="shared" si="37"/>
        <v>25</v>
      </c>
      <c r="D306" s="5">
        <f t="shared" si="38"/>
        <v>25</v>
      </c>
      <c r="E306" t="str">
        <f>'(Raw) LensesGH'!C306</f>
        <v>1:0.95</v>
      </c>
      <c r="F306" s="9">
        <f t="shared" si="39"/>
        <v>0.95</v>
      </c>
      <c r="G306" s="9">
        <f t="shared" si="40"/>
        <v>0.95</v>
      </c>
      <c r="H306" t="str">
        <f>'(Raw) LensesGH'!D306</f>
        <v>55mm</v>
      </c>
      <c r="I306" s="2">
        <f t="shared" si="41"/>
        <v>55</v>
      </c>
      <c r="J306" s="2" t="str">
        <f>'(Raw) LensesGH'!E306</f>
        <v>1:7.41</v>
      </c>
      <c r="K306" s="40">
        <f t="shared" si="42"/>
        <v>7.41</v>
      </c>
      <c r="L306" t="str">
        <f>'(Raw) LensesGH'!F306</f>
        <v>Nikon 1</v>
      </c>
      <c r="M306" t="str">
        <f>'(Raw) LensesGH'!G306</f>
        <v>APS-C</v>
      </c>
      <c r="N306" t="str">
        <f>'(Raw) LensesGH'!H306</f>
        <v>540g</v>
      </c>
      <c r="O306" s="5">
        <f t="shared" si="43"/>
        <v>540</v>
      </c>
      <c r="P306" t="str">
        <f>'(Raw) LensesGH'!I306</f>
        <v>64 x 101mm</v>
      </c>
      <c r="Q306" s="39">
        <f t="shared" si="44"/>
        <v>64</v>
      </c>
      <c r="R306" s="39">
        <f t="shared" si="36"/>
        <v>101</v>
      </c>
    </row>
    <row r="307" spans="1:18" x14ac:dyDescent="0.25">
      <c r="A307" t="str">
        <f>'(Raw) LensesGH'!A307</f>
        <v>Meike 25mm 0.95 für Sony E schwarz</v>
      </c>
      <c r="B307" t="str">
        <f>'(Raw) LensesGH'!B307</f>
        <v>25mm</v>
      </c>
      <c r="C307" s="5">
        <f t="shared" si="37"/>
        <v>25</v>
      </c>
      <c r="D307" s="5">
        <f t="shared" si="38"/>
        <v>25</v>
      </c>
      <c r="E307" t="str">
        <f>'(Raw) LensesGH'!C307</f>
        <v>1:0.95</v>
      </c>
      <c r="F307" s="9">
        <f t="shared" si="39"/>
        <v>0.95</v>
      </c>
      <c r="G307" s="9">
        <f t="shared" si="40"/>
        <v>0.95</v>
      </c>
      <c r="H307" t="str">
        <f>'(Raw) LensesGH'!D307</f>
        <v>55mm</v>
      </c>
      <c r="I307" s="2">
        <f t="shared" si="41"/>
        <v>55</v>
      </c>
      <c r="J307" s="2" t="str">
        <f>'(Raw) LensesGH'!E307</f>
        <v>1:7.41</v>
      </c>
      <c r="K307" s="40">
        <f t="shared" si="42"/>
        <v>7.41</v>
      </c>
      <c r="L307" t="str">
        <f>'(Raw) LensesGH'!F307</f>
        <v>Sony E</v>
      </c>
      <c r="M307" t="str">
        <f>'(Raw) LensesGH'!G307</f>
        <v>APS-C</v>
      </c>
      <c r="N307" t="str">
        <f>'(Raw) LensesGH'!H307</f>
        <v>540g</v>
      </c>
      <c r="O307" s="5">
        <f t="shared" si="43"/>
        <v>540</v>
      </c>
      <c r="P307" t="str">
        <f>'(Raw) LensesGH'!I307</f>
        <v>64 x 101mm</v>
      </c>
      <c r="Q307" s="39">
        <f t="shared" si="44"/>
        <v>64</v>
      </c>
      <c r="R307" s="39">
        <f t="shared" si="36"/>
        <v>101</v>
      </c>
    </row>
    <row r="308" spans="1:18" x14ac:dyDescent="0.25">
      <c r="A308" t="str">
        <f>'(Raw) LensesGH'!A308</f>
        <v>Meike 28mm 2.8 für Canon EF-M schwarz</v>
      </c>
      <c r="B308" t="str">
        <f>'(Raw) LensesGH'!B308</f>
        <v>28mm</v>
      </c>
      <c r="C308" s="5">
        <f t="shared" si="37"/>
        <v>28</v>
      </c>
      <c r="D308" s="5">
        <f t="shared" si="38"/>
        <v>28</v>
      </c>
      <c r="E308" t="str">
        <f>'(Raw) LensesGH'!C308</f>
        <v>1:2.8</v>
      </c>
      <c r="F308" s="9">
        <f t="shared" si="39"/>
        <v>2.8</v>
      </c>
      <c r="G308" s="9">
        <f t="shared" si="40"/>
        <v>2.8</v>
      </c>
      <c r="H308" t="str">
        <f>'(Raw) LensesGH'!D308</f>
        <v>49mm</v>
      </c>
      <c r="I308" s="2">
        <f t="shared" si="41"/>
        <v>49</v>
      </c>
      <c r="J308" s="2" t="str">
        <f>'(Raw) LensesGH'!E308</f>
        <v>1:9.09</v>
      </c>
      <c r="K308" s="40">
        <f t="shared" si="42"/>
        <v>9.09</v>
      </c>
      <c r="L308" t="str">
        <f>'(Raw) LensesGH'!F308</f>
        <v>Canon EF-M</v>
      </c>
      <c r="M308" t="str">
        <f>'(Raw) LensesGH'!G308</f>
        <v>APS-C</v>
      </c>
      <c r="N308" t="str">
        <f>'(Raw) LensesGH'!H308</f>
        <v>102g</v>
      </c>
      <c r="O308" s="5">
        <f t="shared" si="43"/>
        <v>102</v>
      </c>
      <c r="P308" t="str">
        <f>'(Raw) LensesGH'!I308</f>
        <v>60.4 x 29mm</v>
      </c>
      <c r="Q308" s="39">
        <f t="shared" si="44"/>
        <v>60.4</v>
      </c>
      <c r="R308" s="39">
        <f t="shared" si="36"/>
        <v>29</v>
      </c>
    </row>
    <row r="309" spans="1:18" x14ac:dyDescent="0.25">
      <c r="A309" t="str">
        <f>'(Raw) LensesGH'!A309</f>
        <v>Meike 28mm 2.8 für Fujifilm X schwarz</v>
      </c>
      <c r="B309" t="str">
        <f>'(Raw) LensesGH'!B309</f>
        <v>28mm</v>
      </c>
      <c r="C309" s="5">
        <f t="shared" si="37"/>
        <v>28</v>
      </c>
      <c r="D309" s="5">
        <f t="shared" si="38"/>
        <v>28</v>
      </c>
      <c r="E309" t="str">
        <f>'(Raw) LensesGH'!C309</f>
        <v>1:2.8</v>
      </c>
      <c r="F309" s="9">
        <f t="shared" si="39"/>
        <v>2.8</v>
      </c>
      <c r="G309" s="9">
        <f t="shared" si="40"/>
        <v>2.8</v>
      </c>
      <c r="H309" t="str">
        <f>'(Raw) LensesGH'!D309</f>
        <v>49mm</v>
      </c>
      <c r="I309" s="2">
        <f t="shared" si="41"/>
        <v>49</v>
      </c>
      <c r="J309" s="2" t="str">
        <f>'(Raw) LensesGH'!E309</f>
        <v>1:9.09</v>
      </c>
      <c r="K309" s="40">
        <f t="shared" si="42"/>
        <v>9.09</v>
      </c>
      <c r="L309" t="str">
        <f>'(Raw) LensesGH'!F309</f>
        <v>Fujifilm X</v>
      </c>
      <c r="M309" t="str">
        <f>'(Raw) LensesGH'!G309</f>
        <v>APS-C</v>
      </c>
      <c r="N309" t="str">
        <f>'(Raw) LensesGH'!H309</f>
        <v>102g</v>
      </c>
      <c r="O309" s="5">
        <f t="shared" si="43"/>
        <v>102</v>
      </c>
      <c r="P309" t="str">
        <f>'(Raw) LensesGH'!I309</f>
        <v>60.4 x 29mm</v>
      </c>
      <c r="Q309" s="39">
        <f t="shared" si="44"/>
        <v>60.4</v>
      </c>
      <c r="R309" s="39">
        <f t="shared" si="36"/>
        <v>29</v>
      </c>
    </row>
    <row r="310" spans="1:18" x14ac:dyDescent="0.25">
      <c r="A310" t="str">
        <f>'(Raw) LensesGH'!A310</f>
        <v>Meike 28mm 2.8 für Micro-Four-Thirds schwarz</v>
      </c>
      <c r="B310" t="str">
        <f>'(Raw) LensesGH'!B310</f>
        <v>28mm</v>
      </c>
      <c r="C310" s="5">
        <f t="shared" si="37"/>
        <v>28</v>
      </c>
      <c r="D310" s="5">
        <f t="shared" si="38"/>
        <v>28</v>
      </c>
      <c r="E310" t="str">
        <f>'(Raw) LensesGH'!C310</f>
        <v>1:2.8</v>
      </c>
      <c r="F310" s="9">
        <f t="shared" si="39"/>
        <v>2.8</v>
      </c>
      <c r="G310" s="9">
        <f t="shared" si="40"/>
        <v>2.8</v>
      </c>
      <c r="H310" t="str">
        <f>'(Raw) LensesGH'!D310</f>
        <v>49mm</v>
      </c>
      <c r="I310" s="2">
        <f t="shared" si="41"/>
        <v>49</v>
      </c>
      <c r="J310" s="2" t="str">
        <f>'(Raw) LensesGH'!E310</f>
        <v>1:9.09</v>
      </c>
      <c r="K310" s="40">
        <f t="shared" si="42"/>
        <v>9.09</v>
      </c>
      <c r="L310" t="str">
        <f>'(Raw) LensesGH'!F310</f>
        <v>Micro-Four-Thirds</v>
      </c>
      <c r="M310" t="str">
        <f>'(Raw) LensesGH'!G310</f>
        <v>APS-C</v>
      </c>
      <c r="N310" t="str">
        <f>'(Raw) LensesGH'!H310</f>
        <v>102g</v>
      </c>
      <c r="O310" s="5">
        <f t="shared" si="43"/>
        <v>102</v>
      </c>
      <c r="P310" t="str">
        <f>'(Raw) LensesGH'!I310</f>
        <v>60.4 x 29mm</v>
      </c>
      <c r="Q310" s="39">
        <f t="shared" si="44"/>
        <v>60.4</v>
      </c>
      <c r="R310" s="39">
        <f t="shared" si="36"/>
        <v>29</v>
      </c>
    </row>
    <row r="311" spans="1:18" x14ac:dyDescent="0.25">
      <c r="A311" t="str">
        <f>'(Raw) LensesGH'!A311</f>
        <v>Meike 28mm 2.8 für Sony E schwarz</v>
      </c>
      <c r="B311" t="str">
        <f>'(Raw) LensesGH'!B311</f>
        <v>28mm</v>
      </c>
      <c r="C311" s="5">
        <f t="shared" si="37"/>
        <v>28</v>
      </c>
      <c r="D311" s="5">
        <f t="shared" si="38"/>
        <v>28</v>
      </c>
      <c r="E311" t="str">
        <f>'(Raw) LensesGH'!C311</f>
        <v>1:2.8</v>
      </c>
      <c r="F311" s="9">
        <f t="shared" si="39"/>
        <v>2.8</v>
      </c>
      <c r="G311" s="9">
        <f t="shared" si="40"/>
        <v>2.8</v>
      </c>
      <c r="H311" t="str">
        <f>'(Raw) LensesGH'!D311</f>
        <v>49mm</v>
      </c>
      <c r="I311" s="2">
        <f t="shared" si="41"/>
        <v>49</v>
      </c>
      <c r="J311" s="2" t="str">
        <f>'(Raw) LensesGH'!E311</f>
        <v>1:9.09</v>
      </c>
      <c r="K311" s="40">
        <f t="shared" si="42"/>
        <v>9.09</v>
      </c>
      <c r="L311" t="str">
        <f>'(Raw) LensesGH'!F311</f>
        <v>Sony E</v>
      </c>
      <c r="M311" t="str">
        <f>'(Raw) LensesGH'!G311</f>
        <v>APS-C</v>
      </c>
      <c r="N311" t="str">
        <f>'(Raw) LensesGH'!H311</f>
        <v>102g</v>
      </c>
      <c r="O311" s="5">
        <f t="shared" si="43"/>
        <v>102</v>
      </c>
      <c r="P311" t="str">
        <f>'(Raw) LensesGH'!I311</f>
        <v>60.4 x 29mm</v>
      </c>
      <c r="Q311" s="39">
        <f t="shared" si="44"/>
        <v>60.4</v>
      </c>
      <c r="R311" s="39">
        <f t="shared" si="36"/>
        <v>29</v>
      </c>
    </row>
    <row r="312" spans="1:18" x14ac:dyDescent="0.25">
      <c r="A312" t="str">
        <f>'(Raw) LensesGH'!A312</f>
        <v>Meike 35mm 1.7 für Canon EF-M schwarz</v>
      </c>
      <c r="B312" t="str">
        <f>'(Raw) LensesGH'!B312</f>
        <v>35mm</v>
      </c>
      <c r="C312" s="5">
        <f t="shared" si="37"/>
        <v>35</v>
      </c>
      <c r="D312" s="5">
        <f t="shared" si="38"/>
        <v>35</v>
      </c>
      <c r="E312" t="str">
        <f>'(Raw) LensesGH'!C312</f>
        <v>1:1.7</v>
      </c>
      <c r="F312" s="9">
        <f t="shared" si="39"/>
        <v>1.7</v>
      </c>
      <c r="G312" s="9">
        <f t="shared" si="40"/>
        <v>1.7</v>
      </c>
      <c r="H312" t="str">
        <f>'(Raw) LensesGH'!D312</f>
        <v>49mm</v>
      </c>
      <c r="I312" s="2">
        <f t="shared" si="41"/>
        <v>49</v>
      </c>
      <c r="J312" s="2" t="str">
        <f>'(Raw) LensesGH'!E312</f>
        <v>1:8.85</v>
      </c>
      <c r="K312" s="40">
        <f t="shared" si="42"/>
        <v>8.85</v>
      </c>
      <c r="L312" t="str">
        <f>'(Raw) LensesGH'!F312</f>
        <v>Canon EF-M</v>
      </c>
      <c r="M312" t="str">
        <f>'(Raw) LensesGH'!G312</f>
        <v>APS-C</v>
      </c>
      <c r="N312" t="str">
        <f>'(Raw) LensesGH'!H312</f>
        <v>176g</v>
      </c>
      <c r="O312" s="5">
        <f t="shared" si="43"/>
        <v>176</v>
      </c>
      <c r="P312" t="str">
        <f>'(Raw) LensesGH'!I312</f>
        <v>60.5 x 41mm</v>
      </c>
      <c r="Q312" s="39">
        <f t="shared" si="44"/>
        <v>60.5</v>
      </c>
      <c r="R312" s="39">
        <f t="shared" si="36"/>
        <v>41</v>
      </c>
    </row>
    <row r="313" spans="1:18" x14ac:dyDescent="0.25">
      <c r="A313" t="str">
        <f>'(Raw) LensesGH'!A313</f>
        <v>Meike 35mm 1.7 für Fujifilm X schwarz</v>
      </c>
      <c r="B313" t="str">
        <f>'(Raw) LensesGH'!B313</f>
        <v>35mm</v>
      </c>
      <c r="C313" s="5">
        <f t="shared" si="37"/>
        <v>35</v>
      </c>
      <c r="D313" s="5">
        <f t="shared" si="38"/>
        <v>35</v>
      </c>
      <c r="E313" t="str">
        <f>'(Raw) LensesGH'!C313</f>
        <v>1:1.7</v>
      </c>
      <c r="F313" s="9">
        <f t="shared" si="39"/>
        <v>1.7</v>
      </c>
      <c r="G313" s="9">
        <f t="shared" si="40"/>
        <v>1.7</v>
      </c>
      <c r="H313" t="str">
        <f>'(Raw) LensesGH'!D313</f>
        <v>49mm</v>
      </c>
      <c r="I313" s="2">
        <f t="shared" si="41"/>
        <v>49</v>
      </c>
      <c r="J313" s="2" t="str">
        <f>'(Raw) LensesGH'!E313</f>
        <v>1:8.85</v>
      </c>
      <c r="K313" s="40">
        <f t="shared" si="42"/>
        <v>8.85</v>
      </c>
      <c r="L313" t="str">
        <f>'(Raw) LensesGH'!F313</f>
        <v>Fujifilm X</v>
      </c>
      <c r="M313" t="str">
        <f>'(Raw) LensesGH'!G313</f>
        <v>APS-C</v>
      </c>
      <c r="N313" t="str">
        <f>'(Raw) LensesGH'!H313</f>
        <v>176g</v>
      </c>
      <c r="O313" s="5">
        <f t="shared" si="43"/>
        <v>176</v>
      </c>
      <c r="P313" t="str">
        <f>'(Raw) LensesGH'!I313</f>
        <v>60.5 x 41mm</v>
      </c>
      <c r="Q313" s="39">
        <f t="shared" si="44"/>
        <v>60.5</v>
      </c>
      <c r="R313" s="39">
        <f t="shared" si="36"/>
        <v>41</v>
      </c>
    </row>
    <row r="314" spans="1:18" x14ac:dyDescent="0.25">
      <c r="A314" t="str">
        <f>'(Raw) LensesGH'!A314</f>
        <v>Meike 35mm 1.7 für Micro-Four-Thirds schwarz</v>
      </c>
      <c r="B314" t="str">
        <f>'(Raw) LensesGH'!B314</f>
        <v>35mm</v>
      </c>
      <c r="C314" s="5">
        <f t="shared" si="37"/>
        <v>35</v>
      </c>
      <c r="D314" s="5">
        <f t="shared" si="38"/>
        <v>35</v>
      </c>
      <c r="E314" t="str">
        <f>'(Raw) LensesGH'!C314</f>
        <v>1:1.7</v>
      </c>
      <c r="F314" s="9">
        <f t="shared" si="39"/>
        <v>1.7</v>
      </c>
      <c r="G314" s="9">
        <f t="shared" si="40"/>
        <v>1.7</v>
      </c>
      <c r="H314" t="str">
        <f>'(Raw) LensesGH'!D314</f>
        <v>49mm</v>
      </c>
      <c r="I314" s="2">
        <f t="shared" si="41"/>
        <v>49</v>
      </c>
      <c r="J314" s="2" t="str">
        <f>'(Raw) LensesGH'!E314</f>
        <v>1:8.85</v>
      </c>
      <c r="K314" s="40">
        <f t="shared" si="42"/>
        <v>8.85</v>
      </c>
      <c r="L314" t="str">
        <f>'(Raw) LensesGH'!F314</f>
        <v>Micro-Four-Thirds</v>
      </c>
      <c r="M314" t="str">
        <f>'(Raw) LensesGH'!G314</f>
        <v>APS-C</v>
      </c>
      <c r="N314" t="str">
        <f>'(Raw) LensesGH'!H314</f>
        <v>176g</v>
      </c>
      <c r="O314" s="5">
        <f t="shared" si="43"/>
        <v>176</v>
      </c>
      <c r="P314" t="str">
        <f>'(Raw) LensesGH'!I314</f>
        <v>60.5 x 41mm</v>
      </c>
      <c r="Q314" s="39">
        <f t="shared" si="44"/>
        <v>60.5</v>
      </c>
      <c r="R314" s="39">
        <f t="shared" si="36"/>
        <v>41</v>
      </c>
    </row>
    <row r="315" spans="1:18" x14ac:dyDescent="0.25">
      <c r="A315" t="str">
        <f>'(Raw) LensesGH'!A315</f>
        <v>Meike 35mm 1.7 für Nikon 1 schwarz</v>
      </c>
      <c r="B315" t="str">
        <f>'(Raw) LensesGH'!B315</f>
        <v>35mm</v>
      </c>
      <c r="C315" s="5">
        <f t="shared" si="37"/>
        <v>35</v>
      </c>
      <c r="D315" s="5">
        <f t="shared" si="38"/>
        <v>35</v>
      </c>
      <c r="E315" t="str">
        <f>'(Raw) LensesGH'!C315</f>
        <v>1:1.7</v>
      </c>
      <c r="F315" s="9">
        <f t="shared" si="39"/>
        <v>1.7</v>
      </c>
      <c r="G315" s="9">
        <f t="shared" si="40"/>
        <v>1.7</v>
      </c>
      <c r="H315" t="str">
        <f>'(Raw) LensesGH'!D315</f>
        <v>49mm</v>
      </c>
      <c r="I315" s="2">
        <f t="shared" si="41"/>
        <v>49</v>
      </c>
      <c r="J315" s="2" t="str">
        <f>'(Raw) LensesGH'!E315</f>
        <v>1:8.85</v>
      </c>
      <c r="K315" s="40">
        <f t="shared" si="42"/>
        <v>8.85</v>
      </c>
      <c r="L315" t="str">
        <f>'(Raw) LensesGH'!F315</f>
        <v>Nikon 1</v>
      </c>
      <c r="M315" t="str">
        <f>'(Raw) LensesGH'!G315</f>
        <v>APS-C</v>
      </c>
      <c r="N315" t="str">
        <f>'(Raw) LensesGH'!H315</f>
        <v>176g</v>
      </c>
      <c r="O315" s="5">
        <f t="shared" si="43"/>
        <v>176</v>
      </c>
      <c r="P315" t="str">
        <f>'(Raw) LensesGH'!I315</f>
        <v>60.5 x 41mm</v>
      </c>
      <c r="Q315" s="39">
        <f t="shared" si="44"/>
        <v>60.5</v>
      </c>
      <c r="R315" s="39">
        <f t="shared" si="36"/>
        <v>41</v>
      </c>
    </row>
    <row r="316" spans="1:18" x14ac:dyDescent="0.25">
      <c r="A316" t="str">
        <f>'(Raw) LensesGH'!A316</f>
        <v>Meike 35mm 1.7 für Sony E schwarz</v>
      </c>
      <c r="B316" t="str">
        <f>'(Raw) LensesGH'!B316</f>
        <v>35mm</v>
      </c>
      <c r="C316" s="5">
        <f t="shared" si="37"/>
        <v>35</v>
      </c>
      <c r="D316" s="5">
        <f t="shared" si="38"/>
        <v>35</v>
      </c>
      <c r="E316" t="str">
        <f>'(Raw) LensesGH'!C316</f>
        <v>1:1.7</v>
      </c>
      <c r="F316" s="9">
        <f t="shared" si="39"/>
        <v>1.7</v>
      </c>
      <c r="G316" s="9">
        <f t="shared" si="40"/>
        <v>1.7</v>
      </c>
      <c r="H316" t="str">
        <f>'(Raw) LensesGH'!D316</f>
        <v>49mm</v>
      </c>
      <c r="I316" s="2">
        <f t="shared" si="41"/>
        <v>49</v>
      </c>
      <c r="J316" s="2" t="str">
        <f>'(Raw) LensesGH'!E316</f>
        <v>1:8.85</v>
      </c>
      <c r="K316" s="40">
        <f t="shared" si="42"/>
        <v>8.85</v>
      </c>
      <c r="L316" t="str">
        <f>'(Raw) LensesGH'!F316</f>
        <v>Sony E</v>
      </c>
      <c r="M316" t="str">
        <f>'(Raw) LensesGH'!G316</f>
        <v>APS-C</v>
      </c>
      <c r="N316" t="str">
        <f>'(Raw) LensesGH'!H316</f>
        <v>176g</v>
      </c>
      <c r="O316" s="5">
        <f t="shared" si="43"/>
        <v>176</v>
      </c>
      <c r="P316" t="str">
        <f>'(Raw) LensesGH'!I316</f>
        <v>60.5 x 41mm</v>
      </c>
      <c r="Q316" s="39">
        <f t="shared" si="44"/>
        <v>60.5</v>
      </c>
      <c r="R316" s="39">
        <f t="shared" si="36"/>
        <v>41</v>
      </c>
    </row>
    <row r="317" spans="1:18" x14ac:dyDescent="0.25">
      <c r="A317" t="str">
        <f>'(Raw) LensesGH'!A317</f>
        <v>Meike 50mm 2.0 für Canon EF-M schwarz</v>
      </c>
      <c r="B317" t="str">
        <f>'(Raw) LensesGH'!B317</f>
        <v>50mm</v>
      </c>
      <c r="C317" s="5">
        <f t="shared" si="37"/>
        <v>50</v>
      </c>
      <c r="D317" s="5">
        <f t="shared" si="38"/>
        <v>50</v>
      </c>
      <c r="E317" t="str">
        <f>'(Raw) LensesGH'!C317</f>
        <v>1:2.0</v>
      </c>
      <c r="F317" s="9">
        <f t="shared" si="39"/>
        <v>2</v>
      </c>
      <c r="G317" s="9">
        <f t="shared" si="40"/>
        <v>2</v>
      </c>
      <c r="H317" t="str">
        <f>'(Raw) LensesGH'!D317</f>
        <v>49mm</v>
      </c>
      <c r="I317" s="2">
        <f t="shared" si="41"/>
        <v>49</v>
      </c>
      <c r="J317" s="2" t="str">
        <f>'(Raw) LensesGH'!E317</f>
        <v>1:12.50</v>
      </c>
      <c r="K317" s="40">
        <f t="shared" si="42"/>
        <v>12.5</v>
      </c>
      <c r="L317" t="str">
        <f>'(Raw) LensesGH'!F317</f>
        <v>Canon EF-M</v>
      </c>
      <c r="M317" t="str">
        <f>'(Raw) LensesGH'!G317</f>
        <v>APS-C</v>
      </c>
      <c r="N317" t="str">
        <f>'(Raw) LensesGH'!H317</f>
        <v>188g</v>
      </c>
      <c r="O317" s="5">
        <f t="shared" si="43"/>
        <v>188</v>
      </c>
      <c r="P317" t="str">
        <f>'(Raw) LensesGH'!I317</f>
        <v>60.5 x 41mm</v>
      </c>
      <c r="Q317" s="39">
        <f t="shared" si="44"/>
        <v>60.5</v>
      </c>
      <c r="R317" s="39">
        <f t="shared" si="36"/>
        <v>41</v>
      </c>
    </row>
    <row r="318" spans="1:18" x14ac:dyDescent="0.25">
      <c r="A318" t="str">
        <f>'(Raw) LensesGH'!A318</f>
        <v>Meike 50mm 2.0 für Fujifilm X schwarz</v>
      </c>
      <c r="B318" t="str">
        <f>'(Raw) LensesGH'!B318</f>
        <v>50mm</v>
      </c>
      <c r="C318" s="5">
        <f t="shared" si="37"/>
        <v>50</v>
      </c>
      <c r="D318" s="5">
        <f t="shared" si="38"/>
        <v>50</v>
      </c>
      <c r="E318" t="str">
        <f>'(Raw) LensesGH'!C318</f>
        <v>1:2.0</v>
      </c>
      <c r="F318" s="9">
        <f t="shared" si="39"/>
        <v>2</v>
      </c>
      <c r="G318" s="9">
        <f t="shared" si="40"/>
        <v>2</v>
      </c>
      <c r="H318" t="str">
        <f>'(Raw) LensesGH'!D318</f>
        <v>49mm</v>
      </c>
      <c r="I318" s="2">
        <f t="shared" si="41"/>
        <v>49</v>
      </c>
      <c r="J318" s="2" t="str">
        <f>'(Raw) LensesGH'!E318</f>
        <v>1:12.50</v>
      </c>
      <c r="K318" s="40">
        <f t="shared" si="42"/>
        <v>12.5</v>
      </c>
      <c r="L318" t="str">
        <f>'(Raw) LensesGH'!F318</f>
        <v>Fujifilm X</v>
      </c>
      <c r="M318" t="str">
        <f>'(Raw) LensesGH'!G318</f>
        <v>APS-C</v>
      </c>
      <c r="N318" t="str">
        <f>'(Raw) LensesGH'!H318</f>
        <v>188g</v>
      </c>
      <c r="O318" s="5">
        <f t="shared" si="43"/>
        <v>188</v>
      </c>
      <c r="P318" t="str">
        <f>'(Raw) LensesGH'!I318</f>
        <v>60.5 x 41mm</v>
      </c>
      <c r="Q318" s="39">
        <f t="shared" si="44"/>
        <v>60.5</v>
      </c>
      <c r="R318" s="39">
        <f t="shared" si="36"/>
        <v>41</v>
      </c>
    </row>
    <row r="319" spans="1:18" x14ac:dyDescent="0.25">
      <c r="A319" t="str">
        <f>'(Raw) LensesGH'!A319</f>
        <v>Meike 50mm 2.0 für Micro-Four-Thirds schwarz</v>
      </c>
      <c r="B319" t="str">
        <f>'(Raw) LensesGH'!B319</f>
        <v>50mm</v>
      </c>
      <c r="C319" s="5">
        <f t="shared" si="37"/>
        <v>50</v>
      </c>
      <c r="D319" s="5">
        <f t="shared" si="38"/>
        <v>50</v>
      </c>
      <c r="E319" t="str">
        <f>'(Raw) LensesGH'!C319</f>
        <v>1:2.0</v>
      </c>
      <c r="F319" s="9">
        <f t="shared" si="39"/>
        <v>2</v>
      </c>
      <c r="G319" s="9">
        <f t="shared" si="40"/>
        <v>2</v>
      </c>
      <c r="H319" t="str">
        <f>'(Raw) LensesGH'!D319</f>
        <v>49mm</v>
      </c>
      <c r="I319" s="2">
        <f t="shared" si="41"/>
        <v>49</v>
      </c>
      <c r="J319" s="2" t="str">
        <f>'(Raw) LensesGH'!E319</f>
        <v>1:12.50</v>
      </c>
      <c r="K319" s="40">
        <f t="shared" si="42"/>
        <v>12.5</v>
      </c>
      <c r="L319" t="str">
        <f>'(Raw) LensesGH'!F319</f>
        <v>Micro-Four-Thirds</v>
      </c>
      <c r="M319" t="str">
        <f>'(Raw) LensesGH'!G319</f>
        <v>APS-C</v>
      </c>
      <c r="N319" t="str">
        <f>'(Raw) LensesGH'!H319</f>
        <v>188g</v>
      </c>
      <c r="O319" s="5">
        <f t="shared" si="43"/>
        <v>188</v>
      </c>
      <c r="P319" t="str">
        <f>'(Raw) LensesGH'!I319</f>
        <v>60.5 x 41mm</v>
      </c>
      <c r="Q319" s="39">
        <f t="shared" si="44"/>
        <v>60.5</v>
      </c>
      <c r="R319" s="39">
        <f t="shared" si="36"/>
        <v>41</v>
      </c>
    </row>
    <row r="320" spans="1:18" x14ac:dyDescent="0.25">
      <c r="A320" t="str">
        <f>'(Raw) LensesGH'!A320</f>
        <v>Meike 50mm 2.0 für Sony E schwarz</v>
      </c>
      <c r="B320" t="str">
        <f>'(Raw) LensesGH'!B320</f>
        <v>50mm</v>
      </c>
      <c r="C320" s="5">
        <f t="shared" si="37"/>
        <v>50</v>
      </c>
      <c r="D320" s="5">
        <f t="shared" si="38"/>
        <v>50</v>
      </c>
      <c r="E320" t="str">
        <f>'(Raw) LensesGH'!C320</f>
        <v>1:2.0</v>
      </c>
      <c r="F320" s="9">
        <f t="shared" si="39"/>
        <v>2</v>
      </c>
      <c r="G320" s="9">
        <f t="shared" si="40"/>
        <v>2</v>
      </c>
      <c r="H320" t="str">
        <f>'(Raw) LensesGH'!D320</f>
        <v>49mm</v>
      </c>
      <c r="I320" s="2">
        <f t="shared" si="41"/>
        <v>49</v>
      </c>
      <c r="J320" s="2" t="str">
        <f>'(Raw) LensesGH'!E320</f>
        <v>1:12.50</v>
      </c>
      <c r="K320" s="40">
        <f t="shared" si="42"/>
        <v>12.5</v>
      </c>
      <c r="L320" t="str">
        <f>'(Raw) LensesGH'!F320</f>
        <v>Sony E</v>
      </c>
      <c r="M320" t="str">
        <f>'(Raw) LensesGH'!G320</f>
        <v>APS-C</v>
      </c>
      <c r="N320" t="str">
        <f>'(Raw) LensesGH'!H320</f>
        <v>188g</v>
      </c>
      <c r="O320" s="5">
        <f t="shared" si="43"/>
        <v>188</v>
      </c>
      <c r="P320" t="str">
        <f>'(Raw) LensesGH'!I320</f>
        <v>60.5 x 41mm</v>
      </c>
      <c r="Q320" s="39">
        <f t="shared" si="44"/>
        <v>60.5</v>
      </c>
      <c r="R320" s="39">
        <f t="shared" si="36"/>
        <v>41</v>
      </c>
    </row>
    <row r="321" spans="1:18" x14ac:dyDescent="0.25">
      <c r="A321" t="str">
        <f>'(Raw) LensesGH'!A321</f>
        <v>Meike 6.5mm 2.0 Fisheye für Fujifilm X schwarz</v>
      </c>
      <c r="B321" t="str">
        <f>'(Raw) LensesGH'!B321</f>
        <v>6.5mm</v>
      </c>
      <c r="C321" s="5">
        <f t="shared" si="37"/>
        <v>6.5</v>
      </c>
      <c r="D321" s="5">
        <f t="shared" si="38"/>
        <v>6.5</v>
      </c>
      <c r="E321" t="str">
        <f>'(Raw) LensesGH'!C321</f>
        <v>1:2.0</v>
      </c>
      <c r="F321" s="9">
        <f t="shared" si="39"/>
        <v>2</v>
      </c>
      <c r="G321" s="9">
        <f t="shared" si="40"/>
        <v>2</v>
      </c>
      <c r="H321">
        <f>'(Raw) LensesGH'!D321</f>
        <v>0</v>
      </c>
      <c r="I321" s="2">
        <f t="shared" si="41"/>
        <v>0</v>
      </c>
      <c r="J321" s="2">
        <f>'(Raw) LensesGH'!E321</f>
        <v>0</v>
      </c>
      <c r="K321" s="40">
        <f t="shared" si="42"/>
        <v>0</v>
      </c>
      <c r="L321" t="str">
        <f>'(Raw) LensesGH'!F321</f>
        <v>Fujifilm X</v>
      </c>
      <c r="M321" t="str">
        <f>'(Raw) LensesGH'!G321</f>
        <v>APS-C</v>
      </c>
      <c r="N321" t="str">
        <f>'(Raw) LensesGH'!H321</f>
        <v>300g</v>
      </c>
      <c r="O321" s="5">
        <f t="shared" si="43"/>
        <v>300</v>
      </c>
      <c r="P321" t="str">
        <f>'(Raw) LensesGH'!I321</f>
        <v>61 x 51.5mm</v>
      </c>
      <c r="Q321" s="39">
        <f t="shared" si="44"/>
        <v>61</v>
      </c>
      <c r="R321" s="39">
        <f t="shared" si="36"/>
        <v>51.5</v>
      </c>
    </row>
    <row r="322" spans="1:18" x14ac:dyDescent="0.25">
      <c r="A322" t="str">
        <f>'(Raw) LensesGH'!A322</f>
        <v>Meike 6.5mm 2.0 Fisheye für Micro-Four-Thirds schwarz</v>
      </c>
      <c r="B322" t="str">
        <f>'(Raw) LensesGH'!B322</f>
        <v>6.5mm</v>
      </c>
      <c r="C322" s="5">
        <f t="shared" si="37"/>
        <v>6.5</v>
      </c>
      <c r="D322" s="5">
        <f t="shared" si="38"/>
        <v>6.5</v>
      </c>
      <c r="E322" t="str">
        <f>'(Raw) LensesGH'!C322</f>
        <v>1:2.0</v>
      </c>
      <c r="F322" s="9">
        <f t="shared" si="39"/>
        <v>2</v>
      </c>
      <c r="G322" s="9">
        <f t="shared" si="40"/>
        <v>2</v>
      </c>
      <c r="H322">
        <f>'(Raw) LensesGH'!D322</f>
        <v>0</v>
      </c>
      <c r="I322" s="2">
        <f t="shared" si="41"/>
        <v>0</v>
      </c>
      <c r="J322" s="2">
        <f>'(Raw) LensesGH'!E322</f>
        <v>0</v>
      </c>
      <c r="K322" s="40">
        <f t="shared" si="42"/>
        <v>0</v>
      </c>
      <c r="L322" t="str">
        <f>'(Raw) LensesGH'!F322</f>
        <v>Micro-Four-Thirds</v>
      </c>
      <c r="M322" t="str">
        <f>'(Raw) LensesGH'!G322</f>
        <v>APS-C</v>
      </c>
      <c r="N322" t="str">
        <f>'(Raw) LensesGH'!H322</f>
        <v>300g</v>
      </c>
      <c r="O322" s="5">
        <f t="shared" si="43"/>
        <v>300</v>
      </c>
      <c r="P322" t="str">
        <f>'(Raw) LensesGH'!I322</f>
        <v>61 x 51.5mm</v>
      </c>
      <c r="Q322" s="39">
        <f t="shared" si="44"/>
        <v>61</v>
      </c>
      <c r="R322" s="39">
        <f t="shared" ref="R322:R385" si="45">getSizeLength(P322)</f>
        <v>51.5</v>
      </c>
    </row>
    <row r="323" spans="1:18" x14ac:dyDescent="0.25">
      <c r="A323" t="str">
        <f>'(Raw) LensesGH'!A323</f>
        <v>Meike 6.5mm 2.0 Fisheye für Sony E schwarz</v>
      </c>
      <c r="B323" t="str">
        <f>'(Raw) LensesGH'!B323</f>
        <v>6.5mm</v>
      </c>
      <c r="C323" s="5">
        <f t="shared" ref="C323:C386" si="46">getFocalLengthStart(B323)</f>
        <v>6.5</v>
      </c>
      <c r="D323" s="5">
        <f t="shared" ref="D323:D386" si="47">getFocalLengthEnd(B323)</f>
        <v>6.5</v>
      </c>
      <c r="E323" t="str">
        <f>'(Raw) LensesGH'!C323</f>
        <v>1:2.0</v>
      </c>
      <c r="F323" s="9">
        <f t="shared" ref="F323:F386" si="48">getApertureStart(E323)</f>
        <v>2</v>
      </c>
      <c r="G323" s="9">
        <f t="shared" ref="G323:G386" si="49">getApertureEnd(F323)</f>
        <v>2</v>
      </c>
      <c r="H323">
        <f>'(Raw) LensesGH'!D323</f>
        <v>0</v>
      </c>
      <c r="I323" s="2">
        <f t="shared" ref="I323:I386" si="50">getFiltersizeAsDouble(H323)</f>
        <v>0</v>
      </c>
      <c r="J323" s="2">
        <f>'(Raw) LensesGH'!E323</f>
        <v>0</v>
      </c>
      <c r="K323" s="40">
        <f t="shared" ref="K323:K386" si="51">getMagnification(J323)</f>
        <v>0</v>
      </c>
      <c r="L323" t="str">
        <f>'(Raw) LensesGH'!F323</f>
        <v>Sony E</v>
      </c>
      <c r="M323" t="str">
        <f>'(Raw) LensesGH'!G323</f>
        <v>APS-C</v>
      </c>
      <c r="N323" t="str">
        <f>'(Raw) LensesGH'!H323</f>
        <v>300g</v>
      </c>
      <c r="O323" s="5">
        <f t="shared" ref="O323:O386" si="52">getWeightAsDouble(N323)</f>
        <v>300</v>
      </c>
      <c r="P323" t="str">
        <f>'(Raw) LensesGH'!I323</f>
        <v>61 x 51.5mm</v>
      </c>
      <c r="Q323" s="39">
        <f t="shared" ref="Q323:Q386" si="53">getSizeDiameter(P323)</f>
        <v>61</v>
      </c>
      <c r="R323" s="39">
        <f t="shared" si="45"/>
        <v>51.5</v>
      </c>
    </row>
    <row r="324" spans="1:18" x14ac:dyDescent="0.25">
      <c r="A324" t="str">
        <f>'(Raw) LensesGH'!A324</f>
        <v>Meike 8mm 3.5 Fisheye für Canon EF schwarz</v>
      </c>
      <c r="B324" t="str">
        <f>'(Raw) LensesGH'!B324</f>
        <v>8mm</v>
      </c>
      <c r="C324" s="5">
        <f t="shared" si="46"/>
        <v>8</v>
      </c>
      <c r="D324" s="5">
        <f t="shared" si="47"/>
        <v>8</v>
      </c>
      <c r="E324" t="str">
        <f>'(Raw) LensesGH'!C324</f>
        <v>1:3.5</v>
      </c>
      <c r="F324" s="9">
        <f t="shared" si="48"/>
        <v>3.5</v>
      </c>
      <c r="G324" s="9">
        <f t="shared" si="49"/>
        <v>3.5</v>
      </c>
      <c r="H324">
        <f>'(Raw) LensesGH'!D324</f>
        <v>0</v>
      </c>
      <c r="I324" s="2">
        <f t="shared" si="50"/>
        <v>0</v>
      </c>
      <c r="J324" s="2">
        <f>'(Raw) LensesGH'!E324</f>
        <v>0</v>
      </c>
      <c r="K324" s="40">
        <f t="shared" si="51"/>
        <v>0</v>
      </c>
      <c r="L324" t="str">
        <f>'(Raw) LensesGH'!F324</f>
        <v>Canon EF</v>
      </c>
      <c r="M324" t="str">
        <f>'(Raw) LensesGH'!G324</f>
        <v>APS-C/ Kleinbild</v>
      </c>
      <c r="N324" t="str">
        <f>'(Raw) LensesGH'!H324</f>
        <v>519g</v>
      </c>
      <c r="O324" s="5">
        <f t="shared" si="52"/>
        <v>519</v>
      </c>
      <c r="P324" t="str">
        <f>'(Raw) LensesGH'!I324</f>
        <v>77 x 84mm</v>
      </c>
      <c r="Q324" s="39">
        <f t="shared" si="53"/>
        <v>77</v>
      </c>
      <c r="R324" s="39">
        <f t="shared" si="45"/>
        <v>84</v>
      </c>
    </row>
    <row r="325" spans="1:18" x14ac:dyDescent="0.25">
      <c r="A325" t="str">
        <f>'(Raw) LensesGH'!A325</f>
        <v>Meike 8mm 3.5 Fisheye für Micro-Four-Thirds schwarz</v>
      </c>
      <c r="B325" t="str">
        <f>'(Raw) LensesGH'!B325</f>
        <v>8mm</v>
      </c>
      <c r="C325" s="5">
        <f t="shared" si="46"/>
        <v>8</v>
      </c>
      <c r="D325" s="5">
        <f t="shared" si="47"/>
        <v>8</v>
      </c>
      <c r="E325" t="str">
        <f>'(Raw) LensesGH'!C325</f>
        <v>1:3.5</v>
      </c>
      <c r="F325" s="9">
        <f t="shared" si="48"/>
        <v>3.5</v>
      </c>
      <c r="G325" s="9">
        <f t="shared" si="49"/>
        <v>3.5</v>
      </c>
      <c r="H325">
        <f>'(Raw) LensesGH'!D325</f>
        <v>0</v>
      </c>
      <c r="I325" s="2">
        <f t="shared" si="50"/>
        <v>0</v>
      </c>
      <c r="J325" s="2">
        <f>'(Raw) LensesGH'!E325</f>
        <v>0</v>
      </c>
      <c r="K325" s="40">
        <f t="shared" si="51"/>
        <v>0</v>
      </c>
      <c r="L325" t="str">
        <f>'(Raw) LensesGH'!F325</f>
        <v>Micro-Four-Thirds</v>
      </c>
      <c r="M325" t="str">
        <f>'(Raw) LensesGH'!G325</f>
        <v>APS-C</v>
      </c>
      <c r="N325" t="str">
        <f>'(Raw) LensesGH'!H325</f>
        <v>569g</v>
      </c>
      <c r="O325" s="5">
        <f t="shared" si="52"/>
        <v>569</v>
      </c>
      <c r="P325" t="str">
        <f>'(Raw) LensesGH'!I325</f>
        <v>77 x 109mm</v>
      </c>
      <c r="Q325" s="39">
        <f t="shared" si="53"/>
        <v>77</v>
      </c>
      <c r="R325" s="39">
        <f t="shared" si="45"/>
        <v>109</v>
      </c>
    </row>
    <row r="326" spans="1:18" x14ac:dyDescent="0.25">
      <c r="A326" t="str">
        <f>'(Raw) LensesGH'!A326</f>
        <v>Meike 8mm 3.5 Fisheye für Nikon F schwarz</v>
      </c>
      <c r="B326" t="str">
        <f>'(Raw) LensesGH'!B326</f>
        <v>8mm</v>
      </c>
      <c r="C326" s="5">
        <f t="shared" si="46"/>
        <v>8</v>
      </c>
      <c r="D326" s="5">
        <f t="shared" si="47"/>
        <v>8</v>
      </c>
      <c r="E326" t="str">
        <f>'(Raw) LensesGH'!C326</f>
        <v>1:3.5</v>
      </c>
      <c r="F326" s="9">
        <f t="shared" si="48"/>
        <v>3.5</v>
      </c>
      <c r="G326" s="9">
        <f t="shared" si="49"/>
        <v>3.5</v>
      </c>
      <c r="H326">
        <f>'(Raw) LensesGH'!D326</f>
        <v>0</v>
      </c>
      <c r="I326" s="2">
        <f t="shared" si="50"/>
        <v>0</v>
      </c>
      <c r="J326" s="2">
        <f>'(Raw) LensesGH'!E326</f>
        <v>0</v>
      </c>
      <c r="K326" s="40">
        <f t="shared" si="51"/>
        <v>0</v>
      </c>
      <c r="L326" t="str">
        <f>'(Raw) LensesGH'!F326</f>
        <v>Nikon F</v>
      </c>
      <c r="M326" t="str">
        <f>'(Raw) LensesGH'!G326</f>
        <v>APS-C/ Kleinbild</v>
      </c>
      <c r="N326" t="str">
        <f>'(Raw) LensesGH'!H326</f>
        <v>519g</v>
      </c>
      <c r="O326" s="5">
        <f t="shared" si="52"/>
        <v>519</v>
      </c>
      <c r="P326" t="str">
        <f>'(Raw) LensesGH'!I326</f>
        <v>77 x 84mm</v>
      </c>
      <c r="Q326" s="39">
        <f t="shared" si="53"/>
        <v>77</v>
      </c>
      <c r="R326" s="39">
        <f t="shared" si="45"/>
        <v>84</v>
      </c>
    </row>
    <row r="327" spans="1:18" x14ac:dyDescent="0.25">
      <c r="A327" t="str">
        <f>'(Raw) LensesGH'!A327</f>
        <v>Meyer Optik Görlitz Figmentum 35mm 2.0 für Canon EF silber</v>
      </c>
      <c r="B327" t="str">
        <f>'(Raw) LensesGH'!B327</f>
        <v>35mm</v>
      </c>
      <c r="C327" s="5">
        <f t="shared" si="46"/>
        <v>35</v>
      </c>
      <c r="D327" s="5">
        <f t="shared" si="47"/>
        <v>35</v>
      </c>
      <c r="E327" t="str">
        <f>'(Raw) LensesGH'!C327</f>
        <v>1:2.0</v>
      </c>
      <c r="F327" s="9">
        <f t="shared" si="48"/>
        <v>2</v>
      </c>
      <c r="G327" s="9">
        <f t="shared" si="49"/>
        <v>2</v>
      </c>
      <c r="H327" t="str">
        <f>'(Raw) LensesGH'!D327</f>
        <v>55mm</v>
      </c>
      <c r="I327" s="2">
        <f t="shared" si="50"/>
        <v>55</v>
      </c>
      <c r="J327" s="2">
        <f>'(Raw) LensesGH'!E327</f>
        <v>0</v>
      </c>
      <c r="K327" s="40">
        <f t="shared" si="51"/>
        <v>0</v>
      </c>
      <c r="L327" t="str">
        <f>'(Raw) LensesGH'!F327</f>
        <v>Canon EF</v>
      </c>
      <c r="M327" t="str">
        <f>'(Raw) LensesGH'!G327</f>
        <v>APS-C/ Kleinbild</v>
      </c>
      <c r="N327" t="str">
        <f>'(Raw) LensesGH'!H327</f>
        <v>370g</v>
      </c>
      <c r="O327" s="5">
        <f t="shared" si="52"/>
        <v>370</v>
      </c>
      <c r="P327">
        <f>'(Raw) LensesGH'!I327</f>
        <v>0</v>
      </c>
      <c r="Q327" s="39">
        <f t="shared" si="53"/>
        <v>0</v>
      </c>
      <c r="R327" s="39">
        <f t="shared" si="45"/>
        <v>0</v>
      </c>
    </row>
    <row r="328" spans="1:18" x14ac:dyDescent="0.25">
      <c r="A328" t="str">
        <f>'(Raw) LensesGH'!A328</f>
        <v>Meyer Optik Görlitz Figmentum 35mm 2.0 für Nikon F silber</v>
      </c>
      <c r="B328" t="str">
        <f>'(Raw) LensesGH'!B328</f>
        <v>35mm</v>
      </c>
      <c r="C328" s="5">
        <f t="shared" si="46"/>
        <v>35</v>
      </c>
      <c r="D328" s="5">
        <f t="shared" si="47"/>
        <v>35</v>
      </c>
      <c r="E328" t="str">
        <f>'(Raw) LensesGH'!C328</f>
        <v>1:2.0</v>
      </c>
      <c r="F328" s="9">
        <f t="shared" si="48"/>
        <v>2</v>
      </c>
      <c r="G328" s="9">
        <f t="shared" si="49"/>
        <v>2</v>
      </c>
      <c r="H328" t="str">
        <f>'(Raw) LensesGH'!D328</f>
        <v>55mm</v>
      </c>
      <c r="I328" s="2">
        <f t="shared" si="50"/>
        <v>55</v>
      </c>
      <c r="J328" s="2">
        <f>'(Raw) LensesGH'!E328</f>
        <v>0</v>
      </c>
      <c r="K328" s="40">
        <f t="shared" si="51"/>
        <v>0</v>
      </c>
      <c r="L328" t="str">
        <f>'(Raw) LensesGH'!F328</f>
        <v>Nikon F</v>
      </c>
      <c r="M328" t="str">
        <f>'(Raw) LensesGH'!G328</f>
        <v>APS-C/ Kleinbild</v>
      </c>
      <c r="N328" t="str">
        <f>'(Raw) LensesGH'!H328</f>
        <v>370g</v>
      </c>
      <c r="O328" s="5">
        <f t="shared" si="52"/>
        <v>370</v>
      </c>
      <c r="P328">
        <f>'(Raw) LensesGH'!I328</f>
        <v>0</v>
      </c>
      <c r="Q328" s="39">
        <f t="shared" si="53"/>
        <v>0</v>
      </c>
      <c r="R328" s="39">
        <f t="shared" si="45"/>
        <v>0</v>
      </c>
    </row>
    <row r="329" spans="1:18" x14ac:dyDescent="0.25">
      <c r="A329" t="str">
        <f>'(Raw) LensesGH'!A329</f>
        <v>Meyer Optik Görlitz Figmentum 85mm 2.0 für Canon EF silber</v>
      </c>
      <c r="B329" t="str">
        <f>'(Raw) LensesGH'!B329</f>
        <v>85mm</v>
      </c>
      <c r="C329" s="5">
        <f t="shared" si="46"/>
        <v>85</v>
      </c>
      <c r="D329" s="5">
        <f t="shared" si="47"/>
        <v>85</v>
      </c>
      <c r="E329" t="str">
        <f>'(Raw) LensesGH'!C329</f>
        <v>1:2.0</v>
      </c>
      <c r="F329" s="9">
        <f t="shared" si="48"/>
        <v>2</v>
      </c>
      <c r="G329" s="9">
        <f t="shared" si="49"/>
        <v>2</v>
      </c>
      <c r="H329" t="str">
        <f>'(Raw) LensesGH'!D329</f>
        <v>55mm</v>
      </c>
      <c r="I329" s="2">
        <f t="shared" si="50"/>
        <v>55</v>
      </c>
      <c r="J329" s="2">
        <f>'(Raw) LensesGH'!E329</f>
        <v>0</v>
      </c>
      <c r="K329" s="40">
        <f t="shared" si="51"/>
        <v>0</v>
      </c>
      <c r="L329" t="str">
        <f>'(Raw) LensesGH'!F329</f>
        <v>Canon EF</v>
      </c>
      <c r="M329" t="str">
        <f>'(Raw) LensesGH'!G329</f>
        <v>APS-C/ Kleinbild</v>
      </c>
      <c r="N329" t="str">
        <f>'(Raw) LensesGH'!H329</f>
        <v>425g</v>
      </c>
      <c r="O329" s="5">
        <f t="shared" si="52"/>
        <v>425</v>
      </c>
      <c r="P329">
        <f>'(Raw) LensesGH'!I329</f>
        <v>0</v>
      </c>
      <c r="Q329" s="39">
        <f t="shared" si="53"/>
        <v>0</v>
      </c>
      <c r="R329" s="39">
        <f t="shared" si="45"/>
        <v>0</v>
      </c>
    </row>
    <row r="330" spans="1:18" x14ac:dyDescent="0.25">
      <c r="A330" t="str">
        <f>'(Raw) LensesGH'!A330</f>
        <v>Meyer Optik Görlitz Figmentum 85mm 2.0 für Nikon F silber</v>
      </c>
      <c r="B330" t="str">
        <f>'(Raw) LensesGH'!B330</f>
        <v>85mm</v>
      </c>
      <c r="C330" s="5">
        <f t="shared" si="46"/>
        <v>85</v>
      </c>
      <c r="D330" s="5">
        <f t="shared" si="47"/>
        <v>85</v>
      </c>
      <c r="E330" t="str">
        <f>'(Raw) LensesGH'!C330</f>
        <v>1:2.0</v>
      </c>
      <c r="F330" s="9">
        <f t="shared" si="48"/>
        <v>2</v>
      </c>
      <c r="G330" s="9">
        <f t="shared" si="49"/>
        <v>2</v>
      </c>
      <c r="H330" t="str">
        <f>'(Raw) LensesGH'!D330</f>
        <v>55mm</v>
      </c>
      <c r="I330" s="2">
        <f t="shared" si="50"/>
        <v>55</v>
      </c>
      <c r="J330" s="2">
        <f>'(Raw) LensesGH'!E330</f>
        <v>0</v>
      </c>
      <c r="K330" s="40">
        <f t="shared" si="51"/>
        <v>0</v>
      </c>
      <c r="L330" t="str">
        <f>'(Raw) LensesGH'!F330</f>
        <v>Nikon F</v>
      </c>
      <c r="M330" t="str">
        <f>'(Raw) LensesGH'!G330</f>
        <v>APS-C/ Kleinbild</v>
      </c>
      <c r="N330" t="str">
        <f>'(Raw) LensesGH'!H330</f>
        <v>425g</v>
      </c>
      <c r="O330" s="5">
        <f t="shared" si="52"/>
        <v>425</v>
      </c>
      <c r="P330">
        <f>'(Raw) LensesGH'!I330</f>
        <v>0</v>
      </c>
      <c r="Q330" s="39">
        <f t="shared" si="53"/>
        <v>0</v>
      </c>
      <c r="R330" s="39">
        <f t="shared" si="45"/>
        <v>0</v>
      </c>
    </row>
    <row r="331" spans="1:18" x14ac:dyDescent="0.25">
      <c r="A331" t="str">
        <f>'(Raw) LensesGH'!A331</f>
        <v>Meyer Optik Görlitz Nocturnus 35mm 0.95 für Fujifilm X schwarz</v>
      </c>
      <c r="B331" t="str">
        <f>'(Raw) LensesGH'!B331</f>
        <v>35mm</v>
      </c>
      <c r="C331" s="5">
        <f t="shared" si="46"/>
        <v>35</v>
      </c>
      <c r="D331" s="5">
        <f t="shared" si="47"/>
        <v>35</v>
      </c>
      <c r="E331" t="str">
        <f>'(Raw) LensesGH'!C331</f>
        <v>1:0.95</v>
      </c>
      <c r="F331" s="9">
        <f t="shared" si="48"/>
        <v>0.95</v>
      </c>
      <c r="G331" s="9">
        <f t="shared" si="49"/>
        <v>0.95</v>
      </c>
      <c r="H331">
        <f>'(Raw) LensesGH'!D331</f>
        <v>0</v>
      </c>
      <c r="I331" s="2">
        <f t="shared" si="50"/>
        <v>0</v>
      </c>
      <c r="J331" s="2">
        <f>'(Raw) LensesGH'!E331</f>
        <v>0</v>
      </c>
      <c r="K331" s="40">
        <f t="shared" si="51"/>
        <v>0</v>
      </c>
      <c r="L331" t="str">
        <f>'(Raw) LensesGH'!F331</f>
        <v>Fujifilm X</v>
      </c>
      <c r="M331" t="str">
        <f>'(Raw) LensesGH'!G331</f>
        <v>APS-C</v>
      </c>
      <c r="N331" t="str">
        <f>'(Raw) LensesGH'!H331</f>
        <v>680g</v>
      </c>
      <c r="O331" s="5">
        <f t="shared" si="52"/>
        <v>680</v>
      </c>
      <c r="P331">
        <f>'(Raw) LensesGH'!I331</f>
        <v>0</v>
      </c>
      <c r="Q331" s="39">
        <f t="shared" si="53"/>
        <v>0</v>
      </c>
      <c r="R331" s="39">
        <f t="shared" si="45"/>
        <v>0</v>
      </c>
    </row>
    <row r="332" spans="1:18" x14ac:dyDescent="0.25">
      <c r="A332" t="str">
        <f>'(Raw) LensesGH'!A332</f>
        <v>Meyer Optik Görlitz Nocturnus 35mm 0.95 für Micro-Four-Thirds schwarz</v>
      </c>
      <c r="B332" t="str">
        <f>'(Raw) LensesGH'!B332</f>
        <v>35mm</v>
      </c>
      <c r="C332" s="5">
        <f t="shared" si="46"/>
        <v>35</v>
      </c>
      <c r="D332" s="5">
        <f t="shared" si="47"/>
        <v>35</v>
      </c>
      <c r="E332" t="str">
        <f>'(Raw) LensesGH'!C332</f>
        <v>1:0.95</v>
      </c>
      <c r="F332" s="9">
        <f t="shared" si="48"/>
        <v>0.95</v>
      </c>
      <c r="G332" s="9">
        <f t="shared" si="49"/>
        <v>0.95</v>
      </c>
      <c r="H332">
        <f>'(Raw) LensesGH'!D332</f>
        <v>0</v>
      </c>
      <c r="I332" s="2">
        <f t="shared" si="50"/>
        <v>0</v>
      </c>
      <c r="J332" s="2">
        <f>'(Raw) LensesGH'!E332</f>
        <v>0</v>
      </c>
      <c r="K332" s="40">
        <f t="shared" si="51"/>
        <v>0</v>
      </c>
      <c r="L332" t="str">
        <f>'(Raw) LensesGH'!F332</f>
        <v>Micro-Four-Thirds</v>
      </c>
      <c r="M332" t="str">
        <f>'(Raw) LensesGH'!G332</f>
        <v>APS-C</v>
      </c>
      <c r="N332" t="str">
        <f>'(Raw) LensesGH'!H332</f>
        <v>680g</v>
      </c>
      <c r="O332" s="5">
        <f t="shared" si="52"/>
        <v>680</v>
      </c>
      <c r="P332">
        <f>'(Raw) LensesGH'!I332</f>
        <v>0</v>
      </c>
      <c r="Q332" s="39">
        <f t="shared" si="53"/>
        <v>0</v>
      </c>
      <c r="R332" s="39">
        <f t="shared" si="45"/>
        <v>0</v>
      </c>
    </row>
    <row r="333" spans="1:18" x14ac:dyDescent="0.25">
      <c r="A333" t="str">
        <f>'(Raw) LensesGH'!A333</f>
        <v>Meyer Optik Görlitz Nocturnus 35mm 0.95 für Sony E schwarz</v>
      </c>
      <c r="B333" t="str">
        <f>'(Raw) LensesGH'!B333</f>
        <v>35mm</v>
      </c>
      <c r="C333" s="5">
        <f t="shared" si="46"/>
        <v>35</v>
      </c>
      <c r="D333" s="5">
        <f t="shared" si="47"/>
        <v>35</v>
      </c>
      <c r="E333" t="str">
        <f>'(Raw) LensesGH'!C333</f>
        <v>1:0.95</v>
      </c>
      <c r="F333" s="9">
        <f t="shared" si="48"/>
        <v>0.95</v>
      </c>
      <c r="G333" s="9">
        <f t="shared" si="49"/>
        <v>0.95</v>
      </c>
      <c r="H333">
        <f>'(Raw) LensesGH'!D333</f>
        <v>0</v>
      </c>
      <c r="I333" s="2">
        <f t="shared" si="50"/>
        <v>0</v>
      </c>
      <c r="J333" s="2">
        <f>'(Raw) LensesGH'!E333</f>
        <v>0</v>
      </c>
      <c r="K333" s="40">
        <f t="shared" si="51"/>
        <v>0</v>
      </c>
      <c r="L333" t="str">
        <f>'(Raw) LensesGH'!F333</f>
        <v>Sony E</v>
      </c>
      <c r="M333" t="str">
        <f>'(Raw) LensesGH'!G333</f>
        <v>APS-C</v>
      </c>
      <c r="N333" t="str">
        <f>'(Raw) LensesGH'!H333</f>
        <v>680g</v>
      </c>
      <c r="O333" s="5">
        <f t="shared" si="52"/>
        <v>680</v>
      </c>
      <c r="P333">
        <f>'(Raw) LensesGH'!I333</f>
        <v>0</v>
      </c>
      <c r="Q333" s="39">
        <f t="shared" si="53"/>
        <v>0</v>
      </c>
      <c r="R333" s="39">
        <f t="shared" si="45"/>
        <v>0</v>
      </c>
    </row>
    <row r="334" spans="1:18" x14ac:dyDescent="0.25">
      <c r="A334" t="str">
        <f>'(Raw) LensesGH'!A334</f>
        <v>Meyer Optik Görlitz Nocturnus 50mm 0.95 für Sony E schwarz</v>
      </c>
      <c r="B334" t="str">
        <f>'(Raw) LensesGH'!B334</f>
        <v>50mm</v>
      </c>
      <c r="C334" s="5">
        <f t="shared" si="46"/>
        <v>50</v>
      </c>
      <c r="D334" s="5">
        <f t="shared" si="47"/>
        <v>50</v>
      </c>
      <c r="E334" t="str">
        <f>'(Raw) LensesGH'!C334</f>
        <v>1:0.95</v>
      </c>
      <c r="F334" s="9">
        <f t="shared" si="48"/>
        <v>0.95</v>
      </c>
      <c r="G334" s="9">
        <f t="shared" si="49"/>
        <v>0.95</v>
      </c>
      <c r="H334">
        <f>'(Raw) LensesGH'!D334</f>
        <v>0</v>
      </c>
      <c r="I334" s="2">
        <f t="shared" si="50"/>
        <v>0</v>
      </c>
      <c r="J334" s="2">
        <f>'(Raw) LensesGH'!E334</f>
        <v>0</v>
      </c>
      <c r="K334" s="40">
        <f t="shared" si="51"/>
        <v>0</v>
      </c>
      <c r="L334" t="str">
        <f>'(Raw) LensesGH'!F334</f>
        <v>Sony E</v>
      </c>
      <c r="M334" t="str">
        <f>'(Raw) LensesGH'!G334</f>
        <v>APS-C/ Kleinbild</v>
      </c>
      <c r="N334" t="str">
        <f>'(Raw) LensesGH'!H334</f>
        <v>720g</v>
      </c>
      <c r="O334" s="5">
        <f t="shared" si="52"/>
        <v>720</v>
      </c>
      <c r="P334">
        <f>'(Raw) LensesGH'!I334</f>
        <v>0</v>
      </c>
      <c r="Q334" s="39">
        <f t="shared" si="53"/>
        <v>0</v>
      </c>
      <c r="R334" s="39">
        <f t="shared" si="45"/>
        <v>0</v>
      </c>
    </row>
    <row r="335" spans="1:18" x14ac:dyDescent="0.25">
      <c r="A335" t="str">
        <f>'(Raw) LensesGH'!A335</f>
        <v>Meyer Optik Görlitz Nocturnus 50mm 0.95 II für Sony E schwarz</v>
      </c>
      <c r="B335" t="str">
        <f>'(Raw) LensesGH'!B335</f>
        <v>50mm</v>
      </c>
      <c r="C335" s="5">
        <f t="shared" si="46"/>
        <v>50</v>
      </c>
      <c r="D335" s="5">
        <f t="shared" si="47"/>
        <v>50</v>
      </c>
      <c r="E335" t="str">
        <f>'(Raw) LensesGH'!C335</f>
        <v>1:0.95</v>
      </c>
      <c r="F335" s="9">
        <f t="shared" si="48"/>
        <v>0.95</v>
      </c>
      <c r="G335" s="9">
        <f t="shared" si="49"/>
        <v>0.95</v>
      </c>
      <c r="H335" t="str">
        <f>'(Raw) LensesGH'!D335</f>
        <v>67mm</v>
      </c>
      <c r="I335" s="2">
        <f t="shared" si="50"/>
        <v>67</v>
      </c>
      <c r="J335" s="2">
        <f>'(Raw) LensesGH'!E335</f>
        <v>0</v>
      </c>
      <c r="K335" s="40">
        <f t="shared" si="51"/>
        <v>0</v>
      </c>
      <c r="L335" t="str">
        <f>'(Raw) LensesGH'!F335</f>
        <v>Sony E</v>
      </c>
      <c r="M335" t="str">
        <f>'(Raw) LensesGH'!G335</f>
        <v>APS-C/ Kleinbild</v>
      </c>
      <c r="N335" t="str">
        <f>'(Raw) LensesGH'!H335</f>
        <v>680g</v>
      </c>
      <c r="O335" s="5">
        <f t="shared" si="52"/>
        <v>680</v>
      </c>
      <c r="P335">
        <f>'(Raw) LensesGH'!I335</f>
        <v>0</v>
      </c>
      <c r="Q335" s="39">
        <f t="shared" si="53"/>
        <v>0</v>
      </c>
      <c r="R335" s="39">
        <f t="shared" si="45"/>
        <v>0</v>
      </c>
    </row>
    <row r="336" spans="1:18" x14ac:dyDescent="0.25">
      <c r="A336" t="str">
        <f>'(Raw) LensesGH'!A336</f>
        <v>Meyer Optik Görlitz Primoplan 58mm 1.9 für Canon EF schwarz</v>
      </c>
      <c r="B336" t="str">
        <f>'(Raw) LensesGH'!B336</f>
        <v>58mm</v>
      </c>
      <c r="C336" s="5">
        <f t="shared" si="46"/>
        <v>58</v>
      </c>
      <c r="D336" s="5">
        <f t="shared" si="47"/>
        <v>58</v>
      </c>
      <c r="E336" t="str">
        <f>'(Raw) LensesGH'!C336</f>
        <v>1:1.9</v>
      </c>
      <c r="F336" s="9">
        <f t="shared" si="48"/>
        <v>1.9</v>
      </c>
      <c r="G336" s="9">
        <f t="shared" si="49"/>
        <v>1.9</v>
      </c>
      <c r="H336" t="str">
        <f>'(Raw) LensesGH'!D336</f>
        <v>37mm</v>
      </c>
      <c r="I336" s="2">
        <f t="shared" si="50"/>
        <v>37</v>
      </c>
      <c r="J336" s="2">
        <f>'(Raw) LensesGH'!E336</f>
        <v>0</v>
      </c>
      <c r="K336" s="40">
        <f t="shared" si="51"/>
        <v>0</v>
      </c>
      <c r="L336" t="str">
        <f>'(Raw) LensesGH'!F336</f>
        <v>Canon EF</v>
      </c>
      <c r="M336" t="str">
        <f>'(Raw) LensesGH'!G336</f>
        <v>APS-C/ Kleinbild</v>
      </c>
      <c r="N336" t="str">
        <f>'(Raw) LensesGH'!H336</f>
        <v>200g</v>
      </c>
      <c r="O336" s="5">
        <f t="shared" si="52"/>
        <v>200</v>
      </c>
      <c r="P336">
        <f>'(Raw) LensesGH'!I336</f>
        <v>0</v>
      </c>
      <c r="Q336" s="39">
        <f t="shared" si="53"/>
        <v>0</v>
      </c>
      <c r="R336" s="39">
        <f t="shared" si="45"/>
        <v>0</v>
      </c>
    </row>
    <row r="337" spans="1:18" x14ac:dyDescent="0.25">
      <c r="A337" t="str">
        <f>'(Raw) LensesGH'!A337</f>
        <v>Meyer Optik Görlitz Primoplan 58mm 1.9 für Fujifilm X schwarz</v>
      </c>
      <c r="B337" t="str">
        <f>'(Raw) LensesGH'!B337</f>
        <v>58mm</v>
      </c>
      <c r="C337" s="5">
        <f t="shared" si="46"/>
        <v>58</v>
      </c>
      <c r="D337" s="5">
        <f t="shared" si="47"/>
        <v>58</v>
      </c>
      <c r="E337" t="str">
        <f>'(Raw) LensesGH'!C337</f>
        <v>1:1.9</v>
      </c>
      <c r="F337" s="9">
        <f t="shared" si="48"/>
        <v>1.9</v>
      </c>
      <c r="G337" s="9">
        <f t="shared" si="49"/>
        <v>1.9</v>
      </c>
      <c r="H337" t="str">
        <f>'(Raw) LensesGH'!D337</f>
        <v>37mm</v>
      </c>
      <c r="I337" s="2">
        <f t="shared" si="50"/>
        <v>37</v>
      </c>
      <c r="J337" s="2">
        <f>'(Raw) LensesGH'!E337</f>
        <v>0</v>
      </c>
      <c r="K337" s="40">
        <f t="shared" si="51"/>
        <v>0</v>
      </c>
      <c r="L337" t="str">
        <f>'(Raw) LensesGH'!F337</f>
        <v>Fujifilm X</v>
      </c>
      <c r="M337" t="str">
        <f>'(Raw) LensesGH'!G337</f>
        <v>APS-C/ Kleinbild</v>
      </c>
      <c r="N337" t="str">
        <f>'(Raw) LensesGH'!H337</f>
        <v>200g</v>
      </c>
      <c r="O337" s="5">
        <f t="shared" si="52"/>
        <v>200</v>
      </c>
      <c r="P337">
        <f>'(Raw) LensesGH'!I337</f>
        <v>0</v>
      </c>
      <c r="Q337" s="39">
        <f t="shared" si="53"/>
        <v>0</v>
      </c>
      <c r="R337" s="39">
        <f t="shared" si="45"/>
        <v>0</v>
      </c>
    </row>
    <row r="338" spans="1:18" x14ac:dyDescent="0.25">
      <c r="A338" t="str">
        <f>'(Raw) LensesGH'!A338</f>
        <v>Meyer Optik Görlitz Primoplan 58mm 1.9 für Leica L schwarz</v>
      </c>
      <c r="B338" t="str">
        <f>'(Raw) LensesGH'!B338</f>
        <v>58mm</v>
      </c>
      <c r="C338" s="5">
        <f t="shared" si="46"/>
        <v>58</v>
      </c>
      <c r="D338" s="5">
        <f t="shared" si="47"/>
        <v>58</v>
      </c>
      <c r="E338" t="str">
        <f>'(Raw) LensesGH'!C338</f>
        <v>1:1.9</v>
      </c>
      <c r="F338" s="9">
        <f t="shared" si="48"/>
        <v>1.9</v>
      </c>
      <c r="G338" s="9">
        <f t="shared" si="49"/>
        <v>1.9</v>
      </c>
      <c r="H338" t="str">
        <f>'(Raw) LensesGH'!D338</f>
        <v>37mm</v>
      </c>
      <c r="I338" s="2">
        <f t="shared" si="50"/>
        <v>37</v>
      </c>
      <c r="J338" s="2">
        <f>'(Raw) LensesGH'!E338</f>
        <v>0</v>
      </c>
      <c r="K338" s="40">
        <f t="shared" si="51"/>
        <v>0</v>
      </c>
      <c r="L338" t="str">
        <f>'(Raw) LensesGH'!F338</f>
        <v>Leica L</v>
      </c>
      <c r="M338" t="str">
        <f>'(Raw) LensesGH'!G338</f>
        <v>APS-C/ Kleinbild</v>
      </c>
      <c r="N338" t="str">
        <f>'(Raw) LensesGH'!H338</f>
        <v>200g</v>
      </c>
      <c r="O338" s="5">
        <f t="shared" si="52"/>
        <v>200</v>
      </c>
      <c r="P338">
        <f>'(Raw) LensesGH'!I338</f>
        <v>0</v>
      </c>
      <c r="Q338" s="39">
        <f t="shared" si="53"/>
        <v>0</v>
      </c>
      <c r="R338" s="39">
        <f t="shared" si="45"/>
        <v>0</v>
      </c>
    </row>
    <row r="339" spans="1:18" x14ac:dyDescent="0.25">
      <c r="A339" t="str">
        <f>'(Raw) LensesGH'!A339</f>
        <v>Meyer Optik Görlitz Primoplan 58mm 1.9 für Leica M schwarz</v>
      </c>
      <c r="B339" t="str">
        <f>'(Raw) LensesGH'!B339</f>
        <v>58mm</v>
      </c>
      <c r="C339" s="5">
        <f t="shared" si="46"/>
        <v>58</v>
      </c>
      <c r="D339" s="5">
        <f t="shared" si="47"/>
        <v>58</v>
      </c>
      <c r="E339" t="str">
        <f>'(Raw) LensesGH'!C339</f>
        <v>1:1.9</v>
      </c>
      <c r="F339" s="9">
        <f t="shared" si="48"/>
        <v>1.9</v>
      </c>
      <c r="G339" s="9">
        <f t="shared" si="49"/>
        <v>1.9</v>
      </c>
      <c r="H339" t="str">
        <f>'(Raw) LensesGH'!D339</f>
        <v>37mm</v>
      </c>
      <c r="I339" s="2">
        <f t="shared" si="50"/>
        <v>37</v>
      </c>
      <c r="J339" s="2">
        <f>'(Raw) LensesGH'!E339</f>
        <v>0</v>
      </c>
      <c r="K339" s="40">
        <f t="shared" si="51"/>
        <v>0</v>
      </c>
      <c r="L339" t="str">
        <f>'(Raw) LensesGH'!F339</f>
        <v>Leica M</v>
      </c>
      <c r="M339" t="str">
        <f>'(Raw) LensesGH'!G339</f>
        <v>APS-C/ Kleinbild</v>
      </c>
      <c r="N339" t="str">
        <f>'(Raw) LensesGH'!H339</f>
        <v>200g</v>
      </c>
      <c r="O339" s="5">
        <f t="shared" si="52"/>
        <v>200</v>
      </c>
      <c r="P339">
        <f>'(Raw) LensesGH'!I339</f>
        <v>0</v>
      </c>
      <c r="Q339" s="39">
        <f t="shared" si="53"/>
        <v>0</v>
      </c>
      <c r="R339" s="39">
        <f t="shared" si="45"/>
        <v>0</v>
      </c>
    </row>
    <row r="340" spans="1:18" x14ac:dyDescent="0.25">
      <c r="A340" t="str">
        <f>'(Raw) LensesGH'!A340</f>
        <v>Meyer Optik Görlitz Primoplan 58mm 1.9 für M42 schwarz</v>
      </c>
      <c r="B340" t="str">
        <f>'(Raw) LensesGH'!B340</f>
        <v>58mm</v>
      </c>
      <c r="C340" s="5">
        <f t="shared" si="46"/>
        <v>58</v>
      </c>
      <c r="D340" s="5">
        <f t="shared" si="47"/>
        <v>58</v>
      </c>
      <c r="E340" t="str">
        <f>'(Raw) LensesGH'!C340</f>
        <v>1:1.9</v>
      </c>
      <c r="F340" s="9">
        <f t="shared" si="48"/>
        <v>1.9</v>
      </c>
      <c r="G340" s="9">
        <f t="shared" si="49"/>
        <v>1.9</v>
      </c>
      <c r="H340" t="str">
        <f>'(Raw) LensesGH'!D340</f>
        <v>37mm</v>
      </c>
      <c r="I340" s="2">
        <f t="shared" si="50"/>
        <v>37</v>
      </c>
      <c r="J340" s="2">
        <f>'(Raw) LensesGH'!E340</f>
        <v>0</v>
      </c>
      <c r="K340" s="40">
        <f t="shared" si="51"/>
        <v>0</v>
      </c>
      <c r="L340" t="str">
        <f>'(Raw) LensesGH'!F340</f>
        <v>M42</v>
      </c>
      <c r="M340" t="str">
        <f>'(Raw) LensesGH'!G340</f>
        <v>APS-C/ Kleinbild</v>
      </c>
      <c r="N340" t="str">
        <f>'(Raw) LensesGH'!H340</f>
        <v>200g</v>
      </c>
      <c r="O340" s="5">
        <f t="shared" si="52"/>
        <v>200</v>
      </c>
      <c r="P340">
        <f>'(Raw) LensesGH'!I340</f>
        <v>0</v>
      </c>
      <c r="Q340" s="39">
        <f t="shared" si="53"/>
        <v>0</v>
      </c>
      <c r="R340" s="39">
        <f t="shared" si="45"/>
        <v>0</v>
      </c>
    </row>
    <row r="341" spans="1:18" x14ac:dyDescent="0.25">
      <c r="A341" t="str">
        <f>'(Raw) LensesGH'!A341</f>
        <v>Meyer Optik Görlitz Primoplan 58mm 1.9 für Micro-Four-Thirds schwarz</v>
      </c>
      <c r="B341" t="str">
        <f>'(Raw) LensesGH'!B341</f>
        <v>58mm</v>
      </c>
      <c r="C341" s="5">
        <f t="shared" si="46"/>
        <v>58</v>
      </c>
      <c r="D341" s="5">
        <f t="shared" si="47"/>
        <v>58</v>
      </c>
      <c r="E341" t="str">
        <f>'(Raw) LensesGH'!C341</f>
        <v>1:1.9</v>
      </c>
      <c r="F341" s="9">
        <f t="shared" si="48"/>
        <v>1.9</v>
      </c>
      <c r="G341" s="9">
        <f t="shared" si="49"/>
        <v>1.9</v>
      </c>
      <c r="H341" t="str">
        <f>'(Raw) LensesGH'!D341</f>
        <v>37mm</v>
      </c>
      <c r="I341" s="2">
        <f t="shared" si="50"/>
        <v>37</v>
      </c>
      <c r="J341" s="2">
        <f>'(Raw) LensesGH'!E341</f>
        <v>0</v>
      </c>
      <c r="K341" s="40">
        <f t="shared" si="51"/>
        <v>0</v>
      </c>
      <c r="L341" t="str">
        <f>'(Raw) LensesGH'!F341</f>
        <v>Micro-Four-Thirds</v>
      </c>
      <c r="M341" t="str">
        <f>'(Raw) LensesGH'!G341</f>
        <v>APS-C/ Kleinbild</v>
      </c>
      <c r="N341" t="str">
        <f>'(Raw) LensesGH'!H341</f>
        <v>200g</v>
      </c>
      <c r="O341" s="5">
        <f t="shared" si="52"/>
        <v>200</v>
      </c>
      <c r="P341">
        <f>'(Raw) LensesGH'!I341</f>
        <v>0</v>
      </c>
      <c r="Q341" s="39">
        <f t="shared" si="53"/>
        <v>0</v>
      </c>
      <c r="R341" s="39">
        <f t="shared" si="45"/>
        <v>0</v>
      </c>
    </row>
    <row r="342" spans="1:18" x14ac:dyDescent="0.25">
      <c r="A342" t="str">
        <f>'(Raw) LensesGH'!A342</f>
        <v>Meyer Optik Görlitz Primoplan 58mm 1.9 für Nikon F schwarz</v>
      </c>
      <c r="B342" t="str">
        <f>'(Raw) LensesGH'!B342</f>
        <v>58mm</v>
      </c>
      <c r="C342" s="5">
        <f t="shared" si="46"/>
        <v>58</v>
      </c>
      <c r="D342" s="5">
        <f t="shared" si="47"/>
        <v>58</v>
      </c>
      <c r="E342" t="str">
        <f>'(Raw) LensesGH'!C342</f>
        <v>1:1.9</v>
      </c>
      <c r="F342" s="9">
        <f t="shared" si="48"/>
        <v>1.9</v>
      </c>
      <c r="G342" s="9">
        <f t="shared" si="49"/>
        <v>1.9</v>
      </c>
      <c r="H342" t="str">
        <f>'(Raw) LensesGH'!D342</f>
        <v>37mm</v>
      </c>
      <c r="I342" s="2">
        <f t="shared" si="50"/>
        <v>37</v>
      </c>
      <c r="J342" s="2">
        <f>'(Raw) LensesGH'!E342</f>
        <v>0</v>
      </c>
      <c r="K342" s="40">
        <f t="shared" si="51"/>
        <v>0</v>
      </c>
      <c r="L342" t="str">
        <f>'(Raw) LensesGH'!F342</f>
        <v>Nikon F</v>
      </c>
      <c r="M342" t="str">
        <f>'(Raw) LensesGH'!G342</f>
        <v>APS-C/ Kleinbild</v>
      </c>
      <c r="N342" t="str">
        <f>'(Raw) LensesGH'!H342</f>
        <v>200g</v>
      </c>
      <c r="O342" s="5">
        <f t="shared" si="52"/>
        <v>200</v>
      </c>
      <c r="P342">
        <f>'(Raw) LensesGH'!I342</f>
        <v>0</v>
      </c>
      <c r="Q342" s="39">
        <f t="shared" si="53"/>
        <v>0</v>
      </c>
      <c r="R342" s="39">
        <f t="shared" si="45"/>
        <v>0</v>
      </c>
    </row>
    <row r="343" spans="1:18" x14ac:dyDescent="0.25">
      <c r="A343" t="str">
        <f>'(Raw) LensesGH'!A343</f>
        <v>Meyer Optik Görlitz Primoplan 58mm 1.9 für Pentax K schwarz</v>
      </c>
      <c r="B343" t="str">
        <f>'(Raw) LensesGH'!B343</f>
        <v>58mm</v>
      </c>
      <c r="C343" s="5">
        <f t="shared" si="46"/>
        <v>58</v>
      </c>
      <c r="D343" s="5">
        <f t="shared" si="47"/>
        <v>58</v>
      </c>
      <c r="E343" t="str">
        <f>'(Raw) LensesGH'!C343</f>
        <v>1:1.9</v>
      </c>
      <c r="F343" s="9">
        <f t="shared" si="48"/>
        <v>1.9</v>
      </c>
      <c r="G343" s="9">
        <f t="shared" si="49"/>
        <v>1.9</v>
      </c>
      <c r="H343" t="str">
        <f>'(Raw) LensesGH'!D343</f>
        <v>37mm</v>
      </c>
      <c r="I343" s="2">
        <f t="shared" si="50"/>
        <v>37</v>
      </c>
      <c r="J343" s="2">
        <f>'(Raw) LensesGH'!E343</f>
        <v>0</v>
      </c>
      <c r="K343" s="40">
        <f t="shared" si="51"/>
        <v>0</v>
      </c>
      <c r="L343" t="str">
        <f>'(Raw) LensesGH'!F343</f>
        <v>Pentax K</v>
      </c>
      <c r="M343" t="str">
        <f>'(Raw) LensesGH'!G343</f>
        <v>APS-C/ Kleinbild</v>
      </c>
      <c r="N343" t="str">
        <f>'(Raw) LensesGH'!H343</f>
        <v>200g</v>
      </c>
      <c r="O343" s="5">
        <f t="shared" si="52"/>
        <v>200</v>
      </c>
      <c r="P343">
        <f>'(Raw) LensesGH'!I343</f>
        <v>0</v>
      </c>
      <c r="Q343" s="39">
        <f t="shared" si="53"/>
        <v>0</v>
      </c>
      <c r="R343" s="39">
        <f t="shared" si="45"/>
        <v>0</v>
      </c>
    </row>
    <row r="344" spans="1:18" x14ac:dyDescent="0.25">
      <c r="A344" t="str">
        <f>'(Raw) LensesGH'!A344</f>
        <v>Meyer Optik Görlitz Primoplan 58mm 1.9 für Sony E schwarz</v>
      </c>
      <c r="B344" t="str">
        <f>'(Raw) LensesGH'!B344</f>
        <v>58mm</v>
      </c>
      <c r="C344" s="5">
        <f t="shared" si="46"/>
        <v>58</v>
      </c>
      <c r="D344" s="5">
        <f t="shared" si="47"/>
        <v>58</v>
      </c>
      <c r="E344" t="str">
        <f>'(Raw) LensesGH'!C344</f>
        <v>1:1.9</v>
      </c>
      <c r="F344" s="9">
        <f t="shared" si="48"/>
        <v>1.9</v>
      </c>
      <c r="G344" s="9">
        <f t="shared" si="49"/>
        <v>1.9</v>
      </c>
      <c r="H344" t="str">
        <f>'(Raw) LensesGH'!D344</f>
        <v>37mm</v>
      </c>
      <c r="I344" s="2">
        <f t="shared" si="50"/>
        <v>37</v>
      </c>
      <c r="J344" s="2">
        <f>'(Raw) LensesGH'!E344</f>
        <v>0</v>
      </c>
      <c r="K344" s="40">
        <f t="shared" si="51"/>
        <v>0</v>
      </c>
      <c r="L344" t="str">
        <f>'(Raw) LensesGH'!F344</f>
        <v>Sony E</v>
      </c>
      <c r="M344" t="str">
        <f>'(Raw) LensesGH'!G344</f>
        <v>APS-C/ Kleinbild</v>
      </c>
      <c r="N344" t="str">
        <f>'(Raw) LensesGH'!H344</f>
        <v>200g</v>
      </c>
      <c r="O344" s="5">
        <f t="shared" si="52"/>
        <v>200</v>
      </c>
      <c r="P344">
        <f>'(Raw) LensesGH'!I344</f>
        <v>0</v>
      </c>
      <c r="Q344" s="39">
        <f t="shared" si="53"/>
        <v>0</v>
      </c>
      <c r="R344" s="39">
        <f t="shared" si="45"/>
        <v>0</v>
      </c>
    </row>
    <row r="345" spans="1:18" x14ac:dyDescent="0.25">
      <c r="A345" t="str">
        <f>'(Raw) LensesGH'!A345</f>
        <v>Meyer Optik Görlitz Primoplan 75mm 1.9 für Canon EF schwarz</v>
      </c>
      <c r="B345" t="str">
        <f>'(Raw) LensesGH'!B345</f>
        <v>75mm</v>
      </c>
      <c r="C345" s="5">
        <f t="shared" si="46"/>
        <v>75</v>
      </c>
      <c r="D345" s="5">
        <f t="shared" si="47"/>
        <v>75</v>
      </c>
      <c r="E345" t="str">
        <f>'(Raw) LensesGH'!C345</f>
        <v>1:1.9</v>
      </c>
      <c r="F345" s="9">
        <f t="shared" si="48"/>
        <v>1.9</v>
      </c>
      <c r="G345" s="9">
        <f t="shared" si="49"/>
        <v>1.9</v>
      </c>
      <c r="H345" t="str">
        <f>'(Raw) LensesGH'!D345</f>
        <v>52mm</v>
      </c>
      <c r="I345" s="2">
        <f t="shared" si="50"/>
        <v>52</v>
      </c>
      <c r="J345" s="2">
        <f>'(Raw) LensesGH'!E345</f>
        <v>0</v>
      </c>
      <c r="K345" s="40">
        <f t="shared" si="51"/>
        <v>0</v>
      </c>
      <c r="L345" t="str">
        <f>'(Raw) LensesGH'!F345</f>
        <v>Canon EF</v>
      </c>
      <c r="M345" t="str">
        <f>'(Raw) LensesGH'!G345</f>
        <v>APS-C/ Kleinbild</v>
      </c>
      <c r="N345" t="str">
        <f>'(Raw) LensesGH'!H345</f>
        <v>300g</v>
      </c>
      <c r="O345" s="5">
        <f t="shared" si="52"/>
        <v>300</v>
      </c>
      <c r="P345" t="str">
        <f>'(Raw) LensesGH'!I345</f>
        <v>58 x 55mm</v>
      </c>
      <c r="Q345" s="39">
        <f t="shared" si="53"/>
        <v>58</v>
      </c>
      <c r="R345" s="39">
        <f t="shared" si="45"/>
        <v>55</v>
      </c>
    </row>
    <row r="346" spans="1:18" x14ac:dyDescent="0.25">
      <c r="A346" t="str">
        <f>'(Raw) LensesGH'!A346</f>
        <v>Meyer Optik Görlitz Primoplan 75mm 1.9 für Fujifilm X schwarz</v>
      </c>
      <c r="B346" t="str">
        <f>'(Raw) LensesGH'!B346</f>
        <v>75mm</v>
      </c>
      <c r="C346" s="5">
        <f t="shared" si="46"/>
        <v>75</v>
      </c>
      <c r="D346" s="5">
        <f t="shared" si="47"/>
        <v>75</v>
      </c>
      <c r="E346" t="str">
        <f>'(Raw) LensesGH'!C346</f>
        <v>1:1.9</v>
      </c>
      <c r="F346" s="9">
        <f t="shared" si="48"/>
        <v>1.9</v>
      </c>
      <c r="G346" s="9">
        <f t="shared" si="49"/>
        <v>1.9</v>
      </c>
      <c r="H346" t="str">
        <f>'(Raw) LensesGH'!D346</f>
        <v>52mm</v>
      </c>
      <c r="I346" s="2">
        <f t="shared" si="50"/>
        <v>52</v>
      </c>
      <c r="J346" s="2">
        <f>'(Raw) LensesGH'!E346</f>
        <v>0</v>
      </c>
      <c r="K346" s="40">
        <f t="shared" si="51"/>
        <v>0</v>
      </c>
      <c r="L346" t="str">
        <f>'(Raw) LensesGH'!F346</f>
        <v>Fujifilm X</v>
      </c>
      <c r="M346" t="str">
        <f>'(Raw) LensesGH'!G346</f>
        <v>APS-C/ Kleinbild</v>
      </c>
      <c r="N346" t="str">
        <f>'(Raw) LensesGH'!H346</f>
        <v>300g</v>
      </c>
      <c r="O346" s="5">
        <f t="shared" si="52"/>
        <v>300</v>
      </c>
      <c r="P346" t="str">
        <f>'(Raw) LensesGH'!I346</f>
        <v>58 x 55mm</v>
      </c>
      <c r="Q346" s="39">
        <f t="shared" si="53"/>
        <v>58</v>
      </c>
      <c r="R346" s="39">
        <f t="shared" si="45"/>
        <v>55</v>
      </c>
    </row>
    <row r="347" spans="1:18" x14ac:dyDescent="0.25">
      <c r="A347" t="str">
        <f>'(Raw) LensesGH'!A347</f>
        <v>Meyer Optik Görlitz Primoplan 75mm 1.9 für Leica L schwarz</v>
      </c>
      <c r="B347" t="str">
        <f>'(Raw) LensesGH'!B347</f>
        <v>75mm</v>
      </c>
      <c r="C347" s="5">
        <f t="shared" si="46"/>
        <v>75</v>
      </c>
      <c r="D347" s="5">
        <f t="shared" si="47"/>
        <v>75</v>
      </c>
      <c r="E347" t="str">
        <f>'(Raw) LensesGH'!C347</f>
        <v>1:1.9</v>
      </c>
      <c r="F347" s="9">
        <f t="shared" si="48"/>
        <v>1.9</v>
      </c>
      <c r="G347" s="9">
        <f t="shared" si="49"/>
        <v>1.9</v>
      </c>
      <c r="H347" t="str">
        <f>'(Raw) LensesGH'!D347</f>
        <v>52mm</v>
      </c>
      <c r="I347" s="2">
        <f t="shared" si="50"/>
        <v>52</v>
      </c>
      <c r="J347" s="2">
        <f>'(Raw) LensesGH'!E347</f>
        <v>0</v>
      </c>
      <c r="K347" s="40">
        <f t="shared" si="51"/>
        <v>0</v>
      </c>
      <c r="L347" t="str">
        <f>'(Raw) LensesGH'!F347</f>
        <v>Leica L</v>
      </c>
      <c r="M347" t="str">
        <f>'(Raw) LensesGH'!G347</f>
        <v>APS-C/ Kleinbild</v>
      </c>
      <c r="N347" t="str">
        <f>'(Raw) LensesGH'!H347</f>
        <v>300g</v>
      </c>
      <c r="O347" s="5">
        <f t="shared" si="52"/>
        <v>300</v>
      </c>
      <c r="P347" t="str">
        <f>'(Raw) LensesGH'!I347</f>
        <v>58 x 55mm</v>
      </c>
      <c r="Q347" s="39">
        <f t="shared" si="53"/>
        <v>58</v>
      </c>
      <c r="R347" s="39">
        <f t="shared" si="45"/>
        <v>55</v>
      </c>
    </row>
    <row r="348" spans="1:18" x14ac:dyDescent="0.25">
      <c r="A348" t="str">
        <f>'(Raw) LensesGH'!A348</f>
        <v>Meyer Optik Görlitz Primoplan 75mm 1.9 für Leica M schwarz</v>
      </c>
      <c r="B348" t="str">
        <f>'(Raw) LensesGH'!B348</f>
        <v>75mm</v>
      </c>
      <c r="C348" s="5">
        <f t="shared" si="46"/>
        <v>75</v>
      </c>
      <c r="D348" s="5">
        <f t="shared" si="47"/>
        <v>75</v>
      </c>
      <c r="E348" t="str">
        <f>'(Raw) LensesGH'!C348</f>
        <v>1:1.9</v>
      </c>
      <c r="F348" s="9">
        <f t="shared" si="48"/>
        <v>1.9</v>
      </c>
      <c r="G348" s="9">
        <f t="shared" si="49"/>
        <v>1.9</v>
      </c>
      <c r="H348" t="str">
        <f>'(Raw) LensesGH'!D348</f>
        <v>52mm</v>
      </c>
      <c r="I348" s="2">
        <f t="shared" si="50"/>
        <v>52</v>
      </c>
      <c r="J348" s="2">
        <f>'(Raw) LensesGH'!E348</f>
        <v>0</v>
      </c>
      <c r="K348" s="40">
        <f t="shared" si="51"/>
        <v>0</v>
      </c>
      <c r="L348" t="str">
        <f>'(Raw) LensesGH'!F348</f>
        <v>Leica M</v>
      </c>
      <c r="M348" t="str">
        <f>'(Raw) LensesGH'!G348</f>
        <v>APS-C/ Kleinbild</v>
      </c>
      <c r="N348" t="str">
        <f>'(Raw) LensesGH'!H348</f>
        <v>300g</v>
      </c>
      <c r="O348" s="5">
        <f t="shared" si="52"/>
        <v>300</v>
      </c>
      <c r="P348" t="str">
        <f>'(Raw) LensesGH'!I348</f>
        <v>58 x 55mm</v>
      </c>
      <c r="Q348" s="39">
        <f t="shared" si="53"/>
        <v>58</v>
      </c>
      <c r="R348" s="39">
        <f t="shared" si="45"/>
        <v>55</v>
      </c>
    </row>
    <row r="349" spans="1:18" x14ac:dyDescent="0.25">
      <c r="A349" t="str">
        <f>'(Raw) LensesGH'!A349</f>
        <v>Meyer Optik Görlitz Primoplan 75mm 1.9 für M42 schwarz</v>
      </c>
      <c r="B349" t="str">
        <f>'(Raw) LensesGH'!B349</f>
        <v>75mm</v>
      </c>
      <c r="C349" s="5">
        <f t="shared" si="46"/>
        <v>75</v>
      </c>
      <c r="D349" s="5">
        <f t="shared" si="47"/>
        <v>75</v>
      </c>
      <c r="E349" t="str">
        <f>'(Raw) LensesGH'!C349</f>
        <v>1:1.9</v>
      </c>
      <c r="F349" s="9">
        <f t="shared" si="48"/>
        <v>1.9</v>
      </c>
      <c r="G349" s="9">
        <f t="shared" si="49"/>
        <v>1.9</v>
      </c>
      <c r="H349" t="str">
        <f>'(Raw) LensesGH'!D349</f>
        <v>52mm</v>
      </c>
      <c r="I349" s="2">
        <f t="shared" si="50"/>
        <v>52</v>
      </c>
      <c r="J349" s="2">
        <f>'(Raw) LensesGH'!E349</f>
        <v>0</v>
      </c>
      <c r="K349" s="40">
        <f t="shared" si="51"/>
        <v>0</v>
      </c>
      <c r="L349" t="str">
        <f>'(Raw) LensesGH'!F349</f>
        <v>M42</v>
      </c>
      <c r="M349" t="str">
        <f>'(Raw) LensesGH'!G349</f>
        <v>APS-C/ Kleinbild</v>
      </c>
      <c r="N349" t="str">
        <f>'(Raw) LensesGH'!H349</f>
        <v>300g</v>
      </c>
      <c r="O349" s="5">
        <f t="shared" si="52"/>
        <v>300</v>
      </c>
      <c r="P349" t="str">
        <f>'(Raw) LensesGH'!I349</f>
        <v>58 x 55mm</v>
      </c>
      <c r="Q349" s="39">
        <f t="shared" si="53"/>
        <v>58</v>
      </c>
      <c r="R349" s="39">
        <f t="shared" si="45"/>
        <v>55</v>
      </c>
    </row>
    <row r="350" spans="1:18" x14ac:dyDescent="0.25">
      <c r="A350" t="str">
        <f>'(Raw) LensesGH'!A350</f>
        <v>Meyer Optik Görlitz Primoplan 75mm 1.9 für Micro-Four-Thirds schwarz</v>
      </c>
      <c r="B350" t="str">
        <f>'(Raw) LensesGH'!B350</f>
        <v>75mm</v>
      </c>
      <c r="C350" s="5">
        <f t="shared" si="46"/>
        <v>75</v>
      </c>
      <c r="D350" s="5">
        <f t="shared" si="47"/>
        <v>75</v>
      </c>
      <c r="E350" t="str">
        <f>'(Raw) LensesGH'!C350</f>
        <v>1:1.9</v>
      </c>
      <c r="F350" s="9">
        <f t="shared" si="48"/>
        <v>1.9</v>
      </c>
      <c r="G350" s="9">
        <f t="shared" si="49"/>
        <v>1.9</v>
      </c>
      <c r="H350" t="str">
        <f>'(Raw) LensesGH'!D350</f>
        <v>52mm</v>
      </c>
      <c r="I350" s="2">
        <f t="shared" si="50"/>
        <v>52</v>
      </c>
      <c r="J350" s="2">
        <f>'(Raw) LensesGH'!E350</f>
        <v>0</v>
      </c>
      <c r="K350" s="40">
        <f t="shared" si="51"/>
        <v>0</v>
      </c>
      <c r="L350" t="str">
        <f>'(Raw) LensesGH'!F350</f>
        <v>Micro-Four-Thirds</v>
      </c>
      <c r="M350" t="str">
        <f>'(Raw) LensesGH'!G350</f>
        <v>APS-C/ Kleinbild</v>
      </c>
      <c r="N350" t="str">
        <f>'(Raw) LensesGH'!H350</f>
        <v>300g</v>
      </c>
      <c r="O350" s="5">
        <f t="shared" si="52"/>
        <v>300</v>
      </c>
      <c r="P350" t="str">
        <f>'(Raw) LensesGH'!I350</f>
        <v>58 x 55mm</v>
      </c>
      <c r="Q350" s="39">
        <f t="shared" si="53"/>
        <v>58</v>
      </c>
      <c r="R350" s="39">
        <f t="shared" si="45"/>
        <v>55</v>
      </c>
    </row>
    <row r="351" spans="1:18" x14ac:dyDescent="0.25">
      <c r="A351" t="str">
        <f>'(Raw) LensesGH'!A351</f>
        <v>Meyer Optik Görlitz Primoplan 75mm 1.9 für Nikon F schwarz</v>
      </c>
      <c r="B351" t="str">
        <f>'(Raw) LensesGH'!B351</f>
        <v>75mm</v>
      </c>
      <c r="C351" s="5">
        <f t="shared" si="46"/>
        <v>75</v>
      </c>
      <c r="D351" s="5">
        <f t="shared" si="47"/>
        <v>75</v>
      </c>
      <c r="E351" t="str">
        <f>'(Raw) LensesGH'!C351</f>
        <v>1:1.9</v>
      </c>
      <c r="F351" s="9">
        <f t="shared" si="48"/>
        <v>1.9</v>
      </c>
      <c r="G351" s="9">
        <f t="shared" si="49"/>
        <v>1.9</v>
      </c>
      <c r="H351" t="str">
        <f>'(Raw) LensesGH'!D351</f>
        <v>52mm</v>
      </c>
      <c r="I351" s="2">
        <f t="shared" si="50"/>
        <v>52</v>
      </c>
      <c r="J351" s="2">
        <f>'(Raw) LensesGH'!E351</f>
        <v>0</v>
      </c>
      <c r="K351" s="40">
        <f t="shared" si="51"/>
        <v>0</v>
      </c>
      <c r="L351" t="str">
        <f>'(Raw) LensesGH'!F351</f>
        <v>Nikon F</v>
      </c>
      <c r="M351" t="str">
        <f>'(Raw) LensesGH'!G351</f>
        <v>APS-C/ Kleinbild</v>
      </c>
      <c r="N351" t="str">
        <f>'(Raw) LensesGH'!H351</f>
        <v>300g</v>
      </c>
      <c r="O351" s="5">
        <f t="shared" si="52"/>
        <v>300</v>
      </c>
      <c r="P351" t="str">
        <f>'(Raw) LensesGH'!I351</f>
        <v>58 x 55mm</v>
      </c>
      <c r="Q351" s="39">
        <f t="shared" si="53"/>
        <v>58</v>
      </c>
      <c r="R351" s="39">
        <f t="shared" si="45"/>
        <v>55</v>
      </c>
    </row>
    <row r="352" spans="1:18" x14ac:dyDescent="0.25">
      <c r="A352" t="str">
        <f>'(Raw) LensesGH'!A352</f>
        <v>Meyer Optik Görlitz Primoplan 75mm 1.9 für Pentax K schwarz</v>
      </c>
      <c r="B352" t="str">
        <f>'(Raw) LensesGH'!B352</f>
        <v>75mm</v>
      </c>
      <c r="C352" s="5">
        <f t="shared" si="46"/>
        <v>75</v>
      </c>
      <c r="D352" s="5">
        <f t="shared" si="47"/>
        <v>75</v>
      </c>
      <c r="E352" t="str">
        <f>'(Raw) LensesGH'!C352</f>
        <v>1:1.9</v>
      </c>
      <c r="F352" s="9">
        <f t="shared" si="48"/>
        <v>1.9</v>
      </c>
      <c r="G352" s="9">
        <f t="shared" si="49"/>
        <v>1.9</v>
      </c>
      <c r="H352" t="str">
        <f>'(Raw) LensesGH'!D352</f>
        <v>52mm</v>
      </c>
      <c r="I352" s="2">
        <f t="shared" si="50"/>
        <v>52</v>
      </c>
      <c r="J352" s="2">
        <f>'(Raw) LensesGH'!E352</f>
        <v>0</v>
      </c>
      <c r="K352" s="40">
        <f t="shared" si="51"/>
        <v>0</v>
      </c>
      <c r="L352" t="str">
        <f>'(Raw) LensesGH'!F352</f>
        <v>Pentax K</v>
      </c>
      <c r="M352" t="str">
        <f>'(Raw) LensesGH'!G352</f>
        <v>APS-C/ Kleinbild</v>
      </c>
      <c r="N352" t="str">
        <f>'(Raw) LensesGH'!H352</f>
        <v>300g</v>
      </c>
      <c r="O352" s="5">
        <f t="shared" si="52"/>
        <v>300</v>
      </c>
      <c r="P352" t="str">
        <f>'(Raw) LensesGH'!I352</f>
        <v>58 x 55mm</v>
      </c>
      <c r="Q352" s="39">
        <f t="shared" si="53"/>
        <v>58</v>
      </c>
      <c r="R352" s="39">
        <f t="shared" si="45"/>
        <v>55</v>
      </c>
    </row>
    <row r="353" spans="1:18" x14ac:dyDescent="0.25">
      <c r="A353" t="str">
        <f>'(Raw) LensesGH'!A353</f>
        <v>Meyer Optik Görlitz Primoplan 75mm 1.9 für Sony E schwarz</v>
      </c>
      <c r="B353" t="str">
        <f>'(Raw) LensesGH'!B353</f>
        <v>75mm</v>
      </c>
      <c r="C353" s="5">
        <f t="shared" si="46"/>
        <v>75</v>
      </c>
      <c r="D353" s="5">
        <f t="shared" si="47"/>
        <v>75</v>
      </c>
      <c r="E353" t="str">
        <f>'(Raw) LensesGH'!C353</f>
        <v>1:1.9</v>
      </c>
      <c r="F353" s="9">
        <f t="shared" si="48"/>
        <v>1.9</v>
      </c>
      <c r="G353" s="9">
        <f t="shared" si="49"/>
        <v>1.9</v>
      </c>
      <c r="H353" t="str">
        <f>'(Raw) LensesGH'!D353</f>
        <v>52mm</v>
      </c>
      <c r="I353" s="2">
        <f t="shared" si="50"/>
        <v>52</v>
      </c>
      <c r="J353" s="2">
        <f>'(Raw) LensesGH'!E353</f>
        <v>0</v>
      </c>
      <c r="K353" s="40">
        <f t="shared" si="51"/>
        <v>0</v>
      </c>
      <c r="L353" t="str">
        <f>'(Raw) LensesGH'!F353</f>
        <v>Sony E</v>
      </c>
      <c r="M353" t="str">
        <f>'(Raw) LensesGH'!G353</f>
        <v>APS-C/ Kleinbild</v>
      </c>
      <c r="N353" t="str">
        <f>'(Raw) LensesGH'!H353</f>
        <v>300g</v>
      </c>
      <c r="O353" s="5">
        <f t="shared" si="52"/>
        <v>300</v>
      </c>
      <c r="P353" t="str">
        <f>'(Raw) LensesGH'!I353</f>
        <v>58 x 55mm</v>
      </c>
      <c r="Q353" s="39">
        <f t="shared" si="53"/>
        <v>58</v>
      </c>
      <c r="R353" s="39">
        <f t="shared" si="45"/>
        <v>55</v>
      </c>
    </row>
    <row r="354" spans="1:18" x14ac:dyDescent="0.25">
      <c r="A354" t="str">
        <f>'(Raw) LensesGH'!A354</f>
        <v>Meyer Optik Görlitz Somnium 85mm 1.5 für Canon EF silber</v>
      </c>
      <c r="B354" t="str">
        <f>'(Raw) LensesGH'!B354</f>
        <v>85mm</v>
      </c>
      <c r="C354" s="5">
        <f t="shared" si="46"/>
        <v>85</v>
      </c>
      <c r="D354" s="5">
        <f t="shared" si="47"/>
        <v>85</v>
      </c>
      <c r="E354" t="str">
        <f>'(Raw) LensesGH'!C354</f>
        <v>1:1.5</v>
      </c>
      <c r="F354" s="9">
        <f t="shared" si="48"/>
        <v>1.5</v>
      </c>
      <c r="G354" s="9">
        <f t="shared" si="49"/>
        <v>1.5</v>
      </c>
      <c r="H354" t="str">
        <f>'(Raw) LensesGH'!D354</f>
        <v>67mm</v>
      </c>
      <c r="I354" s="2">
        <f t="shared" si="50"/>
        <v>67</v>
      </c>
      <c r="J354" s="2">
        <f>'(Raw) LensesGH'!E354</f>
        <v>0</v>
      </c>
      <c r="K354" s="40">
        <f t="shared" si="51"/>
        <v>0</v>
      </c>
      <c r="L354" t="str">
        <f>'(Raw) LensesGH'!F354</f>
        <v>Canon EF</v>
      </c>
      <c r="M354" t="str">
        <f>'(Raw) LensesGH'!G354</f>
        <v>APS-C/ Kleinbild</v>
      </c>
      <c r="N354" t="str">
        <f>'(Raw) LensesGH'!H354</f>
        <v>885g</v>
      </c>
      <c r="O354" s="5">
        <f t="shared" si="52"/>
        <v>885</v>
      </c>
      <c r="P354">
        <f>'(Raw) LensesGH'!I354</f>
        <v>0</v>
      </c>
      <c r="Q354" s="39">
        <f t="shared" si="53"/>
        <v>0</v>
      </c>
      <c r="R354" s="39">
        <f t="shared" si="45"/>
        <v>0</v>
      </c>
    </row>
    <row r="355" spans="1:18" x14ac:dyDescent="0.25">
      <c r="A355" t="str">
        <f>'(Raw) LensesGH'!A355</f>
        <v>Meyer Optik Görlitz Somnium 85mm 1.5 für M42 silber</v>
      </c>
      <c r="B355" t="str">
        <f>'(Raw) LensesGH'!B355</f>
        <v>85mm</v>
      </c>
      <c r="C355" s="5">
        <f t="shared" si="46"/>
        <v>85</v>
      </c>
      <c r="D355" s="5">
        <f t="shared" si="47"/>
        <v>85</v>
      </c>
      <c r="E355" t="str">
        <f>'(Raw) LensesGH'!C355</f>
        <v>1:1.5</v>
      </c>
      <c r="F355" s="9">
        <f t="shared" si="48"/>
        <v>1.5</v>
      </c>
      <c r="G355" s="9">
        <f t="shared" si="49"/>
        <v>1.5</v>
      </c>
      <c r="H355" t="str">
        <f>'(Raw) LensesGH'!D355</f>
        <v>67mm</v>
      </c>
      <c r="I355" s="2">
        <f t="shared" si="50"/>
        <v>67</v>
      </c>
      <c r="J355" s="2">
        <f>'(Raw) LensesGH'!E355</f>
        <v>0</v>
      </c>
      <c r="K355" s="40">
        <f t="shared" si="51"/>
        <v>0</v>
      </c>
      <c r="L355" t="str">
        <f>'(Raw) LensesGH'!F355</f>
        <v>M42</v>
      </c>
      <c r="M355" t="str">
        <f>'(Raw) LensesGH'!G355</f>
        <v>APS-C/ Kleinbild</v>
      </c>
      <c r="N355" t="str">
        <f>'(Raw) LensesGH'!H355</f>
        <v>885g</v>
      </c>
      <c r="O355" s="5">
        <f t="shared" si="52"/>
        <v>885</v>
      </c>
      <c r="P355">
        <f>'(Raw) LensesGH'!I355</f>
        <v>0</v>
      </c>
      <c r="Q355" s="39">
        <f t="shared" si="53"/>
        <v>0</v>
      </c>
      <c r="R355" s="39">
        <f t="shared" si="45"/>
        <v>0</v>
      </c>
    </row>
    <row r="356" spans="1:18" x14ac:dyDescent="0.25">
      <c r="A356" t="str">
        <f>'(Raw) LensesGH'!A356</f>
        <v>Meyer Optik Görlitz Somnium 85mm 1.5 für Nikon F silber</v>
      </c>
      <c r="B356" t="str">
        <f>'(Raw) LensesGH'!B356</f>
        <v>85mm</v>
      </c>
      <c r="C356" s="5">
        <f t="shared" si="46"/>
        <v>85</v>
      </c>
      <c r="D356" s="5">
        <f t="shared" si="47"/>
        <v>85</v>
      </c>
      <c r="E356" t="str">
        <f>'(Raw) LensesGH'!C356</f>
        <v>1:1.5</v>
      </c>
      <c r="F356" s="9">
        <f t="shared" si="48"/>
        <v>1.5</v>
      </c>
      <c r="G356" s="9">
        <f t="shared" si="49"/>
        <v>1.5</v>
      </c>
      <c r="H356" t="str">
        <f>'(Raw) LensesGH'!D356</f>
        <v>67mm</v>
      </c>
      <c r="I356" s="2">
        <f t="shared" si="50"/>
        <v>67</v>
      </c>
      <c r="J356" s="2">
        <f>'(Raw) LensesGH'!E356</f>
        <v>0</v>
      </c>
      <c r="K356" s="40">
        <f t="shared" si="51"/>
        <v>0</v>
      </c>
      <c r="L356" t="str">
        <f>'(Raw) LensesGH'!F356</f>
        <v>Nikon F</v>
      </c>
      <c r="M356" t="str">
        <f>'(Raw) LensesGH'!G356</f>
        <v>APS-C/ Kleinbild</v>
      </c>
      <c r="N356" t="str">
        <f>'(Raw) LensesGH'!H356</f>
        <v>885g</v>
      </c>
      <c r="O356" s="5">
        <f t="shared" si="52"/>
        <v>885</v>
      </c>
      <c r="P356">
        <f>'(Raw) LensesGH'!I356</f>
        <v>0</v>
      </c>
      <c r="Q356" s="39">
        <f t="shared" si="53"/>
        <v>0</v>
      </c>
      <c r="R356" s="39">
        <f t="shared" si="45"/>
        <v>0</v>
      </c>
    </row>
    <row r="357" spans="1:18" x14ac:dyDescent="0.25">
      <c r="A357" t="str">
        <f>'(Raw) LensesGH'!A357</f>
        <v>Meyer Optik Görlitz Trimagon 95mm 2.6 für Canon EF schwarz</v>
      </c>
      <c r="B357" t="str">
        <f>'(Raw) LensesGH'!B357</f>
        <v>95mm</v>
      </c>
      <c r="C357" s="5">
        <f t="shared" si="46"/>
        <v>95</v>
      </c>
      <c r="D357" s="5">
        <f t="shared" si="47"/>
        <v>95</v>
      </c>
      <c r="E357" t="str">
        <f>'(Raw) LensesGH'!C357</f>
        <v>1:2.6</v>
      </c>
      <c r="F357" s="9">
        <f t="shared" si="48"/>
        <v>2.6</v>
      </c>
      <c r="G357" s="9">
        <f t="shared" si="49"/>
        <v>2.6</v>
      </c>
      <c r="H357" t="str">
        <f>'(Raw) LensesGH'!D357</f>
        <v>52mm</v>
      </c>
      <c r="I357" s="2">
        <f t="shared" si="50"/>
        <v>52</v>
      </c>
      <c r="J357" s="2">
        <f>'(Raw) LensesGH'!E357</f>
        <v>0</v>
      </c>
      <c r="K357" s="40">
        <f t="shared" si="51"/>
        <v>0</v>
      </c>
      <c r="L357" t="str">
        <f>'(Raw) LensesGH'!F357</f>
        <v>Canon EF</v>
      </c>
      <c r="M357" t="str">
        <f>'(Raw) LensesGH'!G357</f>
        <v>APS-C/ Kleinbild</v>
      </c>
      <c r="N357" t="str">
        <f>'(Raw) LensesGH'!H357</f>
        <v>380g</v>
      </c>
      <c r="O357" s="5">
        <f t="shared" si="52"/>
        <v>380</v>
      </c>
      <c r="P357" t="str">
        <f>'(Raw) LensesGH'!I357</f>
        <v>55 x 122mm</v>
      </c>
      <c r="Q357" s="39">
        <f t="shared" si="53"/>
        <v>55</v>
      </c>
      <c r="R357" s="39">
        <f t="shared" si="45"/>
        <v>122</v>
      </c>
    </row>
    <row r="358" spans="1:18" x14ac:dyDescent="0.25">
      <c r="A358" t="str">
        <f>'(Raw) LensesGH'!A358</f>
        <v>Meyer Optik Görlitz Trimagon 95mm 2.6 für Fujifilm X schwarz</v>
      </c>
      <c r="B358" t="str">
        <f>'(Raw) LensesGH'!B358</f>
        <v>95mm</v>
      </c>
      <c r="C358" s="5">
        <f t="shared" si="46"/>
        <v>95</v>
      </c>
      <c r="D358" s="5">
        <f t="shared" si="47"/>
        <v>95</v>
      </c>
      <c r="E358" t="str">
        <f>'(Raw) LensesGH'!C358</f>
        <v>1:2.6</v>
      </c>
      <c r="F358" s="9">
        <f t="shared" si="48"/>
        <v>2.6</v>
      </c>
      <c r="G358" s="9">
        <f t="shared" si="49"/>
        <v>2.6</v>
      </c>
      <c r="H358" t="str">
        <f>'(Raw) LensesGH'!D358</f>
        <v>52mm</v>
      </c>
      <c r="I358" s="2">
        <f t="shared" si="50"/>
        <v>52</v>
      </c>
      <c r="J358" s="2">
        <f>'(Raw) LensesGH'!E358</f>
        <v>0</v>
      </c>
      <c r="K358" s="40">
        <f t="shared" si="51"/>
        <v>0</v>
      </c>
      <c r="L358" t="str">
        <f>'(Raw) LensesGH'!F358</f>
        <v>Fujifilm X</v>
      </c>
      <c r="M358" t="str">
        <f>'(Raw) LensesGH'!G358</f>
        <v>APS-C/ Kleinbild</v>
      </c>
      <c r="N358" t="str">
        <f>'(Raw) LensesGH'!H358</f>
        <v>380g</v>
      </c>
      <c r="O358" s="5">
        <f t="shared" si="52"/>
        <v>380</v>
      </c>
      <c r="P358" t="str">
        <f>'(Raw) LensesGH'!I358</f>
        <v>55 x 122mm</v>
      </c>
      <c r="Q358" s="39">
        <f t="shared" si="53"/>
        <v>55</v>
      </c>
      <c r="R358" s="39">
        <f t="shared" si="45"/>
        <v>122</v>
      </c>
    </row>
    <row r="359" spans="1:18" x14ac:dyDescent="0.25">
      <c r="A359" t="str">
        <f>'(Raw) LensesGH'!A359</f>
        <v>Meyer Optik Görlitz Trimagon 95mm 2.6 für Leica L schwarz</v>
      </c>
      <c r="B359" t="str">
        <f>'(Raw) LensesGH'!B359</f>
        <v>95mm</v>
      </c>
      <c r="C359" s="5">
        <f t="shared" si="46"/>
        <v>95</v>
      </c>
      <c r="D359" s="5">
        <f t="shared" si="47"/>
        <v>95</v>
      </c>
      <c r="E359" t="str">
        <f>'(Raw) LensesGH'!C359</f>
        <v>1:2.6</v>
      </c>
      <c r="F359" s="9">
        <f t="shared" si="48"/>
        <v>2.6</v>
      </c>
      <c r="G359" s="9">
        <f t="shared" si="49"/>
        <v>2.6</v>
      </c>
      <c r="H359" t="str">
        <f>'(Raw) LensesGH'!D359</f>
        <v>52mm</v>
      </c>
      <c r="I359" s="2">
        <f t="shared" si="50"/>
        <v>52</v>
      </c>
      <c r="J359" s="2">
        <f>'(Raw) LensesGH'!E359</f>
        <v>0</v>
      </c>
      <c r="K359" s="40">
        <f t="shared" si="51"/>
        <v>0</v>
      </c>
      <c r="L359" t="str">
        <f>'(Raw) LensesGH'!F359</f>
        <v>Leica L</v>
      </c>
      <c r="M359" t="str">
        <f>'(Raw) LensesGH'!G359</f>
        <v>APS-C/ Kleinbild</v>
      </c>
      <c r="N359" t="str">
        <f>'(Raw) LensesGH'!H359</f>
        <v>380g</v>
      </c>
      <c r="O359" s="5">
        <f t="shared" si="52"/>
        <v>380</v>
      </c>
      <c r="P359" t="str">
        <f>'(Raw) LensesGH'!I359</f>
        <v>55 x 122mm</v>
      </c>
      <c r="Q359" s="39">
        <f t="shared" si="53"/>
        <v>55</v>
      </c>
      <c r="R359" s="39">
        <f t="shared" si="45"/>
        <v>122</v>
      </c>
    </row>
    <row r="360" spans="1:18" x14ac:dyDescent="0.25">
      <c r="A360" t="str">
        <f>'(Raw) LensesGH'!A360</f>
        <v>Meyer Optik Görlitz Trimagon 95mm 2.6 für Leica M schwarz</v>
      </c>
      <c r="B360" t="str">
        <f>'(Raw) LensesGH'!B360</f>
        <v>95mm</v>
      </c>
      <c r="C360" s="5">
        <f t="shared" si="46"/>
        <v>95</v>
      </c>
      <c r="D360" s="5">
        <f t="shared" si="47"/>
        <v>95</v>
      </c>
      <c r="E360" t="str">
        <f>'(Raw) LensesGH'!C360</f>
        <v>1:2.6</v>
      </c>
      <c r="F360" s="9">
        <f t="shared" si="48"/>
        <v>2.6</v>
      </c>
      <c r="G360" s="9">
        <f t="shared" si="49"/>
        <v>2.6</v>
      </c>
      <c r="H360" t="str">
        <f>'(Raw) LensesGH'!D360</f>
        <v>52mm</v>
      </c>
      <c r="I360" s="2">
        <f t="shared" si="50"/>
        <v>52</v>
      </c>
      <c r="J360" s="2">
        <f>'(Raw) LensesGH'!E360</f>
        <v>0</v>
      </c>
      <c r="K360" s="40">
        <f t="shared" si="51"/>
        <v>0</v>
      </c>
      <c r="L360" t="str">
        <f>'(Raw) LensesGH'!F360</f>
        <v>Leica M</v>
      </c>
      <c r="M360" t="str">
        <f>'(Raw) LensesGH'!G360</f>
        <v>APS-C/ Kleinbild</v>
      </c>
      <c r="N360" t="str">
        <f>'(Raw) LensesGH'!H360</f>
        <v>380g</v>
      </c>
      <c r="O360" s="5">
        <f t="shared" si="52"/>
        <v>380</v>
      </c>
      <c r="P360" t="str">
        <f>'(Raw) LensesGH'!I360</f>
        <v>55 x 122mm</v>
      </c>
      <c r="Q360" s="39">
        <f t="shared" si="53"/>
        <v>55</v>
      </c>
      <c r="R360" s="39">
        <f t="shared" si="45"/>
        <v>122</v>
      </c>
    </row>
    <row r="361" spans="1:18" x14ac:dyDescent="0.25">
      <c r="A361" t="str">
        <f>'(Raw) LensesGH'!A361</f>
        <v>Meyer Optik Görlitz Trimagon 95mm 2.6 für Micro-Four-Thirds schwarz</v>
      </c>
      <c r="B361" t="str">
        <f>'(Raw) LensesGH'!B361</f>
        <v>95mm</v>
      </c>
      <c r="C361" s="5">
        <f t="shared" si="46"/>
        <v>95</v>
      </c>
      <c r="D361" s="5">
        <f t="shared" si="47"/>
        <v>95</v>
      </c>
      <c r="E361" t="str">
        <f>'(Raw) LensesGH'!C361</f>
        <v>1:2.6</v>
      </c>
      <c r="F361" s="9">
        <f t="shared" si="48"/>
        <v>2.6</v>
      </c>
      <c r="G361" s="9">
        <f t="shared" si="49"/>
        <v>2.6</v>
      </c>
      <c r="H361" t="str">
        <f>'(Raw) LensesGH'!D361</f>
        <v>52mm</v>
      </c>
      <c r="I361" s="2">
        <f t="shared" si="50"/>
        <v>52</v>
      </c>
      <c r="J361" s="2">
        <f>'(Raw) LensesGH'!E361</f>
        <v>0</v>
      </c>
      <c r="K361" s="40">
        <f t="shared" si="51"/>
        <v>0</v>
      </c>
      <c r="L361" t="str">
        <f>'(Raw) LensesGH'!F361</f>
        <v>Micro-Four-Thirds</v>
      </c>
      <c r="M361" t="str">
        <f>'(Raw) LensesGH'!G361</f>
        <v>APS-C/ Kleinbild</v>
      </c>
      <c r="N361" t="str">
        <f>'(Raw) LensesGH'!H361</f>
        <v>380g</v>
      </c>
      <c r="O361" s="5">
        <f t="shared" si="52"/>
        <v>380</v>
      </c>
      <c r="P361" t="str">
        <f>'(Raw) LensesGH'!I361</f>
        <v>55 x 122mm</v>
      </c>
      <c r="Q361" s="39">
        <f t="shared" si="53"/>
        <v>55</v>
      </c>
      <c r="R361" s="39">
        <f t="shared" si="45"/>
        <v>122</v>
      </c>
    </row>
    <row r="362" spans="1:18" x14ac:dyDescent="0.25">
      <c r="A362" t="str">
        <f>'(Raw) LensesGH'!A362</f>
        <v>Meyer Optik Görlitz Trimagon 95mm 2.6 für Nikon F schwarz</v>
      </c>
      <c r="B362" t="str">
        <f>'(Raw) LensesGH'!B362</f>
        <v>95mm</v>
      </c>
      <c r="C362" s="5">
        <f t="shared" si="46"/>
        <v>95</v>
      </c>
      <c r="D362" s="5">
        <f t="shared" si="47"/>
        <v>95</v>
      </c>
      <c r="E362" t="str">
        <f>'(Raw) LensesGH'!C362</f>
        <v>1:2.6</v>
      </c>
      <c r="F362" s="9">
        <f t="shared" si="48"/>
        <v>2.6</v>
      </c>
      <c r="G362" s="9">
        <f t="shared" si="49"/>
        <v>2.6</v>
      </c>
      <c r="H362" t="str">
        <f>'(Raw) LensesGH'!D362</f>
        <v>52mm</v>
      </c>
      <c r="I362" s="2">
        <f t="shared" si="50"/>
        <v>52</v>
      </c>
      <c r="J362" s="2">
        <f>'(Raw) LensesGH'!E362</f>
        <v>0</v>
      </c>
      <c r="K362" s="40">
        <f t="shared" si="51"/>
        <v>0</v>
      </c>
      <c r="L362" t="str">
        <f>'(Raw) LensesGH'!F362</f>
        <v>Nikon F</v>
      </c>
      <c r="M362" t="str">
        <f>'(Raw) LensesGH'!G362</f>
        <v>APS-C/ Kleinbild</v>
      </c>
      <c r="N362" t="str">
        <f>'(Raw) LensesGH'!H362</f>
        <v>380g</v>
      </c>
      <c r="O362" s="5">
        <f t="shared" si="52"/>
        <v>380</v>
      </c>
      <c r="P362" t="str">
        <f>'(Raw) LensesGH'!I362</f>
        <v>55 x 122mm</v>
      </c>
      <c r="Q362" s="39">
        <f t="shared" si="53"/>
        <v>55</v>
      </c>
      <c r="R362" s="39">
        <f t="shared" si="45"/>
        <v>122</v>
      </c>
    </row>
    <row r="363" spans="1:18" x14ac:dyDescent="0.25">
      <c r="A363" t="str">
        <f>'(Raw) LensesGH'!A363</f>
        <v>Meyer Optik Görlitz Trimagon 95mm 2.6 für Sony E schwarz</v>
      </c>
      <c r="B363" t="str">
        <f>'(Raw) LensesGH'!B363</f>
        <v>95mm</v>
      </c>
      <c r="C363" s="5">
        <f t="shared" si="46"/>
        <v>95</v>
      </c>
      <c r="D363" s="5">
        <f t="shared" si="47"/>
        <v>95</v>
      </c>
      <c r="E363" t="str">
        <f>'(Raw) LensesGH'!C363</f>
        <v>1:2.6</v>
      </c>
      <c r="F363" s="9">
        <f t="shared" si="48"/>
        <v>2.6</v>
      </c>
      <c r="G363" s="9">
        <f t="shared" si="49"/>
        <v>2.6</v>
      </c>
      <c r="H363" t="str">
        <f>'(Raw) LensesGH'!D363</f>
        <v>52mm</v>
      </c>
      <c r="I363" s="2">
        <f t="shared" si="50"/>
        <v>52</v>
      </c>
      <c r="J363" s="2">
        <f>'(Raw) LensesGH'!E363</f>
        <v>0</v>
      </c>
      <c r="K363" s="40">
        <f t="shared" si="51"/>
        <v>0</v>
      </c>
      <c r="L363" t="str">
        <f>'(Raw) LensesGH'!F363</f>
        <v>Sony E</v>
      </c>
      <c r="M363" t="str">
        <f>'(Raw) LensesGH'!G363</f>
        <v>APS-C/ Kleinbild</v>
      </c>
      <c r="N363" t="str">
        <f>'(Raw) LensesGH'!H363</f>
        <v>380g</v>
      </c>
      <c r="O363" s="5">
        <f t="shared" si="52"/>
        <v>380</v>
      </c>
      <c r="P363" t="str">
        <f>'(Raw) LensesGH'!I363</f>
        <v>55 x 122mm</v>
      </c>
      <c r="Q363" s="39">
        <f t="shared" si="53"/>
        <v>55</v>
      </c>
      <c r="R363" s="39">
        <f t="shared" si="45"/>
        <v>122</v>
      </c>
    </row>
    <row r="364" spans="1:18" x14ac:dyDescent="0.25">
      <c r="A364" t="str">
        <f>'(Raw) LensesGH'!A364</f>
        <v>Meyer Optik Görlitz Trioplan 100mm 2.8 für Canon EF schwarz</v>
      </c>
      <c r="B364" t="str">
        <f>'(Raw) LensesGH'!B364</f>
        <v>100mm</v>
      </c>
      <c r="C364" s="5">
        <f t="shared" si="46"/>
        <v>100</v>
      </c>
      <c r="D364" s="5">
        <f t="shared" si="47"/>
        <v>100</v>
      </c>
      <c r="E364" t="str">
        <f>'(Raw) LensesGH'!C364</f>
        <v>1:2.8</v>
      </c>
      <c r="F364" s="9">
        <f t="shared" si="48"/>
        <v>2.8</v>
      </c>
      <c r="G364" s="9">
        <f t="shared" si="49"/>
        <v>2.8</v>
      </c>
      <c r="H364" t="str">
        <f>'(Raw) LensesGH'!D364</f>
        <v>52mm</v>
      </c>
      <c r="I364" s="2">
        <f t="shared" si="50"/>
        <v>52</v>
      </c>
      <c r="J364" s="2">
        <f>'(Raw) LensesGH'!E364</f>
        <v>0</v>
      </c>
      <c r="K364" s="40">
        <f t="shared" si="51"/>
        <v>0</v>
      </c>
      <c r="L364" t="str">
        <f>'(Raw) LensesGH'!F364</f>
        <v>Canon EF</v>
      </c>
      <c r="M364" t="str">
        <f>'(Raw) LensesGH'!G364</f>
        <v>APS-C/ Kleinbild</v>
      </c>
      <c r="N364" t="str">
        <f>'(Raw) LensesGH'!H364</f>
        <v>800g</v>
      </c>
      <c r="O364" s="5">
        <f t="shared" si="52"/>
        <v>800</v>
      </c>
      <c r="P364">
        <f>'(Raw) LensesGH'!I364</f>
        <v>0</v>
      </c>
      <c r="Q364" s="39">
        <f t="shared" si="53"/>
        <v>0</v>
      </c>
      <c r="R364" s="39">
        <f t="shared" si="45"/>
        <v>0</v>
      </c>
    </row>
    <row r="365" spans="1:18" x14ac:dyDescent="0.25">
      <c r="A365" t="str">
        <f>'(Raw) LensesGH'!A365</f>
        <v>Meyer Optik Görlitz Trioplan 100mm 2.8 für Fujifilm X schwarz</v>
      </c>
      <c r="B365" t="str">
        <f>'(Raw) LensesGH'!B365</f>
        <v>100mm</v>
      </c>
      <c r="C365" s="5">
        <f t="shared" si="46"/>
        <v>100</v>
      </c>
      <c r="D365" s="5">
        <f t="shared" si="47"/>
        <v>100</v>
      </c>
      <c r="E365" t="str">
        <f>'(Raw) LensesGH'!C365</f>
        <v>1:2.8</v>
      </c>
      <c r="F365" s="9">
        <f t="shared" si="48"/>
        <v>2.8</v>
      </c>
      <c r="G365" s="9">
        <f t="shared" si="49"/>
        <v>2.8</v>
      </c>
      <c r="H365" t="str">
        <f>'(Raw) LensesGH'!D365</f>
        <v>52mm</v>
      </c>
      <c r="I365" s="2">
        <f t="shared" si="50"/>
        <v>52</v>
      </c>
      <c r="J365" s="2">
        <f>'(Raw) LensesGH'!E365</f>
        <v>0</v>
      </c>
      <c r="K365" s="40">
        <f t="shared" si="51"/>
        <v>0</v>
      </c>
      <c r="L365" t="str">
        <f>'(Raw) LensesGH'!F365</f>
        <v>Fujifilm X</v>
      </c>
      <c r="M365" t="str">
        <f>'(Raw) LensesGH'!G365</f>
        <v>APS-C/ Kleinbild</v>
      </c>
      <c r="N365" t="str">
        <f>'(Raw) LensesGH'!H365</f>
        <v>800g</v>
      </c>
      <c r="O365" s="5">
        <f t="shared" si="52"/>
        <v>800</v>
      </c>
      <c r="P365">
        <f>'(Raw) LensesGH'!I365</f>
        <v>0</v>
      </c>
      <c r="Q365" s="39">
        <f t="shared" si="53"/>
        <v>0</v>
      </c>
      <c r="R365" s="39">
        <f t="shared" si="45"/>
        <v>0</v>
      </c>
    </row>
    <row r="366" spans="1:18" x14ac:dyDescent="0.25">
      <c r="A366" t="str">
        <f>'(Raw) LensesGH'!A366</f>
        <v>Meyer Optik Görlitz Trioplan 100mm 2.8 für Leica M schwarz</v>
      </c>
      <c r="B366" t="str">
        <f>'(Raw) LensesGH'!B366</f>
        <v>100mm</v>
      </c>
      <c r="C366" s="5">
        <f t="shared" si="46"/>
        <v>100</v>
      </c>
      <c r="D366" s="5">
        <f t="shared" si="47"/>
        <v>100</v>
      </c>
      <c r="E366" t="str">
        <f>'(Raw) LensesGH'!C366</f>
        <v>1:2.8</v>
      </c>
      <c r="F366" s="9">
        <f t="shared" si="48"/>
        <v>2.8</v>
      </c>
      <c r="G366" s="9">
        <f t="shared" si="49"/>
        <v>2.8</v>
      </c>
      <c r="H366" t="str">
        <f>'(Raw) LensesGH'!D366</f>
        <v>52mm</v>
      </c>
      <c r="I366" s="2">
        <f t="shared" si="50"/>
        <v>52</v>
      </c>
      <c r="J366" s="2">
        <f>'(Raw) LensesGH'!E366</f>
        <v>0</v>
      </c>
      <c r="K366" s="40">
        <f t="shared" si="51"/>
        <v>0</v>
      </c>
      <c r="L366" t="str">
        <f>'(Raw) LensesGH'!F366</f>
        <v>Leica M</v>
      </c>
      <c r="M366" t="str">
        <f>'(Raw) LensesGH'!G366</f>
        <v>APS-C/ Kleinbild</v>
      </c>
      <c r="N366" t="str">
        <f>'(Raw) LensesGH'!H366</f>
        <v>800g</v>
      </c>
      <c r="O366" s="5">
        <f t="shared" si="52"/>
        <v>800</v>
      </c>
      <c r="P366">
        <f>'(Raw) LensesGH'!I366</f>
        <v>0</v>
      </c>
      <c r="Q366" s="39">
        <f t="shared" si="53"/>
        <v>0</v>
      </c>
      <c r="R366" s="39">
        <f t="shared" si="45"/>
        <v>0</v>
      </c>
    </row>
    <row r="367" spans="1:18" x14ac:dyDescent="0.25">
      <c r="A367" t="str">
        <f>'(Raw) LensesGH'!A367</f>
        <v>Meyer Optik Görlitz Trioplan 100mm 2.8 für M42 schwarz</v>
      </c>
      <c r="B367" t="str">
        <f>'(Raw) LensesGH'!B367</f>
        <v>100mm</v>
      </c>
      <c r="C367" s="5">
        <f t="shared" si="46"/>
        <v>100</v>
      </c>
      <c r="D367" s="5">
        <f t="shared" si="47"/>
        <v>100</v>
      </c>
      <c r="E367" t="str">
        <f>'(Raw) LensesGH'!C367</f>
        <v>1:2.8</v>
      </c>
      <c r="F367" s="9">
        <f t="shared" si="48"/>
        <v>2.8</v>
      </c>
      <c r="G367" s="9">
        <f t="shared" si="49"/>
        <v>2.8</v>
      </c>
      <c r="H367" t="str">
        <f>'(Raw) LensesGH'!D367</f>
        <v>52mm</v>
      </c>
      <c r="I367" s="2">
        <f t="shared" si="50"/>
        <v>52</v>
      </c>
      <c r="J367" s="2">
        <f>'(Raw) LensesGH'!E367</f>
        <v>0</v>
      </c>
      <c r="K367" s="40">
        <f t="shared" si="51"/>
        <v>0</v>
      </c>
      <c r="L367" t="str">
        <f>'(Raw) LensesGH'!F367</f>
        <v>M42</v>
      </c>
      <c r="M367" t="str">
        <f>'(Raw) LensesGH'!G367</f>
        <v>APS-C/ Kleinbild</v>
      </c>
      <c r="N367" t="str">
        <f>'(Raw) LensesGH'!H367</f>
        <v>800g</v>
      </c>
      <c r="O367" s="5">
        <f t="shared" si="52"/>
        <v>800</v>
      </c>
      <c r="P367">
        <f>'(Raw) LensesGH'!I367</f>
        <v>0</v>
      </c>
      <c r="Q367" s="39">
        <f t="shared" si="53"/>
        <v>0</v>
      </c>
      <c r="R367" s="39">
        <f t="shared" si="45"/>
        <v>0</v>
      </c>
    </row>
    <row r="368" spans="1:18" x14ac:dyDescent="0.25">
      <c r="A368" t="str">
        <f>'(Raw) LensesGH'!A368</f>
        <v>Meyer Optik Görlitz Trioplan 100mm 2.8 für Micro-Four-Thirds schwarz</v>
      </c>
      <c r="B368" t="str">
        <f>'(Raw) LensesGH'!B368</f>
        <v>100mm</v>
      </c>
      <c r="C368" s="5">
        <f t="shared" si="46"/>
        <v>100</v>
      </c>
      <c r="D368" s="5">
        <f t="shared" si="47"/>
        <v>100</v>
      </c>
      <c r="E368" t="str">
        <f>'(Raw) LensesGH'!C368</f>
        <v>1:2.8</v>
      </c>
      <c r="F368" s="9">
        <f t="shared" si="48"/>
        <v>2.8</v>
      </c>
      <c r="G368" s="9">
        <f t="shared" si="49"/>
        <v>2.8</v>
      </c>
      <c r="H368" t="str">
        <f>'(Raw) LensesGH'!D368</f>
        <v>52mm</v>
      </c>
      <c r="I368" s="2">
        <f t="shared" si="50"/>
        <v>52</v>
      </c>
      <c r="J368" s="2">
        <f>'(Raw) LensesGH'!E368</f>
        <v>0</v>
      </c>
      <c r="K368" s="40">
        <f t="shared" si="51"/>
        <v>0</v>
      </c>
      <c r="L368" t="str">
        <f>'(Raw) LensesGH'!F368</f>
        <v>Micro-Four-Thirds</v>
      </c>
      <c r="M368" t="str">
        <f>'(Raw) LensesGH'!G368</f>
        <v>APS-C/ Kleinbild</v>
      </c>
      <c r="N368" t="str">
        <f>'(Raw) LensesGH'!H368</f>
        <v>800g</v>
      </c>
      <c r="O368" s="5">
        <f t="shared" si="52"/>
        <v>800</v>
      </c>
      <c r="P368">
        <f>'(Raw) LensesGH'!I368</f>
        <v>0</v>
      </c>
      <c r="Q368" s="39">
        <f t="shared" si="53"/>
        <v>0</v>
      </c>
      <c r="R368" s="39">
        <f t="shared" si="45"/>
        <v>0</v>
      </c>
    </row>
    <row r="369" spans="1:18" x14ac:dyDescent="0.25">
      <c r="A369" t="str">
        <f>'(Raw) LensesGH'!A369</f>
        <v>Meyer Optik Görlitz Trioplan 100mm 2.8 für Nikon F schwarz</v>
      </c>
      <c r="B369" t="str">
        <f>'(Raw) LensesGH'!B369</f>
        <v>100mm</v>
      </c>
      <c r="C369" s="5">
        <f t="shared" si="46"/>
        <v>100</v>
      </c>
      <c r="D369" s="5">
        <f t="shared" si="47"/>
        <v>100</v>
      </c>
      <c r="E369" t="str">
        <f>'(Raw) LensesGH'!C369</f>
        <v>1:2.8</v>
      </c>
      <c r="F369" s="9">
        <f t="shared" si="48"/>
        <v>2.8</v>
      </c>
      <c r="G369" s="9">
        <f t="shared" si="49"/>
        <v>2.8</v>
      </c>
      <c r="H369" t="str">
        <f>'(Raw) LensesGH'!D369</f>
        <v>52mm</v>
      </c>
      <c r="I369" s="2">
        <f t="shared" si="50"/>
        <v>52</v>
      </c>
      <c r="J369" s="2">
        <f>'(Raw) LensesGH'!E369</f>
        <v>0</v>
      </c>
      <c r="K369" s="40">
        <f t="shared" si="51"/>
        <v>0</v>
      </c>
      <c r="L369" t="str">
        <f>'(Raw) LensesGH'!F369</f>
        <v>Nikon F</v>
      </c>
      <c r="M369" t="str">
        <f>'(Raw) LensesGH'!G369</f>
        <v>APS-C/ Kleinbild</v>
      </c>
      <c r="N369" t="str">
        <f>'(Raw) LensesGH'!H369</f>
        <v>800g</v>
      </c>
      <c r="O369" s="5">
        <f t="shared" si="52"/>
        <v>800</v>
      </c>
      <c r="P369">
        <f>'(Raw) LensesGH'!I369</f>
        <v>0</v>
      </c>
      <c r="Q369" s="39">
        <f t="shared" si="53"/>
        <v>0</v>
      </c>
      <c r="R369" s="39">
        <f t="shared" si="45"/>
        <v>0</v>
      </c>
    </row>
    <row r="370" spans="1:18" x14ac:dyDescent="0.25">
      <c r="A370" t="str">
        <f>'(Raw) LensesGH'!A370</f>
        <v>Meyer Optik Görlitz Trioplan 100mm 2.8 für Pentax K schwarz</v>
      </c>
      <c r="B370" t="str">
        <f>'(Raw) LensesGH'!B370</f>
        <v>100mm</v>
      </c>
      <c r="C370" s="5">
        <f t="shared" si="46"/>
        <v>100</v>
      </c>
      <c r="D370" s="5">
        <f t="shared" si="47"/>
        <v>100</v>
      </c>
      <c r="E370" t="str">
        <f>'(Raw) LensesGH'!C370</f>
        <v>1:2.8</v>
      </c>
      <c r="F370" s="9">
        <f t="shared" si="48"/>
        <v>2.8</v>
      </c>
      <c r="G370" s="9">
        <f t="shared" si="49"/>
        <v>2.8</v>
      </c>
      <c r="H370" t="str">
        <f>'(Raw) LensesGH'!D370</f>
        <v>52mm</v>
      </c>
      <c r="I370" s="2">
        <f t="shared" si="50"/>
        <v>52</v>
      </c>
      <c r="J370" s="2">
        <f>'(Raw) LensesGH'!E370</f>
        <v>0</v>
      </c>
      <c r="K370" s="40">
        <f t="shared" si="51"/>
        <v>0</v>
      </c>
      <c r="L370" t="str">
        <f>'(Raw) LensesGH'!F370</f>
        <v>Pentax K</v>
      </c>
      <c r="M370" t="str">
        <f>'(Raw) LensesGH'!G370</f>
        <v>APS-C/ Kleinbild</v>
      </c>
      <c r="N370" t="str">
        <f>'(Raw) LensesGH'!H370</f>
        <v>800g</v>
      </c>
      <c r="O370" s="5">
        <f t="shared" si="52"/>
        <v>800</v>
      </c>
      <c r="P370">
        <f>'(Raw) LensesGH'!I370</f>
        <v>0</v>
      </c>
      <c r="Q370" s="39">
        <f t="shared" si="53"/>
        <v>0</v>
      </c>
      <c r="R370" s="39">
        <f t="shared" si="45"/>
        <v>0</v>
      </c>
    </row>
    <row r="371" spans="1:18" x14ac:dyDescent="0.25">
      <c r="A371" t="str">
        <f>'(Raw) LensesGH'!A371</f>
        <v>Meyer Optik Görlitz Trioplan 100mm 2.8 für Sony E schwarz</v>
      </c>
      <c r="B371" t="str">
        <f>'(Raw) LensesGH'!B371</f>
        <v>100mm</v>
      </c>
      <c r="C371" s="5">
        <f t="shared" si="46"/>
        <v>100</v>
      </c>
      <c r="D371" s="5">
        <f t="shared" si="47"/>
        <v>100</v>
      </c>
      <c r="E371" t="str">
        <f>'(Raw) LensesGH'!C371</f>
        <v>1:2.8</v>
      </c>
      <c r="F371" s="9">
        <f t="shared" si="48"/>
        <v>2.8</v>
      </c>
      <c r="G371" s="9">
        <f t="shared" si="49"/>
        <v>2.8</v>
      </c>
      <c r="H371" t="str">
        <f>'(Raw) LensesGH'!D371</f>
        <v>52mm</v>
      </c>
      <c r="I371" s="2">
        <f t="shared" si="50"/>
        <v>52</v>
      </c>
      <c r="J371" s="2">
        <f>'(Raw) LensesGH'!E371</f>
        <v>0</v>
      </c>
      <c r="K371" s="40">
        <f t="shared" si="51"/>
        <v>0</v>
      </c>
      <c r="L371" t="str">
        <f>'(Raw) LensesGH'!F371</f>
        <v>Sony E</v>
      </c>
      <c r="M371" t="str">
        <f>'(Raw) LensesGH'!G371</f>
        <v>APS-C/ Kleinbild</v>
      </c>
      <c r="N371" t="str">
        <f>'(Raw) LensesGH'!H371</f>
        <v>800g</v>
      </c>
      <c r="O371" s="5">
        <f t="shared" si="52"/>
        <v>800</v>
      </c>
      <c r="P371">
        <f>'(Raw) LensesGH'!I371</f>
        <v>0</v>
      </c>
      <c r="Q371" s="39">
        <f t="shared" si="53"/>
        <v>0</v>
      </c>
      <c r="R371" s="39">
        <f t="shared" si="45"/>
        <v>0</v>
      </c>
    </row>
    <row r="372" spans="1:18" x14ac:dyDescent="0.25">
      <c r="A372" t="str">
        <f>'(Raw) LensesGH'!A372</f>
        <v>Meyer Optik Görlitz Trioplan 50mm 2.9 für Canon EF schwarz</v>
      </c>
      <c r="B372" t="str">
        <f>'(Raw) LensesGH'!B372</f>
        <v>50mm</v>
      </c>
      <c r="C372" s="5">
        <f t="shared" si="46"/>
        <v>50</v>
      </c>
      <c r="D372" s="5">
        <f t="shared" si="47"/>
        <v>50</v>
      </c>
      <c r="E372" t="str">
        <f>'(Raw) LensesGH'!C372</f>
        <v>1:2.9</v>
      </c>
      <c r="F372" s="9">
        <f t="shared" si="48"/>
        <v>2.9</v>
      </c>
      <c r="G372" s="9">
        <f t="shared" si="49"/>
        <v>2.9</v>
      </c>
      <c r="H372" t="str">
        <f>'(Raw) LensesGH'!D372</f>
        <v>35.5mm</v>
      </c>
      <c r="I372" s="2">
        <f t="shared" si="50"/>
        <v>35.5</v>
      </c>
      <c r="J372" s="2">
        <f>'(Raw) LensesGH'!E372</f>
        <v>0</v>
      </c>
      <c r="K372" s="40">
        <f t="shared" si="51"/>
        <v>0</v>
      </c>
      <c r="L372" t="str">
        <f>'(Raw) LensesGH'!F372</f>
        <v>Canon EF</v>
      </c>
      <c r="M372" t="str">
        <f>'(Raw) LensesGH'!G372</f>
        <v>APS-C/ Kleinbild</v>
      </c>
      <c r="N372" t="str">
        <f>'(Raw) LensesGH'!H372</f>
        <v>200g</v>
      </c>
      <c r="O372" s="5">
        <f t="shared" si="52"/>
        <v>200</v>
      </c>
      <c r="P372">
        <f>'(Raw) LensesGH'!I372</f>
        <v>0</v>
      </c>
      <c r="Q372" s="39">
        <f t="shared" si="53"/>
        <v>0</v>
      </c>
      <c r="R372" s="39">
        <f t="shared" si="45"/>
        <v>0</v>
      </c>
    </row>
    <row r="373" spans="1:18" x14ac:dyDescent="0.25">
      <c r="A373" t="str">
        <f>'(Raw) LensesGH'!A373</f>
        <v>Meyer Optik Görlitz Trioplan 50mm 2.9 für Fujifilm X schwarz</v>
      </c>
      <c r="B373" t="str">
        <f>'(Raw) LensesGH'!B373</f>
        <v>50mm</v>
      </c>
      <c r="C373" s="5">
        <f t="shared" si="46"/>
        <v>50</v>
      </c>
      <c r="D373" s="5">
        <f t="shared" si="47"/>
        <v>50</v>
      </c>
      <c r="E373" t="str">
        <f>'(Raw) LensesGH'!C373</f>
        <v>1:2.9</v>
      </c>
      <c r="F373" s="9">
        <f t="shared" si="48"/>
        <v>2.9</v>
      </c>
      <c r="G373" s="9">
        <f t="shared" si="49"/>
        <v>2.9</v>
      </c>
      <c r="H373" t="str">
        <f>'(Raw) LensesGH'!D373</f>
        <v>35.5mm</v>
      </c>
      <c r="I373" s="2">
        <f t="shared" si="50"/>
        <v>35.5</v>
      </c>
      <c r="J373" s="2">
        <f>'(Raw) LensesGH'!E373</f>
        <v>0</v>
      </c>
      <c r="K373" s="40">
        <f t="shared" si="51"/>
        <v>0</v>
      </c>
      <c r="L373" t="str">
        <f>'(Raw) LensesGH'!F373</f>
        <v>Fujifilm X</v>
      </c>
      <c r="M373" t="str">
        <f>'(Raw) LensesGH'!G373</f>
        <v>APS-C/ Kleinbild</v>
      </c>
      <c r="N373" t="str">
        <f>'(Raw) LensesGH'!H373</f>
        <v>200g</v>
      </c>
      <c r="O373" s="5">
        <f t="shared" si="52"/>
        <v>200</v>
      </c>
      <c r="P373">
        <f>'(Raw) LensesGH'!I373</f>
        <v>0</v>
      </c>
      <c r="Q373" s="39">
        <f t="shared" si="53"/>
        <v>0</v>
      </c>
      <c r="R373" s="39">
        <f t="shared" si="45"/>
        <v>0</v>
      </c>
    </row>
    <row r="374" spans="1:18" x14ac:dyDescent="0.25">
      <c r="A374" t="str">
        <f>'(Raw) LensesGH'!A374</f>
        <v>Meyer Optik Görlitz Trioplan 50mm 2.9 für Leica M schwarz</v>
      </c>
      <c r="B374" t="str">
        <f>'(Raw) LensesGH'!B374</f>
        <v>50mm</v>
      </c>
      <c r="C374" s="5">
        <f t="shared" si="46"/>
        <v>50</v>
      </c>
      <c r="D374" s="5">
        <f t="shared" si="47"/>
        <v>50</v>
      </c>
      <c r="E374" t="str">
        <f>'(Raw) LensesGH'!C374</f>
        <v>1:2.9</v>
      </c>
      <c r="F374" s="9">
        <f t="shared" si="48"/>
        <v>2.9</v>
      </c>
      <c r="G374" s="9">
        <f t="shared" si="49"/>
        <v>2.9</v>
      </c>
      <c r="H374" t="str">
        <f>'(Raw) LensesGH'!D374</f>
        <v>35.5mm</v>
      </c>
      <c r="I374" s="2">
        <f t="shared" si="50"/>
        <v>35.5</v>
      </c>
      <c r="J374" s="2">
        <f>'(Raw) LensesGH'!E374</f>
        <v>0</v>
      </c>
      <c r="K374" s="40">
        <f t="shared" si="51"/>
        <v>0</v>
      </c>
      <c r="L374" t="str">
        <f>'(Raw) LensesGH'!F374</f>
        <v>Leica M</v>
      </c>
      <c r="M374" t="str">
        <f>'(Raw) LensesGH'!G374</f>
        <v>APS-C/ Kleinbild</v>
      </c>
      <c r="N374" t="str">
        <f>'(Raw) LensesGH'!H374</f>
        <v>200g</v>
      </c>
      <c r="O374" s="5">
        <f t="shared" si="52"/>
        <v>200</v>
      </c>
      <c r="P374">
        <f>'(Raw) LensesGH'!I374</f>
        <v>0</v>
      </c>
      <c r="Q374" s="39">
        <f t="shared" si="53"/>
        <v>0</v>
      </c>
      <c r="R374" s="39">
        <f t="shared" si="45"/>
        <v>0</v>
      </c>
    </row>
    <row r="375" spans="1:18" x14ac:dyDescent="0.25">
      <c r="A375" t="str">
        <f>'(Raw) LensesGH'!A375</f>
        <v>Meyer Optik Görlitz Trioplan 50mm 2.9 für M42 schwarz</v>
      </c>
      <c r="B375" t="str">
        <f>'(Raw) LensesGH'!B375</f>
        <v>50mm</v>
      </c>
      <c r="C375" s="5">
        <f t="shared" si="46"/>
        <v>50</v>
      </c>
      <c r="D375" s="5">
        <f t="shared" si="47"/>
        <v>50</v>
      </c>
      <c r="E375" t="str">
        <f>'(Raw) LensesGH'!C375</f>
        <v>1:2.9</v>
      </c>
      <c r="F375" s="9">
        <f t="shared" si="48"/>
        <v>2.9</v>
      </c>
      <c r="G375" s="9">
        <f t="shared" si="49"/>
        <v>2.9</v>
      </c>
      <c r="H375" t="str">
        <f>'(Raw) LensesGH'!D375</f>
        <v>35.5mm</v>
      </c>
      <c r="I375" s="2">
        <f t="shared" si="50"/>
        <v>35.5</v>
      </c>
      <c r="J375" s="2">
        <f>'(Raw) LensesGH'!E375</f>
        <v>0</v>
      </c>
      <c r="K375" s="40">
        <f t="shared" si="51"/>
        <v>0</v>
      </c>
      <c r="L375" t="str">
        <f>'(Raw) LensesGH'!F375</f>
        <v>M42</v>
      </c>
      <c r="M375" t="str">
        <f>'(Raw) LensesGH'!G375</f>
        <v>APS-C/ Kleinbild</v>
      </c>
      <c r="N375" t="str">
        <f>'(Raw) LensesGH'!H375</f>
        <v>200g</v>
      </c>
      <c r="O375" s="5">
        <f t="shared" si="52"/>
        <v>200</v>
      </c>
      <c r="P375">
        <f>'(Raw) LensesGH'!I375</f>
        <v>0</v>
      </c>
      <c r="Q375" s="39">
        <f t="shared" si="53"/>
        <v>0</v>
      </c>
      <c r="R375" s="39">
        <f t="shared" si="45"/>
        <v>0</v>
      </c>
    </row>
    <row r="376" spans="1:18" x14ac:dyDescent="0.25">
      <c r="A376" t="str">
        <f>'(Raw) LensesGH'!A376</f>
        <v>Meyer Optik Görlitz Trioplan 50mm 2.9 für Nikon F schwarz</v>
      </c>
      <c r="B376" t="str">
        <f>'(Raw) LensesGH'!B376</f>
        <v>50mm</v>
      </c>
      <c r="C376" s="5">
        <f t="shared" si="46"/>
        <v>50</v>
      </c>
      <c r="D376" s="5">
        <f t="shared" si="47"/>
        <v>50</v>
      </c>
      <c r="E376" t="str">
        <f>'(Raw) LensesGH'!C376</f>
        <v>1:2.9</v>
      </c>
      <c r="F376" s="9">
        <f t="shared" si="48"/>
        <v>2.9</v>
      </c>
      <c r="G376" s="9">
        <f t="shared" si="49"/>
        <v>2.9</v>
      </c>
      <c r="H376" t="str">
        <f>'(Raw) LensesGH'!D376</f>
        <v>35.5mm</v>
      </c>
      <c r="I376" s="2">
        <f t="shared" si="50"/>
        <v>35.5</v>
      </c>
      <c r="J376" s="2">
        <f>'(Raw) LensesGH'!E376</f>
        <v>0</v>
      </c>
      <c r="K376" s="40">
        <f t="shared" si="51"/>
        <v>0</v>
      </c>
      <c r="L376" t="str">
        <f>'(Raw) LensesGH'!F376</f>
        <v>Nikon F</v>
      </c>
      <c r="M376" t="str">
        <f>'(Raw) LensesGH'!G376</f>
        <v>APS-C/ Kleinbild</v>
      </c>
      <c r="N376" t="str">
        <f>'(Raw) LensesGH'!H376</f>
        <v>200g</v>
      </c>
      <c r="O376" s="5">
        <f t="shared" si="52"/>
        <v>200</v>
      </c>
      <c r="P376">
        <f>'(Raw) LensesGH'!I376</f>
        <v>0</v>
      </c>
      <c r="Q376" s="39">
        <f t="shared" si="53"/>
        <v>0</v>
      </c>
      <c r="R376" s="39">
        <f t="shared" si="45"/>
        <v>0</v>
      </c>
    </row>
    <row r="377" spans="1:18" x14ac:dyDescent="0.25">
      <c r="A377" t="str">
        <f>'(Raw) LensesGH'!A377</f>
        <v>Meyer Optik Görlitz Trioplan 50mm 2.9 für Sony E schwarz</v>
      </c>
      <c r="B377" t="str">
        <f>'(Raw) LensesGH'!B377</f>
        <v>50mm</v>
      </c>
      <c r="C377" s="5">
        <f t="shared" si="46"/>
        <v>50</v>
      </c>
      <c r="D377" s="5">
        <f t="shared" si="47"/>
        <v>50</v>
      </c>
      <c r="E377" t="str">
        <f>'(Raw) LensesGH'!C377</f>
        <v>1:2.9</v>
      </c>
      <c r="F377" s="9">
        <f t="shared" si="48"/>
        <v>2.9</v>
      </c>
      <c r="G377" s="9">
        <f t="shared" si="49"/>
        <v>2.9</v>
      </c>
      <c r="H377" t="str">
        <f>'(Raw) LensesGH'!D377</f>
        <v>35.5mm</v>
      </c>
      <c r="I377" s="2">
        <f t="shared" si="50"/>
        <v>35.5</v>
      </c>
      <c r="J377" s="2">
        <f>'(Raw) LensesGH'!E377</f>
        <v>0</v>
      </c>
      <c r="K377" s="40">
        <f t="shared" si="51"/>
        <v>0</v>
      </c>
      <c r="L377" t="str">
        <f>'(Raw) LensesGH'!F377</f>
        <v>Sony E</v>
      </c>
      <c r="M377" t="str">
        <f>'(Raw) LensesGH'!G377</f>
        <v>APS-C/ Kleinbild</v>
      </c>
      <c r="N377" t="str">
        <f>'(Raw) LensesGH'!H377</f>
        <v>200g</v>
      </c>
      <c r="O377" s="5">
        <f t="shared" si="52"/>
        <v>200</v>
      </c>
      <c r="P377">
        <f>'(Raw) LensesGH'!I377</f>
        <v>0</v>
      </c>
      <c r="Q377" s="39">
        <f t="shared" si="53"/>
        <v>0</v>
      </c>
      <c r="R377" s="39">
        <f t="shared" si="45"/>
        <v>0</v>
      </c>
    </row>
    <row r="378" spans="1:18" x14ac:dyDescent="0.25">
      <c r="A378" t="str">
        <f>'(Raw) LensesGH'!A378</f>
        <v>Mitakon Creator 135mm 2.8 II für Canon EF schwarz</v>
      </c>
      <c r="B378" t="str">
        <f>'(Raw) LensesGH'!B378</f>
        <v>135mm</v>
      </c>
      <c r="C378" s="5">
        <f t="shared" si="46"/>
        <v>135</v>
      </c>
      <c r="D378" s="5">
        <f t="shared" si="47"/>
        <v>135</v>
      </c>
      <c r="E378" t="str">
        <f>'(Raw) LensesGH'!C378</f>
        <v>1:2.8</v>
      </c>
      <c r="F378" s="9">
        <f t="shared" si="48"/>
        <v>2.8</v>
      </c>
      <c r="G378" s="9">
        <f t="shared" si="49"/>
        <v>2.8</v>
      </c>
      <c r="H378">
        <f>'(Raw) LensesGH'!D378</f>
        <v>0</v>
      </c>
      <c r="I378" s="2">
        <f t="shared" si="50"/>
        <v>0</v>
      </c>
      <c r="J378" s="2">
        <f>'(Raw) LensesGH'!E378</f>
        <v>0</v>
      </c>
      <c r="K378" s="40">
        <f t="shared" si="51"/>
        <v>0</v>
      </c>
      <c r="L378" t="str">
        <f>'(Raw) LensesGH'!F378</f>
        <v>Canon EF</v>
      </c>
      <c r="M378" t="str">
        <f>'(Raw) LensesGH'!G378</f>
        <v>APS-C/ Kleinbild</v>
      </c>
      <c r="N378" t="str">
        <f>'(Raw) LensesGH'!H378</f>
        <v>700g</v>
      </c>
      <c r="O378" s="5">
        <f t="shared" si="52"/>
        <v>700</v>
      </c>
      <c r="P378">
        <f>'(Raw) LensesGH'!I378</f>
        <v>0</v>
      </c>
      <c r="Q378" s="39">
        <f t="shared" si="53"/>
        <v>0</v>
      </c>
      <c r="R378" s="39">
        <f t="shared" si="45"/>
        <v>0</v>
      </c>
    </row>
    <row r="379" spans="1:18" x14ac:dyDescent="0.25">
      <c r="A379" t="str">
        <f>'(Raw) LensesGH'!A379</f>
        <v>Mitakon Creator 85mm 2.0 für Canon EF schwarz</v>
      </c>
      <c r="B379" t="str">
        <f>'(Raw) LensesGH'!B379</f>
        <v>85mm</v>
      </c>
      <c r="C379" s="5">
        <f t="shared" si="46"/>
        <v>85</v>
      </c>
      <c r="D379" s="5">
        <f t="shared" si="47"/>
        <v>85</v>
      </c>
      <c r="E379" t="str">
        <f>'(Raw) LensesGH'!C379</f>
        <v>1:2.0</v>
      </c>
      <c r="F379" s="9">
        <f t="shared" si="48"/>
        <v>2</v>
      </c>
      <c r="G379" s="9">
        <f t="shared" si="49"/>
        <v>2</v>
      </c>
      <c r="H379">
        <f>'(Raw) LensesGH'!D379</f>
        <v>0</v>
      </c>
      <c r="I379" s="2">
        <f t="shared" si="50"/>
        <v>0</v>
      </c>
      <c r="J379" s="2">
        <f>'(Raw) LensesGH'!E379</f>
        <v>0</v>
      </c>
      <c r="K379" s="40">
        <f t="shared" si="51"/>
        <v>0</v>
      </c>
      <c r="L379" t="str">
        <f>'(Raw) LensesGH'!F379</f>
        <v>Canon EF</v>
      </c>
      <c r="M379" t="str">
        <f>'(Raw) LensesGH'!G379</f>
        <v>APS-C/ Kleinbild</v>
      </c>
      <c r="N379" t="str">
        <f>'(Raw) LensesGH'!H379</f>
        <v>370g</v>
      </c>
      <c r="O379" s="5">
        <f t="shared" si="52"/>
        <v>370</v>
      </c>
      <c r="P379">
        <f>'(Raw) LensesGH'!I379</f>
        <v>0</v>
      </c>
      <c r="Q379" s="39">
        <f t="shared" si="53"/>
        <v>0</v>
      </c>
      <c r="R379" s="39">
        <f t="shared" si="45"/>
        <v>0</v>
      </c>
    </row>
    <row r="380" spans="1:18" x14ac:dyDescent="0.25">
      <c r="A380" t="str">
        <f>'(Raw) LensesGH'!A380</f>
        <v>Mitakon Creator 85mm 2.0 für Nikon F schwarz</v>
      </c>
      <c r="B380" t="str">
        <f>'(Raw) LensesGH'!B380</f>
        <v>85mm</v>
      </c>
      <c r="C380" s="5">
        <f t="shared" si="46"/>
        <v>85</v>
      </c>
      <c r="D380" s="5">
        <f t="shared" si="47"/>
        <v>85</v>
      </c>
      <c r="E380" t="str">
        <f>'(Raw) LensesGH'!C380</f>
        <v>1:2.0</v>
      </c>
      <c r="F380" s="9">
        <f t="shared" si="48"/>
        <v>2</v>
      </c>
      <c r="G380" s="9">
        <f t="shared" si="49"/>
        <v>2</v>
      </c>
      <c r="H380">
        <f>'(Raw) LensesGH'!D380</f>
        <v>0</v>
      </c>
      <c r="I380" s="2">
        <f t="shared" si="50"/>
        <v>0</v>
      </c>
      <c r="J380" s="2">
        <f>'(Raw) LensesGH'!E380</f>
        <v>0</v>
      </c>
      <c r="K380" s="40">
        <f t="shared" si="51"/>
        <v>0</v>
      </c>
      <c r="L380" t="str">
        <f>'(Raw) LensesGH'!F380</f>
        <v>Nikon F</v>
      </c>
      <c r="M380" t="str">
        <f>'(Raw) LensesGH'!G380</f>
        <v>APS-C/ Kleinbild</v>
      </c>
      <c r="N380" t="str">
        <f>'(Raw) LensesGH'!H380</f>
        <v>370g</v>
      </c>
      <c r="O380" s="5">
        <f t="shared" si="52"/>
        <v>370</v>
      </c>
      <c r="P380">
        <f>'(Raw) LensesGH'!I380</f>
        <v>0</v>
      </c>
      <c r="Q380" s="39">
        <f t="shared" si="53"/>
        <v>0</v>
      </c>
      <c r="R380" s="39">
        <f t="shared" si="45"/>
        <v>0</v>
      </c>
    </row>
    <row r="381" spans="1:18" x14ac:dyDescent="0.25">
      <c r="A381" t="str">
        <f>'(Raw) LensesGH'!A381</f>
        <v>Mitakon Creator 85mm 2.0 für Pentax K schwarz</v>
      </c>
      <c r="B381" t="str">
        <f>'(Raw) LensesGH'!B381</f>
        <v>85mm</v>
      </c>
      <c r="C381" s="5">
        <f t="shared" si="46"/>
        <v>85</v>
      </c>
      <c r="D381" s="5">
        <f t="shared" si="47"/>
        <v>85</v>
      </c>
      <c r="E381" t="str">
        <f>'(Raw) LensesGH'!C381</f>
        <v>1:2.0</v>
      </c>
      <c r="F381" s="9">
        <f t="shared" si="48"/>
        <v>2</v>
      </c>
      <c r="G381" s="9">
        <f t="shared" si="49"/>
        <v>2</v>
      </c>
      <c r="H381">
        <f>'(Raw) LensesGH'!D381</f>
        <v>0</v>
      </c>
      <c r="I381" s="2">
        <f t="shared" si="50"/>
        <v>0</v>
      </c>
      <c r="J381" s="2">
        <f>'(Raw) LensesGH'!E381</f>
        <v>0</v>
      </c>
      <c r="K381" s="40">
        <f t="shared" si="51"/>
        <v>0</v>
      </c>
      <c r="L381" t="str">
        <f>'(Raw) LensesGH'!F381</f>
        <v>Pentax K</v>
      </c>
      <c r="M381" t="str">
        <f>'(Raw) LensesGH'!G381</f>
        <v>APS-C/ Kleinbild</v>
      </c>
      <c r="N381" t="str">
        <f>'(Raw) LensesGH'!H381</f>
        <v>370g</v>
      </c>
      <c r="O381" s="5">
        <f t="shared" si="52"/>
        <v>370</v>
      </c>
      <c r="P381">
        <f>'(Raw) LensesGH'!I381</f>
        <v>0</v>
      </c>
      <c r="Q381" s="39">
        <f t="shared" si="53"/>
        <v>0</v>
      </c>
      <c r="R381" s="39">
        <f t="shared" si="45"/>
        <v>0</v>
      </c>
    </row>
    <row r="382" spans="1:18" x14ac:dyDescent="0.25">
      <c r="A382" t="str">
        <f>'(Raw) LensesGH'!A382</f>
        <v>Mitakon Speedmaster 25mm 0.95 für Micro-Four-Thirds schwarz</v>
      </c>
      <c r="B382" t="str">
        <f>'(Raw) LensesGH'!B382</f>
        <v>25mm</v>
      </c>
      <c r="C382" s="5">
        <f t="shared" si="46"/>
        <v>25</v>
      </c>
      <c r="D382" s="5">
        <f t="shared" si="47"/>
        <v>25</v>
      </c>
      <c r="E382" t="str">
        <f>'(Raw) LensesGH'!C382</f>
        <v>1:0.95</v>
      </c>
      <c r="F382" s="9">
        <f t="shared" si="48"/>
        <v>0.95</v>
      </c>
      <c r="G382" s="9">
        <f t="shared" si="49"/>
        <v>0.95</v>
      </c>
      <c r="H382" t="str">
        <f>'(Raw) LensesGH'!D382</f>
        <v>43mm</v>
      </c>
      <c r="I382" s="2">
        <f t="shared" si="50"/>
        <v>43</v>
      </c>
      <c r="J382" s="2">
        <f>'(Raw) LensesGH'!E382</f>
        <v>0</v>
      </c>
      <c r="K382" s="40">
        <f t="shared" si="51"/>
        <v>0</v>
      </c>
      <c r="L382" t="str">
        <f>'(Raw) LensesGH'!F382</f>
        <v>Micro-Four-Thirds</v>
      </c>
      <c r="M382" t="str">
        <f>'(Raw) LensesGH'!G382</f>
        <v>Micro-Four-Thirds</v>
      </c>
      <c r="N382" t="str">
        <f>'(Raw) LensesGH'!H382</f>
        <v>230g</v>
      </c>
      <c r="O382" s="5">
        <f t="shared" si="52"/>
        <v>230</v>
      </c>
      <c r="P382" t="str">
        <f>'(Raw) LensesGH'!I382</f>
        <v>60 x 45mm</v>
      </c>
      <c r="Q382" s="39">
        <f t="shared" si="53"/>
        <v>60</v>
      </c>
      <c r="R382" s="39">
        <f t="shared" si="45"/>
        <v>45</v>
      </c>
    </row>
    <row r="383" spans="1:18" x14ac:dyDescent="0.25">
      <c r="A383" t="str">
        <f>'(Raw) LensesGH'!A383</f>
        <v>Mitakon Speedmaster 35mm 0.95 II für Fujifilm X schwarz</v>
      </c>
      <c r="B383" t="str">
        <f>'(Raw) LensesGH'!B383</f>
        <v>35mm</v>
      </c>
      <c r="C383" s="5">
        <f t="shared" si="46"/>
        <v>35</v>
      </c>
      <c r="D383" s="5">
        <f t="shared" si="47"/>
        <v>35</v>
      </c>
      <c r="E383" t="str">
        <f>'(Raw) LensesGH'!C383</f>
        <v>1:0.95</v>
      </c>
      <c r="F383" s="9">
        <f t="shared" si="48"/>
        <v>0.95</v>
      </c>
      <c r="G383" s="9">
        <f t="shared" si="49"/>
        <v>0.95</v>
      </c>
      <c r="H383" t="str">
        <f>'(Raw) LensesGH'!D383</f>
        <v>55mm</v>
      </c>
      <c r="I383" s="2">
        <f t="shared" si="50"/>
        <v>55</v>
      </c>
      <c r="J383" s="2">
        <f>'(Raw) LensesGH'!E383</f>
        <v>0</v>
      </c>
      <c r="K383" s="40">
        <f t="shared" si="51"/>
        <v>0</v>
      </c>
      <c r="L383" t="str">
        <f>'(Raw) LensesGH'!F383</f>
        <v>Fujifilm X</v>
      </c>
      <c r="M383" t="str">
        <f>'(Raw) LensesGH'!G383</f>
        <v>APS-C</v>
      </c>
      <c r="N383" t="str">
        <f>'(Raw) LensesGH'!H383</f>
        <v>460g</v>
      </c>
      <c r="O383" s="5">
        <f t="shared" si="52"/>
        <v>460</v>
      </c>
      <c r="P383" t="str">
        <f>'(Raw) LensesGH'!I383</f>
        <v>63 x 60mm</v>
      </c>
      <c r="Q383" s="39">
        <f t="shared" si="53"/>
        <v>63</v>
      </c>
      <c r="R383" s="39">
        <f t="shared" si="45"/>
        <v>60</v>
      </c>
    </row>
    <row r="384" spans="1:18" x14ac:dyDescent="0.25">
      <c r="A384" t="str">
        <f>'(Raw) LensesGH'!A384</f>
        <v>Mitakon Speedmaster 35mm 0.95 II für Sony E schwarz</v>
      </c>
      <c r="B384" t="str">
        <f>'(Raw) LensesGH'!B384</f>
        <v>35mm</v>
      </c>
      <c r="C384" s="5">
        <f t="shared" si="46"/>
        <v>35</v>
      </c>
      <c r="D384" s="5">
        <f t="shared" si="47"/>
        <v>35</v>
      </c>
      <c r="E384" t="str">
        <f>'(Raw) LensesGH'!C384</f>
        <v>1:0.95</v>
      </c>
      <c r="F384" s="9">
        <f t="shared" si="48"/>
        <v>0.95</v>
      </c>
      <c r="G384" s="9">
        <f t="shared" si="49"/>
        <v>0.95</v>
      </c>
      <c r="H384" t="str">
        <f>'(Raw) LensesGH'!D384</f>
        <v>55mm</v>
      </c>
      <c r="I384" s="2">
        <f t="shared" si="50"/>
        <v>55</v>
      </c>
      <c r="J384" s="2">
        <f>'(Raw) LensesGH'!E384</f>
        <v>0</v>
      </c>
      <c r="K384" s="40">
        <f t="shared" si="51"/>
        <v>0</v>
      </c>
      <c r="L384" t="str">
        <f>'(Raw) LensesGH'!F384</f>
        <v>Sony E</v>
      </c>
      <c r="M384" t="str">
        <f>'(Raw) LensesGH'!G384</f>
        <v>APS-C</v>
      </c>
      <c r="N384" t="str">
        <f>'(Raw) LensesGH'!H384</f>
        <v>460g</v>
      </c>
      <c r="O384" s="5">
        <f t="shared" si="52"/>
        <v>460</v>
      </c>
      <c r="P384" t="str">
        <f>'(Raw) LensesGH'!I384</f>
        <v>63 x 60mm</v>
      </c>
      <c r="Q384" s="39">
        <f t="shared" si="53"/>
        <v>63</v>
      </c>
      <c r="R384" s="39">
        <f t="shared" si="45"/>
        <v>60</v>
      </c>
    </row>
    <row r="385" spans="1:18" x14ac:dyDescent="0.25">
      <c r="A385" t="str">
        <f>'(Raw) LensesGH'!A385</f>
        <v>Mitakon Speedmaster 50mm 0.95 PRO für Sony E schwarz</v>
      </c>
      <c r="B385" t="str">
        <f>'(Raw) LensesGH'!B385</f>
        <v>50mm</v>
      </c>
      <c r="C385" s="5">
        <f t="shared" si="46"/>
        <v>50</v>
      </c>
      <c r="D385" s="5">
        <f t="shared" si="47"/>
        <v>50</v>
      </c>
      <c r="E385" t="str">
        <f>'(Raw) LensesGH'!C385</f>
        <v>1:0.95</v>
      </c>
      <c r="F385" s="9">
        <f t="shared" si="48"/>
        <v>0.95</v>
      </c>
      <c r="G385" s="9">
        <f t="shared" si="49"/>
        <v>0.95</v>
      </c>
      <c r="H385">
        <f>'(Raw) LensesGH'!D385</f>
        <v>0</v>
      </c>
      <c r="I385" s="2">
        <f t="shared" si="50"/>
        <v>0</v>
      </c>
      <c r="J385" s="2">
        <f>'(Raw) LensesGH'!E385</f>
        <v>0</v>
      </c>
      <c r="K385" s="40">
        <f t="shared" si="51"/>
        <v>0</v>
      </c>
      <c r="L385" t="str">
        <f>'(Raw) LensesGH'!F385</f>
        <v>Sony E</v>
      </c>
      <c r="M385" t="str">
        <f>'(Raw) LensesGH'!G385</f>
        <v>APS-C/ Kleinbild</v>
      </c>
      <c r="N385">
        <f>'(Raw) LensesGH'!H385</f>
        <v>0</v>
      </c>
      <c r="O385" s="5">
        <f t="shared" si="52"/>
        <v>0</v>
      </c>
      <c r="P385">
        <f>'(Raw) LensesGH'!I385</f>
        <v>0</v>
      </c>
      <c r="Q385" s="39">
        <f t="shared" si="53"/>
        <v>0</v>
      </c>
      <c r="R385" s="39">
        <f t="shared" si="45"/>
        <v>0</v>
      </c>
    </row>
    <row r="386" spans="1:18" x14ac:dyDescent="0.25">
      <c r="A386" t="str">
        <f>'(Raw) LensesGH'!A386</f>
        <v>Mitakon Speedmaster 85mm 1.2 für Canon EF schwarz</v>
      </c>
      <c r="B386" t="str">
        <f>'(Raw) LensesGH'!B386</f>
        <v>85mm</v>
      </c>
      <c r="C386" s="5">
        <f t="shared" si="46"/>
        <v>85</v>
      </c>
      <c r="D386" s="5">
        <f t="shared" si="47"/>
        <v>85</v>
      </c>
      <c r="E386" t="str">
        <f>'(Raw) LensesGH'!C386</f>
        <v>1:1.2</v>
      </c>
      <c r="F386" s="9">
        <f t="shared" si="48"/>
        <v>1.2</v>
      </c>
      <c r="G386" s="9">
        <f t="shared" si="49"/>
        <v>1.2</v>
      </c>
      <c r="H386" t="str">
        <f>'(Raw) LensesGH'!D386</f>
        <v>77mm</v>
      </c>
      <c r="I386" s="2">
        <f t="shared" si="50"/>
        <v>77</v>
      </c>
      <c r="J386" s="2">
        <f>'(Raw) LensesGH'!E386</f>
        <v>0</v>
      </c>
      <c r="K386" s="40">
        <f t="shared" si="51"/>
        <v>0</v>
      </c>
      <c r="L386" t="str">
        <f>'(Raw) LensesGH'!F386</f>
        <v>Canon EF</v>
      </c>
      <c r="M386" t="str">
        <f>'(Raw) LensesGH'!G386</f>
        <v>APS-C/ Kleinbild</v>
      </c>
      <c r="N386" t="str">
        <f>'(Raw) LensesGH'!H386</f>
        <v>921g</v>
      </c>
      <c r="O386" s="5">
        <f t="shared" si="52"/>
        <v>921</v>
      </c>
      <c r="P386">
        <f>'(Raw) LensesGH'!I386</f>
        <v>0</v>
      </c>
      <c r="Q386" s="39">
        <f t="shared" si="53"/>
        <v>0</v>
      </c>
      <c r="R386" s="39">
        <f t="shared" ref="R386:R449" si="54">getSizeLength(P386)</f>
        <v>0</v>
      </c>
    </row>
    <row r="387" spans="1:18" x14ac:dyDescent="0.25">
      <c r="A387" t="str">
        <f>'(Raw) LensesGH'!A387</f>
        <v>Mitakon Speedmaster 85mm 1.2 für Nikon F schwarz</v>
      </c>
      <c r="B387" t="str">
        <f>'(Raw) LensesGH'!B387</f>
        <v>85mm</v>
      </c>
      <c r="C387" s="5">
        <f t="shared" ref="C387:C450" si="55">getFocalLengthStart(B387)</f>
        <v>85</v>
      </c>
      <c r="D387" s="5">
        <f t="shared" ref="D387:D450" si="56">getFocalLengthEnd(B387)</f>
        <v>85</v>
      </c>
      <c r="E387" t="str">
        <f>'(Raw) LensesGH'!C387</f>
        <v>1:1.2</v>
      </c>
      <c r="F387" s="9">
        <f t="shared" ref="F387:F450" si="57">getApertureStart(E387)</f>
        <v>1.2</v>
      </c>
      <c r="G387" s="9">
        <f t="shared" ref="G387:G450" si="58">getApertureEnd(F387)</f>
        <v>1.2</v>
      </c>
      <c r="H387" t="str">
        <f>'(Raw) LensesGH'!D387</f>
        <v>77mm</v>
      </c>
      <c r="I387" s="2">
        <f t="shared" ref="I387:I450" si="59">getFiltersizeAsDouble(H387)</f>
        <v>77</v>
      </c>
      <c r="J387" s="2">
        <f>'(Raw) LensesGH'!E387</f>
        <v>0</v>
      </c>
      <c r="K387" s="40">
        <f t="shared" ref="K387:K450" si="60">getMagnification(J387)</f>
        <v>0</v>
      </c>
      <c r="L387" t="str">
        <f>'(Raw) LensesGH'!F387</f>
        <v>Nikon F</v>
      </c>
      <c r="M387" t="str">
        <f>'(Raw) LensesGH'!G387</f>
        <v>APS-C/ Kleinbild</v>
      </c>
      <c r="N387" t="str">
        <f>'(Raw) LensesGH'!H387</f>
        <v>921g</v>
      </c>
      <c r="O387" s="5">
        <f t="shared" ref="O387:O450" si="61">getWeightAsDouble(N387)</f>
        <v>921</v>
      </c>
      <c r="P387">
        <f>'(Raw) LensesGH'!I387</f>
        <v>0</v>
      </c>
      <c r="Q387" s="39">
        <f t="shared" ref="Q387:Q450" si="62">getSizeDiameter(P387)</f>
        <v>0</v>
      </c>
      <c r="R387" s="39">
        <f t="shared" si="54"/>
        <v>0</v>
      </c>
    </row>
    <row r="388" spans="1:18" x14ac:dyDescent="0.25">
      <c r="A388" t="str">
        <f>'(Raw) LensesGH'!A388</f>
        <v>Mitakon Speedmaster 85mm 1.2 für Sony E schwarz</v>
      </c>
      <c r="B388" t="str">
        <f>'(Raw) LensesGH'!B388</f>
        <v>85mm</v>
      </c>
      <c r="C388" s="5">
        <f t="shared" si="55"/>
        <v>85</v>
      </c>
      <c r="D388" s="5">
        <f t="shared" si="56"/>
        <v>85</v>
      </c>
      <c r="E388" t="str">
        <f>'(Raw) LensesGH'!C388</f>
        <v>1:1.2</v>
      </c>
      <c r="F388" s="9">
        <f t="shared" si="57"/>
        <v>1.2</v>
      </c>
      <c r="G388" s="9">
        <f t="shared" si="58"/>
        <v>1.2</v>
      </c>
      <c r="H388" t="str">
        <f>'(Raw) LensesGH'!D388</f>
        <v>77mm</v>
      </c>
      <c r="I388" s="2">
        <f t="shared" si="59"/>
        <v>77</v>
      </c>
      <c r="J388" s="2">
        <f>'(Raw) LensesGH'!E388</f>
        <v>0</v>
      </c>
      <c r="K388" s="40">
        <f t="shared" si="60"/>
        <v>0</v>
      </c>
      <c r="L388" t="str">
        <f>'(Raw) LensesGH'!F388</f>
        <v>Sony E</v>
      </c>
      <c r="M388" t="str">
        <f>'(Raw) LensesGH'!G388</f>
        <v>APS-C/ Kleinbild</v>
      </c>
      <c r="N388" t="str">
        <f>'(Raw) LensesGH'!H388</f>
        <v>921g</v>
      </c>
      <c r="O388" s="5">
        <f t="shared" si="61"/>
        <v>921</v>
      </c>
      <c r="P388">
        <f>'(Raw) LensesGH'!I388</f>
        <v>0</v>
      </c>
      <c r="Q388" s="39">
        <f t="shared" si="62"/>
        <v>0</v>
      </c>
      <c r="R388" s="39">
        <f t="shared" si="54"/>
        <v>0</v>
      </c>
    </row>
    <row r="389" spans="1:18" x14ac:dyDescent="0.25">
      <c r="A389" t="str">
        <f>'(Raw) LensesGH'!A389</f>
        <v>Nikon 1 NIKKOR 10mm 2.8 schwarz</v>
      </c>
      <c r="B389" t="str">
        <f>'(Raw) LensesGH'!B389</f>
        <v>10mm</v>
      </c>
      <c r="C389" s="5">
        <f t="shared" si="55"/>
        <v>10</v>
      </c>
      <c r="D389" s="5">
        <f t="shared" si="56"/>
        <v>10</v>
      </c>
      <c r="E389" t="str">
        <f>'(Raw) LensesGH'!C389</f>
        <v>1:2.8</v>
      </c>
      <c r="F389" s="9">
        <f t="shared" si="57"/>
        <v>2.8</v>
      </c>
      <c r="G389" s="9">
        <f t="shared" si="58"/>
        <v>2.8</v>
      </c>
      <c r="H389" t="str">
        <f>'(Raw) LensesGH'!D389</f>
        <v>40.5mm</v>
      </c>
      <c r="I389" s="2">
        <f t="shared" si="59"/>
        <v>40.5</v>
      </c>
      <c r="J389" s="2" t="str">
        <f>'(Raw) LensesGH'!E389</f>
        <v>1:16.67</v>
      </c>
      <c r="K389" s="40">
        <f t="shared" si="60"/>
        <v>16.670000000000002</v>
      </c>
      <c r="L389" t="str">
        <f>'(Raw) LensesGH'!F389</f>
        <v>Nikon 1</v>
      </c>
      <c r="M389" t="str">
        <f>'(Raw) LensesGH'!G389</f>
        <v>Nikon CX</v>
      </c>
      <c r="N389" t="str">
        <f>'(Raw) LensesGH'!H389</f>
        <v>77g</v>
      </c>
      <c r="O389" s="5">
        <f t="shared" si="61"/>
        <v>77</v>
      </c>
      <c r="P389" t="str">
        <f>'(Raw) LensesGH'!I389</f>
        <v>55.5 x 22mm</v>
      </c>
      <c r="Q389" s="39">
        <f t="shared" si="62"/>
        <v>55.5</v>
      </c>
      <c r="R389" s="39">
        <f t="shared" si="54"/>
        <v>22</v>
      </c>
    </row>
    <row r="390" spans="1:18" x14ac:dyDescent="0.25">
      <c r="A390" t="str">
        <f>'(Raw) LensesGH'!A390</f>
        <v>Nikon 1 NIKKOR 10mm 2.8 weiß</v>
      </c>
      <c r="B390" t="str">
        <f>'(Raw) LensesGH'!B390</f>
        <v>10mm</v>
      </c>
      <c r="C390" s="5">
        <f t="shared" si="55"/>
        <v>10</v>
      </c>
      <c r="D390" s="5">
        <f t="shared" si="56"/>
        <v>10</v>
      </c>
      <c r="E390" t="str">
        <f>'(Raw) LensesGH'!C390</f>
        <v>1:2.8</v>
      </c>
      <c r="F390" s="9">
        <f t="shared" si="57"/>
        <v>2.8</v>
      </c>
      <c r="G390" s="9">
        <f t="shared" si="58"/>
        <v>2.8</v>
      </c>
      <c r="H390" t="str">
        <f>'(Raw) LensesGH'!D390</f>
        <v>40.5mm</v>
      </c>
      <c r="I390" s="2">
        <f t="shared" si="59"/>
        <v>40.5</v>
      </c>
      <c r="J390" s="2" t="str">
        <f>'(Raw) LensesGH'!E390</f>
        <v>1:16.67</v>
      </c>
      <c r="K390" s="40">
        <f t="shared" si="60"/>
        <v>16.670000000000002</v>
      </c>
      <c r="L390" t="str">
        <f>'(Raw) LensesGH'!F390</f>
        <v>Nikon 1</v>
      </c>
      <c r="M390" t="str">
        <f>'(Raw) LensesGH'!G390</f>
        <v>Nikon CX</v>
      </c>
      <c r="N390" t="str">
        <f>'(Raw) LensesGH'!H390</f>
        <v>77g</v>
      </c>
      <c r="O390" s="5">
        <f t="shared" si="61"/>
        <v>77</v>
      </c>
      <c r="P390" t="str">
        <f>'(Raw) LensesGH'!I390</f>
        <v>55.5 x 22mm</v>
      </c>
      <c r="Q390" s="39">
        <f t="shared" si="62"/>
        <v>55.5</v>
      </c>
      <c r="R390" s="39">
        <f t="shared" si="54"/>
        <v>22</v>
      </c>
    </row>
    <row r="391" spans="1:18" x14ac:dyDescent="0.25">
      <c r="A391" t="str">
        <f>'(Raw) LensesGH'!A391</f>
        <v>Nikon 1 NIKKOR 11-27.5mm 3.5-5.6 weiß</v>
      </c>
      <c r="B391" t="str">
        <f>'(Raw) LensesGH'!B391</f>
        <v>11 - 27.5mm</v>
      </c>
      <c r="C391" s="5">
        <f t="shared" si="55"/>
        <v>11</v>
      </c>
      <c r="D391" s="5">
        <f t="shared" si="56"/>
        <v>27.5</v>
      </c>
      <c r="E391" t="str">
        <f>'(Raw) LensesGH'!C391</f>
        <v>1:3.5-1:5.6</v>
      </c>
      <c r="F391" s="9">
        <f t="shared" si="57"/>
        <v>3.5</v>
      </c>
      <c r="G391" s="9">
        <f t="shared" si="58"/>
        <v>3.5</v>
      </c>
      <c r="H391" t="str">
        <f>'(Raw) LensesGH'!D391</f>
        <v>40.5mm</v>
      </c>
      <c r="I391" s="2">
        <f t="shared" si="59"/>
        <v>40.5</v>
      </c>
      <c r="J391" s="2" t="str">
        <f>'(Raw) LensesGH'!E391</f>
        <v>1:10.00</v>
      </c>
      <c r="K391" s="40">
        <f t="shared" si="60"/>
        <v>10</v>
      </c>
      <c r="L391" t="str">
        <f>'(Raw) LensesGH'!F391</f>
        <v>Nikon 1</v>
      </c>
      <c r="M391" t="str">
        <f>'(Raw) LensesGH'!G391</f>
        <v>Nikon CX</v>
      </c>
      <c r="N391" t="str">
        <f>'(Raw) LensesGH'!H391</f>
        <v>83g</v>
      </c>
      <c r="O391" s="5">
        <f t="shared" si="61"/>
        <v>83</v>
      </c>
      <c r="P391" t="str">
        <f>'(Raw) LensesGH'!I391</f>
        <v>57.5 x 31mm</v>
      </c>
      <c r="Q391" s="39">
        <f t="shared" si="62"/>
        <v>57.5</v>
      </c>
      <c r="R391" s="39">
        <f t="shared" si="54"/>
        <v>31</v>
      </c>
    </row>
    <row r="392" spans="1:18" x14ac:dyDescent="0.25">
      <c r="A392" t="str">
        <f>'(Raw) LensesGH'!A392</f>
        <v>Nikon 1 NIKKOR 18.5mm 1.8 schwarz</v>
      </c>
      <c r="B392" t="str">
        <f>'(Raw) LensesGH'!B392</f>
        <v>18.5mm</v>
      </c>
      <c r="C392" s="5">
        <f t="shared" si="55"/>
        <v>18.5</v>
      </c>
      <c r="D392" s="5">
        <f t="shared" si="56"/>
        <v>18.5</v>
      </c>
      <c r="E392" t="str">
        <f>'(Raw) LensesGH'!C392</f>
        <v>1:1.8</v>
      </c>
      <c r="F392" s="9">
        <f t="shared" si="57"/>
        <v>1.8</v>
      </c>
      <c r="G392" s="9">
        <f t="shared" si="58"/>
        <v>1.8</v>
      </c>
      <c r="H392" t="str">
        <f>'(Raw) LensesGH'!D392</f>
        <v>40.5mm</v>
      </c>
      <c r="I392" s="2">
        <f t="shared" si="59"/>
        <v>40.5</v>
      </c>
      <c r="J392" s="2" t="str">
        <f>'(Raw) LensesGH'!E392</f>
        <v>1:8.30</v>
      </c>
      <c r="K392" s="40">
        <f t="shared" si="60"/>
        <v>8.3000000000000007</v>
      </c>
      <c r="L392" t="str">
        <f>'(Raw) LensesGH'!F392</f>
        <v>Nikon 1</v>
      </c>
      <c r="M392" t="str">
        <f>'(Raw) LensesGH'!G392</f>
        <v>Nikon CX</v>
      </c>
      <c r="N392" t="str">
        <f>'(Raw) LensesGH'!H392</f>
        <v>70g</v>
      </c>
      <c r="O392" s="5">
        <f t="shared" si="61"/>
        <v>70</v>
      </c>
      <c r="P392" t="str">
        <f>'(Raw) LensesGH'!I392</f>
        <v>56 x 36mm</v>
      </c>
      <c r="Q392" s="39">
        <f t="shared" si="62"/>
        <v>56</v>
      </c>
      <c r="R392" s="39">
        <f t="shared" si="54"/>
        <v>36</v>
      </c>
    </row>
    <row r="393" spans="1:18" x14ac:dyDescent="0.25">
      <c r="A393" t="str">
        <f>'(Raw) LensesGH'!A393</f>
        <v>Nikon 1 NIKKOR 18.5mm 1.8 silber</v>
      </c>
      <c r="B393" t="str">
        <f>'(Raw) LensesGH'!B393</f>
        <v>18.5mm</v>
      </c>
      <c r="C393" s="5">
        <f t="shared" si="55"/>
        <v>18.5</v>
      </c>
      <c r="D393" s="5">
        <f t="shared" si="56"/>
        <v>18.5</v>
      </c>
      <c r="E393" t="str">
        <f>'(Raw) LensesGH'!C393</f>
        <v>1:1.8</v>
      </c>
      <c r="F393" s="9">
        <f t="shared" si="57"/>
        <v>1.8</v>
      </c>
      <c r="G393" s="9">
        <f t="shared" si="58"/>
        <v>1.8</v>
      </c>
      <c r="H393" t="str">
        <f>'(Raw) LensesGH'!D393</f>
        <v>40.5mm</v>
      </c>
      <c r="I393" s="2">
        <f t="shared" si="59"/>
        <v>40.5</v>
      </c>
      <c r="J393" s="2" t="str">
        <f>'(Raw) LensesGH'!E393</f>
        <v>1:8.30</v>
      </c>
      <c r="K393" s="40">
        <f t="shared" si="60"/>
        <v>8.3000000000000007</v>
      </c>
      <c r="L393" t="str">
        <f>'(Raw) LensesGH'!F393</f>
        <v>Nikon 1</v>
      </c>
      <c r="M393" t="str">
        <f>'(Raw) LensesGH'!G393</f>
        <v>Nikon CX</v>
      </c>
      <c r="N393" t="str">
        <f>'(Raw) LensesGH'!H393</f>
        <v>70g</v>
      </c>
      <c r="O393" s="5">
        <f t="shared" si="61"/>
        <v>70</v>
      </c>
      <c r="P393" t="str">
        <f>'(Raw) LensesGH'!I393</f>
        <v>56 x 36mm</v>
      </c>
      <c r="Q393" s="39">
        <f t="shared" si="62"/>
        <v>56</v>
      </c>
      <c r="R393" s="39">
        <f t="shared" si="54"/>
        <v>36</v>
      </c>
    </row>
    <row r="394" spans="1:18" x14ac:dyDescent="0.25">
      <c r="A394" t="str">
        <f>'(Raw) LensesGH'!A394</f>
        <v>Nikon 1 NIKKOR 18.5mm 1.8 weiß</v>
      </c>
      <c r="B394" t="str">
        <f>'(Raw) LensesGH'!B394</f>
        <v>18.5mm</v>
      </c>
      <c r="C394" s="5">
        <f t="shared" si="55"/>
        <v>18.5</v>
      </c>
      <c r="D394" s="5">
        <f t="shared" si="56"/>
        <v>18.5</v>
      </c>
      <c r="E394" t="str">
        <f>'(Raw) LensesGH'!C394</f>
        <v>1:1.8</v>
      </c>
      <c r="F394" s="9">
        <f t="shared" si="57"/>
        <v>1.8</v>
      </c>
      <c r="G394" s="9">
        <f t="shared" si="58"/>
        <v>1.8</v>
      </c>
      <c r="H394" t="str">
        <f>'(Raw) LensesGH'!D394</f>
        <v>40.5mm</v>
      </c>
      <c r="I394" s="2">
        <f t="shared" si="59"/>
        <v>40.5</v>
      </c>
      <c r="J394" s="2" t="str">
        <f>'(Raw) LensesGH'!E394</f>
        <v>1:8.30</v>
      </c>
      <c r="K394" s="40">
        <f t="shared" si="60"/>
        <v>8.3000000000000007</v>
      </c>
      <c r="L394" t="str">
        <f>'(Raw) LensesGH'!F394</f>
        <v>Nikon 1</v>
      </c>
      <c r="M394" t="str">
        <f>'(Raw) LensesGH'!G394</f>
        <v>Nikon CX</v>
      </c>
      <c r="N394" t="str">
        <f>'(Raw) LensesGH'!H394</f>
        <v>70g</v>
      </c>
      <c r="O394" s="5">
        <f t="shared" si="61"/>
        <v>70</v>
      </c>
      <c r="P394" t="str">
        <f>'(Raw) LensesGH'!I394</f>
        <v>56 x 36mm</v>
      </c>
      <c r="Q394" s="39">
        <f t="shared" si="62"/>
        <v>56</v>
      </c>
      <c r="R394" s="39">
        <f t="shared" si="54"/>
        <v>36</v>
      </c>
    </row>
    <row r="395" spans="1:18" x14ac:dyDescent="0.25">
      <c r="A395" t="str">
        <f>'(Raw) LensesGH'!A395</f>
        <v>Nikon 1 NIKKOR 32mm 1.2 schwarz</v>
      </c>
      <c r="B395" t="str">
        <f>'(Raw) LensesGH'!B395</f>
        <v>32mm</v>
      </c>
      <c r="C395" s="5">
        <f t="shared" si="55"/>
        <v>32</v>
      </c>
      <c r="D395" s="5">
        <f t="shared" si="56"/>
        <v>32</v>
      </c>
      <c r="E395" t="str">
        <f>'(Raw) LensesGH'!C395</f>
        <v>1:1.2</v>
      </c>
      <c r="F395" s="9">
        <f t="shared" si="57"/>
        <v>1.2</v>
      </c>
      <c r="G395" s="9">
        <f t="shared" si="58"/>
        <v>1.2</v>
      </c>
      <c r="H395" t="str">
        <f>'(Raw) LensesGH'!D395</f>
        <v>52mm</v>
      </c>
      <c r="I395" s="2">
        <f t="shared" si="59"/>
        <v>52</v>
      </c>
      <c r="J395" s="2" t="str">
        <f>'(Raw) LensesGH'!E395</f>
        <v>1:13.00</v>
      </c>
      <c r="K395" s="40">
        <f t="shared" si="60"/>
        <v>13</v>
      </c>
      <c r="L395" t="str">
        <f>'(Raw) LensesGH'!F395</f>
        <v>Nikon 1</v>
      </c>
      <c r="M395" t="str">
        <f>'(Raw) LensesGH'!G395</f>
        <v>Nikon CX</v>
      </c>
      <c r="N395" t="str">
        <f>'(Raw) LensesGH'!H395</f>
        <v>235g</v>
      </c>
      <c r="O395" s="5">
        <f t="shared" si="61"/>
        <v>235</v>
      </c>
      <c r="P395" t="str">
        <f>'(Raw) LensesGH'!I395</f>
        <v>65.5 x 47mm</v>
      </c>
      <c r="Q395" s="39">
        <f t="shared" si="62"/>
        <v>65.5</v>
      </c>
      <c r="R395" s="39">
        <f t="shared" si="54"/>
        <v>47</v>
      </c>
    </row>
    <row r="396" spans="1:18" x14ac:dyDescent="0.25">
      <c r="A396" t="str">
        <f>'(Raw) LensesGH'!A396</f>
        <v>Nikon 1 NIKKOR 32mm 1.2 silber</v>
      </c>
      <c r="B396" t="str">
        <f>'(Raw) LensesGH'!B396</f>
        <v>32mm</v>
      </c>
      <c r="C396" s="5">
        <f t="shared" si="55"/>
        <v>32</v>
      </c>
      <c r="D396" s="5">
        <f t="shared" si="56"/>
        <v>32</v>
      </c>
      <c r="E396" t="str">
        <f>'(Raw) LensesGH'!C396</f>
        <v>1:1.2</v>
      </c>
      <c r="F396" s="9">
        <f t="shared" si="57"/>
        <v>1.2</v>
      </c>
      <c r="G396" s="9">
        <f t="shared" si="58"/>
        <v>1.2</v>
      </c>
      <c r="H396" t="str">
        <f>'(Raw) LensesGH'!D396</f>
        <v>52mm</v>
      </c>
      <c r="I396" s="2">
        <f t="shared" si="59"/>
        <v>52</v>
      </c>
      <c r="J396" s="2" t="str">
        <f>'(Raw) LensesGH'!E396</f>
        <v>1:13.00</v>
      </c>
      <c r="K396" s="40">
        <f t="shared" si="60"/>
        <v>13</v>
      </c>
      <c r="L396" t="str">
        <f>'(Raw) LensesGH'!F396</f>
        <v>Nikon 1</v>
      </c>
      <c r="M396" t="str">
        <f>'(Raw) LensesGH'!G396</f>
        <v>Nikon CX</v>
      </c>
      <c r="N396" t="str">
        <f>'(Raw) LensesGH'!H396</f>
        <v>235g</v>
      </c>
      <c r="O396" s="5">
        <f t="shared" si="61"/>
        <v>235</v>
      </c>
      <c r="P396" t="str">
        <f>'(Raw) LensesGH'!I396</f>
        <v>65.5 x 47mm</v>
      </c>
      <c r="Q396" s="39">
        <f t="shared" si="62"/>
        <v>65.5</v>
      </c>
      <c r="R396" s="39">
        <f t="shared" si="54"/>
        <v>47</v>
      </c>
    </row>
    <row r="397" spans="1:18" x14ac:dyDescent="0.25">
      <c r="A397" t="str">
        <f>'(Raw) LensesGH'!A397</f>
        <v>Nikon 1 NIKKOR AW 10mm 2.8 schwarz</v>
      </c>
      <c r="B397" t="str">
        <f>'(Raw) LensesGH'!B397</f>
        <v>10mm</v>
      </c>
      <c r="C397" s="5">
        <f t="shared" si="55"/>
        <v>10</v>
      </c>
      <c r="D397" s="5">
        <f t="shared" si="56"/>
        <v>10</v>
      </c>
      <c r="E397" t="str">
        <f>'(Raw) LensesGH'!C397</f>
        <v>1:2.8</v>
      </c>
      <c r="F397" s="9">
        <f t="shared" si="57"/>
        <v>2.8</v>
      </c>
      <c r="G397" s="9">
        <f t="shared" si="58"/>
        <v>2.8</v>
      </c>
      <c r="H397" t="str">
        <f>'(Raw) LensesGH'!D397</f>
        <v>40.5mm</v>
      </c>
      <c r="I397" s="2">
        <f t="shared" si="59"/>
        <v>40.5</v>
      </c>
      <c r="J397" s="2" t="str">
        <f>'(Raw) LensesGH'!E397</f>
        <v>1:16.70</v>
      </c>
      <c r="K397" s="40">
        <f t="shared" si="60"/>
        <v>16.7</v>
      </c>
      <c r="L397" t="str">
        <f>'(Raw) LensesGH'!F397</f>
        <v>Nikon 1</v>
      </c>
      <c r="M397" t="str">
        <f>'(Raw) LensesGH'!G397</f>
        <v>Nikon CX</v>
      </c>
      <c r="N397" t="str">
        <f>'(Raw) LensesGH'!H397</f>
        <v>118g</v>
      </c>
      <c r="O397" s="5">
        <f t="shared" si="61"/>
        <v>118</v>
      </c>
      <c r="P397" t="str">
        <f>'(Raw) LensesGH'!I397</f>
        <v>61 x 30mm</v>
      </c>
      <c r="Q397" s="39">
        <f t="shared" si="62"/>
        <v>61</v>
      </c>
      <c r="R397" s="39">
        <f t="shared" si="54"/>
        <v>30</v>
      </c>
    </row>
    <row r="398" spans="1:18" x14ac:dyDescent="0.25">
      <c r="A398" t="str">
        <f>'(Raw) LensesGH'!A398</f>
        <v>Nikon 1 NIKKOR VR 10-100mm 4.0-5.6 schwarz</v>
      </c>
      <c r="B398" t="str">
        <f>'(Raw) LensesGH'!B398</f>
        <v>10 - 100mm</v>
      </c>
      <c r="C398" s="5">
        <f t="shared" si="55"/>
        <v>10</v>
      </c>
      <c r="D398" s="5">
        <f t="shared" si="56"/>
        <v>100</v>
      </c>
      <c r="E398" t="str">
        <f>'(Raw) LensesGH'!C398</f>
        <v>1:4.0-1:5.6</v>
      </c>
      <c r="F398" s="9">
        <f t="shared" si="57"/>
        <v>4</v>
      </c>
      <c r="G398" s="9">
        <f t="shared" si="58"/>
        <v>4</v>
      </c>
      <c r="H398" t="str">
        <f>'(Raw) LensesGH'!D398</f>
        <v>55mm</v>
      </c>
      <c r="I398" s="2">
        <f t="shared" si="59"/>
        <v>55</v>
      </c>
      <c r="J398" s="2" t="str">
        <f>'(Raw) LensesGH'!E398</f>
        <v>1:8.33</v>
      </c>
      <c r="K398" s="40">
        <f t="shared" si="60"/>
        <v>8.33</v>
      </c>
      <c r="L398" t="str">
        <f>'(Raw) LensesGH'!F398</f>
        <v>Nikon 1</v>
      </c>
      <c r="M398" t="str">
        <f>'(Raw) LensesGH'!G398</f>
        <v>Nikon CX</v>
      </c>
      <c r="N398" t="str">
        <f>'(Raw) LensesGH'!H398</f>
        <v>298g</v>
      </c>
      <c r="O398" s="5">
        <f t="shared" si="61"/>
        <v>298</v>
      </c>
      <c r="P398" t="str">
        <f>'(Raw) LensesGH'!I398</f>
        <v>60.5 x 70.5mm</v>
      </c>
      <c r="Q398" s="39">
        <f t="shared" si="62"/>
        <v>60.5</v>
      </c>
      <c r="R398" s="39">
        <f t="shared" si="54"/>
        <v>70.5</v>
      </c>
    </row>
    <row r="399" spans="1:18" x14ac:dyDescent="0.25">
      <c r="A399" t="str">
        <f>'(Raw) LensesGH'!A399</f>
        <v>Nikon 1 NIKKOR VR 10-100mm 4.0-5.6 silber</v>
      </c>
      <c r="B399" t="str">
        <f>'(Raw) LensesGH'!B399</f>
        <v>10 - 100mm</v>
      </c>
      <c r="C399" s="5">
        <f t="shared" si="55"/>
        <v>10</v>
      </c>
      <c r="D399" s="5">
        <f t="shared" si="56"/>
        <v>100</v>
      </c>
      <c r="E399" t="str">
        <f>'(Raw) LensesGH'!C399</f>
        <v>1:4.0-1:5.6</v>
      </c>
      <c r="F399" s="9">
        <f t="shared" si="57"/>
        <v>4</v>
      </c>
      <c r="G399" s="9">
        <f t="shared" si="58"/>
        <v>4</v>
      </c>
      <c r="H399" t="str">
        <f>'(Raw) LensesGH'!D399</f>
        <v>55mm</v>
      </c>
      <c r="I399" s="2">
        <f t="shared" si="59"/>
        <v>55</v>
      </c>
      <c r="J399" s="2" t="str">
        <f>'(Raw) LensesGH'!E399</f>
        <v>1:8.33</v>
      </c>
      <c r="K399" s="40">
        <f t="shared" si="60"/>
        <v>8.33</v>
      </c>
      <c r="L399" t="str">
        <f>'(Raw) LensesGH'!F399</f>
        <v>Nikon 1</v>
      </c>
      <c r="M399" t="str">
        <f>'(Raw) LensesGH'!G399</f>
        <v>Nikon CX</v>
      </c>
      <c r="N399" t="str">
        <f>'(Raw) LensesGH'!H399</f>
        <v>298g</v>
      </c>
      <c r="O399" s="5">
        <f t="shared" si="61"/>
        <v>298</v>
      </c>
      <c r="P399" t="str">
        <f>'(Raw) LensesGH'!I399</f>
        <v>60.5 x 70.5mm</v>
      </c>
      <c r="Q399" s="39">
        <f t="shared" si="62"/>
        <v>60.5</v>
      </c>
      <c r="R399" s="39">
        <f t="shared" si="54"/>
        <v>70.5</v>
      </c>
    </row>
    <row r="400" spans="1:18" x14ac:dyDescent="0.25">
      <c r="A400" t="str">
        <f>'(Raw) LensesGH'!A400</f>
        <v>Nikon 1 NIKKOR VR 10-100mm 4.0-5.6 weiß</v>
      </c>
      <c r="B400" t="str">
        <f>'(Raw) LensesGH'!B400</f>
        <v>10 - 100mm</v>
      </c>
      <c r="C400" s="5">
        <f t="shared" si="55"/>
        <v>10</v>
      </c>
      <c r="D400" s="5">
        <f t="shared" si="56"/>
        <v>100</v>
      </c>
      <c r="E400" t="str">
        <f>'(Raw) LensesGH'!C400</f>
        <v>1:4.0-1:5.6</v>
      </c>
      <c r="F400" s="9">
        <f t="shared" si="57"/>
        <v>4</v>
      </c>
      <c r="G400" s="9">
        <f t="shared" si="58"/>
        <v>4</v>
      </c>
      <c r="H400" t="str">
        <f>'(Raw) LensesGH'!D400</f>
        <v>55mm</v>
      </c>
      <c r="I400" s="2">
        <f t="shared" si="59"/>
        <v>55</v>
      </c>
      <c r="J400" s="2" t="str">
        <f>'(Raw) LensesGH'!E400</f>
        <v>1:8.33</v>
      </c>
      <c r="K400" s="40">
        <f t="shared" si="60"/>
        <v>8.33</v>
      </c>
      <c r="L400" t="str">
        <f>'(Raw) LensesGH'!F400</f>
        <v>Nikon 1</v>
      </c>
      <c r="M400" t="str">
        <f>'(Raw) LensesGH'!G400</f>
        <v>Nikon CX</v>
      </c>
      <c r="N400" t="str">
        <f>'(Raw) LensesGH'!H400</f>
        <v>298g</v>
      </c>
      <c r="O400" s="5">
        <f t="shared" si="61"/>
        <v>298</v>
      </c>
      <c r="P400" t="str">
        <f>'(Raw) LensesGH'!I400</f>
        <v>60.5 x 70.5mm</v>
      </c>
      <c r="Q400" s="39">
        <f t="shared" si="62"/>
        <v>60.5</v>
      </c>
      <c r="R400" s="39">
        <f t="shared" si="54"/>
        <v>70.5</v>
      </c>
    </row>
    <row r="401" spans="1:18" x14ac:dyDescent="0.25">
      <c r="A401" t="str">
        <f>'(Raw) LensesGH'!A401</f>
        <v>Nikon 1 NIKKOR VR 10-100mm 4.5-5.6 PD-Zoom schwarz</v>
      </c>
      <c r="B401" t="str">
        <f>'(Raw) LensesGH'!B401</f>
        <v>10 - 100mm</v>
      </c>
      <c r="C401" s="5">
        <f t="shared" si="55"/>
        <v>10</v>
      </c>
      <c r="D401" s="5">
        <f t="shared" si="56"/>
        <v>100</v>
      </c>
      <c r="E401" t="str">
        <f>'(Raw) LensesGH'!C401</f>
        <v>1:4.5-1:5.6</v>
      </c>
      <c r="F401" s="9">
        <f t="shared" si="57"/>
        <v>4.5</v>
      </c>
      <c r="G401" s="9">
        <f t="shared" si="58"/>
        <v>4.5</v>
      </c>
      <c r="H401" t="str">
        <f>'(Raw) LensesGH'!D401</f>
        <v>72mm</v>
      </c>
      <c r="I401" s="2">
        <f t="shared" si="59"/>
        <v>72</v>
      </c>
      <c r="J401" s="2" t="str">
        <f>'(Raw) LensesGH'!E401</f>
        <v>1:4.80</v>
      </c>
      <c r="K401" s="40">
        <f t="shared" si="60"/>
        <v>4.8</v>
      </c>
      <c r="L401" t="str">
        <f>'(Raw) LensesGH'!F401</f>
        <v>Nikon 1</v>
      </c>
      <c r="M401" t="str">
        <f>'(Raw) LensesGH'!G401</f>
        <v>Nikon CX</v>
      </c>
      <c r="N401" t="str">
        <f>'(Raw) LensesGH'!H401</f>
        <v>530g</v>
      </c>
      <c r="O401" s="5">
        <f t="shared" si="61"/>
        <v>530</v>
      </c>
      <c r="P401" t="str">
        <f>'(Raw) LensesGH'!I401</f>
        <v>77 x 95mm</v>
      </c>
      <c r="Q401" s="39">
        <f t="shared" si="62"/>
        <v>77</v>
      </c>
      <c r="R401" s="39">
        <f t="shared" si="54"/>
        <v>95</v>
      </c>
    </row>
    <row r="402" spans="1:18" x14ac:dyDescent="0.25">
      <c r="A402" t="str">
        <f>'(Raw) LensesGH'!A402</f>
        <v>Nikon 1 NIKKOR VR 10-30mm 3.5-5.6 PD-Zoom schwarz</v>
      </c>
      <c r="B402" t="str">
        <f>'(Raw) LensesGH'!B402</f>
        <v>10 - 30mm</v>
      </c>
      <c r="C402" s="5">
        <f t="shared" si="55"/>
        <v>10</v>
      </c>
      <c r="D402" s="5">
        <f t="shared" si="56"/>
        <v>30</v>
      </c>
      <c r="E402" t="str">
        <f>'(Raw) LensesGH'!C402</f>
        <v>1:3.5-1:5.6</v>
      </c>
      <c r="F402" s="9">
        <f t="shared" si="57"/>
        <v>3.5</v>
      </c>
      <c r="G402" s="9">
        <f t="shared" si="58"/>
        <v>3.5</v>
      </c>
      <c r="H402">
        <f>'(Raw) LensesGH'!D402</f>
        <v>0</v>
      </c>
      <c r="I402" s="2">
        <f t="shared" si="59"/>
        <v>0</v>
      </c>
      <c r="J402" s="2">
        <f>'(Raw) LensesGH'!E402</f>
        <v>0</v>
      </c>
      <c r="K402" s="40">
        <f t="shared" si="60"/>
        <v>0</v>
      </c>
      <c r="L402" t="str">
        <f>'(Raw) LensesGH'!F402</f>
        <v>Nikon 1</v>
      </c>
      <c r="M402" t="str">
        <f>'(Raw) LensesGH'!G402</f>
        <v>Nikon CX</v>
      </c>
      <c r="N402" t="str">
        <f>'(Raw) LensesGH'!H402</f>
        <v>85g</v>
      </c>
      <c r="O402" s="5">
        <f t="shared" si="61"/>
        <v>85</v>
      </c>
      <c r="P402" t="str">
        <f>'(Raw) LensesGH'!I402</f>
        <v>58 x 28mm</v>
      </c>
      <c r="Q402" s="39">
        <f t="shared" si="62"/>
        <v>58</v>
      </c>
      <c r="R402" s="39">
        <f t="shared" si="54"/>
        <v>28</v>
      </c>
    </row>
    <row r="403" spans="1:18" x14ac:dyDescent="0.25">
      <c r="A403" t="str">
        <f>'(Raw) LensesGH'!A403</f>
        <v>Nikon 1 NIKKOR VR 10-30mm 3.5-5.6 schwarz</v>
      </c>
      <c r="B403" t="str">
        <f>'(Raw) LensesGH'!B403</f>
        <v>10 - 30mm</v>
      </c>
      <c r="C403" s="5">
        <f t="shared" si="55"/>
        <v>10</v>
      </c>
      <c r="D403" s="5">
        <f t="shared" si="56"/>
        <v>30</v>
      </c>
      <c r="E403" t="str">
        <f>'(Raw) LensesGH'!C403</f>
        <v>1:3.5-1:5.6</v>
      </c>
      <c r="F403" s="9">
        <f t="shared" si="57"/>
        <v>3.5</v>
      </c>
      <c r="G403" s="9">
        <f t="shared" si="58"/>
        <v>3.5</v>
      </c>
      <c r="H403" t="str">
        <f>'(Raw) LensesGH'!D403</f>
        <v>40.5mm</v>
      </c>
      <c r="I403" s="2">
        <f t="shared" si="59"/>
        <v>40.5</v>
      </c>
      <c r="J403" s="2" t="str">
        <f>'(Raw) LensesGH'!E403</f>
        <v>1:4.80</v>
      </c>
      <c r="K403" s="40">
        <f t="shared" si="60"/>
        <v>4.8</v>
      </c>
      <c r="L403" t="str">
        <f>'(Raw) LensesGH'!F403</f>
        <v>Nikon 1</v>
      </c>
      <c r="M403" t="str">
        <f>'(Raw) LensesGH'!G403</f>
        <v>Nikon CX</v>
      </c>
      <c r="N403" t="str">
        <f>'(Raw) LensesGH'!H403</f>
        <v>115g</v>
      </c>
      <c r="O403" s="5">
        <f t="shared" si="61"/>
        <v>115</v>
      </c>
      <c r="P403" t="str">
        <f>'(Raw) LensesGH'!I403</f>
        <v>57.5 x 42mm</v>
      </c>
      <c r="Q403" s="39">
        <f t="shared" si="62"/>
        <v>57.5</v>
      </c>
      <c r="R403" s="39">
        <f t="shared" si="54"/>
        <v>42</v>
      </c>
    </row>
    <row r="404" spans="1:18" x14ac:dyDescent="0.25">
      <c r="A404" t="str">
        <f>'(Raw) LensesGH'!A404</f>
        <v>Nikon 1 NIKKOR VR 30-110mm 3.8-5.6 schwarz</v>
      </c>
      <c r="B404" t="str">
        <f>'(Raw) LensesGH'!B404</f>
        <v>30 - 110mm</v>
      </c>
      <c r="C404" s="5">
        <f t="shared" si="55"/>
        <v>30</v>
      </c>
      <c r="D404" s="5">
        <f t="shared" si="56"/>
        <v>110</v>
      </c>
      <c r="E404" t="str">
        <f>'(Raw) LensesGH'!C404</f>
        <v>1:3.8-1:5.6</v>
      </c>
      <c r="F404" s="9">
        <f t="shared" si="57"/>
        <v>3.8</v>
      </c>
      <c r="G404" s="9">
        <f t="shared" si="58"/>
        <v>3.8</v>
      </c>
      <c r="H404" t="str">
        <f>'(Raw) LensesGH'!D404</f>
        <v>40.5mm</v>
      </c>
      <c r="I404" s="2">
        <f t="shared" si="59"/>
        <v>40.5</v>
      </c>
      <c r="J404" s="2" t="str">
        <f>'(Raw) LensesGH'!E404</f>
        <v>1:10.00</v>
      </c>
      <c r="K404" s="40">
        <f t="shared" si="60"/>
        <v>10</v>
      </c>
      <c r="L404" t="str">
        <f>'(Raw) LensesGH'!F404</f>
        <v>Nikon 1</v>
      </c>
      <c r="M404" t="str">
        <f>'(Raw) LensesGH'!G404</f>
        <v>Nikon CX</v>
      </c>
      <c r="N404" t="str">
        <f>'(Raw) LensesGH'!H404</f>
        <v>180g</v>
      </c>
      <c r="O404" s="5">
        <f t="shared" si="61"/>
        <v>180</v>
      </c>
      <c r="P404" t="str">
        <f>'(Raw) LensesGH'!I404</f>
        <v>60 x 61mm</v>
      </c>
      <c r="Q404" s="39">
        <f t="shared" si="62"/>
        <v>60</v>
      </c>
      <c r="R404" s="39">
        <f t="shared" si="54"/>
        <v>61</v>
      </c>
    </row>
    <row r="405" spans="1:18" x14ac:dyDescent="0.25">
      <c r="A405" t="str">
        <f>'(Raw) LensesGH'!A405</f>
        <v>Nikon 1 NIKKOR VR 30-110mm 3.8-5.6 weiß</v>
      </c>
      <c r="B405" t="str">
        <f>'(Raw) LensesGH'!B405</f>
        <v>30 - 110mm</v>
      </c>
      <c r="C405" s="5">
        <f t="shared" si="55"/>
        <v>30</v>
      </c>
      <c r="D405" s="5">
        <f t="shared" si="56"/>
        <v>110</v>
      </c>
      <c r="E405" t="str">
        <f>'(Raw) LensesGH'!C405</f>
        <v>1:3.8-1:5.6</v>
      </c>
      <c r="F405" s="9">
        <f t="shared" si="57"/>
        <v>3.8</v>
      </c>
      <c r="G405" s="9">
        <f t="shared" si="58"/>
        <v>3.8</v>
      </c>
      <c r="H405" t="str">
        <f>'(Raw) LensesGH'!D405</f>
        <v>40.5mm</v>
      </c>
      <c r="I405" s="2">
        <f t="shared" si="59"/>
        <v>40.5</v>
      </c>
      <c r="J405" s="2" t="str">
        <f>'(Raw) LensesGH'!E405</f>
        <v>1:10.00</v>
      </c>
      <c r="K405" s="40">
        <f t="shared" si="60"/>
        <v>10</v>
      </c>
      <c r="L405" t="str">
        <f>'(Raw) LensesGH'!F405</f>
        <v>Nikon 1</v>
      </c>
      <c r="M405" t="str">
        <f>'(Raw) LensesGH'!G405</f>
        <v>Nikon CX</v>
      </c>
      <c r="N405" t="str">
        <f>'(Raw) LensesGH'!H405</f>
        <v>180g</v>
      </c>
      <c r="O405" s="5">
        <f t="shared" si="61"/>
        <v>180</v>
      </c>
      <c r="P405" t="str">
        <f>'(Raw) LensesGH'!I405</f>
        <v>60 x 61mm</v>
      </c>
      <c r="Q405" s="39">
        <f t="shared" si="62"/>
        <v>60</v>
      </c>
      <c r="R405" s="39">
        <f t="shared" si="54"/>
        <v>61</v>
      </c>
    </row>
    <row r="406" spans="1:18" x14ac:dyDescent="0.25">
      <c r="A406" t="str">
        <f>'(Raw) LensesGH'!A406</f>
        <v>Nikon 1 NIKKOR VR 6.7-13mm 3.5-5.6 schwarz</v>
      </c>
      <c r="B406" t="str">
        <f>'(Raw) LensesGH'!B406</f>
        <v>6.7 - 13mm</v>
      </c>
      <c r="C406" s="5">
        <f t="shared" si="55"/>
        <v>6.7</v>
      </c>
      <c r="D406" s="5">
        <f t="shared" si="56"/>
        <v>13</v>
      </c>
      <c r="E406" t="str">
        <f>'(Raw) LensesGH'!C406</f>
        <v>1:3.5-1:5.6</v>
      </c>
      <c r="F406" s="9">
        <f t="shared" si="57"/>
        <v>3.5</v>
      </c>
      <c r="G406" s="9">
        <f t="shared" si="58"/>
        <v>3.5</v>
      </c>
      <c r="H406" t="str">
        <f>'(Raw) LensesGH'!D406</f>
        <v>52mm</v>
      </c>
      <c r="I406" s="2">
        <f t="shared" si="59"/>
        <v>52</v>
      </c>
      <c r="J406" s="2" t="str">
        <f>'(Raw) LensesGH'!E406</f>
        <v>1:16.66</v>
      </c>
      <c r="K406" s="40">
        <f t="shared" si="60"/>
        <v>16.66</v>
      </c>
      <c r="L406" t="str">
        <f>'(Raw) LensesGH'!F406</f>
        <v>Nikon 1</v>
      </c>
      <c r="M406" t="str">
        <f>'(Raw) LensesGH'!G406</f>
        <v>Nikon CX</v>
      </c>
      <c r="N406" t="str">
        <f>'(Raw) LensesGH'!H406</f>
        <v>125g</v>
      </c>
      <c r="O406" s="5">
        <f t="shared" si="61"/>
        <v>125</v>
      </c>
      <c r="P406" t="str">
        <f>'(Raw) LensesGH'!I406</f>
        <v>56.5 x 46mm</v>
      </c>
      <c r="Q406" s="39">
        <f t="shared" si="62"/>
        <v>56.5</v>
      </c>
      <c r="R406" s="39">
        <f t="shared" si="54"/>
        <v>46</v>
      </c>
    </row>
    <row r="407" spans="1:18" x14ac:dyDescent="0.25">
      <c r="A407" t="str">
        <f>'(Raw) LensesGH'!A407</f>
        <v>Nikon 1 NIKKOR VR 6.7-13mm 3.5-5.6 silber</v>
      </c>
      <c r="B407" t="str">
        <f>'(Raw) LensesGH'!B407</f>
        <v>6.7 - 13mm</v>
      </c>
      <c r="C407" s="5">
        <f t="shared" si="55"/>
        <v>6.7</v>
      </c>
      <c r="D407" s="5">
        <f t="shared" si="56"/>
        <v>13</v>
      </c>
      <c r="E407" t="str">
        <f>'(Raw) LensesGH'!C407</f>
        <v>1:3.5-1:5.6</v>
      </c>
      <c r="F407" s="9">
        <f t="shared" si="57"/>
        <v>3.5</v>
      </c>
      <c r="G407" s="9">
        <f t="shared" si="58"/>
        <v>3.5</v>
      </c>
      <c r="H407" t="str">
        <f>'(Raw) LensesGH'!D407</f>
        <v>52mm</v>
      </c>
      <c r="I407" s="2">
        <f t="shared" si="59"/>
        <v>52</v>
      </c>
      <c r="J407" s="2" t="str">
        <f>'(Raw) LensesGH'!E407</f>
        <v>1:16.66</v>
      </c>
      <c r="K407" s="40">
        <f t="shared" si="60"/>
        <v>16.66</v>
      </c>
      <c r="L407" t="str">
        <f>'(Raw) LensesGH'!F407</f>
        <v>Nikon 1</v>
      </c>
      <c r="M407" t="str">
        <f>'(Raw) LensesGH'!G407</f>
        <v>Nikon CX</v>
      </c>
      <c r="N407" t="str">
        <f>'(Raw) LensesGH'!H407</f>
        <v>125g</v>
      </c>
      <c r="O407" s="5">
        <f t="shared" si="61"/>
        <v>125</v>
      </c>
      <c r="P407" t="str">
        <f>'(Raw) LensesGH'!I407</f>
        <v>56.5 x 46mm</v>
      </c>
      <c r="Q407" s="39">
        <f t="shared" si="62"/>
        <v>56.5</v>
      </c>
      <c r="R407" s="39">
        <f t="shared" si="54"/>
        <v>46</v>
      </c>
    </row>
    <row r="408" spans="1:18" x14ac:dyDescent="0.25">
      <c r="A408" t="str">
        <f>'(Raw) LensesGH'!A408</f>
        <v>Nikon 1 NIKKOR VR 70-300mm 4.5-5.6 schwarz</v>
      </c>
      <c r="B408" t="str">
        <f>'(Raw) LensesGH'!B408</f>
        <v>70 - 300mm</v>
      </c>
      <c r="C408" s="5">
        <f t="shared" si="55"/>
        <v>70</v>
      </c>
      <c r="D408" s="5">
        <f t="shared" si="56"/>
        <v>300</v>
      </c>
      <c r="E408" t="str">
        <f>'(Raw) LensesGH'!C408</f>
        <v>1:4.5-1:5.6</v>
      </c>
      <c r="F408" s="9">
        <f t="shared" si="57"/>
        <v>4.5</v>
      </c>
      <c r="G408" s="9">
        <f t="shared" si="58"/>
        <v>4.5</v>
      </c>
      <c r="H408" t="str">
        <f>'(Raw) LensesGH'!D408</f>
        <v>62mm</v>
      </c>
      <c r="I408" s="2">
        <f t="shared" si="59"/>
        <v>62</v>
      </c>
      <c r="J408" s="2" t="str">
        <f>'(Raw) LensesGH'!E408</f>
        <v>1:6.70</v>
      </c>
      <c r="K408" s="40">
        <f t="shared" si="60"/>
        <v>6.7</v>
      </c>
      <c r="L408" t="str">
        <f>'(Raw) LensesGH'!F408</f>
        <v>Nikon 1</v>
      </c>
      <c r="M408" t="str">
        <f>'(Raw) LensesGH'!G408</f>
        <v>Nikon CX</v>
      </c>
      <c r="N408" t="str">
        <f>'(Raw) LensesGH'!H408</f>
        <v>550g</v>
      </c>
      <c r="O408" s="5">
        <f t="shared" si="61"/>
        <v>550</v>
      </c>
      <c r="P408" t="str">
        <f>'(Raw) LensesGH'!I408</f>
        <v>72 x 108mm</v>
      </c>
      <c r="Q408" s="39">
        <f t="shared" si="62"/>
        <v>72</v>
      </c>
      <c r="R408" s="39">
        <f t="shared" si="54"/>
        <v>108</v>
      </c>
    </row>
    <row r="409" spans="1:18" x14ac:dyDescent="0.25">
      <c r="A409" t="str">
        <f>'(Raw) LensesGH'!A409</f>
        <v>Nikon 20mm 2.8 schwarz</v>
      </c>
      <c r="B409" t="str">
        <f>'(Raw) LensesGH'!B409</f>
        <v>20mm</v>
      </c>
      <c r="C409" s="5">
        <f t="shared" si="55"/>
        <v>20</v>
      </c>
      <c r="D409" s="5">
        <f t="shared" si="56"/>
        <v>20</v>
      </c>
      <c r="E409" t="str">
        <f>'(Raw) LensesGH'!C409</f>
        <v>1:2.8</v>
      </c>
      <c r="F409" s="9">
        <f t="shared" si="57"/>
        <v>2.8</v>
      </c>
      <c r="G409" s="9">
        <f t="shared" si="58"/>
        <v>2.8</v>
      </c>
      <c r="H409" t="str">
        <f>'(Raw) LensesGH'!D409</f>
        <v>62mm</v>
      </c>
      <c r="I409" s="2">
        <f t="shared" si="59"/>
        <v>62</v>
      </c>
      <c r="J409" s="2">
        <f>'(Raw) LensesGH'!E409</f>
        <v>0</v>
      </c>
      <c r="K409" s="40">
        <f t="shared" si="60"/>
        <v>0</v>
      </c>
      <c r="L409" t="str">
        <f>'(Raw) LensesGH'!F409</f>
        <v>Nikon F</v>
      </c>
      <c r="M409" t="str">
        <f>'(Raw) LensesGH'!G409</f>
        <v>APS-C/ Kleinbild</v>
      </c>
      <c r="N409" t="str">
        <f>'(Raw) LensesGH'!H409</f>
        <v>260g</v>
      </c>
      <c r="O409" s="5">
        <f t="shared" si="61"/>
        <v>260</v>
      </c>
      <c r="P409" t="str">
        <f>'(Raw) LensesGH'!I409</f>
        <v>65 x 42.5mm</v>
      </c>
      <c r="Q409" s="39">
        <f t="shared" si="62"/>
        <v>65</v>
      </c>
      <c r="R409" s="39">
        <f t="shared" si="54"/>
        <v>42.5</v>
      </c>
    </row>
    <row r="410" spans="1:18" x14ac:dyDescent="0.25">
      <c r="A410" t="str">
        <f>'(Raw) LensesGH'!A410</f>
        <v>Nikon 24mm 2.8 schwarz</v>
      </c>
      <c r="B410" t="str">
        <f>'(Raw) LensesGH'!B410</f>
        <v>24mm</v>
      </c>
      <c r="C410" s="5">
        <f t="shared" si="55"/>
        <v>24</v>
      </c>
      <c r="D410" s="5">
        <f t="shared" si="56"/>
        <v>24</v>
      </c>
      <c r="E410" t="str">
        <f>'(Raw) LensesGH'!C410</f>
        <v>1:2.8</v>
      </c>
      <c r="F410" s="9">
        <f t="shared" si="57"/>
        <v>2.8</v>
      </c>
      <c r="G410" s="9">
        <f t="shared" si="58"/>
        <v>2.8</v>
      </c>
      <c r="H410" t="str">
        <f>'(Raw) LensesGH'!D410</f>
        <v>52mm</v>
      </c>
      <c r="I410" s="2">
        <f t="shared" si="59"/>
        <v>52</v>
      </c>
      <c r="J410" s="2">
        <f>'(Raw) LensesGH'!E410</f>
        <v>0</v>
      </c>
      <c r="K410" s="40">
        <f t="shared" si="60"/>
        <v>0</v>
      </c>
      <c r="L410" t="str">
        <f>'(Raw) LensesGH'!F410</f>
        <v>Nikon F</v>
      </c>
      <c r="M410" t="str">
        <f>'(Raw) LensesGH'!G410</f>
        <v>APS-C/ Kleinbild</v>
      </c>
      <c r="N410" t="str">
        <f>'(Raw) LensesGH'!H410</f>
        <v>250g</v>
      </c>
      <c r="O410" s="5">
        <f t="shared" si="61"/>
        <v>250</v>
      </c>
      <c r="P410" t="str">
        <f>'(Raw) LensesGH'!I410</f>
        <v>46 x 63mm</v>
      </c>
      <c r="Q410" s="39">
        <f t="shared" si="62"/>
        <v>46</v>
      </c>
      <c r="R410" s="39">
        <f t="shared" si="54"/>
        <v>63</v>
      </c>
    </row>
    <row r="411" spans="1:18" x14ac:dyDescent="0.25">
      <c r="A411" t="str">
        <f>'(Raw) LensesGH'!A411</f>
        <v>Nikon 35mm 1.4 schwarz</v>
      </c>
      <c r="B411" t="str">
        <f>'(Raw) LensesGH'!B411</f>
        <v>35mm</v>
      </c>
      <c r="C411" s="5">
        <f t="shared" si="55"/>
        <v>35</v>
      </c>
      <c r="D411" s="5">
        <f t="shared" si="56"/>
        <v>35</v>
      </c>
      <c r="E411" t="str">
        <f>'(Raw) LensesGH'!C411</f>
        <v>1:1.4</v>
      </c>
      <c r="F411" s="9">
        <f t="shared" si="57"/>
        <v>1.4</v>
      </c>
      <c r="G411" s="9">
        <f t="shared" si="58"/>
        <v>1.4</v>
      </c>
      <c r="H411" t="str">
        <f>'(Raw) LensesGH'!D411</f>
        <v>52mm</v>
      </c>
      <c r="I411" s="2">
        <f t="shared" si="59"/>
        <v>52</v>
      </c>
      <c r="J411" s="2">
        <f>'(Raw) LensesGH'!E411</f>
        <v>0</v>
      </c>
      <c r="K411" s="40">
        <f t="shared" si="60"/>
        <v>0</v>
      </c>
      <c r="L411" t="str">
        <f>'(Raw) LensesGH'!F411</f>
        <v>Nikon F</v>
      </c>
      <c r="M411" t="str">
        <f>'(Raw) LensesGH'!G411</f>
        <v>APS-C/ Kleinbild</v>
      </c>
      <c r="N411" t="str">
        <f>'(Raw) LensesGH'!H411</f>
        <v>400g</v>
      </c>
      <c r="O411" s="5">
        <f t="shared" si="61"/>
        <v>400</v>
      </c>
      <c r="P411" t="str">
        <f>'(Raw) LensesGH'!I411</f>
        <v>62 x 67.5mm</v>
      </c>
      <c r="Q411" s="39">
        <f t="shared" si="62"/>
        <v>62</v>
      </c>
      <c r="R411" s="39">
        <f t="shared" si="54"/>
        <v>67.5</v>
      </c>
    </row>
    <row r="412" spans="1:18" x14ac:dyDescent="0.25">
      <c r="A412" t="str">
        <f>'(Raw) LensesGH'!A412</f>
        <v>Nikon 50mm 1.2 schwarz</v>
      </c>
      <c r="B412" t="str">
        <f>'(Raw) LensesGH'!B412</f>
        <v>50mm</v>
      </c>
      <c r="C412" s="5">
        <f t="shared" si="55"/>
        <v>50</v>
      </c>
      <c r="D412" s="5">
        <f t="shared" si="56"/>
        <v>50</v>
      </c>
      <c r="E412" t="str">
        <f>'(Raw) LensesGH'!C412</f>
        <v>1:1.2</v>
      </c>
      <c r="F412" s="9">
        <f t="shared" si="57"/>
        <v>1.2</v>
      </c>
      <c r="G412" s="9">
        <f t="shared" si="58"/>
        <v>1.2</v>
      </c>
      <c r="H412" t="str">
        <f>'(Raw) LensesGH'!D412</f>
        <v>52mm</v>
      </c>
      <c r="I412" s="2">
        <f t="shared" si="59"/>
        <v>52</v>
      </c>
      <c r="J412" s="2">
        <f>'(Raw) LensesGH'!E412</f>
        <v>0</v>
      </c>
      <c r="K412" s="40">
        <f t="shared" si="60"/>
        <v>0</v>
      </c>
      <c r="L412" t="str">
        <f>'(Raw) LensesGH'!F412</f>
        <v>Nikon F</v>
      </c>
      <c r="M412" t="str">
        <f>'(Raw) LensesGH'!G412</f>
        <v>APS-C/ Kleinbild</v>
      </c>
      <c r="N412" t="str">
        <f>'(Raw) LensesGH'!H412</f>
        <v>360g</v>
      </c>
      <c r="O412" s="5">
        <f t="shared" si="61"/>
        <v>360</v>
      </c>
      <c r="P412" t="str">
        <f>'(Raw) LensesGH'!I412</f>
        <v>68.5 x 47.5mm</v>
      </c>
      <c r="Q412" s="39">
        <f t="shared" si="62"/>
        <v>68.5</v>
      </c>
      <c r="R412" s="39">
        <f t="shared" si="54"/>
        <v>47.5</v>
      </c>
    </row>
    <row r="413" spans="1:18" x14ac:dyDescent="0.25">
      <c r="A413" t="str">
        <f>'(Raw) LensesGH'!A413</f>
        <v>Nikon 50mm 1.4 schwarz</v>
      </c>
      <c r="B413" t="str">
        <f>'(Raw) LensesGH'!B413</f>
        <v>50mm</v>
      </c>
      <c r="C413" s="5">
        <f t="shared" si="55"/>
        <v>50</v>
      </c>
      <c r="D413" s="5">
        <f t="shared" si="56"/>
        <v>50</v>
      </c>
      <c r="E413" t="str">
        <f>'(Raw) LensesGH'!C413</f>
        <v>1:1.4</v>
      </c>
      <c r="F413" s="9">
        <f t="shared" si="57"/>
        <v>1.4</v>
      </c>
      <c r="G413" s="9">
        <f t="shared" si="58"/>
        <v>1.4</v>
      </c>
      <c r="H413" t="str">
        <f>'(Raw) LensesGH'!D413</f>
        <v>52mm</v>
      </c>
      <c r="I413" s="2">
        <f t="shared" si="59"/>
        <v>52</v>
      </c>
      <c r="J413" s="2">
        <f>'(Raw) LensesGH'!E413</f>
        <v>0</v>
      </c>
      <c r="K413" s="40">
        <f t="shared" si="60"/>
        <v>0</v>
      </c>
      <c r="L413" t="str">
        <f>'(Raw) LensesGH'!F413</f>
        <v>Nikon F</v>
      </c>
      <c r="M413" t="str">
        <f>'(Raw) LensesGH'!G413</f>
        <v>APS-C/ Kleinbild</v>
      </c>
      <c r="N413" t="str">
        <f>'(Raw) LensesGH'!H413</f>
        <v>250g</v>
      </c>
      <c r="O413" s="5">
        <f t="shared" si="61"/>
        <v>250</v>
      </c>
      <c r="P413" t="str">
        <f>'(Raw) LensesGH'!I413</f>
        <v>63 x 40mm</v>
      </c>
      <c r="Q413" s="39">
        <f t="shared" si="62"/>
        <v>63</v>
      </c>
      <c r="R413" s="39">
        <f t="shared" si="54"/>
        <v>40</v>
      </c>
    </row>
    <row r="414" spans="1:18" x14ac:dyDescent="0.25">
      <c r="A414" t="str">
        <f>'(Raw) LensesGH'!A414</f>
        <v>Nikon AF 14mm 2.8D ED schwarz</v>
      </c>
      <c r="B414" t="str">
        <f>'(Raw) LensesGH'!B414</f>
        <v>14mm</v>
      </c>
      <c r="C414" s="5">
        <f t="shared" si="55"/>
        <v>14</v>
      </c>
      <c r="D414" s="5">
        <f t="shared" si="56"/>
        <v>14</v>
      </c>
      <c r="E414" t="str">
        <f>'(Raw) LensesGH'!C414</f>
        <v>1:2.8</v>
      </c>
      <c r="F414" s="9">
        <f t="shared" si="57"/>
        <v>2.8</v>
      </c>
      <c r="G414" s="9">
        <f t="shared" si="58"/>
        <v>2.8</v>
      </c>
      <c r="H414">
        <f>'(Raw) LensesGH'!D414</f>
        <v>0</v>
      </c>
      <c r="I414" s="2">
        <f t="shared" si="59"/>
        <v>0</v>
      </c>
      <c r="J414" s="2" t="str">
        <f>'(Raw) LensesGH'!E414</f>
        <v>1:6.71</v>
      </c>
      <c r="K414" s="40">
        <f t="shared" si="60"/>
        <v>6.71</v>
      </c>
      <c r="L414" t="str">
        <f>'(Raw) LensesGH'!F414</f>
        <v>Nikon F</v>
      </c>
      <c r="M414" t="str">
        <f>'(Raw) LensesGH'!G414</f>
        <v>APS-C/ Kleinbild</v>
      </c>
      <c r="N414" t="str">
        <f>'(Raw) LensesGH'!H414</f>
        <v>670g</v>
      </c>
      <c r="O414" s="5">
        <f t="shared" si="61"/>
        <v>670</v>
      </c>
      <c r="P414" t="str">
        <f>'(Raw) LensesGH'!I414</f>
        <v>86.5 x 87mm</v>
      </c>
      <c r="Q414" s="39">
        <f t="shared" si="62"/>
        <v>86.5</v>
      </c>
      <c r="R414" s="39">
        <f t="shared" si="54"/>
        <v>87</v>
      </c>
    </row>
    <row r="415" spans="1:18" x14ac:dyDescent="0.25">
      <c r="A415" t="str">
        <f>'(Raw) LensesGH'!A415</f>
        <v>Nikon AF 16mm 2.8D Fisheye schwarz</v>
      </c>
      <c r="B415" t="str">
        <f>'(Raw) LensesGH'!B415</f>
        <v>16mm</v>
      </c>
      <c r="C415" s="5">
        <f t="shared" si="55"/>
        <v>16</v>
      </c>
      <c r="D415" s="5">
        <f t="shared" si="56"/>
        <v>16</v>
      </c>
      <c r="E415" t="str">
        <f>'(Raw) LensesGH'!C415</f>
        <v>1:2.8</v>
      </c>
      <c r="F415" s="9">
        <f t="shared" si="57"/>
        <v>2.8</v>
      </c>
      <c r="G415" s="9">
        <f t="shared" si="58"/>
        <v>2.8</v>
      </c>
      <c r="H415">
        <f>'(Raw) LensesGH'!D415</f>
        <v>0</v>
      </c>
      <c r="I415" s="2">
        <f t="shared" si="59"/>
        <v>0</v>
      </c>
      <c r="J415" s="2" t="str">
        <f>'(Raw) LensesGH'!E415</f>
        <v>1:10.00</v>
      </c>
      <c r="K415" s="40">
        <f t="shared" si="60"/>
        <v>10</v>
      </c>
      <c r="L415" t="str">
        <f>'(Raw) LensesGH'!F415</f>
        <v>Nikon F</v>
      </c>
      <c r="M415" t="str">
        <f>'(Raw) LensesGH'!G415</f>
        <v>APS-C/ Kleinbild</v>
      </c>
      <c r="N415" t="str">
        <f>'(Raw) LensesGH'!H415</f>
        <v>290g</v>
      </c>
      <c r="O415" s="5">
        <f t="shared" si="61"/>
        <v>290</v>
      </c>
      <c r="P415" t="str">
        <f>'(Raw) LensesGH'!I415</f>
        <v>57 x 63mm</v>
      </c>
      <c r="Q415" s="39">
        <f t="shared" si="62"/>
        <v>57</v>
      </c>
      <c r="R415" s="39">
        <f t="shared" si="54"/>
        <v>63</v>
      </c>
    </row>
    <row r="416" spans="1:18" x14ac:dyDescent="0.25">
      <c r="A416" t="str">
        <f>'(Raw) LensesGH'!A416</f>
        <v>Nikon AF 180mm 2.8D IF-ED schwarz</v>
      </c>
      <c r="B416" t="str">
        <f>'(Raw) LensesGH'!B416</f>
        <v>180mm</v>
      </c>
      <c r="C416" s="5">
        <f t="shared" si="55"/>
        <v>180</v>
      </c>
      <c r="D416" s="5">
        <f t="shared" si="56"/>
        <v>180</v>
      </c>
      <c r="E416" t="str">
        <f>'(Raw) LensesGH'!C416</f>
        <v>1:2.8</v>
      </c>
      <c r="F416" s="9">
        <f t="shared" si="57"/>
        <v>2.8</v>
      </c>
      <c r="G416" s="9">
        <f t="shared" si="58"/>
        <v>2.8</v>
      </c>
      <c r="H416" t="str">
        <f>'(Raw) LensesGH'!D416</f>
        <v>72mm</v>
      </c>
      <c r="I416" s="2">
        <f t="shared" si="59"/>
        <v>72</v>
      </c>
      <c r="J416" s="2" t="str">
        <f>'(Raw) LensesGH'!E416</f>
        <v>1:6.67</v>
      </c>
      <c r="K416" s="40">
        <f t="shared" si="60"/>
        <v>6.67</v>
      </c>
      <c r="L416" t="str">
        <f>'(Raw) LensesGH'!F416</f>
        <v>Nikon F</v>
      </c>
      <c r="M416" t="str">
        <f>'(Raw) LensesGH'!G416</f>
        <v>APS-C/ Kleinbild</v>
      </c>
      <c r="N416" t="str">
        <f>'(Raw) LensesGH'!H416</f>
        <v>760g</v>
      </c>
      <c r="O416" s="5">
        <f t="shared" si="61"/>
        <v>760</v>
      </c>
      <c r="P416" t="str">
        <f>'(Raw) LensesGH'!I416</f>
        <v>78.5 x 144mm</v>
      </c>
      <c r="Q416" s="39">
        <f t="shared" si="62"/>
        <v>78.5</v>
      </c>
      <c r="R416" s="39">
        <f t="shared" si="54"/>
        <v>144</v>
      </c>
    </row>
    <row r="417" spans="1:18" x14ac:dyDescent="0.25">
      <c r="A417" t="str">
        <f>'(Raw) LensesGH'!A417</f>
        <v>Nikon AF 18-35mm 3.5-4.5D ED schwarz</v>
      </c>
      <c r="B417" t="str">
        <f>'(Raw) LensesGH'!B417</f>
        <v>18 - 35mm</v>
      </c>
      <c r="C417" s="5">
        <f t="shared" si="55"/>
        <v>18</v>
      </c>
      <c r="D417" s="5">
        <f t="shared" si="56"/>
        <v>35</v>
      </c>
      <c r="E417" t="str">
        <f>'(Raw) LensesGH'!C417</f>
        <v>1:3.5-1:4.5</v>
      </c>
      <c r="F417" s="9">
        <f t="shared" si="57"/>
        <v>3.5</v>
      </c>
      <c r="G417" s="9">
        <f t="shared" si="58"/>
        <v>3.5</v>
      </c>
      <c r="H417" t="str">
        <f>'(Raw) LensesGH'!D417</f>
        <v>77mm</v>
      </c>
      <c r="I417" s="2">
        <f t="shared" si="59"/>
        <v>77</v>
      </c>
      <c r="J417" s="2" t="str">
        <f>'(Raw) LensesGH'!E417</f>
        <v>1:6.67</v>
      </c>
      <c r="K417" s="40">
        <f t="shared" si="60"/>
        <v>6.67</v>
      </c>
      <c r="L417" t="str">
        <f>'(Raw) LensesGH'!F417</f>
        <v>Nikon F</v>
      </c>
      <c r="M417" t="str">
        <f>'(Raw) LensesGH'!G417</f>
        <v>APS-C/ Kleinbild</v>
      </c>
      <c r="N417" t="str">
        <f>'(Raw) LensesGH'!H417</f>
        <v>370g</v>
      </c>
      <c r="O417" s="5">
        <f t="shared" si="61"/>
        <v>370</v>
      </c>
      <c r="P417" t="str">
        <f>'(Raw) LensesGH'!I417</f>
        <v>82.5 x 82.7mm</v>
      </c>
      <c r="Q417" s="39">
        <f t="shared" si="62"/>
        <v>82.5</v>
      </c>
      <c r="R417" s="39">
        <f t="shared" si="54"/>
        <v>82.7</v>
      </c>
    </row>
    <row r="418" spans="1:18" x14ac:dyDescent="0.25">
      <c r="A418" t="str">
        <f>'(Raw) LensesGH'!A418</f>
        <v>Nikon AF 20mm 2.8D schwarz</v>
      </c>
      <c r="B418" t="str">
        <f>'(Raw) LensesGH'!B418</f>
        <v>20mm</v>
      </c>
      <c r="C418" s="5">
        <f t="shared" si="55"/>
        <v>20</v>
      </c>
      <c r="D418" s="5">
        <f t="shared" si="56"/>
        <v>20</v>
      </c>
      <c r="E418" t="str">
        <f>'(Raw) LensesGH'!C418</f>
        <v>1:2.8</v>
      </c>
      <c r="F418" s="9">
        <f t="shared" si="57"/>
        <v>2.8</v>
      </c>
      <c r="G418" s="9">
        <f t="shared" si="58"/>
        <v>2.8</v>
      </c>
      <c r="H418" t="str">
        <f>'(Raw) LensesGH'!D418</f>
        <v>62mm</v>
      </c>
      <c r="I418" s="2">
        <f t="shared" si="59"/>
        <v>62</v>
      </c>
      <c r="J418" s="2" t="str">
        <f>'(Raw) LensesGH'!E418</f>
        <v>1:8.33</v>
      </c>
      <c r="K418" s="40">
        <f t="shared" si="60"/>
        <v>8.33</v>
      </c>
      <c r="L418" t="str">
        <f>'(Raw) LensesGH'!F418</f>
        <v>Nikon F</v>
      </c>
      <c r="M418" t="str">
        <f>'(Raw) LensesGH'!G418</f>
        <v>APS-C/ Kleinbild</v>
      </c>
      <c r="N418" t="str">
        <f>'(Raw) LensesGH'!H418</f>
        <v>270g</v>
      </c>
      <c r="O418" s="5">
        <f t="shared" si="61"/>
        <v>270</v>
      </c>
      <c r="P418" t="str">
        <f>'(Raw) LensesGH'!I418</f>
        <v>42.5 x 69mm</v>
      </c>
      <c r="Q418" s="39">
        <f t="shared" si="62"/>
        <v>42.5</v>
      </c>
      <c r="R418" s="39">
        <f t="shared" si="54"/>
        <v>69</v>
      </c>
    </row>
    <row r="419" spans="1:18" x14ac:dyDescent="0.25">
      <c r="A419" t="str">
        <f>'(Raw) LensesGH'!A419</f>
        <v>Nikon AF 24-85mm 2.8-4.0D schwarz</v>
      </c>
      <c r="B419" t="str">
        <f>'(Raw) LensesGH'!B419</f>
        <v>24 - 85mm</v>
      </c>
      <c r="C419" s="5">
        <f t="shared" si="55"/>
        <v>24</v>
      </c>
      <c r="D419" s="5">
        <f t="shared" si="56"/>
        <v>85</v>
      </c>
      <c r="E419" t="str">
        <f>'(Raw) LensesGH'!C419</f>
        <v>1:2.8-1:4.0</v>
      </c>
      <c r="F419" s="9">
        <f t="shared" si="57"/>
        <v>2.8</v>
      </c>
      <c r="G419" s="9">
        <f t="shared" si="58"/>
        <v>2.8</v>
      </c>
      <c r="H419" t="str">
        <f>'(Raw) LensesGH'!D419</f>
        <v>72mm</v>
      </c>
      <c r="I419" s="2">
        <f t="shared" si="59"/>
        <v>72</v>
      </c>
      <c r="J419" s="2" t="str">
        <f>'(Raw) LensesGH'!E419</f>
        <v>1:2.00</v>
      </c>
      <c r="K419" s="40">
        <f t="shared" si="60"/>
        <v>2</v>
      </c>
      <c r="L419" t="str">
        <f>'(Raw) LensesGH'!F419</f>
        <v>Nikon F</v>
      </c>
      <c r="M419" t="str">
        <f>'(Raw) LensesGH'!G419</f>
        <v>APS-C/ Kleinbild</v>
      </c>
      <c r="N419" t="str">
        <f>'(Raw) LensesGH'!H419</f>
        <v>545g</v>
      </c>
      <c r="O419" s="5">
        <f t="shared" si="61"/>
        <v>545</v>
      </c>
      <c r="P419" t="str">
        <f>'(Raw) LensesGH'!I419</f>
        <v>78.5 x 82.5mm</v>
      </c>
      <c r="Q419" s="39">
        <f t="shared" si="62"/>
        <v>78.5</v>
      </c>
      <c r="R419" s="39">
        <f t="shared" si="54"/>
        <v>82.5</v>
      </c>
    </row>
    <row r="420" spans="1:18" x14ac:dyDescent="0.25">
      <c r="A420" t="str">
        <f>'(Raw) LensesGH'!A420</f>
        <v>Nikon AF 24mm 2.8D schwarz</v>
      </c>
      <c r="B420" t="str">
        <f>'(Raw) LensesGH'!B420</f>
        <v>24mm</v>
      </c>
      <c r="C420" s="5">
        <f t="shared" si="55"/>
        <v>24</v>
      </c>
      <c r="D420" s="5">
        <f t="shared" si="56"/>
        <v>24</v>
      </c>
      <c r="E420" t="str">
        <f>'(Raw) LensesGH'!C420</f>
        <v>1:2.8</v>
      </c>
      <c r="F420" s="9">
        <f t="shared" si="57"/>
        <v>2.8</v>
      </c>
      <c r="G420" s="9">
        <f t="shared" si="58"/>
        <v>2.8</v>
      </c>
      <c r="H420" t="str">
        <f>'(Raw) LensesGH'!D420</f>
        <v>52mm</v>
      </c>
      <c r="I420" s="2">
        <f t="shared" si="59"/>
        <v>52</v>
      </c>
      <c r="J420" s="2" t="str">
        <f>'(Raw) LensesGH'!E420</f>
        <v>1:9.09</v>
      </c>
      <c r="K420" s="40">
        <f t="shared" si="60"/>
        <v>9.09</v>
      </c>
      <c r="L420" t="str">
        <f>'(Raw) LensesGH'!F420</f>
        <v>Nikon F</v>
      </c>
      <c r="M420" t="str">
        <f>'(Raw) LensesGH'!G420</f>
        <v>APS-C/ Kleinbild</v>
      </c>
      <c r="N420" t="str">
        <f>'(Raw) LensesGH'!H420</f>
        <v>270g</v>
      </c>
      <c r="O420" s="5">
        <f t="shared" si="61"/>
        <v>270</v>
      </c>
      <c r="P420" t="str">
        <f>'(Raw) LensesGH'!I420</f>
        <v>64.5 x 46mm</v>
      </c>
      <c r="Q420" s="39">
        <f t="shared" si="62"/>
        <v>64.5</v>
      </c>
      <c r="R420" s="39">
        <f t="shared" si="54"/>
        <v>46</v>
      </c>
    </row>
    <row r="421" spans="1:18" x14ac:dyDescent="0.25">
      <c r="A421" t="str">
        <f>'(Raw) LensesGH'!A421</f>
        <v>Nikon AF 28-100mm 3.5-5.6G schwarz</v>
      </c>
      <c r="B421" t="str">
        <f>'(Raw) LensesGH'!B421</f>
        <v>28 - 100mm</v>
      </c>
      <c r="C421" s="5">
        <f t="shared" si="55"/>
        <v>28</v>
      </c>
      <c r="D421" s="5">
        <f t="shared" si="56"/>
        <v>100</v>
      </c>
      <c r="E421" t="str">
        <f>'(Raw) LensesGH'!C421</f>
        <v>1:3.5-1:5.6</v>
      </c>
      <c r="F421" s="9">
        <f t="shared" si="57"/>
        <v>3.5</v>
      </c>
      <c r="G421" s="9">
        <f t="shared" si="58"/>
        <v>3.5</v>
      </c>
      <c r="H421" t="str">
        <f>'(Raw) LensesGH'!D421</f>
        <v>62mm</v>
      </c>
      <c r="I421" s="2">
        <f t="shared" si="59"/>
        <v>62</v>
      </c>
      <c r="J421" s="2" t="str">
        <f>'(Raw) LensesGH'!E421</f>
        <v>1:5.00</v>
      </c>
      <c r="K421" s="40">
        <f t="shared" si="60"/>
        <v>5</v>
      </c>
      <c r="L421">
        <f>'(Raw) LensesGH'!F421</f>
        <v>0</v>
      </c>
      <c r="M421" t="str">
        <f>'(Raw) LensesGH'!G421</f>
        <v>APS-C/ Kleinbild</v>
      </c>
      <c r="N421" t="str">
        <f>'(Raw) LensesGH'!H421</f>
        <v>245g</v>
      </c>
      <c r="O421" s="5">
        <f t="shared" si="61"/>
        <v>245</v>
      </c>
      <c r="P421" t="str">
        <f>'(Raw) LensesGH'!I421</f>
        <v>68 x 80mm</v>
      </c>
      <c r="Q421" s="39">
        <f t="shared" si="62"/>
        <v>68</v>
      </c>
      <c r="R421" s="39">
        <f t="shared" si="54"/>
        <v>80</v>
      </c>
    </row>
    <row r="422" spans="1:18" x14ac:dyDescent="0.25">
      <c r="A422" t="str">
        <f>'(Raw) LensesGH'!A422</f>
        <v>Nikon AF 28-80mm 3.3-5.6G schwarz</v>
      </c>
      <c r="B422" t="str">
        <f>'(Raw) LensesGH'!B422</f>
        <v>28 - 80mm</v>
      </c>
      <c r="C422" s="5">
        <f t="shared" si="55"/>
        <v>28</v>
      </c>
      <c r="D422" s="5">
        <f t="shared" si="56"/>
        <v>80</v>
      </c>
      <c r="E422" t="str">
        <f>'(Raw) LensesGH'!C422</f>
        <v>1:3.3-1:5.6</v>
      </c>
      <c r="F422" s="9">
        <f t="shared" si="57"/>
        <v>3.3</v>
      </c>
      <c r="G422" s="9">
        <f t="shared" si="58"/>
        <v>3.3</v>
      </c>
      <c r="H422" t="str">
        <f>'(Raw) LensesGH'!D422</f>
        <v>58mm</v>
      </c>
      <c r="I422" s="2">
        <f t="shared" si="59"/>
        <v>58</v>
      </c>
      <c r="J422" s="2">
        <f>'(Raw) LensesGH'!E422</f>
        <v>0</v>
      </c>
      <c r="K422" s="40">
        <f t="shared" si="60"/>
        <v>0</v>
      </c>
      <c r="L422">
        <f>'(Raw) LensesGH'!F422</f>
        <v>0</v>
      </c>
      <c r="M422" t="str">
        <f>'(Raw) LensesGH'!G422</f>
        <v>APS-C/ Kleinbild</v>
      </c>
      <c r="N422" t="str">
        <f>'(Raw) LensesGH'!H422</f>
        <v>195g</v>
      </c>
      <c r="O422" s="5">
        <f t="shared" si="61"/>
        <v>195</v>
      </c>
      <c r="P422" t="str">
        <f>'(Raw) LensesGH'!I422</f>
        <v>64 x 66.5mm</v>
      </c>
      <c r="Q422" s="39">
        <f t="shared" si="62"/>
        <v>64</v>
      </c>
      <c r="R422" s="39">
        <f t="shared" si="54"/>
        <v>66.5</v>
      </c>
    </row>
    <row r="423" spans="1:18" x14ac:dyDescent="0.25">
      <c r="A423" t="str">
        <f>'(Raw) LensesGH'!A423</f>
        <v>Nikon AF 28mm 2.8D schwarz</v>
      </c>
      <c r="B423" t="str">
        <f>'(Raw) LensesGH'!B423</f>
        <v>28mm</v>
      </c>
      <c r="C423" s="5">
        <f t="shared" si="55"/>
        <v>28</v>
      </c>
      <c r="D423" s="5">
        <f t="shared" si="56"/>
        <v>28</v>
      </c>
      <c r="E423" t="str">
        <f>'(Raw) LensesGH'!C423</f>
        <v>1:2.8</v>
      </c>
      <c r="F423" s="9">
        <f t="shared" si="57"/>
        <v>2.8</v>
      </c>
      <c r="G423" s="9">
        <f t="shared" si="58"/>
        <v>2.8</v>
      </c>
      <c r="H423" t="str">
        <f>'(Raw) LensesGH'!D423</f>
        <v>52mm</v>
      </c>
      <c r="I423" s="2">
        <f t="shared" si="59"/>
        <v>52</v>
      </c>
      <c r="J423" s="2" t="str">
        <f>'(Raw) LensesGH'!E423</f>
        <v>1:4.76</v>
      </c>
      <c r="K423" s="40">
        <f t="shared" si="60"/>
        <v>4.76</v>
      </c>
      <c r="L423" t="str">
        <f>'(Raw) LensesGH'!F423</f>
        <v>Nikon F</v>
      </c>
      <c r="M423" t="str">
        <f>'(Raw) LensesGH'!G423</f>
        <v>APS-C/ Kleinbild</v>
      </c>
      <c r="N423" t="str">
        <f>'(Raw) LensesGH'!H423</f>
        <v>205g</v>
      </c>
      <c r="O423" s="5">
        <f t="shared" si="61"/>
        <v>205</v>
      </c>
      <c r="P423" t="str">
        <f>'(Raw) LensesGH'!I423</f>
        <v>65 x 44.5mm</v>
      </c>
      <c r="Q423" s="39">
        <f t="shared" si="62"/>
        <v>65</v>
      </c>
      <c r="R423" s="39">
        <f t="shared" si="54"/>
        <v>44.5</v>
      </c>
    </row>
    <row r="424" spans="1:18" x14ac:dyDescent="0.25">
      <c r="A424" t="str">
        <f>'(Raw) LensesGH'!A424</f>
        <v>Nikon AF 35mm 2.0D schwarz</v>
      </c>
      <c r="B424" t="str">
        <f>'(Raw) LensesGH'!B424</f>
        <v>35mm</v>
      </c>
      <c r="C424" s="5">
        <f t="shared" si="55"/>
        <v>35</v>
      </c>
      <c r="D424" s="5">
        <f t="shared" si="56"/>
        <v>35</v>
      </c>
      <c r="E424" t="str">
        <f>'(Raw) LensesGH'!C424</f>
        <v>1:2.0</v>
      </c>
      <c r="F424" s="9">
        <f t="shared" si="57"/>
        <v>2</v>
      </c>
      <c r="G424" s="9">
        <f t="shared" si="58"/>
        <v>2</v>
      </c>
      <c r="H424" t="str">
        <f>'(Raw) LensesGH'!D424</f>
        <v>52mm</v>
      </c>
      <c r="I424" s="2">
        <f t="shared" si="59"/>
        <v>52</v>
      </c>
      <c r="J424" s="2" t="str">
        <f>'(Raw) LensesGH'!E424</f>
        <v>1:4.35</v>
      </c>
      <c r="K424" s="40">
        <f t="shared" si="60"/>
        <v>4.3499999999999996</v>
      </c>
      <c r="L424" t="str">
        <f>'(Raw) LensesGH'!F424</f>
        <v>Nikon F</v>
      </c>
      <c r="M424" t="str">
        <f>'(Raw) LensesGH'!G424</f>
        <v>APS-C/ Kleinbild</v>
      </c>
      <c r="N424" t="str">
        <f>'(Raw) LensesGH'!H424</f>
        <v>205g</v>
      </c>
      <c r="O424" s="5">
        <f t="shared" si="61"/>
        <v>205</v>
      </c>
      <c r="P424" t="str">
        <f>'(Raw) LensesGH'!I424</f>
        <v>64.5 x 43.5mm</v>
      </c>
      <c r="Q424" s="39">
        <f t="shared" si="62"/>
        <v>64.5</v>
      </c>
      <c r="R424" s="39">
        <f t="shared" si="54"/>
        <v>43.5</v>
      </c>
    </row>
    <row r="425" spans="1:18" x14ac:dyDescent="0.25">
      <c r="A425" t="str">
        <f>'(Raw) LensesGH'!A425</f>
        <v>Nikon AF 50mm 1.4D schwarz</v>
      </c>
      <c r="B425" t="str">
        <f>'(Raw) LensesGH'!B425</f>
        <v>50mm</v>
      </c>
      <c r="C425" s="5">
        <f t="shared" si="55"/>
        <v>50</v>
      </c>
      <c r="D425" s="5">
        <f t="shared" si="56"/>
        <v>50</v>
      </c>
      <c r="E425" t="str">
        <f>'(Raw) LensesGH'!C425</f>
        <v>1:1.4</v>
      </c>
      <c r="F425" s="9">
        <f t="shared" si="57"/>
        <v>1.4</v>
      </c>
      <c r="G425" s="9">
        <f t="shared" si="58"/>
        <v>1.4</v>
      </c>
      <c r="H425" t="str">
        <f>'(Raw) LensesGH'!D425</f>
        <v>52mm</v>
      </c>
      <c r="I425" s="2">
        <f t="shared" si="59"/>
        <v>52</v>
      </c>
      <c r="J425" s="2" t="str">
        <f>'(Raw) LensesGH'!E425</f>
        <v>1:7.14</v>
      </c>
      <c r="K425" s="40">
        <f t="shared" si="60"/>
        <v>7.14</v>
      </c>
      <c r="L425" t="str">
        <f>'(Raw) LensesGH'!F425</f>
        <v>Nikon F</v>
      </c>
      <c r="M425" t="str">
        <f>'(Raw) LensesGH'!G425</f>
        <v>APS-C/ Kleinbild</v>
      </c>
      <c r="N425" t="str">
        <f>'(Raw) LensesGH'!H425</f>
        <v>230g</v>
      </c>
      <c r="O425" s="5">
        <f t="shared" si="61"/>
        <v>230</v>
      </c>
      <c r="P425" t="str">
        <f>'(Raw) LensesGH'!I425</f>
        <v>64.5 x 42.5mm</v>
      </c>
      <c r="Q425" s="39">
        <f t="shared" si="62"/>
        <v>64.5</v>
      </c>
      <c r="R425" s="39">
        <f t="shared" si="54"/>
        <v>42.5</v>
      </c>
    </row>
    <row r="426" spans="1:18" x14ac:dyDescent="0.25">
      <c r="A426" t="str">
        <f>'(Raw) LensesGH'!A426</f>
        <v>Nikon AF 50mm 1.8D schwarz</v>
      </c>
      <c r="B426" t="str">
        <f>'(Raw) LensesGH'!B426</f>
        <v>50mm</v>
      </c>
      <c r="C426" s="5">
        <f t="shared" si="55"/>
        <v>50</v>
      </c>
      <c r="D426" s="5">
        <f t="shared" si="56"/>
        <v>50</v>
      </c>
      <c r="E426" t="str">
        <f>'(Raw) LensesGH'!C426</f>
        <v>1:1.8</v>
      </c>
      <c r="F426" s="9">
        <f t="shared" si="57"/>
        <v>1.8</v>
      </c>
      <c r="G426" s="9">
        <f t="shared" si="58"/>
        <v>1.8</v>
      </c>
      <c r="H426" t="str">
        <f>'(Raw) LensesGH'!D426</f>
        <v>52mm</v>
      </c>
      <c r="I426" s="2">
        <f t="shared" si="59"/>
        <v>52</v>
      </c>
      <c r="J426" s="2" t="str">
        <f>'(Raw) LensesGH'!E426</f>
        <v>1:7.14</v>
      </c>
      <c r="K426" s="40">
        <f t="shared" si="60"/>
        <v>7.14</v>
      </c>
      <c r="L426" t="str">
        <f>'(Raw) LensesGH'!F426</f>
        <v>Nikon F</v>
      </c>
      <c r="M426" t="str">
        <f>'(Raw) LensesGH'!G426</f>
        <v>APS-C/ Kleinbild</v>
      </c>
      <c r="N426" t="str">
        <f>'(Raw) LensesGH'!H426</f>
        <v>160g</v>
      </c>
      <c r="O426" s="5">
        <f t="shared" si="61"/>
        <v>160</v>
      </c>
      <c r="P426" t="str">
        <f>'(Raw) LensesGH'!I426</f>
        <v>63 x 39mm</v>
      </c>
      <c r="Q426" s="39">
        <f t="shared" si="62"/>
        <v>63</v>
      </c>
      <c r="R426" s="39">
        <f t="shared" si="54"/>
        <v>39</v>
      </c>
    </row>
    <row r="427" spans="1:18" x14ac:dyDescent="0.25">
      <c r="A427" t="str">
        <f>'(Raw) LensesGH'!A427</f>
        <v>Nikon AF 70-300mm 4.0-5.6G schwarz</v>
      </c>
      <c r="B427" t="str">
        <f>'(Raw) LensesGH'!B427</f>
        <v>70 - 300mm</v>
      </c>
      <c r="C427" s="5">
        <f t="shared" si="55"/>
        <v>70</v>
      </c>
      <c r="D427" s="5">
        <f t="shared" si="56"/>
        <v>300</v>
      </c>
      <c r="E427" t="str">
        <f>'(Raw) LensesGH'!C427</f>
        <v>1:4.0-1:5.6</v>
      </c>
      <c r="F427" s="9">
        <f t="shared" si="57"/>
        <v>4</v>
      </c>
      <c r="G427" s="9">
        <f t="shared" si="58"/>
        <v>4</v>
      </c>
      <c r="H427" t="str">
        <f>'(Raw) LensesGH'!D427</f>
        <v>62mm</v>
      </c>
      <c r="I427" s="2">
        <f t="shared" si="59"/>
        <v>62</v>
      </c>
      <c r="J427" s="2" t="str">
        <f>'(Raw) LensesGH'!E427</f>
        <v>1:4.00</v>
      </c>
      <c r="K427" s="40">
        <f t="shared" si="60"/>
        <v>4</v>
      </c>
      <c r="L427" t="str">
        <f>'(Raw) LensesGH'!F427</f>
        <v>Nikon F</v>
      </c>
      <c r="M427" t="str">
        <f>'(Raw) LensesGH'!G427</f>
        <v>APS-C/ Kleinbild</v>
      </c>
      <c r="N427" t="str">
        <f>'(Raw) LensesGH'!H427</f>
        <v>470g</v>
      </c>
      <c r="O427" s="5">
        <f t="shared" si="61"/>
        <v>470</v>
      </c>
      <c r="P427" t="str">
        <f>'(Raw) LensesGH'!I427</f>
        <v>74 x 116.5mm</v>
      </c>
      <c r="Q427" s="39">
        <f t="shared" si="62"/>
        <v>74</v>
      </c>
      <c r="R427" s="39">
        <f t="shared" si="54"/>
        <v>116.5</v>
      </c>
    </row>
    <row r="428" spans="1:18" x14ac:dyDescent="0.25">
      <c r="A428" t="str">
        <f>'(Raw) LensesGH'!A428</f>
        <v>Nikon AF 85mm 1.8D schwarz</v>
      </c>
      <c r="B428" t="str">
        <f>'(Raw) LensesGH'!B428</f>
        <v>85mm</v>
      </c>
      <c r="C428" s="5">
        <f t="shared" si="55"/>
        <v>85</v>
      </c>
      <c r="D428" s="5">
        <f t="shared" si="56"/>
        <v>85</v>
      </c>
      <c r="E428" t="str">
        <f>'(Raw) LensesGH'!C428</f>
        <v>1:1.8</v>
      </c>
      <c r="F428" s="9">
        <f t="shared" si="57"/>
        <v>1.8</v>
      </c>
      <c r="G428" s="9">
        <f t="shared" si="58"/>
        <v>1.8</v>
      </c>
      <c r="H428" t="str">
        <f>'(Raw) LensesGH'!D428</f>
        <v>62mm</v>
      </c>
      <c r="I428" s="2">
        <f t="shared" si="59"/>
        <v>62</v>
      </c>
      <c r="J428" s="2" t="str">
        <f>'(Raw) LensesGH'!E428</f>
        <v>1:10.00</v>
      </c>
      <c r="K428" s="40">
        <f t="shared" si="60"/>
        <v>10</v>
      </c>
      <c r="L428" t="str">
        <f>'(Raw) LensesGH'!F428</f>
        <v>Nikon F</v>
      </c>
      <c r="M428" t="str">
        <f>'(Raw) LensesGH'!G428</f>
        <v>APS-C/ Kleinbild</v>
      </c>
      <c r="N428" t="str">
        <f>'(Raw) LensesGH'!H428</f>
        <v>380g</v>
      </c>
      <c r="O428" s="5">
        <f t="shared" si="61"/>
        <v>380</v>
      </c>
      <c r="P428" t="str">
        <f>'(Raw) LensesGH'!I428</f>
        <v>71.5 x 58.5mm</v>
      </c>
      <c r="Q428" s="39">
        <f t="shared" si="62"/>
        <v>71.5</v>
      </c>
      <c r="R428" s="39">
        <f t="shared" si="54"/>
        <v>58.5</v>
      </c>
    </row>
    <row r="429" spans="1:18" x14ac:dyDescent="0.25">
      <c r="A429" t="str">
        <f>'(Raw) LensesGH'!A429</f>
        <v>Nikon AF DC 105mm 2.0D schwarz</v>
      </c>
      <c r="B429" t="str">
        <f>'(Raw) LensesGH'!B429</f>
        <v>105mm</v>
      </c>
      <c r="C429" s="5">
        <f t="shared" si="55"/>
        <v>105</v>
      </c>
      <c r="D429" s="5">
        <f t="shared" si="56"/>
        <v>105</v>
      </c>
      <c r="E429" t="str">
        <f>'(Raw) LensesGH'!C429</f>
        <v>1:2.0</v>
      </c>
      <c r="F429" s="9">
        <f t="shared" si="57"/>
        <v>2</v>
      </c>
      <c r="G429" s="9">
        <f t="shared" si="58"/>
        <v>2</v>
      </c>
      <c r="H429" t="str">
        <f>'(Raw) LensesGH'!D429</f>
        <v>72mm</v>
      </c>
      <c r="I429" s="2">
        <f t="shared" si="59"/>
        <v>72</v>
      </c>
      <c r="J429" s="2">
        <f>'(Raw) LensesGH'!E429</f>
        <v>0</v>
      </c>
      <c r="K429" s="40">
        <f t="shared" si="60"/>
        <v>0</v>
      </c>
      <c r="L429" t="str">
        <f>'(Raw) LensesGH'!F429</f>
        <v>Nikon F</v>
      </c>
      <c r="M429" t="str">
        <f>'(Raw) LensesGH'!G429</f>
        <v>APS-C/ Kleinbild</v>
      </c>
      <c r="N429" t="str">
        <f>'(Raw) LensesGH'!H429</f>
        <v>640g</v>
      </c>
      <c r="O429" s="5">
        <f t="shared" si="61"/>
        <v>640</v>
      </c>
      <c r="P429" t="str">
        <f>'(Raw) LensesGH'!I429</f>
        <v>79 x 111mm</v>
      </c>
      <c r="Q429" s="39">
        <f t="shared" si="62"/>
        <v>79</v>
      </c>
      <c r="R429" s="39">
        <f t="shared" si="54"/>
        <v>111</v>
      </c>
    </row>
    <row r="430" spans="1:18" x14ac:dyDescent="0.25">
      <c r="A430" t="str">
        <f>'(Raw) LensesGH'!A430</f>
        <v>Nikon AF DC 135mm 2.0D schwarz</v>
      </c>
      <c r="B430" t="str">
        <f>'(Raw) LensesGH'!B430</f>
        <v>135mm</v>
      </c>
      <c r="C430" s="5">
        <f t="shared" si="55"/>
        <v>135</v>
      </c>
      <c r="D430" s="5">
        <f t="shared" si="56"/>
        <v>135</v>
      </c>
      <c r="E430" t="str">
        <f>'(Raw) LensesGH'!C430</f>
        <v>1:2.0</v>
      </c>
      <c r="F430" s="9">
        <f t="shared" si="57"/>
        <v>2</v>
      </c>
      <c r="G430" s="9">
        <f t="shared" si="58"/>
        <v>2</v>
      </c>
      <c r="H430" t="str">
        <f>'(Raw) LensesGH'!D430</f>
        <v>72mm</v>
      </c>
      <c r="I430" s="2">
        <f t="shared" si="59"/>
        <v>72</v>
      </c>
      <c r="J430" s="2">
        <f>'(Raw) LensesGH'!E430</f>
        <v>0</v>
      </c>
      <c r="K430" s="40">
        <f t="shared" si="60"/>
        <v>0</v>
      </c>
      <c r="L430" t="str">
        <f>'(Raw) LensesGH'!F430</f>
        <v>Nikon F</v>
      </c>
      <c r="M430" t="str">
        <f>'(Raw) LensesGH'!G430</f>
        <v>APS-C/ Kleinbild</v>
      </c>
      <c r="N430" t="str">
        <f>'(Raw) LensesGH'!H430</f>
        <v>815g</v>
      </c>
      <c r="O430" s="5">
        <f t="shared" si="61"/>
        <v>815</v>
      </c>
      <c r="P430" t="str">
        <f>'(Raw) LensesGH'!I430</f>
        <v>79 x 120mm</v>
      </c>
      <c r="Q430" s="39">
        <f t="shared" si="62"/>
        <v>79</v>
      </c>
      <c r="R430" s="39">
        <f t="shared" si="54"/>
        <v>120</v>
      </c>
    </row>
    <row r="431" spans="1:18" x14ac:dyDescent="0.25">
      <c r="A431" t="str">
        <f>'(Raw) LensesGH'!A431</f>
        <v>Nikon AF DX 10.5mm 2.8G Fisheye schwarz</v>
      </c>
      <c r="B431" t="str">
        <f>'(Raw) LensesGH'!B431</f>
        <v>10.5mm</v>
      </c>
      <c r="C431" s="5">
        <f t="shared" si="55"/>
        <v>10.5</v>
      </c>
      <c r="D431" s="5">
        <f t="shared" si="56"/>
        <v>10.5</v>
      </c>
      <c r="E431" t="str">
        <f>'(Raw) LensesGH'!C431</f>
        <v>1:2.8</v>
      </c>
      <c r="F431" s="9">
        <f t="shared" si="57"/>
        <v>2.8</v>
      </c>
      <c r="G431" s="9">
        <f t="shared" si="58"/>
        <v>2.8</v>
      </c>
      <c r="H431" t="str">
        <f>'(Raw) LensesGH'!D431</f>
        <v>52mm</v>
      </c>
      <c r="I431" s="2">
        <f t="shared" si="59"/>
        <v>52</v>
      </c>
      <c r="J431" s="2" t="str">
        <f>'(Raw) LensesGH'!E431</f>
        <v>1:5.00</v>
      </c>
      <c r="K431" s="40">
        <f t="shared" si="60"/>
        <v>5</v>
      </c>
      <c r="L431" t="str">
        <f>'(Raw) LensesGH'!F431</f>
        <v>Nikon F</v>
      </c>
      <c r="M431" t="str">
        <f>'(Raw) LensesGH'!G431</f>
        <v>APS-C</v>
      </c>
      <c r="N431" t="str">
        <f>'(Raw) LensesGH'!H431</f>
        <v>300g</v>
      </c>
      <c r="O431" s="5">
        <f t="shared" si="61"/>
        <v>300</v>
      </c>
      <c r="P431" t="str">
        <f>'(Raw) LensesGH'!I431</f>
        <v>63 x 62.5mm</v>
      </c>
      <c r="Q431" s="39">
        <f t="shared" si="62"/>
        <v>63</v>
      </c>
      <c r="R431" s="39">
        <f t="shared" si="54"/>
        <v>62.5</v>
      </c>
    </row>
    <row r="432" spans="1:18" x14ac:dyDescent="0.25">
      <c r="A432" t="str">
        <f>'(Raw) LensesGH'!A432</f>
        <v>Nikon AF Micro 200mm 4.0D IF-ED schwarz</v>
      </c>
      <c r="B432" t="str">
        <f>'(Raw) LensesGH'!B432</f>
        <v>200mm</v>
      </c>
      <c r="C432" s="5">
        <f t="shared" si="55"/>
        <v>200</v>
      </c>
      <c r="D432" s="5">
        <f t="shared" si="56"/>
        <v>200</v>
      </c>
      <c r="E432" t="str">
        <f>'(Raw) LensesGH'!C432</f>
        <v>1:4.0</v>
      </c>
      <c r="F432" s="9">
        <f t="shared" si="57"/>
        <v>4</v>
      </c>
      <c r="G432" s="9">
        <f t="shared" si="58"/>
        <v>4</v>
      </c>
      <c r="H432" t="str">
        <f>'(Raw) LensesGH'!D432</f>
        <v>62mm</v>
      </c>
      <c r="I432" s="2">
        <f t="shared" si="59"/>
        <v>62</v>
      </c>
      <c r="J432" s="2" t="str">
        <f>'(Raw) LensesGH'!E432</f>
        <v>1:1.00</v>
      </c>
      <c r="K432" s="40">
        <f t="shared" si="60"/>
        <v>1</v>
      </c>
      <c r="L432" t="str">
        <f>'(Raw) LensesGH'!F432</f>
        <v>Nikon F</v>
      </c>
      <c r="M432" t="str">
        <f>'(Raw) LensesGH'!G432</f>
        <v>APS-C/ Kleinbild</v>
      </c>
      <c r="N432" t="str">
        <f>'(Raw) LensesGH'!H432</f>
        <v>1190g</v>
      </c>
      <c r="O432" s="5">
        <f t="shared" si="61"/>
        <v>1190</v>
      </c>
      <c r="P432" t="str">
        <f>'(Raw) LensesGH'!I432</f>
        <v>76 x 193mm</v>
      </c>
      <c r="Q432" s="39">
        <f t="shared" si="62"/>
        <v>76</v>
      </c>
      <c r="R432" s="39">
        <f t="shared" si="54"/>
        <v>193</v>
      </c>
    </row>
    <row r="433" spans="1:18" x14ac:dyDescent="0.25">
      <c r="A433" t="str">
        <f>'(Raw) LensesGH'!A433</f>
        <v>Nikon AF Micro 60mm 2.8D schwarz</v>
      </c>
      <c r="B433" t="str">
        <f>'(Raw) LensesGH'!B433</f>
        <v>60mm</v>
      </c>
      <c r="C433" s="5">
        <f t="shared" si="55"/>
        <v>60</v>
      </c>
      <c r="D433" s="5">
        <f t="shared" si="56"/>
        <v>60</v>
      </c>
      <c r="E433" t="str">
        <f>'(Raw) LensesGH'!C433</f>
        <v>1:2.8</v>
      </c>
      <c r="F433" s="9">
        <f t="shared" si="57"/>
        <v>2.8</v>
      </c>
      <c r="G433" s="9">
        <f t="shared" si="58"/>
        <v>2.8</v>
      </c>
      <c r="H433" t="str">
        <f>'(Raw) LensesGH'!D433</f>
        <v>62mm</v>
      </c>
      <c r="I433" s="2">
        <f t="shared" si="59"/>
        <v>62</v>
      </c>
      <c r="J433" s="2" t="str">
        <f>'(Raw) LensesGH'!E433</f>
        <v>1:1.00</v>
      </c>
      <c r="K433" s="40">
        <f t="shared" si="60"/>
        <v>1</v>
      </c>
      <c r="L433" t="str">
        <f>'(Raw) LensesGH'!F433</f>
        <v>Nikon F</v>
      </c>
      <c r="M433" t="str">
        <f>'(Raw) LensesGH'!G433</f>
        <v>APS-C/ Kleinbild</v>
      </c>
      <c r="N433" t="str">
        <f>'(Raw) LensesGH'!H433</f>
        <v>440g</v>
      </c>
      <c r="O433" s="5">
        <f t="shared" si="61"/>
        <v>440</v>
      </c>
      <c r="P433" t="str">
        <f>'(Raw) LensesGH'!I433</f>
        <v>70 x 74.5mm</v>
      </c>
      <c r="Q433" s="39">
        <f t="shared" si="62"/>
        <v>70</v>
      </c>
      <c r="R433" s="39">
        <f t="shared" si="54"/>
        <v>74.5</v>
      </c>
    </row>
    <row r="434" spans="1:18" x14ac:dyDescent="0.25">
      <c r="A434" t="str">
        <f>'(Raw) LensesGH'!A434</f>
        <v>Nikon AF-P DX 18-55mm 3.5-5.6G schwarz</v>
      </c>
      <c r="B434" t="str">
        <f>'(Raw) LensesGH'!B434</f>
        <v>18 - 55mm</v>
      </c>
      <c r="C434" s="5">
        <f t="shared" si="55"/>
        <v>18</v>
      </c>
      <c r="D434" s="5">
        <f t="shared" si="56"/>
        <v>55</v>
      </c>
      <c r="E434" t="str">
        <f>'(Raw) LensesGH'!C434</f>
        <v>1:3.5-1:5.6</v>
      </c>
      <c r="F434" s="9">
        <f t="shared" si="57"/>
        <v>3.5</v>
      </c>
      <c r="G434" s="9">
        <f t="shared" si="58"/>
        <v>3.5</v>
      </c>
      <c r="H434" t="str">
        <f>'(Raw) LensesGH'!D434</f>
        <v>55mm</v>
      </c>
      <c r="I434" s="2">
        <f t="shared" si="59"/>
        <v>55</v>
      </c>
      <c r="J434" s="2" t="str">
        <f>'(Raw) LensesGH'!E434</f>
        <v>1:2.60</v>
      </c>
      <c r="K434" s="40">
        <f t="shared" si="60"/>
        <v>2.6</v>
      </c>
      <c r="L434" t="str">
        <f>'(Raw) LensesGH'!F434</f>
        <v>Nikon F</v>
      </c>
      <c r="M434" t="str">
        <f>'(Raw) LensesGH'!G434</f>
        <v>APS-C</v>
      </c>
      <c r="N434" t="str">
        <f>'(Raw) LensesGH'!H434</f>
        <v>195g</v>
      </c>
      <c r="O434" s="5">
        <f t="shared" si="61"/>
        <v>195</v>
      </c>
      <c r="P434" t="str">
        <f>'(Raw) LensesGH'!I434</f>
        <v>64.5 x 62.5mm</v>
      </c>
      <c r="Q434" s="39">
        <f t="shared" si="62"/>
        <v>64.5</v>
      </c>
      <c r="R434" s="39">
        <f t="shared" si="54"/>
        <v>62.5</v>
      </c>
    </row>
    <row r="435" spans="1:18" x14ac:dyDescent="0.25">
      <c r="A435" t="str">
        <f>'(Raw) LensesGH'!A435</f>
        <v>Nikon AF-P DX 70-300mm 4.5-6.3G ED schwarz</v>
      </c>
      <c r="B435" t="str">
        <f>'(Raw) LensesGH'!B435</f>
        <v>70 - 300mm</v>
      </c>
      <c r="C435" s="5">
        <f t="shared" si="55"/>
        <v>70</v>
      </c>
      <c r="D435" s="5">
        <f t="shared" si="56"/>
        <v>300</v>
      </c>
      <c r="E435" t="str">
        <f>'(Raw) LensesGH'!C435</f>
        <v>1:4.5-1:6.3</v>
      </c>
      <c r="F435" s="9">
        <f t="shared" si="57"/>
        <v>4.5</v>
      </c>
      <c r="G435" s="9">
        <f t="shared" si="58"/>
        <v>4.5</v>
      </c>
      <c r="H435" t="str">
        <f>'(Raw) LensesGH'!D435</f>
        <v>58mm</v>
      </c>
      <c r="I435" s="2">
        <f t="shared" si="59"/>
        <v>58</v>
      </c>
      <c r="J435" s="2" t="str">
        <f>'(Raw) LensesGH'!E435</f>
        <v>1:4.50</v>
      </c>
      <c r="K435" s="40">
        <f t="shared" si="60"/>
        <v>4.5</v>
      </c>
      <c r="L435" t="str">
        <f>'(Raw) LensesGH'!F435</f>
        <v>Nikon F</v>
      </c>
      <c r="M435" t="str">
        <f>'(Raw) LensesGH'!G435</f>
        <v>APS-C</v>
      </c>
      <c r="N435" t="str">
        <f>'(Raw) LensesGH'!H435</f>
        <v>400g</v>
      </c>
      <c r="O435" s="5">
        <f t="shared" si="61"/>
        <v>400</v>
      </c>
      <c r="P435" t="str">
        <f>'(Raw) LensesGH'!I435</f>
        <v>72 x 125mm</v>
      </c>
      <c r="Q435" s="39">
        <f t="shared" si="62"/>
        <v>72</v>
      </c>
      <c r="R435" s="39">
        <f t="shared" si="54"/>
        <v>125</v>
      </c>
    </row>
    <row r="436" spans="1:18" x14ac:dyDescent="0.25">
      <c r="A436" t="str">
        <f>'(Raw) LensesGH'!A436</f>
        <v>Nikon AF-P VR 70-300mm 4.5-5.6E ED schwarz</v>
      </c>
      <c r="B436" t="str">
        <f>'(Raw) LensesGH'!B436</f>
        <v>70 - 300mm</v>
      </c>
      <c r="C436" s="5">
        <f t="shared" si="55"/>
        <v>70</v>
      </c>
      <c r="D436" s="5">
        <f t="shared" si="56"/>
        <v>300</v>
      </c>
      <c r="E436" t="str">
        <f>'(Raw) LensesGH'!C436</f>
        <v>1:4.5-1:5.6</v>
      </c>
      <c r="F436" s="9">
        <f t="shared" si="57"/>
        <v>4.5</v>
      </c>
      <c r="G436" s="9">
        <f t="shared" si="58"/>
        <v>4.5</v>
      </c>
      <c r="H436" t="str">
        <f>'(Raw) LensesGH'!D436</f>
        <v>67mm</v>
      </c>
      <c r="I436" s="2">
        <f t="shared" si="59"/>
        <v>67</v>
      </c>
      <c r="J436" s="2" t="str">
        <f>'(Raw) LensesGH'!E436</f>
        <v>1:4.00</v>
      </c>
      <c r="K436" s="40">
        <f t="shared" si="60"/>
        <v>4</v>
      </c>
      <c r="L436" t="str">
        <f>'(Raw) LensesGH'!F436</f>
        <v>Nikon F</v>
      </c>
      <c r="M436" t="str">
        <f>'(Raw) LensesGH'!G436</f>
        <v>APS-C/ Kleinbild</v>
      </c>
      <c r="N436" t="str">
        <f>'(Raw) LensesGH'!H436</f>
        <v>680g</v>
      </c>
      <c r="O436" s="5">
        <f t="shared" si="61"/>
        <v>680</v>
      </c>
      <c r="P436" t="str">
        <f>'(Raw) LensesGH'!I436</f>
        <v>80.5 x 145mm</v>
      </c>
      <c r="Q436" s="39">
        <f t="shared" si="62"/>
        <v>80.5</v>
      </c>
      <c r="R436" s="39">
        <f t="shared" si="54"/>
        <v>145</v>
      </c>
    </row>
    <row r="437" spans="1:18" x14ac:dyDescent="0.25">
      <c r="A437" t="str">
        <f>'(Raw) LensesGH'!A437</f>
        <v>Nikon AF-P VR DX 10-20mm 4.5-5.6G schwarz</v>
      </c>
      <c r="B437" t="str">
        <f>'(Raw) LensesGH'!B437</f>
        <v>10 - 20mm</v>
      </c>
      <c r="C437" s="5">
        <f t="shared" si="55"/>
        <v>10</v>
      </c>
      <c r="D437" s="5">
        <f t="shared" si="56"/>
        <v>20</v>
      </c>
      <c r="E437" t="str">
        <f>'(Raw) LensesGH'!C437</f>
        <v>1:4.5-1:5.6</v>
      </c>
      <c r="F437" s="9">
        <f t="shared" si="57"/>
        <v>4.5</v>
      </c>
      <c r="G437" s="9">
        <f t="shared" si="58"/>
        <v>4.5</v>
      </c>
      <c r="H437" t="str">
        <f>'(Raw) LensesGH'!D437</f>
        <v>72mm</v>
      </c>
      <c r="I437" s="2">
        <f t="shared" si="59"/>
        <v>72</v>
      </c>
      <c r="J437" s="2" t="str">
        <f>'(Raw) LensesGH'!E437</f>
        <v>1:5.88</v>
      </c>
      <c r="K437" s="40">
        <f t="shared" si="60"/>
        <v>5.88</v>
      </c>
      <c r="L437" t="str">
        <f>'(Raw) LensesGH'!F437</f>
        <v>Nikon F</v>
      </c>
      <c r="M437" t="str">
        <f>'(Raw) LensesGH'!G437</f>
        <v>APS-C</v>
      </c>
      <c r="N437" t="str">
        <f>'(Raw) LensesGH'!H437</f>
        <v>230g</v>
      </c>
      <c r="O437" s="5">
        <f t="shared" si="61"/>
        <v>230</v>
      </c>
      <c r="P437" t="str">
        <f>'(Raw) LensesGH'!I437</f>
        <v>77 x 73mm</v>
      </c>
      <c r="Q437" s="39">
        <f t="shared" si="62"/>
        <v>77</v>
      </c>
      <c r="R437" s="39">
        <f t="shared" si="54"/>
        <v>73</v>
      </c>
    </row>
    <row r="438" spans="1:18" x14ac:dyDescent="0.25">
      <c r="A438" t="str">
        <f>'(Raw) LensesGH'!A438</f>
        <v>Nikon AF-P VR DX 18-55mm 3.5-5.6G schwarz</v>
      </c>
      <c r="B438" t="str">
        <f>'(Raw) LensesGH'!B438</f>
        <v>18 - 55mm</v>
      </c>
      <c r="C438" s="5">
        <f t="shared" si="55"/>
        <v>18</v>
      </c>
      <c r="D438" s="5">
        <f t="shared" si="56"/>
        <v>55</v>
      </c>
      <c r="E438" t="str">
        <f>'(Raw) LensesGH'!C438</f>
        <v>1:3.5-1:5.6</v>
      </c>
      <c r="F438" s="9">
        <f t="shared" si="57"/>
        <v>3.5</v>
      </c>
      <c r="G438" s="9">
        <f t="shared" si="58"/>
        <v>3.5</v>
      </c>
      <c r="H438" t="str">
        <f>'(Raw) LensesGH'!D438</f>
        <v>55mm</v>
      </c>
      <c r="I438" s="2">
        <f t="shared" si="59"/>
        <v>55</v>
      </c>
      <c r="J438" s="2" t="str">
        <f>'(Raw) LensesGH'!E438</f>
        <v>1:2.60</v>
      </c>
      <c r="K438" s="40">
        <f t="shared" si="60"/>
        <v>2.6</v>
      </c>
      <c r="L438" t="str">
        <f>'(Raw) LensesGH'!F438</f>
        <v>Nikon F</v>
      </c>
      <c r="M438" t="str">
        <f>'(Raw) LensesGH'!G438</f>
        <v>APS-C</v>
      </c>
      <c r="N438" t="str">
        <f>'(Raw) LensesGH'!H438</f>
        <v>205g</v>
      </c>
      <c r="O438" s="5">
        <f t="shared" si="61"/>
        <v>205</v>
      </c>
      <c r="P438" t="str">
        <f>'(Raw) LensesGH'!I438</f>
        <v>64.5 x 62.5mm</v>
      </c>
      <c r="Q438" s="39">
        <f t="shared" si="62"/>
        <v>64.5</v>
      </c>
      <c r="R438" s="39">
        <f t="shared" si="54"/>
        <v>62.5</v>
      </c>
    </row>
    <row r="439" spans="1:18" x14ac:dyDescent="0.25">
      <c r="A439" t="str">
        <f>'(Raw) LensesGH'!A439</f>
        <v>Nikon AF-P VR DX 70-300mm 4.5-6.3G ED schwarz</v>
      </c>
      <c r="B439" t="str">
        <f>'(Raw) LensesGH'!B439</f>
        <v>70 - 300mm</v>
      </c>
      <c r="C439" s="5">
        <f t="shared" si="55"/>
        <v>70</v>
      </c>
      <c r="D439" s="5">
        <f t="shared" si="56"/>
        <v>300</v>
      </c>
      <c r="E439" t="str">
        <f>'(Raw) LensesGH'!C439</f>
        <v>1:4.5-1:6.3</v>
      </c>
      <c r="F439" s="9">
        <f t="shared" si="57"/>
        <v>4.5</v>
      </c>
      <c r="G439" s="9">
        <f t="shared" si="58"/>
        <v>4.5</v>
      </c>
      <c r="H439" t="str">
        <f>'(Raw) LensesGH'!D439</f>
        <v>58mm</v>
      </c>
      <c r="I439" s="2">
        <f t="shared" si="59"/>
        <v>58</v>
      </c>
      <c r="J439" s="2" t="str">
        <f>'(Raw) LensesGH'!E439</f>
        <v>1:4.50</v>
      </c>
      <c r="K439" s="40">
        <f t="shared" si="60"/>
        <v>4.5</v>
      </c>
      <c r="L439" t="str">
        <f>'(Raw) LensesGH'!F439</f>
        <v>Nikon F</v>
      </c>
      <c r="M439" t="str">
        <f>'(Raw) LensesGH'!G439</f>
        <v>APS-C</v>
      </c>
      <c r="N439" t="str">
        <f>'(Raw) LensesGH'!H439</f>
        <v>415g</v>
      </c>
      <c r="O439" s="5">
        <f t="shared" si="61"/>
        <v>415</v>
      </c>
      <c r="P439" t="str">
        <f>'(Raw) LensesGH'!I439</f>
        <v>72 x 125mm</v>
      </c>
      <c r="Q439" s="39">
        <f t="shared" si="62"/>
        <v>72</v>
      </c>
      <c r="R439" s="39">
        <f t="shared" si="54"/>
        <v>125</v>
      </c>
    </row>
    <row r="440" spans="1:18" x14ac:dyDescent="0.25">
      <c r="A440" t="str">
        <f>'(Raw) LensesGH'!A440</f>
        <v>Nikon AF-S 105mm 1.4E ED schwarz</v>
      </c>
      <c r="B440" t="str">
        <f>'(Raw) LensesGH'!B440</f>
        <v>105mm</v>
      </c>
      <c r="C440" s="5">
        <f t="shared" si="55"/>
        <v>105</v>
      </c>
      <c r="D440" s="5">
        <f t="shared" si="56"/>
        <v>105</v>
      </c>
      <c r="E440" t="str">
        <f>'(Raw) LensesGH'!C440</f>
        <v>1:1.4</v>
      </c>
      <c r="F440" s="9">
        <f t="shared" si="57"/>
        <v>1.4</v>
      </c>
      <c r="G440" s="9">
        <f t="shared" si="58"/>
        <v>1.4</v>
      </c>
      <c r="H440" t="str">
        <f>'(Raw) LensesGH'!D440</f>
        <v>82mm</v>
      </c>
      <c r="I440" s="2">
        <f t="shared" si="59"/>
        <v>82</v>
      </c>
      <c r="J440" s="2" t="str">
        <f>'(Raw) LensesGH'!E440</f>
        <v>1:7.70</v>
      </c>
      <c r="K440" s="40">
        <f t="shared" si="60"/>
        <v>7.7</v>
      </c>
      <c r="L440" t="str">
        <f>'(Raw) LensesGH'!F440</f>
        <v>Nikon F</v>
      </c>
      <c r="M440" t="str">
        <f>'(Raw) LensesGH'!G440</f>
        <v>APS-C/ Kleinbild</v>
      </c>
      <c r="N440" t="str">
        <f>'(Raw) LensesGH'!H440</f>
        <v>985g</v>
      </c>
      <c r="O440" s="5">
        <f t="shared" si="61"/>
        <v>985</v>
      </c>
      <c r="P440" t="str">
        <f>'(Raw) LensesGH'!I440</f>
        <v>94.5 x 106mm</v>
      </c>
      <c r="Q440" s="39">
        <f t="shared" si="62"/>
        <v>94.5</v>
      </c>
      <c r="R440" s="39">
        <f t="shared" si="54"/>
        <v>106</v>
      </c>
    </row>
    <row r="441" spans="1:18" x14ac:dyDescent="0.25">
      <c r="A441" t="str">
        <f>'(Raw) LensesGH'!A441</f>
        <v>Nikon AF-S 14-24mm 2.8G ED schwarz</v>
      </c>
      <c r="B441" t="str">
        <f>'(Raw) LensesGH'!B441</f>
        <v>14 - 24mm</v>
      </c>
      <c r="C441" s="5">
        <f t="shared" si="55"/>
        <v>14</v>
      </c>
      <c r="D441" s="5">
        <f t="shared" si="56"/>
        <v>24</v>
      </c>
      <c r="E441" t="str">
        <f>'(Raw) LensesGH'!C441</f>
        <v>1:2.8</v>
      </c>
      <c r="F441" s="9">
        <f t="shared" si="57"/>
        <v>2.8</v>
      </c>
      <c r="G441" s="9">
        <f t="shared" si="58"/>
        <v>2.8</v>
      </c>
      <c r="H441">
        <f>'(Raw) LensesGH'!D441</f>
        <v>0</v>
      </c>
      <c r="I441" s="2">
        <f t="shared" si="59"/>
        <v>0</v>
      </c>
      <c r="J441" s="2" t="str">
        <f>'(Raw) LensesGH'!E441</f>
        <v>1:6.70</v>
      </c>
      <c r="K441" s="40">
        <f t="shared" si="60"/>
        <v>6.7</v>
      </c>
      <c r="L441" t="str">
        <f>'(Raw) LensesGH'!F441</f>
        <v>Nikon F</v>
      </c>
      <c r="M441" t="str">
        <f>'(Raw) LensesGH'!G441</f>
        <v>APS-C/ Kleinbild</v>
      </c>
      <c r="N441" t="str">
        <f>'(Raw) LensesGH'!H441</f>
        <v>1000g</v>
      </c>
      <c r="O441" s="5">
        <f t="shared" si="61"/>
        <v>1000</v>
      </c>
      <c r="P441" t="str">
        <f>'(Raw) LensesGH'!I441</f>
        <v>98 x 131.5mm</v>
      </c>
      <c r="Q441" s="39">
        <f t="shared" si="62"/>
        <v>98</v>
      </c>
      <c r="R441" s="39">
        <f t="shared" si="54"/>
        <v>131.5</v>
      </c>
    </row>
    <row r="442" spans="1:18" x14ac:dyDescent="0.25">
      <c r="A442" t="str">
        <f>'(Raw) LensesGH'!A442</f>
        <v>Nikon AF-S 17-35mm 2.8D IF-ED schwarz</v>
      </c>
      <c r="B442" t="str">
        <f>'(Raw) LensesGH'!B442</f>
        <v>17 - 35mm</v>
      </c>
      <c r="C442" s="5">
        <f t="shared" si="55"/>
        <v>17</v>
      </c>
      <c r="D442" s="5">
        <f t="shared" si="56"/>
        <v>35</v>
      </c>
      <c r="E442" t="str">
        <f>'(Raw) LensesGH'!C442</f>
        <v>1:2.8</v>
      </c>
      <c r="F442" s="9">
        <f t="shared" si="57"/>
        <v>2.8</v>
      </c>
      <c r="G442" s="9">
        <f t="shared" si="58"/>
        <v>2.8</v>
      </c>
      <c r="H442" t="str">
        <f>'(Raw) LensesGH'!D442</f>
        <v>77mm</v>
      </c>
      <c r="I442" s="2">
        <f t="shared" si="59"/>
        <v>77</v>
      </c>
      <c r="J442" s="2" t="str">
        <f>'(Raw) LensesGH'!E442</f>
        <v>1:4.76</v>
      </c>
      <c r="K442" s="40">
        <f t="shared" si="60"/>
        <v>4.76</v>
      </c>
      <c r="L442" t="str">
        <f>'(Raw) LensesGH'!F442</f>
        <v>Nikon F</v>
      </c>
      <c r="M442" t="str">
        <f>'(Raw) LensesGH'!G442</f>
        <v>APS-C/ Kleinbild</v>
      </c>
      <c r="N442" t="str">
        <f>'(Raw) LensesGH'!H442</f>
        <v>750g</v>
      </c>
      <c r="O442" s="5">
        <f t="shared" si="61"/>
        <v>750</v>
      </c>
      <c r="P442" t="str">
        <f>'(Raw) LensesGH'!I442</f>
        <v>83 x 106mm</v>
      </c>
      <c r="Q442" s="39">
        <f t="shared" si="62"/>
        <v>83</v>
      </c>
      <c r="R442" s="39">
        <f t="shared" si="54"/>
        <v>106</v>
      </c>
    </row>
    <row r="443" spans="1:18" x14ac:dyDescent="0.25">
      <c r="A443" t="str">
        <f>'(Raw) LensesGH'!A443</f>
        <v>Nikon AF-S 18-35mm 3.5-4.5G ED schwarz</v>
      </c>
      <c r="B443" t="str">
        <f>'(Raw) LensesGH'!B443</f>
        <v>18 - 35mm</v>
      </c>
      <c r="C443" s="5">
        <f t="shared" si="55"/>
        <v>18</v>
      </c>
      <c r="D443" s="5">
        <f t="shared" si="56"/>
        <v>35</v>
      </c>
      <c r="E443" t="str">
        <f>'(Raw) LensesGH'!C443</f>
        <v>1:3.5-1:4.5</v>
      </c>
      <c r="F443" s="9">
        <f t="shared" si="57"/>
        <v>3.5</v>
      </c>
      <c r="G443" s="9">
        <f t="shared" si="58"/>
        <v>3.5</v>
      </c>
      <c r="H443" t="str">
        <f>'(Raw) LensesGH'!D443</f>
        <v>77mm</v>
      </c>
      <c r="I443" s="2">
        <f t="shared" si="59"/>
        <v>77</v>
      </c>
      <c r="J443" s="2" t="str">
        <f>'(Raw) LensesGH'!E443</f>
        <v>1:5.0</v>
      </c>
      <c r="K443" s="40">
        <f t="shared" si="60"/>
        <v>5</v>
      </c>
      <c r="L443" t="str">
        <f>'(Raw) LensesGH'!F443</f>
        <v>Nikon F</v>
      </c>
      <c r="M443" t="str">
        <f>'(Raw) LensesGH'!G443</f>
        <v>APS-C/ Kleinbild</v>
      </c>
      <c r="N443" t="str">
        <f>'(Raw) LensesGH'!H443</f>
        <v>385g</v>
      </c>
      <c r="O443" s="5">
        <f t="shared" si="61"/>
        <v>385</v>
      </c>
      <c r="P443" t="str">
        <f>'(Raw) LensesGH'!I443</f>
        <v>83 x 95mm</v>
      </c>
      <c r="Q443" s="39">
        <f t="shared" si="62"/>
        <v>83</v>
      </c>
      <c r="R443" s="39">
        <f t="shared" si="54"/>
        <v>95</v>
      </c>
    </row>
    <row r="444" spans="1:18" x14ac:dyDescent="0.25">
      <c r="A444" t="str">
        <f>'(Raw) LensesGH'!A444</f>
        <v>Nikon AF-S 20mm 1.8G ED schwarz</v>
      </c>
      <c r="B444" t="str">
        <f>'(Raw) LensesGH'!B444</f>
        <v>20mm</v>
      </c>
      <c r="C444" s="5">
        <f t="shared" si="55"/>
        <v>20</v>
      </c>
      <c r="D444" s="5">
        <f t="shared" si="56"/>
        <v>20</v>
      </c>
      <c r="E444" t="str">
        <f>'(Raw) LensesGH'!C444</f>
        <v>1:1.8</v>
      </c>
      <c r="F444" s="9">
        <f t="shared" si="57"/>
        <v>1.8</v>
      </c>
      <c r="G444" s="9">
        <f t="shared" si="58"/>
        <v>1.8</v>
      </c>
      <c r="H444" t="str">
        <f>'(Raw) LensesGH'!D444</f>
        <v>77mm</v>
      </c>
      <c r="I444" s="2">
        <f t="shared" si="59"/>
        <v>77</v>
      </c>
      <c r="J444" s="2">
        <f>'(Raw) LensesGH'!E444</f>
        <v>0</v>
      </c>
      <c r="K444" s="40">
        <f t="shared" si="60"/>
        <v>0</v>
      </c>
      <c r="L444" t="str">
        <f>'(Raw) LensesGH'!F444</f>
        <v>Nikon F</v>
      </c>
      <c r="M444" t="str">
        <f>'(Raw) LensesGH'!G444</f>
        <v>APS-C/ Kleinbild</v>
      </c>
      <c r="N444" t="str">
        <f>'(Raw) LensesGH'!H444</f>
        <v>355g</v>
      </c>
      <c r="O444" s="5">
        <f t="shared" si="61"/>
        <v>355</v>
      </c>
      <c r="P444">
        <f>'(Raw) LensesGH'!I444</f>
        <v>0</v>
      </c>
      <c r="Q444" s="39">
        <f t="shared" si="62"/>
        <v>0</v>
      </c>
      <c r="R444" s="39">
        <f t="shared" si="54"/>
        <v>0</v>
      </c>
    </row>
    <row r="445" spans="1:18" x14ac:dyDescent="0.25">
      <c r="A445" t="str">
        <f>'(Raw) LensesGH'!A445</f>
        <v>Nikon AF-S 24-70mm 2.8G ED schwarz</v>
      </c>
      <c r="B445" t="str">
        <f>'(Raw) LensesGH'!B445</f>
        <v>24 - 70mm</v>
      </c>
      <c r="C445" s="5">
        <f t="shared" si="55"/>
        <v>24</v>
      </c>
      <c r="D445" s="5">
        <f t="shared" si="56"/>
        <v>70</v>
      </c>
      <c r="E445" t="str">
        <f>'(Raw) LensesGH'!C445</f>
        <v>1:2.8</v>
      </c>
      <c r="F445" s="9">
        <f t="shared" si="57"/>
        <v>2.8</v>
      </c>
      <c r="G445" s="9">
        <f t="shared" si="58"/>
        <v>2.8</v>
      </c>
      <c r="H445" t="str">
        <f>'(Raw) LensesGH'!D445</f>
        <v>77mm</v>
      </c>
      <c r="I445" s="2">
        <f t="shared" si="59"/>
        <v>77</v>
      </c>
      <c r="J445" s="2" t="str">
        <f>'(Raw) LensesGH'!E445</f>
        <v>1:3.70</v>
      </c>
      <c r="K445" s="40">
        <f t="shared" si="60"/>
        <v>3.7</v>
      </c>
      <c r="L445" t="str">
        <f>'(Raw) LensesGH'!F445</f>
        <v>Nikon F</v>
      </c>
      <c r="M445" t="str">
        <f>'(Raw) LensesGH'!G445</f>
        <v>APS-C/ Kleinbild</v>
      </c>
      <c r="N445" t="str">
        <f>'(Raw) LensesGH'!H445</f>
        <v>900g</v>
      </c>
      <c r="O445" s="5">
        <f t="shared" si="61"/>
        <v>900</v>
      </c>
      <c r="P445" t="str">
        <f>'(Raw) LensesGH'!I445</f>
        <v>83 x 133mm</v>
      </c>
      <c r="Q445" s="39">
        <f t="shared" si="62"/>
        <v>83</v>
      </c>
      <c r="R445" s="39">
        <f t="shared" si="54"/>
        <v>133</v>
      </c>
    </row>
    <row r="446" spans="1:18" x14ac:dyDescent="0.25">
      <c r="A446" t="str">
        <f>'(Raw) LensesGH'!A446</f>
        <v>Nikon AF-S 24mm 1.4G ED schwarz</v>
      </c>
      <c r="B446" t="str">
        <f>'(Raw) LensesGH'!B446</f>
        <v>24mm</v>
      </c>
      <c r="C446" s="5">
        <f t="shared" si="55"/>
        <v>24</v>
      </c>
      <c r="D446" s="5">
        <f t="shared" si="56"/>
        <v>24</v>
      </c>
      <c r="E446" t="str">
        <f>'(Raw) LensesGH'!C446</f>
        <v>1:1.4</v>
      </c>
      <c r="F446" s="9">
        <f t="shared" si="57"/>
        <v>1.4</v>
      </c>
      <c r="G446" s="9">
        <f t="shared" si="58"/>
        <v>1.4</v>
      </c>
      <c r="H446" t="str">
        <f>'(Raw) LensesGH'!D446</f>
        <v>77mm</v>
      </c>
      <c r="I446" s="2">
        <f t="shared" si="59"/>
        <v>77</v>
      </c>
      <c r="J446" s="2" t="str">
        <f>'(Raw) LensesGH'!E446</f>
        <v>1:5.59</v>
      </c>
      <c r="K446" s="40">
        <f t="shared" si="60"/>
        <v>5.59</v>
      </c>
      <c r="L446" t="str">
        <f>'(Raw) LensesGH'!F446</f>
        <v>Nikon F</v>
      </c>
      <c r="M446" t="str">
        <f>'(Raw) LensesGH'!G446</f>
        <v>APS-C/ Kleinbild</v>
      </c>
      <c r="N446" t="str">
        <f>'(Raw) LensesGH'!H446</f>
        <v>620g</v>
      </c>
      <c r="O446" s="5">
        <f t="shared" si="61"/>
        <v>620</v>
      </c>
      <c r="P446" t="str">
        <f>'(Raw) LensesGH'!I446</f>
        <v>83 x 88.5mm</v>
      </c>
      <c r="Q446" s="39">
        <f t="shared" si="62"/>
        <v>83</v>
      </c>
      <c r="R446" s="39">
        <f t="shared" si="54"/>
        <v>88.5</v>
      </c>
    </row>
    <row r="447" spans="1:18" x14ac:dyDescent="0.25">
      <c r="A447" t="str">
        <f>'(Raw) LensesGH'!A447</f>
        <v>Nikon AF-S 24mm 1.8G ED schwarz</v>
      </c>
      <c r="B447" t="str">
        <f>'(Raw) LensesGH'!B447</f>
        <v>24mm</v>
      </c>
      <c r="C447" s="5">
        <f t="shared" si="55"/>
        <v>24</v>
      </c>
      <c r="D447" s="5">
        <f t="shared" si="56"/>
        <v>24</v>
      </c>
      <c r="E447" t="str">
        <f>'(Raw) LensesGH'!C447</f>
        <v>1:1.8</v>
      </c>
      <c r="F447" s="9">
        <f t="shared" si="57"/>
        <v>1.8</v>
      </c>
      <c r="G447" s="9">
        <f t="shared" si="58"/>
        <v>1.8</v>
      </c>
      <c r="H447" t="str">
        <f>'(Raw) LensesGH'!D447</f>
        <v>72mm</v>
      </c>
      <c r="I447" s="2">
        <f t="shared" si="59"/>
        <v>72</v>
      </c>
      <c r="J447" s="2" t="str">
        <f>'(Raw) LensesGH'!E447</f>
        <v>1:5.00</v>
      </c>
      <c r="K447" s="40">
        <f t="shared" si="60"/>
        <v>5</v>
      </c>
      <c r="L447" t="str">
        <f>'(Raw) LensesGH'!F447</f>
        <v>Nikon F</v>
      </c>
      <c r="M447" t="str">
        <f>'(Raw) LensesGH'!G447</f>
        <v>APS-C/ Kleinbild</v>
      </c>
      <c r="N447" t="str">
        <f>'(Raw) LensesGH'!H447</f>
        <v>355g</v>
      </c>
      <c r="O447" s="5">
        <f t="shared" si="61"/>
        <v>355</v>
      </c>
      <c r="P447" t="str">
        <f>'(Raw) LensesGH'!I447</f>
        <v>77.5 x 83mm</v>
      </c>
      <c r="Q447" s="39">
        <f t="shared" si="62"/>
        <v>77.5</v>
      </c>
      <c r="R447" s="39">
        <f t="shared" si="54"/>
        <v>83</v>
      </c>
    </row>
    <row r="448" spans="1:18" x14ac:dyDescent="0.25">
      <c r="A448" t="str">
        <f>'(Raw) LensesGH'!A448</f>
        <v>Nikon AF-S 28mm 1.4E ED schwarz</v>
      </c>
      <c r="B448" t="str">
        <f>'(Raw) LensesGH'!B448</f>
        <v>28mm</v>
      </c>
      <c r="C448" s="5">
        <f t="shared" si="55"/>
        <v>28</v>
      </c>
      <c r="D448" s="5">
        <f t="shared" si="56"/>
        <v>28</v>
      </c>
      <c r="E448" t="str">
        <f>'(Raw) LensesGH'!C448</f>
        <v>1:1.4</v>
      </c>
      <c r="F448" s="9">
        <f t="shared" si="57"/>
        <v>1.4</v>
      </c>
      <c r="G448" s="9">
        <f t="shared" si="58"/>
        <v>1.4</v>
      </c>
      <c r="H448" t="str">
        <f>'(Raw) LensesGH'!D448</f>
        <v>77mm</v>
      </c>
      <c r="I448" s="2">
        <f t="shared" si="59"/>
        <v>77</v>
      </c>
      <c r="J448" s="2" t="str">
        <f>'(Raw) LensesGH'!E448</f>
        <v>1:5.88</v>
      </c>
      <c r="K448" s="40">
        <f t="shared" si="60"/>
        <v>5.88</v>
      </c>
      <c r="L448" t="str">
        <f>'(Raw) LensesGH'!F448</f>
        <v>Nikon F</v>
      </c>
      <c r="M448" t="str">
        <f>'(Raw) LensesGH'!G448</f>
        <v>APS-C/ Kleinbild</v>
      </c>
      <c r="N448" t="str">
        <f>'(Raw) LensesGH'!H448</f>
        <v>645g</v>
      </c>
      <c r="O448" s="5">
        <f t="shared" si="61"/>
        <v>645</v>
      </c>
      <c r="P448" t="str">
        <f>'(Raw) LensesGH'!I448</f>
        <v>83 x 100.5mm</v>
      </c>
      <c r="Q448" s="39">
        <f t="shared" si="62"/>
        <v>83</v>
      </c>
      <c r="R448" s="39">
        <f t="shared" si="54"/>
        <v>100.5</v>
      </c>
    </row>
    <row r="449" spans="1:18" x14ac:dyDescent="0.25">
      <c r="A449" t="str">
        <f>'(Raw) LensesGH'!A449</f>
        <v>Nikon AF-S 28mm 1.8G schwarz</v>
      </c>
      <c r="B449" t="str">
        <f>'(Raw) LensesGH'!B449</f>
        <v>28mm</v>
      </c>
      <c r="C449" s="5">
        <f t="shared" si="55"/>
        <v>28</v>
      </c>
      <c r="D449" s="5">
        <f t="shared" si="56"/>
        <v>28</v>
      </c>
      <c r="E449" t="str">
        <f>'(Raw) LensesGH'!C449</f>
        <v>1:1.8</v>
      </c>
      <c r="F449" s="9">
        <f t="shared" si="57"/>
        <v>1.8</v>
      </c>
      <c r="G449" s="9">
        <f t="shared" si="58"/>
        <v>1.8</v>
      </c>
      <c r="H449" t="str">
        <f>'(Raw) LensesGH'!D449</f>
        <v>67mm</v>
      </c>
      <c r="I449" s="2">
        <f t="shared" si="59"/>
        <v>67</v>
      </c>
      <c r="J449" s="2" t="str">
        <f>'(Raw) LensesGH'!E449</f>
        <v>1:4.55</v>
      </c>
      <c r="K449" s="40">
        <f t="shared" si="60"/>
        <v>4.55</v>
      </c>
      <c r="L449" t="str">
        <f>'(Raw) LensesGH'!F449</f>
        <v>Nikon F</v>
      </c>
      <c r="M449" t="str">
        <f>'(Raw) LensesGH'!G449</f>
        <v>APS-C/ Kleinbild</v>
      </c>
      <c r="N449" t="str">
        <f>'(Raw) LensesGH'!H449</f>
        <v>330g</v>
      </c>
      <c r="O449" s="5">
        <f t="shared" si="61"/>
        <v>330</v>
      </c>
      <c r="P449" t="str">
        <f>'(Raw) LensesGH'!I449</f>
        <v>73 x 80.5mm</v>
      </c>
      <c r="Q449" s="39">
        <f t="shared" si="62"/>
        <v>73</v>
      </c>
      <c r="R449" s="39">
        <f t="shared" si="54"/>
        <v>80.5</v>
      </c>
    </row>
    <row r="450" spans="1:18" x14ac:dyDescent="0.25">
      <c r="A450" t="str">
        <f>'(Raw) LensesGH'!A450</f>
        <v>Nikon AF-S 300mm 4.0D IF-ED schwarz</v>
      </c>
      <c r="B450" t="str">
        <f>'(Raw) LensesGH'!B450</f>
        <v>300mm</v>
      </c>
      <c r="C450" s="5">
        <f t="shared" si="55"/>
        <v>300</v>
      </c>
      <c r="D450" s="5">
        <f t="shared" si="56"/>
        <v>300</v>
      </c>
      <c r="E450" t="str">
        <f>'(Raw) LensesGH'!C450</f>
        <v>1:4.0</v>
      </c>
      <c r="F450" s="9">
        <f t="shared" si="57"/>
        <v>4</v>
      </c>
      <c r="G450" s="9">
        <f t="shared" si="58"/>
        <v>4</v>
      </c>
      <c r="H450" t="str">
        <f>'(Raw) LensesGH'!D450</f>
        <v>77mm</v>
      </c>
      <c r="I450" s="2">
        <f t="shared" si="59"/>
        <v>77</v>
      </c>
      <c r="J450" s="2" t="str">
        <f>'(Raw) LensesGH'!E450</f>
        <v>1:3.70</v>
      </c>
      <c r="K450" s="40">
        <f t="shared" si="60"/>
        <v>3.7</v>
      </c>
      <c r="L450" t="str">
        <f>'(Raw) LensesGH'!F450</f>
        <v>Nikon F</v>
      </c>
      <c r="M450" t="str">
        <f>'(Raw) LensesGH'!G450</f>
        <v>APS-C/ Kleinbild</v>
      </c>
      <c r="N450" t="str">
        <f>'(Raw) LensesGH'!H450</f>
        <v>1440g</v>
      </c>
      <c r="O450" s="5">
        <f t="shared" si="61"/>
        <v>1440</v>
      </c>
      <c r="P450" t="str">
        <f>'(Raw) LensesGH'!I450</f>
        <v>90 x 222.5mm</v>
      </c>
      <c r="Q450" s="39">
        <f t="shared" si="62"/>
        <v>90</v>
      </c>
      <c r="R450" s="39">
        <f t="shared" ref="R450:R513" si="63">getSizeLength(P450)</f>
        <v>222.5</v>
      </c>
    </row>
    <row r="451" spans="1:18" x14ac:dyDescent="0.25">
      <c r="A451" t="str">
        <f>'(Raw) LensesGH'!A451</f>
        <v>Nikon AF-S 35mm 1.4G schwarz</v>
      </c>
      <c r="B451" t="str">
        <f>'(Raw) LensesGH'!B451</f>
        <v>35mm</v>
      </c>
      <c r="C451" s="5">
        <f t="shared" ref="C451:C514" si="64">getFocalLengthStart(B451)</f>
        <v>35</v>
      </c>
      <c r="D451" s="5">
        <f t="shared" ref="D451:D514" si="65">getFocalLengthEnd(B451)</f>
        <v>35</v>
      </c>
      <c r="E451" t="str">
        <f>'(Raw) LensesGH'!C451</f>
        <v>1:1.4</v>
      </c>
      <c r="F451" s="9">
        <f t="shared" ref="F451:F514" si="66">getApertureStart(E451)</f>
        <v>1.4</v>
      </c>
      <c r="G451" s="9">
        <f t="shared" ref="G451:G514" si="67">getApertureEnd(F451)</f>
        <v>1.4</v>
      </c>
      <c r="H451" t="str">
        <f>'(Raw) LensesGH'!D451</f>
        <v>67mm</v>
      </c>
      <c r="I451" s="2">
        <f t="shared" ref="I451:I514" si="68">getFiltersizeAsDouble(H451)</f>
        <v>67</v>
      </c>
      <c r="J451" s="2" t="str">
        <f>'(Raw) LensesGH'!E451</f>
        <v>1:5.00</v>
      </c>
      <c r="K451" s="40">
        <f t="shared" ref="K451:K514" si="69">getMagnification(J451)</f>
        <v>5</v>
      </c>
      <c r="L451" t="str">
        <f>'(Raw) LensesGH'!F451</f>
        <v>Nikon F</v>
      </c>
      <c r="M451" t="str">
        <f>'(Raw) LensesGH'!G451</f>
        <v>APS-C/ Kleinbild</v>
      </c>
      <c r="N451" t="str">
        <f>'(Raw) LensesGH'!H451</f>
        <v>600g</v>
      </c>
      <c r="O451" s="5">
        <f t="shared" ref="O451:O514" si="70">getWeightAsDouble(N451)</f>
        <v>600</v>
      </c>
      <c r="P451" t="str">
        <f>'(Raw) LensesGH'!I451</f>
        <v>83 x 89.5mm</v>
      </c>
      <c r="Q451" s="39">
        <f t="shared" ref="Q451:Q514" si="71">getSizeDiameter(P451)</f>
        <v>83</v>
      </c>
      <c r="R451" s="39">
        <f t="shared" si="63"/>
        <v>89.5</v>
      </c>
    </row>
    <row r="452" spans="1:18" x14ac:dyDescent="0.25">
      <c r="A452" t="str">
        <f>'(Raw) LensesGH'!A452</f>
        <v>Nikon AF-S 35mm 1.8G ED schwarz</v>
      </c>
      <c r="B452" t="str">
        <f>'(Raw) LensesGH'!B452</f>
        <v>35mm</v>
      </c>
      <c r="C452" s="5">
        <f t="shared" si="64"/>
        <v>35</v>
      </c>
      <c r="D452" s="5">
        <f t="shared" si="65"/>
        <v>35</v>
      </c>
      <c r="E452" t="str">
        <f>'(Raw) LensesGH'!C452</f>
        <v>1:1.8</v>
      </c>
      <c r="F452" s="9">
        <f t="shared" si="66"/>
        <v>1.8</v>
      </c>
      <c r="G452" s="9">
        <f t="shared" si="67"/>
        <v>1.8</v>
      </c>
      <c r="H452" t="str">
        <f>'(Raw) LensesGH'!D452</f>
        <v>58mm</v>
      </c>
      <c r="I452" s="2">
        <f t="shared" si="68"/>
        <v>58</v>
      </c>
      <c r="J452" s="2" t="str">
        <f>'(Raw) LensesGH'!E452</f>
        <v>1:4.20</v>
      </c>
      <c r="K452" s="40">
        <f t="shared" si="69"/>
        <v>4.2</v>
      </c>
      <c r="L452" t="str">
        <f>'(Raw) LensesGH'!F452</f>
        <v>Nikon F</v>
      </c>
      <c r="M452" t="str">
        <f>'(Raw) LensesGH'!G452</f>
        <v>APS-C/ Kleinbild</v>
      </c>
      <c r="N452" t="str">
        <f>'(Raw) LensesGH'!H452</f>
        <v>305g</v>
      </c>
      <c r="O452" s="5">
        <f t="shared" si="70"/>
        <v>305</v>
      </c>
      <c r="P452" t="str">
        <f>'(Raw) LensesGH'!I452</f>
        <v>72 x 71.5mm</v>
      </c>
      <c r="Q452" s="39">
        <f t="shared" si="71"/>
        <v>72</v>
      </c>
      <c r="R452" s="39">
        <f t="shared" si="63"/>
        <v>71.5</v>
      </c>
    </row>
    <row r="453" spans="1:18" x14ac:dyDescent="0.25">
      <c r="A453" t="str">
        <f>'(Raw) LensesGH'!A453</f>
        <v>Nikon AF-S 50mm 1.4G schwarz</v>
      </c>
      <c r="B453" t="str">
        <f>'(Raw) LensesGH'!B453</f>
        <v>50mm</v>
      </c>
      <c r="C453" s="5">
        <f t="shared" si="64"/>
        <v>50</v>
      </c>
      <c r="D453" s="5">
        <f t="shared" si="65"/>
        <v>50</v>
      </c>
      <c r="E453" t="str">
        <f>'(Raw) LensesGH'!C453</f>
        <v>1:1.4</v>
      </c>
      <c r="F453" s="9">
        <f t="shared" si="66"/>
        <v>1.4</v>
      </c>
      <c r="G453" s="9">
        <f t="shared" si="67"/>
        <v>1.4</v>
      </c>
      <c r="H453" t="str">
        <f>'(Raw) LensesGH'!D453</f>
        <v>58mm</v>
      </c>
      <c r="I453" s="2">
        <f t="shared" si="68"/>
        <v>58</v>
      </c>
      <c r="J453" s="2" t="str">
        <f>'(Raw) LensesGH'!E453</f>
        <v>1:6.7</v>
      </c>
      <c r="K453" s="40">
        <f t="shared" si="69"/>
        <v>6.7</v>
      </c>
      <c r="L453" t="str">
        <f>'(Raw) LensesGH'!F453</f>
        <v>Nikon F</v>
      </c>
      <c r="M453" t="str">
        <f>'(Raw) LensesGH'!G453</f>
        <v>APS-C/ Kleinbild</v>
      </c>
      <c r="N453" t="str">
        <f>'(Raw) LensesGH'!H453</f>
        <v>280g</v>
      </c>
      <c r="O453" s="5">
        <f t="shared" si="70"/>
        <v>280</v>
      </c>
      <c r="P453" t="str">
        <f>'(Raw) LensesGH'!I453</f>
        <v>73.5 x 54mm</v>
      </c>
      <c r="Q453" s="39">
        <f t="shared" si="71"/>
        <v>73.5</v>
      </c>
      <c r="R453" s="39">
        <f t="shared" si="63"/>
        <v>54</v>
      </c>
    </row>
    <row r="454" spans="1:18" x14ac:dyDescent="0.25">
      <c r="A454" t="str">
        <f>'(Raw) LensesGH'!A454</f>
        <v>Nikon AF-S 50mm 1.8G schwarz</v>
      </c>
      <c r="B454" t="str">
        <f>'(Raw) LensesGH'!B454</f>
        <v>50mm</v>
      </c>
      <c r="C454" s="5">
        <f t="shared" si="64"/>
        <v>50</v>
      </c>
      <c r="D454" s="5">
        <f t="shared" si="65"/>
        <v>50</v>
      </c>
      <c r="E454" t="str">
        <f>'(Raw) LensesGH'!C454</f>
        <v>1:1.8</v>
      </c>
      <c r="F454" s="9">
        <f t="shared" si="66"/>
        <v>1.8</v>
      </c>
      <c r="G454" s="9">
        <f t="shared" si="67"/>
        <v>1.8</v>
      </c>
      <c r="H454" t="str">
        <f>'(Raw) LensesGH'!D454</f>
        <v>58mm</v>
      </c>
      <c r="I454" s="2">
        <f t="shared" si="68"/>
        <v>58</v>
      </c>
      <c r="J454" s="2" t="str">
        <f>'(Raw) LensesGH'!E454</f>
        <v>1:6.70</v>
      </c>
      <c r="K454" s="40">
        <f t="shared" si="69"/>
        <v>6.7</v>
      </c>
      <c r="L454" t="str">
        <f>'(Raw) LensesGH'!F454</f>
        <v>Nikon F</v>
      </c>
      <c r="M454" t="str">
        <f>'(Raw) LensesGH'!G454</f>
        <v>APS-C/ Kleinbild</v>
      </c>
      <c r="N454" t="str">
        <f>'(Raw) LensesGH'!H454</f>
        <v>185g</v>
      </c>
      <c r="O454" s="5">
        <f t="shared" si="70"/>
        <v>185</v>
      </c>
      <c r="P454" t="str">
        <f>'(Raw) LensesGH'!I454</f>
        <v>72 x 52.5mm</v>
      </c>
      <c r="Q454" s="39">
        <f t="shared" si="71"/>
        <v>72</v>
      </c>
      <c r="R454" s="39">
        <f t="shared" si="63"/>
        <v>52.5</v>
      </c>
    </row>
    <row r="455" spans="1:18" x14ac:dyDescent="0.25">
      <c r="A455" t="str">
        <f>'(Raw) LensesGH'!A455</f>
        <v>Nikon AF-S 50mm 1.8G SE schwarz</v>
      </c>
      <c r="B455" t="str">
        <f>'(Raw) LensesGH'!B455</f>
        <v>50mm</v>
      </c>
      <c r="C455" s="5">
        <f t="shared" si="64"/>
        <v>50</v>
      </c>
      <c r="D455" s="5">
        <f t="shared" si="65"/>
        <v>50</v>
      </c>
      <c r="E455" t="str">
        <f>'(Raw) LensesGH'!C455</f>
        <v>1:1.8</v>
      </c>
      <c r="F455" s="9">
        <f t="shared" si="66"/>
        <v>1.8</v>
      </c>
      <c r="G455" s="9">
        <f t="shared" si="67"/>
        <v>1.8</v>
      </c>
      <c r="H455" t="str">
        <f>'(Raw) LensesGH'!D455</f>
        <v>58mm</v>
      </c>
      <c r="I455" s="2">
        <f t="shared" si="68"/>
        <v>58</v>
      </c>
      <c r="J455" s="2" t="str">
        <f>'(Raw) LensesGH'!E455</f>
        <v>1:6.70</v>
      </c>
      <c r="K455" s="40">
        <f t="shared" si="69"/>
        <v>6.7</v>
      </c>
      <c r="L455" t="str">
        <f>'(Raw) LensesGH'!F455</f>
        <v>Nikon F</v>
      </c>
      <c r="M455" t="str">
        <f>'(Raw) LensesGH'!G455</f>
        <v>APS-C/ Kleinbild</v>
      </c>
      <c r="N455" t="str">
        <f>'(Raw) LensesGH'!H455</f>
        <v>190g</v>
      </c>
      <c r="O455" s="5">
        <f t="shared" si="70"/>
        <v>190</v>
      </c>
      <c r="P455" t="str">
        <f>'(Raw) LensesGH'!I455</f>
        <v>73 x 52.5mm</v>
      </c>
      <c r="Q455" s="39">
        <f t="shared" si="71"/>
        <v>73</v>
      </c>
      <c r="R455" s="39">
        <f t="shared" si="63"/>
        <v>52.5</v>
      </c>
    </row>
    <row r="456" spans="1:18" x14ac:dyDescent="0.25">
      <c r="A456" t="str">
        <f>'(Raw) LensesGH'!A456</f>
        <v>Nikon AF-S 58mm 1.4G schwarz</v>
      </c>
      <c r="B456" t="str">
        <f>'(Raw) LensesGH'!B456</f>
        <v>58mm</v>
      </c>
      <c r="C456" s="5">
        <f t="shared" si="64"/>
        <v>58</v>
      </c>
      <c r="D456" s="5">
        <f t="shared" si="65"/>
        <v>58</v>
      </c>
      <c r="E456" t="str">
        <f>'(Raw) LensesGH'!C456</f>
        <v>1:1.4</v>
      </c>
      <c r="F456" s="9">
        <f t="shared" si="66"/>
        <v>1.4</v>
      </c>
      <c r="G456" s="9">
        <f t="shared" si="67"/>
        <v>1.4</v>
      </c>
      <c r="H456" t="str">
        <f>'(Raw) LensesGH'!D456</f>
        <v>72mm</v>
      </c>
      <c r="I456" s="2">
        <f t="shared" si="68"/>
        <v>72</v>
      </c>
      <c r="J456" s="2" t="str">
        <f>'(Raw) LensesGH'!E456</f>
        <v>1:7.70</v>
      </c>
      <c r="K456" s="40">
        <f t="shared" si="69"/>
        <v>7.7</v>
      </c>
      <c r="L456" t="str">
        <f>'(Raw) LensesGH'!F456</f>
        <v>Nikon F</v>
      </c>
      <c r="M456" t="str">
        <f>'(Raw) LensesGH'!G456</f>
        <v>APS-C/ Kleinbild</v>
      </c>
      <c r="N456" t="str">
        <f>'(Raw) LensesGH'!H456</f>
        <v>385g</v>
      </c>
      <c r="O456" s="5">
        <f t="shared" si="70"/>
        <v>385</v>
      </c>
      <c r="P456" t="str">
        <f>'(Raw) LensesGH'!I456</f>
        <v>85 x 70mm</v>
      </c>
      <c r="Q456" s="39">
        <f t="shared" si="71"/>
        <v>85</v>
      </c>
      <c r="R456" s="39">
        <f t="shared" si="63"/>
        <v>70</v>
      </c>
    </row>
    <row r="457" spans="1:18" x14ac:dyDescent="0.25">
      <c r="A457" t="str">
        <f>'(Raw) LensesGH'!A457</f>
        <v>Nikon AF-S 8-15mm 3.5-4.5E ED schwarz</v>
      </c>
      <c r="B457" t="str">
        <f>'(Raw) LensesGH'!B457</f>
        <v>8 - 15mm</v>
      </c>
      <c r="C457" s="5">
        <f t="shared" si="64"/>
        <v>8</v>
      </c>
      <c r="D457" s="5">
        <f t="shared" si="65"/>
        <v>15</v>
      </c>
      <c r="E457" t="str">
        <f>'(Raw) LensesGH'!C457</f>
        <v>1:3.5-1:4.5</v>
      </c>
      <c r="F457" s="9">
        <f t="shared" si="66"/>
        <v>3.5</v>
      </c>
      <c r="G457" s="9">
        <f t="shared" si="67"/>
        <v>3.5</v>
      </c>
      <c r="H457" t="str">
        <f>'(Raw) LensesGH'!D457</f>
        <v>29x27mm</v>
      </c>
      <c r="I457" s="2">
        <f t="shared" si="68"/>
        <v>0</v>
      </c>
      <c r="J457" s="2" t="str">
        <f>'(Raw) LensesGH'!E457</f>
        <v>1:2.94</v>
      </c>
      <c r="K457" s="40">
        <f t="shared" si="69"/>
        <v>2.94</v>
      </c>
      <c r="L457" t="str">
        <f>'(Raw) LensesGH'!F457</f>
        <v>Nikon F</v>
      </c>
      <c r="M457" t="str">
        <f>'(Raw) LensesGH'!G457</f>
        <v>APS-C/ Kleinbild</v>
      </c>
      <c r="N457" t="str">
        <f>'(Raw) LensesGH'!H457</f>
        <v>485g</v>
      </c>
      <c r="O457" s="5">
        <f t="shared" si="70"/>
        <v>485</v>
      </c>
      <c r="P457" t="str">
        <f>'(Raw) LensesGH'!I457</f>
        <v>77.5 x 83mm</v>
      </c>
      <c r="Q457" s="39">
        <f t="shared" si="71"/>
        <v>77.5</v>
      </c>
      <c r="R457" s="39">
        <f t="shared" si="63"/>
        <v>83</v>
      </c>
    </row>
    <row r="458" spans="1:18" x14ac:dyDescent="0.25">
      <c r="A458" t="str">
        <f>'(Raw) LensesGH'!A458</f>
        <v>Nikon AF-S 85mm 1.4G schwarz</v>
      </c>
      <c r="B458" t="str">
        <f>'(Raw) LensesGH'!B458</f>
        <v>85mm</v>
      </c>
      <c r="C458" s="5">
        <f t="shared" si="64"/>
        <v>85</v>
      </c>
      <c r="D458" s="5">
        <f t="shared" si="65"/>
        <v>85</v>
      </c>
      <c r="E458" t="str">
        <f>'(Raw) LensesGH'!C458</f>
        <v>1:1.4</v>
      </c>
      <c r="F458" s="9">
        <f t="shared" si="66"/>
        <v>1.4</v>
      </c>
      <c r="G458" s="9">
        <f t="shared" si="67"/>
        <v>1.4</v>
      </c>
      <c r="H458" t="str">
        <f>'(Raw) LensesGH'!D458</f>
        <v>77mm</v>
      </c>
      <c r="I458" s="2">
        <f t="shared" si="68"/>
        <v>77</v>
      </c>
      <c r="J458" s="2" t="str">
        <f>'(Raw) LensesGH'!E458</f>
        <v>1:8.33</v>
      </c>
      <c r="K458" s="40">
        <f t="shared" si="69"/>
        <v>8.33</v>
      </c>
      <c r="L458" t="str">
        <f>'(Raw) LensesGH'!F458</f>
        <v>Nikon F</v>
      </c>
      <c r="M458" t="str">
        <f>'(Raw) LensesGH'!G458</f>
        <v>APS-C/ Kleinbild</v>
      </c>
      <c r="N458" t="str">
        <f>'(Raw) LensesGH'!H458</f>
        <v>595g</v>
      </c>
      <c r="O458" s="5">
        <f t="shared" si="70"/>
        <v>595</v>
      </c>
      <c r="P458" t="str">
        <f>'(Raw) LensesGH'!I458</f>
        <v>86.5 x 84mm</v>
      </c>
      <c r="Q458" s="39">
        <f t="shared" si="71"/>
        <v>86.5</v>
      </c>
      <c r="R458" s="39">
        <f t="shared" si="63"/>
        <v>84</v>
      </c>
    </row>
    <row r="459" spans="1:18" x14ac:dyDescent="0.25">
      <c r="A459" t="str">
        <f>'(Raw) LensesGH'!A459</f>
        <v>Nikon AF-S 85mm 1.8G schwarz</v>
      </c>
      <c r="B459" t="str">
        <f>'(Raw) LensesGH'!B459</f>
        <v>85mm</v>
      </c>
      <c r="C459" s="5">
        <f t="shared" si="64"/>
        <v>85</v>
      </c>
      <c r="D459" s="5">
        <f t="shared" si="65"/>
        <v>85</v>
      </c>
      <c r="E459" t="str">
        <f>'(Raw) LensesGH'!C459</f>
        <v>1:1.8</v>
      </c>
      <c r="F459" s="9">
        <f t="shared" si="66"/>
        <v>1.8</v>
      </c>
      <c r="G459" s="9">
        <f t="shared" si="67"/>
        <v>1.8</v>
      </c>
      <c r="H459" t="str">
        <f>'(Raw) LensesGH'!D459</f>
        <v>67mm</v>
      </c>
      <c r="I459" s="2">
        <f t="shared" si="68"/>
        <v>67</v>
      </c>
      <c r="J459" s="2" t="str">
        <f>'(Raw) LensesGH'!E459</f>
        <v>1:8.00</v>
      </c>
      <c r="K459" s="40">
        <f t="shared" si="69"/>
        <v>8</v>
      </c>
      <c r="L459" t="str">
        <f>'(Raw) LensesGH'!F459</f>
        <v>Nikon F</v>
      </c>
      <c r="M459" t="str">
        <f>'(Raw) LensesGH'!G459</f>
        <v>APS-C/ Kleinbild</v>
      </c>
      <c r="N459" t="str">
        <f>'(Raw) LensesGH'!H459</f>
        <v>350g</v>
      </c>
      <c r="O459" s="5">
        <f t="shared" si="70"/>
        <v>350</v>
      </c>
      <c r="P459" t="str">
        <f>'(Raw) LensesGH'!I459</f>
        <v>80 x 73mm</v>
      </c>
      <c r="Q459" s="39">
        <f t="shared" si="71"/>
        <v>80</v>
      </c>
      <c r="R459" s="39">
        <f t="shared" si="63"/>
        <v>73</v>
      </c>
    </row>
    <row r="460" spans="1:18" x14ac:dyDescent="0.25">
      <c r="A460" t="str">
        <f>'(Raw) LensesGH'!A460</f>
        <v>Nikon AF-S DX 10-24mm 3.5-4.5G ED schwarz</v>
      </c>
      <c r="B460" t="str">
        <f>'(Raw) LensesGH'!B460</f>
        <v>10 - 24mm</v>
      </c>
      <c r="C460" s="5">
        <f t="shared" si="64"/>
        <v>10</v>
      </c>
      <c r="D460" s="5">
        <f t="shared" si="65"/>
        <v>24</v>
      </c>
      <c r="E460" t="str">
        <f>'(Raw) LensesGH'!C460</f>
        <v>1:3.5-1:4.5</v>
      </c>
      <c r="F460" s="9">
        <f t="shared" si="66"/>
        <v>3.5</v>
      </c>
      <c r="G460" s="9">
        <f t="shared" si="67"/>
        <v>3.5</v>
      </c>
      <c r="H460" t="str">
        <f>'(Raw) LensesGH'!D460</f>
        <v>77mm</v>
      </c>
      <c r="I460" s="2">
        <f t="shared" si="68"/>
        <v>77</v>
      </c>
      <c r="J460" s="2" t="str">
        <f>'(Raw) LensesGH'!E460</f>
        <v>1:5.00</v>
      </c>
      <c r="K460" s="40">
        <f t="shared" si="69"/>
        <v>5</v>
      </c>
      <c r="L460" t="str">
        <f>'(Raw) LensesGH'!F460</f>
        <v>Nikon F</v>
      </c>
      <c r="M460" t="str">
        <f>'(Raw) LensesGH'!G460</f>
        <v>APS-C</v>
      </c>
      <c r="N460" t="str">
        <f>'(Raw) LensesGH'!H460</f>
        <v>460g</v>
      </c>
      <c r="O460" s="5">
        <f t="shared" si="70"/>
        <v>460</v>
      </c>
      <c r="P460" t="str">
        <f>'(Raw) LensesGH'!I460</f>
        <v>82.5 x 87mm</v>
      </c>
      <c r="Q460" s="39">
        <f t="shared" si="71"/>
        <v>82.5</v>
      </c>
      <c r="R460" s="39">
        <f t="shared" si="63"/>
        <v>87</v>
      </c>
    </row>
    <row r="461" spans="1:18" x14ac:dyDescent="0.25">
      <c r="A461" t="str">
        <f>'(Raw) LensesGH'!A461</f>
        <v>Nikon AF-S DX 12-24mm 4.0G IF-ED schwarz</v>
      </c>
      <c r="B461" t="str">
        <f>'(Raw) LensesGH'!B461</f>
        <v>12 - 24mm</v>
      </c>
      <c r="C461" s="5">
        <f t="shared" si="64"/>
        <v>12</v>
      </c>
      <c r="D461" s="5">
        <f t="shared" si="65"/>
        <v>24</v>
      </c>
      <c r="E461" t="str">
        <f>'(Raw) LensesGH'!C461</f>
        <v>1:4.0</v>
      </c>
      <c r="F461" s="9">
        <f t="shared" si="66"/>
        <v>4</v>
      </c>
      <c r="G461" s="9">
        <f t="shared" si="67"/>
        <v>4</v>
      </c>
      <c r="H461" t="str">
        <f>'(Raw) LensesGH'!D461</f>
        <v>77mm</v>
      </c>
      <c r="I461" s="2">
        <f t="shared" si="68"/>
        <v>77</v>
      </c>
      <c r="J461" s="2" t="str">
        <f>'(Raw) LensesGH'!E461</f>
        <v>1:8.33</v>
      </c>
      <c r="K461" s="40">
        <f t="shared" si="69"/>
        <v>8.33</v>
      </c>
      <c r="L461" t="str">
        <f>'(Raw) LensesGH'!F461</f>
        <v>Nikon F</v>
      </c>
      <c r="M461" t="str">
        <f>'(Raw) LensesGH'!G461</f>
        <v>APS-C</v>
      </c>
      <c r="N461" t="str">
        <f>'(Raw) LensesGH'!H461</f>
        <v>485g</v>
      </c>
      <c r="O461" s="5">
        <f t="shared" si="70"/>
        <v>485</v>
      </c>
      <c r="P461" t="str">
        <f>'(Raw) LensesGH'!I461</f>
        <v>82.5 x 90mm</v>
      </c>
      <c r="Q461" s="39">
        <f t="shared" si="71"/>
        <v>82.5</v>
      </c>
      <c r="R461" s="39">
        <f t="shared" si="63"/>
        <v>90</v>
      </c>
    </row>
    <row r="462" spans="1:18" x14ac:dyDescent="0.25">
      <c r="A462" t="str">
        <f>'(Raw) LensesGH'!A462</f>
        <v>Nikon AF-S DX 17-55mm 2.8G IF-ED schwarz</v>
      </c>
      <c r="B462" t="str">
        <f>'(Raw) LensesGH'!B462</f>
        <v>17 - 55mm</v>
      </c>
      <c r="C462" s="5">
        <f t="shared" si="64"/>
        <v>17</v>
      </c>
      <c r="D462" s="5">
        <f t="shared" si="65"/>
        <v>55</v>
      </c>
      <c r="E462" t="str">
        <f>'(Raw) LensesGH'!C462</f>
        <v>1:2.8</v>
      </c>
      <c r="F462" s="9">
        <f t="shared" si="66"/>
        <v>2.8</v>
      </c>
      <c r="G462" s="9">
        <f t="shared" si="67"/>
        <v>2.8</v>
      </c>
      <c r="H462" t="str">
        <f>'(Raw) LensesGH'!D462</f>
        <v>77mm</v>
      </c>
      <c r="I462" s="2">
        <f t="shared" si="68"/>
        <v>77</v>
      </c>
      <c r="J462" s="2" t="str">
        <f>'(Raw) LensesGH'!E462</f>
        <v>1:4.76</v>
      </c>
      <c r="K462" s="40">
        <f t="shared" si="69"/>
        <v>4.76</v>
      </c>
      <c r="L462" t="str">
        <f>'(Raw) LensesGH'!F462</f>
        <v>Nikon F</v>
      </c>
      <c r="M462" t="str">
        <f>'(Raw) LensesGH'!G462</f>
        <v>APS-C</v>
      </c>
      <c r="N462" t="str">
        <f>'(Raw) LensesGH'!H462</f>
        <v>755g</v>
      </c>
      <c r="O462" s="5">
        <f t="shared" si="70"/>
        <v>755</v>
      </c>
      <c r="P462" t="str">
        <f>'(Raw) LensesGH'!I462</f>
        <v>85.5 x 110.5mm</v>
      </c>
      <c r="Q462" s="39">
        <f t="shared" si="71"/>
        <v>85.5</v>
      </c>
      <c r="R462" s="39">
        <f t="shared" si="63"/>
        <v>110.5</v>
      </c>
    </row>
    <row r="463" spans="1:18" x14ac:dyDescent="0.25">
      <c r="A463" t="str">
        <f>'(Raw) LensesGH'!A463</f>
        <v>Nikon AF-S DX 18-135mm 3.5-5.6G IF-ED schwarz</v>
      </c>
      <c r="B463" t="str">
        <f>'(Raw) LensesGH'!B463</f>
        <v>18 - 135mm</v>
      </c>
      <c r="C463" s="5">
        <f t="shared" si="64"/>
        <v>18</v>
      </c>
      <c r="D463" s="5">
        <f t="shared" si="65"/>
        <v>135</v>
      </c>
      <c r="E463" t="str">
        <f>'(Raw) LensesGH'!C463</f>
        <v>1:3.5-1:5.6</v>
      </c>
      <c r="F463" s="9">
        <f t="shared" si="66"/>
        <v>3.5</v>
      </c>
      <c r="G463" s="9">
        <f t="shared" si="67"/>
        <v>3.5</v>
      </c>
      <c r="H463" t="str">
        <f>'(Raw) LensesGH'!D463</f>
        <v>67mm</v>
      </c>
      <c r="I463" s="2">
        <f t="shared" si="68"/>
        <v>67</v>
      </c>
      <c r="J463" s="2" t="str">
        <f>'(Raw) LensesGH'!E463</f>
        <v>1:4.17</v>
      </c>
      <c r="K463" s="40">
        <f t="shared" si="69"/>
        <v>4.17</v>
      </c>
      <c r="L463" t="str">
        <f>'(Raw) LensesGH'!F463</f>
        <v>Nikon F</v>
      </c>
      <c r="M463" t="str">
        <f>'(Raw) LensesGH'!G463</f>
        <v>APS-C</v>
      </c>
      <c r="N463" t="str">
        <f>'(Raw) LensesGH'!H463</f>
        <v>385g</v>
      </c>
      <c r="O463" s="5">
        <f t="shared" si="70"/>
        <v>385</v>
      </c>
      <c r="P463" t="str">
        <f>'(Raw) LensesGH'!I463</f>
        <v>73.5 x 86.5mm</v>
      </c>
      <c r="Q463" s="39">
        <f t="shared" si="71"/>
        <v>73.5</v>
      </c>
      <c r="R463" s="39">
        <f t="shared" si="63"/>
        <v>86.5</v>
      </c>
    </row>
    <row r="464" spans="1:18" x14ac:dyDescent="0.25">
      <c r="A464" t="str">
        <f>'(Raw) LensesGH'!A464</f>
        <v>Nikon AF-S DX 18-55mm 3.5-5.6G ED II schwarz</v>
      </c>
      <c r="B464" t="str">
        <f>'(Raw) LensesGH'!B464</f>
        <v>18 - 55mm</v>
      </c>
      <c r="C464" s="5">
        <f t="shared" si="64"/>
        <v>18</v>
      </c>
      <c r="D464" s="5">
        <f t="shared" si="65"/>
        <v>55</v>
      </c>
      <c r="E464" t="str">
        <f>'(Raw) LensesGH'!C464</f>
        <v>1:3.5-1:5.6</v>
      </c>
      <c r="F464" s="9">
        <f t="shared" si="66"/>
        <v>3.5</v>
      </c>
      <c r="G464" s="9">
        <f t="shared" si="67"/>
        <v>3.5</v>
      </c>
      <c r="H464" t="str">
        <f>'(Raw) LensesGH'!D464</f>
        <v>52mm</v>
      </c>
      <c r="I464" s="2">
        <f t="shared" si="68"/>
        <v>52</v>
      </c>
      <c r="J464" s="2" t="str">
        <f>'(Raw) LensesGH'!E464</f>
        <v>1:3.23</v>
      </c>
      <c r="K464" s="40">
        <f t="shared" si="69"/>
        <v>3.23</v>
      </c>
      <c r="L464" t="str">
        <f>'(Raw) LensesGH'!F464</f>
        <v>Nikon F</v>
      </c>
      <c r="M464" t="str">
        <f>'(Raw) LensesGH'!G464</f>
        <v>APS-C</v>
      </c>
      <c r="N464" t="str">
        <f>'(Raw) LensesGH'!H464</f>
        <v>205g</v>
      </c>
      <c r="O464" s="5">
        <f t="shared" si="70"/>
        <v>205</v>
      </c>
      <c r="P464" t="str">
        <f>'(Raw) LensesGH'!I464</f>
        <v>70.5 x 74mm</v>
      </c>
      <c r="Q464" s="39">
        <f t="shared" si="71"/>
        <v>70.5</v>
      </c>
      <c r="R464" s="39">
        <f t="shared" si="63"/>
        <v>74</v>
      </c>
    </row>
    <row r="465" spans="1:18" x14ac:dyDescent="0.25">
      <c r="A465" t="str">
        <f>'(Raw) LensesGH'!A465</f>
        <v>Nikon AF-S DX 35mm 1.8G schwarz</v>
      </c>
      <c r="B465" t="str">
        <f>'(Raw) LensesGH'!B465</f>
        <v>35mm</v>
      </c>
      <c r="C465" s="5">
        <f t="shared" si="64"/>
        <v>35</v>
      </c>
      <c r="D465" s="5">
        <f t="shared" si="65"/>
        <v>35</v>
      </c>
      <c r="E465" t="str">
        <f>'(Raw) LensesGH'!C465</f>
        <v>1:1.8</v>
      </c>
      <c r="F465" s="9">
        <f t="shared" si="66"/>
        <v>1.8</v>
      </c>
      <c r="G465" s="9">
        <f t="shared" si="67"/>
        <v>1.8</v>
      </c>
      <c r="H465" t="str">
        <f>'(Raw) LensesGH'!D465</f>
        <v>52mm</v>
      </c>
      <c r="I465" s="2">
        <f t="shared" si="68"/>
        <v>52</v>
      </c>
      <c r="J465" s="2">
        <f>'(Raw) LensesGH'!E465</f>
        <v>0</v>
      </c>
      <c r="K465" s="40">
        <f t="shared" si="69"/>
        <v>0</v>
      </c>
      <c r="L465" t="str">
        <f>'(Raw) LensesGH'!F465</f>
        <v>Nikon F</v>
      </c>
      <c r="M465" t="str">
        <f>'(Raw) LensesGH'!G465</f>
        <v>APS-C</v>
      </c>
      <c r="N465" t="str">
        <f>'(Raw) LensesGH'!H465</f>
        <v>210g</v>
      </c>
      <c r="O465" s="5">
        <f t="shared" si="70"/>
        <v>210</v>
      </c>
      <c r="P465" t="str">
        <f>'(Raw) LensesGH'!I465</f>
        <v>70 x 52.5mm</v>
      </c>
      <c r="Q465" s="39">
        <f t="shared" si="71"/>
        <v>70</v>
      </c>
      <c r="R465" s="39">
        <f t="shared" si="63"/>
        <v>52.5</v>
      </c>
    </row>
    <row r="466" spans="1:18" x14ac:dyDescent="0.25">
      <c r="A466" t="str">
        <f>'(Raw) LensesGH'!A466</f>
        <v>Nikon AF-S DX 55-200mm 4.0-5.6G ED schwarz</v>
      </c>
      <c r="B466" t="str">
        <f>'(Raw) LensesGH'!B466</f>
        <v>55 - 200mm</v>
      </c>
      <c r="C466" s="5">
        <f t="shared" si="64"/>
        <v>55</v>
      </c>
      <c r="D466" s="5">
        <f t="shared" si="65"/>
        <v>200</v>
      </c>
      <c r="E466" t="str">
        <f>'(Raw) LensesGH'!C466</f>
        <v>1:4.0-1:5.6</v>
      </c>
      <c r="F466" s="9">
        <f t="shared" si="66"/>
        <v>4</v>
      </c>
      <c r="G466" s="9">
        <f t="shared" si="67"/>
        <v>4</v>
      </c>
      <c r="H466" t="str">
        <f>'(Raw) LensesGH'!D466</f>
        <v>52mm</v>
      </c>
      <c r="I466" s="2">
        <f t="shared" si="68"/>
        <v>52</v>
      </c>
      <c r="J466" s="2">
        <f>'(Raw) LensesGH'!E466</f>
        <v>0</v>
      </c>
      <c r="K466" s="40">
        <f t="shared" si="69"/>
        <v>0</v>
      </c>
      <c r="L466" t="str">
        <f>'(Raw) LensesGH'!F466</f>
        <v>Nikon F</v>
      </c>
      <c r="M466" t="str">
        <f>'(Raw) LensesGH'!G466</f>
        <v>APS-C</v>
      </c>
      <c r="N466" t="str">
        <f>'(Raw) LensesGH'!H466</f>
        <v>255g</v>
      </c>
      <c r="O466" s="5">
        <f t="shared" si="70"/>
        <v>255</v>
      </c>
      <c r="P466" t="str">
        <f>'(Raw) LensesGH'!I466</f>
        <v>68 x 79mm</v>
      </c>
      <c r="Q466" s="39">
        <f t="shared" si="71"/>
        <v>68</v>
      </c>
      <c r="R466" s="39">
        <f t="shared" si="63"/>
        <v>79</v>
      </c>
    </row>
    <row r="467" spans="1:18" x14ac:dyDescent="0.25">
      <c r="A467" t="str">
        <f>'(Raw) LensesGH'!A467</f>
        <v>Nikon AF-S DX Micro 40mm 2.8G schwarz</v>
      </c>
      <c r="B467" t="str">
        <f>'(Raw) LensesGH'!B467</f>
        <v>40mm</v>
      </c>
      <c r="C467" s="5">
        <f t="shared" si="64"/>
        <v>40</v>
      </c>
      <c r="D467" s="5">
        <f t="shared" si="65"/>
        <v>40</v>
      </c>
      <c r="E467" t="str">
        <f>'(Raw) LensesGH'!C467</f>
        <v>1:2.8</v>
      </c>
      <c r="F467" s="9">
        <f t="shared" si="66"/>
        <v>2.8</v>
      </c>
      <c r="G467" s="9">
        <f t="shared" si="67"/>
        <v>2.8</v>
      </c>
      <c r="H467" t="str">
        <f>'(Raw) LensesGH'!D467</f>
        <v>52mm</v>
      </c>
      <c r="I467" s="2">
        <f t="shared" si="68"/>
        <v>52</v>
      </c>
      <c r="J467" s="2" t="str">
        <f>'(Raw) LensesGH'!E467</f>
        <v>1:1.00</v>
      </c>
      <c r="K467" s="40">
        <f t="shared" si="69"/>
        <v>1</v>
      </c>
      <c r="L467" t="str">
        <f>'(Raw) LensesGH'!F467</f>
        <v>Nikon F</v>
      </c>
      <c r="M467" t="str">
        <f>'(Raw) LensesGH'!G467</f>
        <v>APS-C</v>
      </c>
      <c r="N467" t="str">
        <f>'(Raw) LensesGH'!H467</f>
        <v>235g</v>
      </c>
      <c r="O467" s="5">
        <f t="shared" si="70"/>
        <v>235</v>
      </c>
      <c r="P467" t="str">
        <f>'(Raw) LensesGH'!I467</f>
        <v>68.5 x 64.5mm</v>
      </c>
      <c r="Q467" s="39">
        <f t="shared" si="71"/>
        <v>68.5</v>
      </c>
      <c r="R467" s="39">
        <f t="shared" si="63"/>
        <v>64.5</v>
      </c>
    </row>
    <row r="468" spans="1:18" x14ac:dyDescent="0.25">
      <c r="A468" t="str">
        <f>'(Raw) LensesGH'!A468</f>
        <v>Nikon AF-S Micro 60mm 2.8G ED schwarz</v>
      </c>
      <c r="B468" t="str">
        <f>'(Raw) LensesGH'!B468</f>
        <v>60mm</v>
      </c>
      <c r="C468" s="5">
        <f t="shared" si="64"/>
        <v>60</v>
      </c>
      <c r="D468" s="5">
        <f t="shared" si="65"/>
        <v>60</v>
      </c>
      <c r="E468" t="str">
        <f>'(Raw) LensesGH'!C468</f>
        <v>1:2.8</v>
      </c>
      <c r="F468" s="9">
        <f t="shared" si="66"/>
        <v>2.8</v>
      </c>
      <c r="G468" s="9">
        <f t="shared" si="67"/>
        <v>2.8</v>
      </c>
      <c r="H468" t="str">
        <f>'(Raw) LensesGH'!D468</f>
        <v>62mm</v>
      </c>
      <c r="I468" s="2">
        <f t="shared" si="68"/>
        <v>62</v>
      </c>
      <c r="J468" s="2" t="str">
        <f>'(Raw) LensesGH'!E468</f>
        <v>1:1.00</v>
      </c>
      <c r="K468" s="40">
        <f t="shared" si="69"/>
        <v>1</v>
      </c>
      <c r="L468" t="str">
        <f>'(Raw) LensesGH'!F468</f>
        <v>Nikon F</v>
      </c>
      <c r="M468" t="str">
        <f>'(Raw) LensesGH'!G468</f>
        <v>APS-C/ Kleinbild</v>
      </c>
      <c r="N468" t="str">
        <f>'(Raw) LensesGH'!H468</f>
        <v>425g</v>
      </c>
      <c r="O468" s="5">
        <f t="shared" si="70"/>
        <v>425</v>
      </c>
      <c r="P468" t="str">
        <f>'(Raw) LensesGH'!I468</f>
        <v>73 x 89mm</v>
      </c>
      <c r="Q468" s="39">
        <f t="shared" si="71"/>
        <v>73</v>
      </c>
      <c r="R468" s="39">
        <f t="shared" si="63"/>
        <v>89</v>
      </c>
    </row>
    <row r="469" spans="1:18" x14ac:dyDescent="0.25">
      <c r="A469" t="str">
        <f>'(Raw) LensesGH'!A469</f>
        <v>Nikon AF-S VR 16-35mm 4.0G ED schwarz</v>
      </c>
      <c r="B469" t="str">
        <f>'(Raw) LensesGH'!B469</f>
        <v>16 - 35mm</v>
      </c>
      <c r="C469" s="5">
        <f t="shared" si="64"/>
        <v>16</v>
      </c>
      <c r="D469" s="5">
        <f t="shared" si="65"/>
        <v>35</v>
      </c>
      <c r="E469" t="str">
        <f>'(Raw) LensesGH'!C469</f>
        <v>1:4.0</v>
      </c>
      <c r="F469" s="9">
        <f t="shared" si="66"/>
        <v>4</v>
      </c>
      <c r="G469" s="9">
        <f t="shared" si="67"/>
        <v>4</v>
      </c>
      <c r="H469" t="str">
        <f>'(Raw) LensesGH'!D469</f>
        <v>77mm</v>
      </c>
      <c r="I469" s="2">
        <f t="shared" si="68"/>
        <v>77</v>
      </c>
      <c r="J469" s="2" t="str">
        <f>'(Raw) LensesGH'!E469</f>
        <v>1:4.00</v>
      </c>
      <c r="K469" s="40">
        <f t="shared" si="69"/>
        <v>4</v>
      </c>
      <c r="L469" t="str">
        <f>'(Raw) LensesGH'!F469</f>
        <v>Nikon F</v>
      </c>
      <c r="M469" t="str">
        <f>'(Raw) LensesGH'!G469</f>
        <v>APS-C/ Kleinbild</v>
      </c>
      <c r="N469" t="str">
        <f>'(Raw) LensesGH'!H469</f>
        <v>685g</v>
      </c>
      <c r="O469" s="5">
        <f t="shared" si="70"/>
        <v>685</v>
      </c>
      <c r="P469" t="str">
        <f>'(Raw) LensesGH'!I469</f>
        <v>82.5 x 125mm</v>
      </c>
      <c r="Q469" s="39">
        <f t="shared" si="71"/>
        <v>82.5</v>
      </c>
      <c r="R469" s="39">
        <f t="shared" si="63"/>
        <v>125</v>
      </c>
    </row>
    <row r="470" spans="1:18" x14ac:dyDescent="0.25">
      <c r="A470" t="str">
        <f>'(Raw) LensesGH'!A470</f>
        <v>Nikon AF-S VR 200-400mm 4.0G IF-ED II schwarz</v>
      </c>
      <c r="B470" t="str">
        <f>'(Raw) LensesGH'!B470</f>
        <v>200 - 400mm</v>
      </c>
      <c r="C470" s="5">
        <f t="shared" si="64"/>
        <v>200</v>
      </c>
      <c r="D470" s="5">
        <f t="shared" si="65"/>
        <v>400</v>
      </c>
      <c r="E470" t="str">
        <f>'(Raw) LensesGH'!C470</f>
        <v>1:4.0</v>
      </c>
      <c r="F470" s="9">
        <f t="shared" si="66"/>
        <v>4</v>
      </c>
      <c r="G470" s="9">
        <f t="shared" si="67"/>
        <v>4</v>
      </c>
      <c r="H470" t="str">
        <f>'(Raw) LensesGH'!D470</f>
        <v>52mm</v>
      </c>
      <c r="I470" s="2">
        <f t="shared" si="68"/>
        <v>52</v>
      </c>
      <c r="J470" s="2" t="str">
        <f>'(Raw) LensesGH'!E470</f>
        <v>1:3.70</v>
      </c>
      <c r="K470" s="40">
        <f t="shared" si="69"/>
        <v>3.7</v>
      </c>
      <c r="L470" t="str">
        <f>'(Raw) LensesGH'!F470</f>
        <v>Nikon F</v>
      </c>
      <c r="M470" t="str">
        <f>'(Raw) LensesGH'!G470</f>
        <v>APS-C/ Kleinbild</v>
      </c>
      <c r="N470" t="str">
        <f>'(Raw) LensesGH'!H470</f>
        <v>3360g</v>
      </c>
      <c r="O470" s="5">
        <f t="shared" si="70"/>
        <v>3360</v>
      </c>
      <c r="P470" t="str">
        <f>'(Raw) LensesGH'!I470</f>
        <v>124 x 365.5mm</v>
      </c>
      <c r="Q470" s="39">
        <f t="shared" si="71"/>
        <v>124</v>
      </c>
      <c r="R470" s="39">
        <f t="shared" si="63"/>
        <v>365.5</v>
      </c>
    </row>
    <row r="471" spans="1:18" x14ac:dyDescent="0.25">
      <c r="A471" t="str">
        <f>'(Raw) LensesGH'!A471</f>
        <v>Nikon AF-S VR 200-500mm 5.6E ED schwarz</v>
      </c>
      <c r="B471" t="str">
        <f>'(Raw) LensesGH'!B471</f>
        <v>200 - 500mm</v>
      </c>
      <c r="C471" s="5">
        <f t="shared" si="64"/>
        <v>200</v>
      </c>
      <c r="D471" s="5">
        <f t="shared" si="65"/>
        <v>500</v>
      </c>
      <c r="E471" t="str">
        <f>'(Raw) LensesGH'!C471</f>
        <v>1:5.6</v>
      </c>
      <c r="F471" s="9">
        <f t="shared" si="66"/>
        <v>5.6</v>
      </c>
      <c r="G471" s="9">
        <f t="shared" si="67"/>
        <v>5.6</v>
      </c>
      <c r="H471" t="str">
        <f>'(Raw) LensesGH'!D471</f>
        <v>95mm</v>
      </c>
      <c r="I471" s="2">
        <f t="shared" si="68"/>
        <v>95</v>
      </c>
      <c r="J471" s="2" t="str">
        <f>'(Raw) LensesGH'!E471</f>
        <v>1:4.50</v>
      </c>
      <c r="K471" s="40">
        <f t="shared" si="69"/>
        <v>4.5</v>
      </c>
      <c r="L471" t="str">
        <f>'(Raw) LensesGH'!F471</f>
        <v>Nikon F</v>
      </c>
      <c r="M471" t="str">
        <f>'(Raw) LensesGH'!G471</f>
        <v>APS-C/ Kleinbild</v>
      </c>
      <c r="N471" t="str">
        <f>'(Raw) LensesGH'!H471</f>
        <v>2300g</v>
      </c>
      <c r="O471" s="5">
        <f t="shared" si="70"/>
        <v>2300</v>
      </c>
      <c r="P471" t="str">
        <f>'(Raw) LensesGH'!I471</f>
        <v>108 x 267.5mm</v>
      </c>
      <c r="Q471" s="39">
        <f t="shared" si="71"/>
        <v>108</v>
      </c>
      <c r="R471" s="39">
        <f t="shared" si="63"/>
        <v>267.5</v>
      </c>
    </row>
    <row r="472" spans="1:18" x14ac:dyDescent="0.25">
      <c r="A472" t="str">
        <f>'(Raw) LensesGH'!A472</f>
        <v>Nikon AF-S VR 200mm 2.0G ED II schwarz</v>
      </c>
      <c r="B472" t="str">
        <f>'(Raw) LensesGH'!B472</f>
        <v>200mm</v>
      </c>
      <c r="C472" s="5">
        <f t="shared" si="64"/>
        <v>200</v>
      </c>
      <c r="D472" s="5">
        <f t="shared" si="65"/>
        <v>200</v>
      </c>
      <c r="E472" t="str">
        <f>'(Raw) LensesGH'!C472</f>
        <v>1:2.0</v>
      </c>
      <c r="F472" s="9">
        <f t="shared" si="66"/>
        <v>2</v>
      </c>
      <c r="G472" s="9">
        <f t="shared" si="67"/>
        <v>2</v>
      </c>
      <c r="H472" t="str">
        <f>'(Raw) LensesGH'!D472</f>
        <v>52mm</v>
      </c>
      <c r="I472" s="2">
        <f t="shared" si="68"/>
        <v>52</v>
      </c>
      <c r="J472" s="2" t="str">
        <f>'(Raw) LensesGH'!E472</f>
        <v>1:8.33</v>
      </c>
      <c r="K472" s="40">
        <f t="shared" si="69"/>
        <v>8.33</v>
      </c>
      <c r="L472" t="str">
        <f>'(Raw) LensesGH'!F472</f>
        <v>Nikon F</v>
      </c>
      <c r="M472" t="str">
        <f>'(Raw) LensesGH'!G472</f>
        <v>APS-C/ Kleinbild</v>
      </c>
      <c r="N472" t="str">
        <f>'(Raw) LensesGH'!H472</f>
        <v>2930g</v>
      </c>
      <c r="O472" s="5">
        <f t="shared" si="70"/>
        <v>2930</v>
      </c>
      <c r="P472" t="str">
        <f>'(Raw) LensesGH'!I472</f>
        <v>124 x 203.5mm</v>
      </c>
      <c r="Q472" s="39">
        <f t="shared" si="71"/>
        <v>124</v>
      </c>
      <c r="R472" s="39">
        <f t="shared" si="63"/>
        <v>203.5</v>
      </c>
    </row>
    <row r="473" spans="1:18" x14ac:dyDescent="0.25">
      <c r="A473" t="str">
        <f>'(Raw) LensesGH'!A473</f>
        <v>Nikon AF-S VR 24-120mm 4.0G ED schwarz</v>
      </c>
      <c r="B473" t="str">
        <f>'(Raw) LensesGH'!B473</f>
        <v>24 - 120mm</v>
      </c>
      <c r="C473" s="5">
        <f t="shared" si="64"/>
        <v>24</v>
      </c>
      <c r="D473" s="5">
        <f t="shared" si="65"/>
        <v>120</v>
      </c>
      <c r="E473" t="str">
        <f>'(Raw) LensesGH'!C473</f>
        <v>1:4.0</v>
      </c>
      <c r="F473" s="9">
        <f t="shared" si="66"/>
        <v>4</v>
      </c>
      <c r="G473" s="9">
        <f t="shared" si="67"/>
        <v>4</v>
      </c>
      <c r="H473" t="str">
        <f>'(Raw) LensesGH'!D473</f>
        <v>77mm</v>
      </c>
      <c r="I473" s="2">
        <f t="shared" si="68"/>
        <v>77</v>
      </c>
      <c r="J473" s="2" t="str">
        <f>'(Raw) LensesGH'!E473</f>
        <v>1:4.17</v>
      </c>
      <c r="K473" s="40">
        <f t="shared" si="69"/>
        <v>4.17</v>
      </c>
      <c r="L473" t="str">
        <f>'(Raw) LensesGH'!F473</f>
        <v>Nikon F</v>
      </c>
      <c r="M473" t="str">
        <f>'(Raw) LensesGH'!G473</f>
        <v>APS-C/ Kleinbild</v>
      </c>
      <c r="N473" t="str">
        <f>'(Raw) LensesGH'!H473</f>
        <v>710g</v>
      </c>
      <c r="O473" s="5">
        <f t="shared" si="70"/>
        <v>710</v>
      </c>
      <c r="P473" t="str">
        <f>'(Raw) LensesGH'!I473</f>
        <v>84 x 103.5mm</v>
      </c>
      <c r="Q473" s="39">
        <f t="shared" si="71"/>
        <v>84</v>
      </c>
      <c r="R473" s="39">
        <f t="shared" si="63"/>
        <v>103.5</v>
      </c>
    </row>
    <row r="474" spans="1:18" x14ac:dyDescent="0.25">
      <c r="A474" t="str">
        <f>'(Raw) LensesGH'!A474</f>
        <v>Nikon AF-S VR 24-70mm 2.8E ED schwarz</v>
      </c>
      <c r="B474" t="str">
        <f>'(Raw) LensesGH'!B474</f>
        <v>24 - 70mm</v>
      </c>
      <c r="C474" s="5">
        <f t="shared" si="64"/>
        <v>24</v>
      </c>
      <c r="D474" s="5">
        <f t="shared" si="65"/>
        <v>70</v>
      </c>
      <c r="E474" t="str">
        <f>'(Raw) LensesGH'!C474</f>
        <v>1:2.8</v>
      </c>
      <c r="F474" s="9">
        <f t="shared" si="66"/>
        <v>2.8</v>
      </c>
      <c r="G474" s="9">
        <f t="shared" si="67"/>
        <v>2.8</v>
      </c>
      <c r="H474" t="str">
        <f>'(Raw) LensesGH'!D474</f>
        <v>82mm</v>
      </c>
      <c r="I474" s="2">
        <f t="shared" si="68"/>
        <v>82</v>
      </c>
      <c r="J474" s="2" t="str">
        <f>'(Raw) LensesGH'!E474</f>
        <v>1:3.60</v>
      </c>
      <c r="K474" s="40">
        <f t="shared" si="69"/>
        <v>3.6</v>
      </c>
      <c r="L474" t="str">
        <f>'(Raw) LensesGH'!F474</f>
        <v>Nikon F</v>
      </c>
      <c r="M474" t="str">
        <f>'(Raw) LensesGH'!G474</f>
        <v>APS-C/ Kleinbild</v>
      </c>
      <c r="N474" t="str">
        <f>'(Raw) LensesGH'!H474</f>
        <v>1070g</v>
      </c>
      <c r="O474" s="5">
        <f t="shared" si="70"/>
        <v>1070</v>
      </c>
      <c r="P474" t="str">
        <f>'(Raw) LensesGH'!I474</f>
        <v>88 x 154.5mm</v>
      </c>
      <c r="Q474" s="39">
        <f t="shared" si="71"/>
        <v>88</v>
      </c>
      <c r="R474" s="39">
        <f t="shared" si="63"/>
        <v>154.5</v>
      </c>
    </row>
    <row r="475" spans="1:18" x14ac:dyDescent="0.25">
      <c r="A475" t="str">
        <f>'(Raw) LensesGH'!A475</f>
        <v>Nikon AF-S VR 24-85mm 3.5-4.5G ED schwarz</v>
      </c>
      <c r="B475" t="str">
        <f>'(Raw) LensesGH'!B475</f>
        <v>24 - 85mm</v>
      </c>
      <c r="C475" s="5">
        <f t="shared" si="64"/>
        <v>24</v>
      </c>
      <c r="D475" s="5">
        <f t="shared" si="65"/>
        <v>85</v>
      </c>
      <c r="E475" t="str">
        <f>'(Raw) LensesGH'!C475</f>
        <v>1:3.5-1:4.5</v>
      </c>
      <c r="F475" s="9">
        <f t="shared" si="66"/>
        <v>3.5</v>
      </c>
      <c r="G475" s="9">
        <f t="shared" si="67"/>
        <v>3.5</v>
      </c>
      <c r="H475" t="str">
        <f>'(Raw) LensesGH'!D475</f>
        <v>72mm</v>
      </c>
      <c r="I475" s="2">
        <f t="shared" si="68"/>
        <v>72</v>
      </c>
      <c r="J475" s="2" t="str">
        <f>'(Raw) LensesGH'!E475</f>
        <v>1:4.50</v>
      </c>
      <c r="K475" s="40">
        <f t="shared" si="69"/>
        <v>4.5</v>
      </c>
      <c r="L475" t="str">
        <f>'(Raw) LensesGH'!F475</f>
        <v>Nikon F</v>
      </c>
      <c r="M475" t="str">
        <f>'(Raw) LensesGH'!G475</f>
        <v>APS-C/ Kleinbild</v>
      </c>
      <c r="N475" t="str">
        <f>'(Raw) LensesGH'!H475</f>
        <v>465g</v>
      </c>
      <c r="O475" s="5">
        <f t="shared" si="70"/>
        <v>465</v>
      </c>
      <c r="P475" t="str">
        <f>'(Raw) LensesGH'!I475</f>
        <v>78 x 82mm</v>
      </c>
      <c r="Q475" s="39">
        <f t="shared" si="71"/>
        <v>78</v>
      </c>
      <c r="R475" s="39">
        <f t="shared" si="63"/>
        <v>82</v>
      </c>
    </row>
    <row r="476" spans="1:18" x14ac:dyDescent="0.25">
      <c r="A476" t="str">
        <f>'(Raw) LensesGH'!A476</f>
        <v>Nikon AF-S VR 28-300mm 3.5-5.6G ED schwarz</v>
      </c>
      <c r="B476" t="str">
        <f>'(Raw) LensesGH'!B476</f>
        <v>28 - 300mm</v>
      </c>
      <c r="C476" s="5">
        <f t="shared" si="64"/>
        <v>28</v>
      </c>
      <c r="D476" s="5">
        <f t="shared" si="65"/>
        <v>300</v>
      </c>
      <c r="E476" t="str">
        <f>'(Raw) LensesGH'!C476</f>
        <v>1:3.5-1:5.6</v>
      </c>
      <c r="F476" s="9">
        <f t="shared" si="66"/>
        <v>3.5</v>
      </c>
      <c r="G476" s="9">
        <f t="shared" si="67"/>
        <v>3.5</v>
      </c>
      <c r="H476" t="str">
        <f>'(Raw) LensesGH'!D476</f>
        <v>77mm</v>
      </c>
      <c r="I476" s="2">
        <f t="shared" si="68"/>
        <v>77</v>
      </c>
      <c r="J476" s="2" t="str">
        <f>'(Raw) LensesGH'!E476</f>
        <v>1:3.13</v>
      </c>
      <c r="K476" s="40">
        <f t="shared" si="69"/>
        <v>3.13</v>
      </c>
      <c r="L476" t="str">
        <f>'(Raw) LensesGH'!F476</f>
        <v>Nikon F</v>
      </c>
      <c r="M476" t="str">
        <f>'(Raw) LensesGH'!G476</f>
        <v>APS-C/ Kleinbild</v>
      </c>
      <c r="N476" t="str">
        <f>'(Raw) LensesGH'!H476</f>
        <v>800g</v>
      </c>
      <c r="O476" s="5">
        <f t="shared" si="70"/>
        <v>800</v>
      </c>
      <c r="P476" t="str">
        <f>'(Raw) LensesGH'!I476</f>
        <v>83 x 114.5mm</v>
      </c>
      <c r="Q476" s="39">
        <f t="shared" si="71"/>
        <v>83</v>
      </c>
      <c r="R476" s="39">
        <f t="shared" si="63"/>
        <v>114.5</v>
      </c>
    </row>
    <row r="477" spans="1:18" x14ac:dyDescent="0.25">
      <c r="A477" t="str">
        <f>'(Raw) LensesGH'!A477</f>
        <v>Nikon AF-S VR 300mm 2.8G IF-ED II schwarz</v>
      </c>
      <c r="B477" t="str">
        <f>'(Raw) LensesGH'!B477</f>
        <v>300mm</v>
      </c>
      <c r="C477" s="5">
        <f t="shared" si="64"/>
        <v>300</v>
      </c>
      <c r="D477" s="5">
        <f t="shared" si="65"/>
        <v>300</v>
      </c>
      <c r="E477" t="str">
        <f>'(Raw) LensesGH'!C477</f>
        <v>1:2.8</v>
      </c>
      <c r="F477" s="9">
        <f t="shared" si="66"/>
        <v>2.8</v>
      </c>
      <c r="G477" s="9">
        <f t="shared" si="67"/>
        <v>2.8</v>
      </c>
      <c r="H477" t="str">
        <f>'(Raw) LensesGH'!D477</f>
        <v>52mm</v>
      </c>
      <c r="I477" s="2">
        <f t="shared" si="68"/>
        <v>52</v>
      </c>
      <c r="J477" s="2" t="str">
        <f>'(Raw) LensesGH'!E477</f>
        <v>1:6.25</v>
      </c>
      <c r="K477" s="40">
        <f t="shared" si="69"/>
        <v>6.25</v>
      </c>
      <c r="L477" t="str">
        <f>'(Raw) LensesGH'!F477</f>
        <v>Nikon F</v>
      </c>
      <c r="M477" t="str">
        <f>'(Raw) LensesGH'!G477</f>
        <v>APS-C/ Kleinbild</v>
      </c>
      <c r="N477" t="str">
        <f>'(Raw) LensesGH'!H477</f>
        <v>2900g</v>
      </c>
      <c r="O477" s="5">
        <f t="shared" si="70"/>
        <v>2900</v>
      </c>
      <c r="P477" t="str">
        <f>'(Raw) LensesGH'!I477</f>
        <v>124 x 267.5mm</v>
      </c>
      <c r="Q477" s="39">
        <f t="shared" si="71"/>
        <v>124</v>
      </c>
      <c r="R477" s="39">
        <f t="shared" si="63"/>
        <v>267.5</v>
      </c>
    </row>
    <row r="478" spans="1:18" x14ac:dyDescent="0.25">
      <c r="A478" t="str">
        <f>'(Raw) LensesGH'!A478</f>
        <v>Nikon AF-S VR 300mm 4.0E PF ED schwarz</v>
      </c>
      <c r="B478" t="str">
        <f>'(Raw) LensesGH'!B478</f>
        <v>300mm</v>
      </c>
      <c r="C478" s="5">
        <f t="shared" si="64"/>
        <v>300</v>
      </c>
      <c r="D478" s="5">
        <f t="shared" si="65"/>
        <v>300</v>
      </c>
      <c r="E478" t="str">
        <f>'(Raw) LensesGH'!C478</f>
        <v>1:4.0</v>
      </c>
      <c r="F478" s="9">
        <f t="shared" si="66"/>
        <v>4</v>
      </c>
      <c r="G478" s="9">
        <f t="shared" si="67"/>
        <v>4</v>
      </c>
      <c r="H478" t="str">
        <f>'(Raw) LensesGH'!D478</f>
        <v>77mm</v>
      </c>
      <c r="I478" s="2">
        <f t="shared" si="68"/>
        <v>77</v>
      </c>
      <c r="J478" s="2" t="str">
        <f>'(Raw) LensesGH'!E478</f>
        <v>1:4.20</v>
      </c>
      <c r="K478" s="40">
        <f t="shared" si="69"/>
        <v>4.2</v>
      </c>
      <c r="L478" t="str">
        <f>'(Raw) LensesGH'!F478</f>
        <v>Nikon F</v>
      </c>
      <c r="M478" t="str">
        <f>'(Raw) LensesGH'!G478</f>
        <v>APS-C/ Kleinbild</v>
      </c>
      <c r="N478" t="str">
        <f>'(Raw) LensesGH'!H478</f>
        <v>755g</v>
      </c>
      <c r="O478" s="5">
        <f t="shared" si="70"/>
        <v>755</v>
      </c>
      <c r="P478" t="str">
        <f>'(Raw) LensesGH'!I478</f>
        <v>89 x 147.5mm</v>
      </c>
      <c r="Q478" s="39">
        <f t="shared" si="71"/>
        <v>89</v>
      </c>
      <c r="R478" s="39">
        <f t="shared" si="63"/>
        <v>147.5</v>
      </c>
    </row>
    <row r="479" spans="1:18" x14ac:dyDescent="0.25">
      <c r="A479" t="str">
        <f>'(Raw) LensesGH'!A479</f>
        <v>Nikon AF-S VR 400mm 2.8E FL ED schwarz</v>
      </c>
      <c r="B479" t="str">
        <f>'(Raw) LensesGH'!B479</f>
        <v>400mm</v>
      </c>
      <c r="C479" s="5">
        <f t="shared" si="64"/>
        <v>400</v>
      </c>
      <c r="D479" s="5">
        <f t="shared" si="65"/>
        <v>400</v>
      </c>
      <c r="E479" t="str">
        <f>'(Raw) LensesGH'!C479</f>
        <v>1:2.8</v>
      </c>
      <c r="F479" s="9">
        <f t="shared" si="66"/>
        <v>2.8</v>
      </c>
      <c r="G479" s="9">
        <f t="shared" si="67"/>
        <v>2.8</v>
      </c>
      <c r="H479" t="str">
        <f>'(Raw) LensesGH'!D479</f>
        <v>40.5mm</v>
      </c>
      <c r="I479" s="2">
        <f t="shared" si="68"/>
        <v>40.5</v>
      </c>
      <c r="J479" s="2" t="str">
        <f>'(Raw) LensesGH'!E479</f>
        <v>1:6.30</v>
      </c>
      <c r="K479" s="40">
        <f t="shared" si="69"/>
        <v>6.3</v>
      </c>
      <c r="L479" t="str">
        <f>'(Raw) LensesGH'!F479</f>
        <v>Nikon F</v>
      </c>
      <c r="M479" t="str">
        <f>'(Raw) LensesGH'!G479</f>
        <v>APS-C/ Kleinbild</v>
      </c>
      <c r="N479" t="str">
        <f>'(Raw) LensesGH'!H479</f>
        <v>3800g</v>
      </c>
      <c r="O479" s="5">
        <f t="shared" si="70"/>
        <v>3800</v>
      </c>
      <c r="P479" t="str">
        <f>'(Raw) LensesGH'!I479</f>
        <v>159.5 x 358mm</v>
      </c>
      <c r="Q479" s="39">
        <f t="shared" si="71"/>
        <v>159.5</v>
      </c>
      <c r="R479" s="39">
        <f t="shared" si="63"/>
        <v>358</v>
      </c>
    </row>
    <row r="480" spans="1:18" x14ac:dyDescent="0.25">
      <c r="A480" t="str">
        <f>'(Raw) LensesGH'!A480</f>
        <v>Nikon AF-S VR 400mm 2.8G ED schwarz</v>
      </c>
      <c r="B480" t="str">
        <f>'(Raw) LensesGH'!B480</f>
        <v>400mm</v>
      </c>
      <c r="C480" s="5">
        <f t="shared" si="64"/>
        <v>400</v>
      </c>
      <c r="D480" s="5">
        <f t="shared" si="65"/>
        <v>400</v>
      </c>
      <c r="E480" t="str">
        <f>'(Raw) LensesGH'!C480</f>
        <v>1:2.8</v>
      </c>
      <c r="F480" s="9">
        <f t="shared" si="66"/>
        <v>2.8</v>
      </c>
      <c r="G480" s="9">
        <f t="shared" si="67"/>
        <v>2.8</v>
      </c>
      <c r="H480" t="str">
        <f>'(Raw) LensesGH'!D480</f>
        <v>52mm</v>
      </c>
      <c r="I480" s="2">
        <f t="shared" si="68"/>
        <v>52</v>
      </c>
      <c r="J480" s="2" t="str">
        <f>'(Raw) LensesGH'!E480</f>
        <v>1:6.30</v>
      </c>
      <c r="K480" s="40">
        <f t="shared" si="69"/>
        <v>6.3</v>
      </c>
      <c r="L480" t="str">
        <f>'(Raw) LensesGH'!F480</f>
        <v>Nikon F</v>
      </c>
      <c r="M480" t="str">
        <f>'(Raw) LensesGH'!G480</f>
        <v>APS-C/ Kleinbild</v>
      </c>
      <c r="N480" t="str">
        <f>'(Raw) LensesGH'!H480</f>
        <v>4620g</v>
      </c>
      <c r="O480" s="5">
        <f t="shared" si="70"/>
        <v>4620</v>
      </c>
      <c r="P480" t="str">
        <f>'(Raw) LensesGH'!I480</f>
        <v>159.5 x 368mm</v>
      </c>
      <c r="Q480" s="39">
        <f t="shared" si="71"/>
        <v>159.5</v>
      </c>
      <c r="R480" s="39">
        <f t="shared" si="63"/>
        <v>368</v>
      </c>
    </row>
    <row r="481" spans="1:18" x14ac:dyDescent="0.25">
      <c r="A481" t="str">
        <f>'(Raw) LensesGH'!A481</f>
        <v>Nikon AF-S VR 500mm 4.0E FL ED schwarz</v>
      </c>
      <c r="B481" t="str">
        <f>'(Raw) LensesGH'!B481</f>
        <v>500mm</v>
      </c>
      <c r="C481" s="5">
        <f t="shared" si="64"/>
        <v>500</v>
      </c>
      <c r="D481" s="5">
        <f t="shared" si="65"/>
        <v>500</v>
      </c>
      <c r="E481" t="str">
        <f>'(Raw) LensesGH'!C481</f>
        <v>1:4.0</v>
      </c>
      <c r="F481" s="9">
        <f t="shared" si="66"/>
        <v>4</v>
      </c>
      <c r="G481" s="9">
        <f t="shared" si="67"/>
        <v>4</v>
      </c>
      <c r="H481" t="str">
        <f>'(Raw) LensesGH'!D481</f>
        <v>40.5mm</v>
      </c>
      <c r="I481" s="2">
        <f t="shared" si="68"/>
        <v>40.5</v>
      </c>
      <c r="J481" s="2" t="str">
        <f>'(Raw) LensesGH'!E481</f>
        <v>1:6.70</v>
      </c>
      <c r="K481" s="40">
        <f t="shared" si="69"/>
        <v>6.7</v>
      </c>
      <c r="L481" t="str">
        <f>'(Raw) LensesGH'!F481</f>
        <v>Nikon F</v>
      </c>
      <c r="M481" t="str">
        <f>'(Raw) LensesGH'!G481</f>
        <v>APS-C/ Kleinbild</v>
      </c>
      <c r="N481" t="str">
        <f>'(Raw) LensesGH'!H481</f>
        <v>3090g</v>
      </c>
      <c r="O481" s="5">
        <f t="shared" si="70"/>
        <v>3090</v>
      </c>
      <c r="P481" t="str">
        <f>'(Raw) LensesGH'!I481</f>
        <v>140 x 387mm</v>
      </c>
      <c r="Q481" s="39">
        <f t="shared" si="71"/>
        <v>140</v>
      </c>
      <c r="R481" s="39">
        <f t="shared" si="63"/>
        <v>387</v>
      </c>
    </row>
    <row r="482" spans="1:18" x14ac:dyDescent="0.25">
      <c r="A482" t="str">
        <f>'(Raw) LensesGH'!A482</f>
        <v>Nikon AF-S VR 500mm 4.0G ED schwarz</v>
      </c>
      <c r="B482" t="str">
        <f>'(Raw) LensesGH'!B482</f>
        <v>500mm</v>
      </c>
      <c r="C482" s="5">
        <f t="shared" si="64"/>
        <v>500</v>
      </c>
      <c r="D482" s="5">
        <f t="shared" si="65"/>
        <v>500</v>
      </c>
      <c r="E482" t="str">
        <f>'(Raw) LensesGH'!C482</f>
        <v>1:4.0</v>
      </c>
      <c r="F482" s="9">
        <f t="shared" si="66"/>
        <v>4</v>
      </c>
      <c r="G482" s="9">
        <f t="shared" si="67"/>
        <v>4</v>
      </c>
      <c r="H482" t="str">
        <f>'(Raw) LensesGH'!D482</f>
        <v>52mm</v>
      </c>
      <c r="I482" s="2">
        <f t="shared" si="68"/>
        <v>52</v>
      </c>
      <c r="J482" s="2" t="str">
        <f>'(Raw) LensesGH'!E482</f>
        <v>1:6.90</v>
      </c>
      <c r="K482" s="40">
        <f t="shared" si="69"/>
        <v>6.9</v>
      </c>
      <c r="L482" t="str">
        <f>'(Raw) LensesGH'!F482</f>
        <v>Nikon F</v>
      </c>
      <c r="M482" t="str">
        <f>'(Raw) LensesGH'!G482</f>
        <v>APS-C/ Kleinbild</v>
      </c>
      <c r="N482" t="str">
        <f>'(Raw) LensesGH'!H482</f>
        <v>3880g</v>
      </c>
      <c r="O482" s="5">
        <f t="shared" si="70"/>
        <v>3880</v>
      </c>
      <c r="P482" t="str">
        <f>'(Raw) LensesGH'!I482</f>
        <v>139.5 x 391mm</v>
      </c>
      <c r="Q482" s="39">
        <f t="shared" si="71"/>
        <v>139.5</v>
      </c>
      <c r="R482" s="39">
        <f t="shared" si="63"/>
        <v>391</v>
      </c>
    </row>
    <row r="483" spans="1:18" x14ac:dyDescent="0.25">
      <c r="A483" t="str">
        <f>'(Raw) LensesGH'!A483</f>
        <v>Nikon AF-S VR 600mm 4.0E FL ED schwarz</v>
      </c>
      <c r="B483" t="str">
        <f>'(Raw) LensesGH'!B483</f>
        <v>600mm</v>
      </c>
      <c r="C483" s="5">
        <f t="shared" si="64"/>
        <v>600</v>
      </c>
      <c r="D483" s="5">
        <f t="shared" si="65"/>
        <v>600</v>
      </c>
      <c r="E483" t="str">
        <f>'(Raw) LensesGH'!C483</f>
        <v>1:4.0</v>
      </c>
      <c r="F483" s="9">
        <f t="shared" si="66"/>
        <v>4</v>
      </c>
      <c r="G483" s="9">
        <f t="shared" si="67"/>
        <v>4</v>
      </c>
      <c r="H483" t="str">
        <f>'(Raw) LensesGH'!D483</f>
        <v>40.5mm</v>
      </c>
      <c r="I483" s="2">
        <f t="shared" si="68"/>
        <v>40.5</v>
      </c>
      <c r="J483" s="2" t="str">
        <f>'(Raw) LensesGH'!E483</f>
        <v>1:7.10</v>
      </c>
      <c r="K483" s="40">
        <f t="shared" si="69"/>
        <v>7.1</v>
      </c>
      <c r="L483" t="str">
        <f>'(Raw) LensesGH'!F483</f>
        <v>Nikon F</v>
      </c>
      <c r="M483" t="str">
        <f>'(Raw) LensesGH'!G483</f>
        <v>APS-C/ Kleinbild</v>
      </c>
      <c r="N483" t="str">
        <f>'(Raw) LensesGH'!H483</f>
        <v>3810g</v>
      </c>
      <c r="O483" s="5">
        <f t="shared" si="70"/>
        <v>3810</v>
      </c>
      <c r="P483" t="str">
        <f>'(Raw) LensesGH'!I483</f>
        <v>166 x 432mm</v>
      </c>
      <c r="Q483" s="39">
        <f t="shared" si="71"/>
        <v>166</v>
      </c>
      <c r="R483" s="39">
        <f t="shared" si="63"/>
        <v>432</v>
      </c>
    </row>
    <row r="484" spans="1:18" x14ac:dyDescent="0.25">
      <c r="A484" t="str">
        <f>'(Raw) LensesGH'!A484</f>
        <v>Nikon AF-S VR 600mm 4.0G ED schwarz</v>
      </c>
      <c r="B484" t="str">
        <f>'(Raw) LensesGH'!B484</f>
        <v>600mm</v>
      </c>
      <c r="C484" s="5">
        <f t="shared" si="64"/>
        <v>600</v>
      </c>
      <c r="D484" s="5">
        <f t="shared" si="65"/>
        <v>600</v>
      </c>
      <c r="E484" t="str">
        <f>'(Raw) LensesGH'!C484</f>
        <v>1:4.0</v>
      </c>
      <c r="F484" s="9">
        <f t="shared" si="66"/>
        <v>4</v>
      </c>
      <c r="G484" s="9">
        <f t="shared" si="67"/>
        <v>4</v>
      </c>
      <c r="H484" t="str">
        <f>'(Raw) LensesGH'!D484</f>
        <v>52mm</v>
      </c>
      <c r="I484" s="2">
        <f t="shared" si="68"/>
        <v>52</v>
      </c>
      <c r="J484" s="2" t="str">
        <f>'(Raw) LensesGH'!E484</f>
        <v>1:7.40</v>
      </c>
      <c r="K484" s="40">
        <f t="shared" si="69"/>
        <v>7.4</v>
      </c>
      <c r="L484" t="str">
        <f>'(Raw) LensesGH'!F484</f>
        <v>Nikon F</v>
      </c>
      <c r="M484" t="str">
        <f>'(Raw) LensesGH'!G484</f>
        <v>APS-C/ Kleinbild</v>
      </c>
      <c r="N484" t="str">
        <f>'(Raw) LensesGH'!H484</f>
        <v>5060g</v>
      </c>
      <c r="O484" s="5">
        <f t="shared" si="70"/>
        <v>5060</v>
      </c>
      <c r="P484" t="str">
        <f>'(Raw) LensesGH'!I484</f>
        <v>166 x 445mm</v>
      </c>
      <c r="Q484" s="39">
        <f t="shared" si="71"/>
        <v>166</v>
      </c>
      <c r="R484" s="39">
        <f t="shared" si="63"/>
        <v>445</v>
      </c>
    </row>
    <row r="485" spans="1:18" x14ac:dyDescent="0.25">
      <c r="A485" t="str">
        <f>'(Raw) LensesGH'!A485</f>
        <v>Nikon AF-S VR 70-200mm 2.8E FL ED grau 100 Jahre Jubiläumsedition</v>
      </c>
      <c r="B485" t="str">
        <f>'(Raw) LensesGH'!B485</f>
        <v>70 - 200mm</v>
      </c>
      <c r="C485" s="5">
        <f t="shared" si="64"/>
        <v>70</v>
      </c>
      <c r="D485" s="5">
        <f t="shared" si="65"/>
        <v>200</v>
      </c>
      <c r="E485" t="str">
        <f>'(Raw) LensesGH'!C485</f>
        <v>1:2.8</v>
      </c>
      <c r="F485" s="9">
        <f t="shared" si="66"/>
        <v>2.8</v>
      </c>
      <c r="G485" s="9">
        <f t="shared" si="67"/>
        <v>2.8</v>
      </c>
      <c r="H485" t="str">
        <f>'(Raw) LensesGH'!D485</f>
        <v>77mm</v>
      </c>
      <c r="I485" s="2">
        <f t="shared" si="68"/>
        <v>77</v>
      </c>
      <c r="J485" s="2" t="str">
        <f>'(Raw) LensesGH'!E485</f>
        <v>1:4.80</v>
      </c>
      <c r="K485" s="40">
        <f t="shared" si="69"/>
        <v>4.8</v>
      </c>
      <c r="L485" t="str">
        <f>'(Raw) LensesGH'!F485</f>
        <v>Nikon F</v>
      </c>
      <c r="M485" t="str">
        <f>'(Raw) LensesGH'!G485</f>
        <v>APS-C/ Kleinbild</v>
      </c>
      <c r="N485" t="str">
        <f>'(Raw) LensesGH'!H485</f>
        <v>1430g</v>
      </c>
      <c r="O485" s="5">
        <f t="shared" si="70"/>
        <v>1430</v>
      </c>
      <c r="P485" t="str">
        <f>'(Raw) LensesGH'!I485</f>
        <v>88.5 x 202.5mm</v>
      </c>
      <c r="Q485" s="39">
        <f t="shared" si="71"/>
        <v>88.5</v>
      </c>
      <c r="R485" s="39">
        <f t="shared" si="63"/>
        <v>202.5</v>
      </c>
    </row>
    <row r="486" spans="1:18" x14ac:dyDescent="0.25">
      <c r="A486" t="str">
        <f>'(Raw) LensesGH'!A486</f>
        <v>Nikon AF-S VR 70-200mm 2.8E FL ED schwarz</v>
      </c>
      <c r="B486" t="str">
        <f>'(Raw) LensesGH'!B486</f>
        <v>70 - 200mm</v>
      </c>
      <c r="C486" s="5">
        <f t="shared" si="64"/>
        <v>70</v>
      </c>
      <c r="D486" s="5">
        <f t="shared" si="65"/>
        <v>200</v>
      </c>
      <c r="E486" t="str">
        <f>'(Raw) LensesGH'!C486</f>
        <v>1:2.8</v>
      </c>
      <c r="F486" s="9">
        <f t="shared" si="66"/>
        <v>2.8</v>
      </c>
      <c r="G486" s="9">
        <f t="shared" si="67"/>
        <v>2.8</v>
      </c>
      <c r="H486" t="str">
        <f>'(Raw) LensesGH'!D486</f>
        <v>77mm</v>
      </c>
      <c r="I486" s="2">
        <f t="shared" si="68"/>
        <v>77</v>
      </c>
      <c r="J486" s="2" t="str">
        <f>'(Raw) LensesGH'!E486</f>
        <v>1:4.80</v>
      </c>
      <c r="K486" s="40">
        <f t="shared" si="69"/>
        <v>4.8</v>
      </c>
      <c r="L486" t="str">
        <f>'(Raw) LensesGH'!F486</f>
        <v>Nikon F</v>
      </c>
      <c r="M486" t="str">
        <f>'(Raw) LensesGH'!G486</f>
        <v>APS-C/ Kleinbild</v>
      </c>
      <c r="N486" t="str">
        <f>'(Raw) LensesGH'!H486</f>
        <v>1430g</v>
      </c>
      <c r="O486" s="5">
        <f t="shared" si="70"/>
        <v>1430</v>
      </c>
      <c r="P486" t="str">
        <f>'(Raw) LensesGH'!I486</f>
        <v>88.5 x 202.5mm</v>
      </c>
      <c r="Q486" s="39">
        <f t="shared" si="71"/>
        <v>88.5</v>
      </c>
      <c r="R486" s="39">
        <f t="shared" si="63"/>
        <v>202.5</v>
      </c>
    </row>
    <row r="487" spans="1:18" x14ac:dyDescent="0.25">
      <c r="A487" t="str">
        <f>'(Raw) LensesGH'!A487</f>
        <v>Nikon AF-S VR 70-200mm 2.8G ED II schwarz</v>
      </c>
      <c r="B487" t="str">
        <f>'(Raw) LensesGH'!B487</f>
        <v>70 - 200mm</v>
      </c>
      <c r="C487" s="5">
        <f t="shared" si="64"/>
        <v>70</v>
      </c>
      <c r="D487" s="5">
        <f t="shared" si="65"/>
        <v>200</v>
      </c>
      <c r="E487" t="str">
        <f>'(Raw) LensesGH'!C487</f>
        <v>1:2.8</v>
      </c>
      <c r="F487" s="9">
        <f t="shared" si="66"/>
        <v>2.8</v>
      </c>
      <c r="G487" s="9">
        <f t="shared" si="67"/>
        <v>2.8</v>
      </c>
      <c r="H487" t="str">
        <f>'(Raw) LensesGH'!D487</f>
        <v>77mm</v>
      </c>
      <c r="I487" s="2">
        <f t="shared" si="68"/>
        <v>77</v>
      </c>
      <c r="J487" s="2">
        <f>'(Raw) LensesGH'!E487</f>
        <v>0</v>
      </c>
      <c r="K487" s="40">
        <f t="shared" si="69"/>
        <v>0</v>
      </c>
      <c r="L487" t="str">
        <f>'(Raw) LensesGH'!F487</f>
        <v>Nikon F</v>
      </c>
      <c r="M487" t="str">
        <f>'(Raw) LensesGH'!G487</f>
        <v>APS-C/ Kleinbild</v>
      </c>
      <c r="N487" t="str">
        <f>'(Raw) LensesGH'!H487</f>
        <v>1540g</v>
      </c>
      <c r="O487" s="5">
        <f t="shared" si="70"/>
        <v>1540</v>
      </c>
      <c r="P487" t="str">
        <f>'(Raw) LensesGH'!I487</f>
        <v>87 x 209mm</v>
      </c>
      <c r="Q487" s="39">
        <f t="shared" si="71"/>
        <v>87</v>
      </c>
      <c r="R487" s="39">
        <f t="shared" si="63"/>
        <v>209</v>
      </c>
    </row>
    <row r="488" spans="1:18" x14ac:dyDescent="0.25">
      <c r="A488" t="str">
        <f>'(Raw) LensesGH'!A488</f>
        <v>Nikon AF-S VR 70-200mm 4.0G ED schwarz</v>
      </c>
      <c r="B488" t="str">
        <f>'(Raw) LensesGH'!B488</f>
        <v>70 - 200mm</v>
      </c>
      <c r="C488" s="5">
        <f t="shared" si="64"/>
        <v>70</v>
      </c>
      <c r="D488" s="5">
        <f t="shared" si="65"/>
        <v>200</v>
      </c>
      <c r="E488" t="str">
        <f>'(Raw) LensesGH'!C488</f>
        <v>1:4.0</v>
      </c>
      <c r="F488" s="9">
        <f t="shared" si="66"/>
        <v>4</v>
      </c>
      <c r="G488" s="9">
        <f t="shared" si="67"/>
        <v>4</v>
      </c>
      <c r="H488" t="str">
        <f>'(Raw) LensesGH'!D488</f>
        <v>67mm</v>
      </c>
      <c r="I488" s="2">
        <f t="shared" si="68"/>
        <v>67</v>
      </c>
      <c r="J488" s="2" t="str">
        <f>'(Raw) LensesGH'!E488</f>
        <v>1:3.65</v>
      </c>
      <c r="K488" s="40">
        <f t="shared" si="69"/>
        <v>3.65</v>
      </c>
      <c r="L488" t="str">
        <f>'(Raw) LensesGH'!F488</f>
        <v>Nikon F</v>
      </c>
      <c r="M488" t="str">
        <f>'(Raw) LensesGH'!G488</f>
        <v>APS-C/ Kleinbild</v>
      </c>
      <c r="N488" t="str">
        <f>'(Raw) LensesGH'!H488</f>
        <v>850g</v>
      </c>
      <c r="O488" s="5">
        <f t="shared" si="70"/>
        <v>850</v>
      </c>
      <c r="P488" t="str">
        <f>'(Raw) LensesGH'!I488</f>
        <v>78 x 179mm</v>
      </c>
      <c r="Q488" s="39">
        <f t="shared" si="71"/>
        <v>78</v>
      </c>
      <c r="R488" s="39">
        <f t="shared" si="63"/>
        <v>179</v>
      </c>
    </row>
    <row r="489" spans="1:18" x14ac:dyDescent="0.25">
      <c r="A489" t="str">
        <f>'(Raw) LensesGH'!A489</f>
        <v>Nikon AF-S VR 70-300mm 4.5-5.6G IF-ED schwarz</v>
      </c>
      <c r="B489" t="str">
        <f>'(Raw) LensesGH'!B489</f>
        <v>70 - 300mm</v>
      </c>
      <c r="C489" s="5">
        <f t="shared" si="64"/>
        <v>70</v>
      </c>
      <c r="D489" s="5">
        <f t="shared" si="65"/>
        <v>300</v>
      </c>
      <c r="E489" t="str">
        <f>'(Raw) LensesGH'!C489</f>
        <v>1:4.5-1:5.6</v>
      </c>
      <c r="F489" s="9">
        <f t="shared" si="66"/>
        <v>4.5</v>
      </c>
      <c r="G489" s="9">
        <f t="shared" si="67"/>
        <v>4.5</v>
      </c>
      <c r="H489" t="str">
        <f>'(Raw) LensesGH'!D489</f>
        <v>67mm</v>
      </c>
      <c r="I489" s="2">
        <f t="shared" si="68"/>
        <v>67</v>
      </c>
      <c r="J489" s="2" t="str">
        <f>'(Raw) LensesGH'!E489</f>
        <v>1:4.00</v>
      </c>
      <c r="K489" s="40">
        <f t="shared" si="69"/>
        <v>4</v>
      </c>
      <c r="L489" t="str">
        <f>'(Raw) LensesGH'!F489</f>
        <v>Nikon F</v>
      </c>
      <c r="M489" t="str">
        <f>'(Raw) LensesGH'!G489</f>
        <v>APS-C/ Kleinbild</v>
      </c>
      <c r="N489" t="str">
        <f>'(Raw) LensesGH'!H489</f>
        <v>745g</v>
      </c>
      <c r="O489" s="5">
        <f t="shared" si="70"/>
        <v>745</v>
      </c>
      <c r="P489" t="str">
        <f>'(Raw) LensesGH'!I489</f>
        <v>80 x 143.5mm</v>
      </c>
      <c r="Q489" s="39">
        <f t="shared" si="71"/>
        <v>80</v>
      </c>
      <c r="R489" s="39">
        <f t="shared" si="63"/>
        <v>143.5</v>
      </c>
    </row>
    <row r="490" spans="1:18" x14ac:dyDescent="0.25">
      <c r="A490" t="str">
        <f>'(Raw) LensesGH'!A490</f>
        <v>Nikon AF-S VR 800mm 5.6 FL ED schwarz</v>
      </c>
      <c r="B490" t="str">
        <f>'(Raw) LensesGH'!B490</f>
        <v>800mm</v>
      </c>
      <c r="C490" s="5">
        <f t="shared" si="64"/>
        <v>800</v>
      </c>
      <c r="D490" s="5">
        <f t="shared" si="65"/>
        <v>800</v>
      </c>
      <c r="E490" t="str">
        <f>'(Raw) LensesGH'!C490</f>
        <v>1:5.6</v>
      </c>
      <c r="F490" s="9">
        <f t="shared" si="66"/>
        <v>5.6</v>
      </c>
      <c r="G490" s="9">
        <f t="shared" si="67"/>
        <v>5.6</v>
      </c>
      <c r="H490" t="str">
        <f>'(Raw) LensesGH'!D490</f>
        <v>52mm</v>
      </c>
      <c r="I490" s="2">
        <f t="shared" si="68"/>
        <v>52</v>
      </c>
      <c r="J490" s="2" t="str">
        <f>'(Raw) LensesGH'!E490</f>
        <v>1:6.7</v>
      </c>
      <c r="K490" s="40">
        <f t="shared" si="69"/>
        <v>6.7</v>
      </c>
      <c r="L490" t="str">
        <f>'(Raw) LensesGH'!F490</f>
        <v>Nikon F</v>
      </c>
      <c r="M490" t="str">
        <f>'(Raw) LensesGH'!G490</f>
        <v>APS-C/ Kleinbild</v>
      </c>
      <c r="N490" t="str">
        <f>'(Raw) LensesGH'!H490</f>
        <v>4590g</v>
      </c>
      <c r="O490" s="5">
        <f t="shared" si="70"/>
        <v>4590</v>
      </c>
      <c r="P490" t="str">
        <f>'(Raw) LensesGH'!I490</f>
        <v>160 x 461mm</v>
      </c>
      <c r="Q490" s="39">
        <f t="shared" si="71"/>
        <v>160</v>
      </c>
      <c r="R490" s="39">
        <f t="shared" si="63"/>
        <v>461</v>
      </c>
    </row>
    <row r="491" spans="1:18" x14ac:dyDescent="0.25">
      <c r="A491" t="str">
        <f>'(Raw) LensesGH'!A491</f>
        <v>Nikon AF-S VR 80-400mm 4.5-5.6G ED schwarz</v>
      </c>
      <c r="B491" t="str">
        <f>'(Raw) LensesGH'!B491</f>
        <v>80 - 400mm</v>
      </c>
      <c r="C491" s="5">
        <f t="shared" si="64"/>
        <v>80</v>
      </c>
      <c r="D491" s="5">
        <f t="shared" si="65"/>
        <v>400</v>
      </c>
      <c r="E491" t="str">
        <f>'(Raw) LensesGH'!C491</f>
        <v>1:4.5-1:5.6</v>
      </c>
      <c r="F491" s="9">
        <f t="shared" si="66"/>
        <v>4.5</v>
      </c>
      <c r="G491" s="9">
        <f t="shared" si="67"/>
        <v>4.5</v>
      </c>
      <c r="H491" t="str">
        <f>'(Raw) LensesGH'!D491</f>
        <v>77mm</v>
      </c>
      <c r="I491" s="2">
        <f t="shared" si="68"/>
        <v>77</v>
      </c>
      <c r="J491" s="2" t="str">
        <f>'(Raw) LensesGH'!E491</f>
        <v>1:5.00</v>
      </c>
      <c r="K491" s="40">
        <f t="shared" si="69"/>
        <v>5</v>
      </c>
      <c r="L491" t="str">
        <f>'(Raw) LensesGH'!F491</f>
        <v>Nikon F</v>
      </c>
      <c r="M491" t="str">
        <f>'(Raw) LensesGH'!G491</f>
        <v>APS-C/ Kleinbild</v>
      </c>
      <c r="N491" t="str">
        <f>'(Raw) LensesGH'!H491</f>
        <v>1570g</v>
      </c>
      <c r="O491" s="5">
        <f t="shared" si="70"/>
        <v>1570</v>
      </c>
      <c r="P491" t="str">
        <f>'(Raw) LensesGH'!I491</f>
        <v>95.5 x 203mm</v>
      </c>
      <c r="Q491" s="39">
        <f t="shared" si="71"/>
        <v>95.5</v>
      </c>
      <c r="R491" s="39">
        <f t="shared" si="63"/>
        <v>203</v>
      </c>
    </row>
    <row r="492" spans="1:18" x14ac:dyDescent="0.25">
      <c r="A492" t="str">
        <f>'(Raw) LensesGH'!A492</f>
        <v>Nikon AF-S VR DX 16-80mm 2.8-4.0E ED schwarz</v>
      </c>
      <c r="B492" t="str">
        <f>'(Raw) LensesGH'!B492</f>
        <v>16 - 80mm</v>
      </c>
      <c r="C492" s="5">
        <f t="shared" si="64"/>
        <v>16</v>
      </c>
      <c r="D492" s="5">
        <f t="shared" si="65"/>
        <v>80</v>
      </c>
      <c r="E492" t="str">
        <f>'(Raw) LensesGH'!C492</f>
        <v>1:2.8-1:4.0</v>
      </c>
      <c r="F492" s="9">
        <f t="shared" si="66"/>
        <v>2.8</v>
      </c>
      <c r="G492" s="9">
        <f t="shared" si="67"/>
        <v>2.8</v>
      </c>
      <c r="H492" t="str">
        <f>'(Raw) LensesGH'!D492</f>
        <v>72mm</v>
      </c>
      <c r="I492" s="2">
        <f t="shared" si="68"/>
        <v>72</v>
      </c>
      <c r="J492" s="2" t="str">
        <f>'(Raw) LensesGH'!E492</f>
        <v>1:4.50</v>
      </c>
      <c r="K492" s="40">
        <f t="shared" si="69"/>
        <v>4.5</v>
      </c>
      <c r="L492" t="str">
        <f>'(Raw) LensesGH'!F492</f>
        <v>Nikon F</v>
      </c>
      <c r="M492" t="str">
        <f>'(Raw) LensesGH'!G492</f>
        <v>APS-C</v>
      </c>
      <c r="N492" t="str">
        <f>'(Raw) LensesGH'!H492</f>
        <v>480g</v>
      </c>
      <c r="O492" s="5">
        <f t="shared" si="70"/>
        <v>480</v>
      </c>
      <c r="P492" t="str">
        <f>'(Raw) LensesGH'!I492</f>
        <v>80 x 85.5mm</v>
      </c>
      <c r="Q492" s="39">
        <f t="shared" si="71"/>
        <v>80</v>
      </c>
      <c r="R492" s="39">
        <f t="shared" si="63"/>
        <v>85.5</v>
      </c>
    </row>
    <row r="493" spans="1:18" x14ac:dyDescent="0.25">
      <c r="A493" t="str">
        <f>'(Raw) LensesGH'!A493</f>
        <v>Nikon AF-S VR DX 16-85mm 3.5-5.6G ED schwarz</v>
      </c>
      <c r="B493" t="str">
        <f>'(Raw) LensesGH'!B493</f>
        <v>16 - 85mm</v>
      </c>
      <c r="C493" s="5">
        <f t="shared" si="64"/>
        <v>16</v>
      </c>
      <c r="D493" s="5">
        <f t="shared" si="65"/>
        <v>85</v>
      </c>
      <c r="E493" t="str">
        <f>'(Raw) LensesGH'!C493</f>
        <v>1:3.5-1:5.6</v>
      </c>
      <c r="F493" s="9">
        <f t="shared" si="66"/>
        <v>3.5</v>
      </c>
      <c r="G493" s="9">
        <f t="shared" si="67"/>
        <v>3.5</v>
      </c>
      <c r="H493" t="str">
        <f>'(Raw) LensesGH'!D493</f>
        <v>67mm</v>
      </c>
      <c r="I493" s="2">
        <f t="shared" si="68"/>
        <v>67</v>
      </c>
      <c r="J493" s="2" t="str">
        <f>'(Raw) LensesGH'!E493</f>
        <v>1:4.60</v>
      </c>
      <c r="K493" s="40">
        <f t="shared" si="69"/>
        <v>4.5999999999999996</v>
      </c>
      <c r="L493" t="str">
        <f>'(Raw) LensesGH'!F493</f>
        <v>Nikon F</v>
      </c>
      <c r="M493" t="str">
        <f>'(Raw) LensesGH'!G493</f>
        <v>APS-C</v>
      </c>
      <c r="N493" t="str">
        <f>'(Raw) LensesGH'!H493</f>
        <v>485g</v>
      </c>
      <c r="O493" s="5">
        <f t="shared" si="70"/>
        <v>485</v>
      </c>
      <c r="P493" t="str">
        <f>'(Raw) LensesGH'!I493</f>
        <v>72 x 85mm</v>
      </c>
      <c r="Q493" s="39">
        <f t="shared" si="71"/>
        <v>72</v>
      </c>
      <c r="R493" s="39">
        <f t="shared" si="63"/>
        <v>85</v>
      </c>
    </row>
    <row r="494" spans="1:18" x14ac:dyDescent="0.25">
      <c r="A494" t="str">
        <f>'(Raw) LensesGH'!A494</f>
        <v>Nikon AF-S VR DX 18-105mm 3.5-5.6G ED schwarz</v>
      </c>
      <c r="B494" t="str">
        <f>'(Raw) LensesGH'!B494</f>
        <v>18 - 105mm</v>
      </c>
      <c r="C494" s="5">
        <f t="shared" si="64"/>
        <v>18</v>
      </c>
      <c r="D494" s="5">
        <f t="shared" si="65"/>
        <v>105</v>
      </c>
      <c r="E494" t="str">
        <f>'(Raw) LensesGH'!C494</f>
        <v>1:3.5-1:5.6</v>
      </c>
      <c r="F494" s="9">
        <f t="shared" si="66"/>
        <v>3.5</v>
      </c>
      <c r="G494" s="9">
        <f t="shared" si="67"/>
        <v>3.5</v>
      </c>
      <c r="H494" t="str">
        <f>'(Raw) LensesGH'!D494</f>
        <v>67mm</v>
      </c>
      <c r="I494" s="2">
        <f t="shared" si="68"/>
        <v>67</v>
      </c>
      <c r="J494" s="2" t="str">
        <f>'(Raw) LensesGH'!E494</f>
        <v>1:5.00</v>
      </c>
      <c r="K494" s="40">
        <f t="shared" si="69"/>
        <v>5</v>
      </c>
      <c r="L494" t="str">
        <f>'(Raw) LensesGH'!F494</f>
        <v>Nikon F</v>
      </c>
      <c r="M494" t="str">
        <f>'(Raw) LensesGH'!G494</f>
        <v>APS-C</v>
      </c>
      <c r="N494" t="str">
        <f>'(Raw) LensesGH'!H494</f>
        <v>420g</v>
      </c>
      <c r="O494" s="5">
        <f t="shared" si="70"/>
        <v>420</v>
      </c>
      <c r="P494" t="str">
        <f>'(Raw) LensesGH'!I494</f>
        <v>76 x 89mm</v>
      </c>
      <c r="Q494" s="39">
        <f t="shared" si="71"/>
        <v>76</v>
      </c>
      <c r="R494" s="39">
        <f t="shared" si="63"/>
        <v>89</v>
      </c>
    </row>
    <row r="495" spans="1:18" x14ac:dyDescent="0.25">
      <c r="A495" t="str">
        <f>'(Raw) LensesGH'!A495</f>
        <v>Nikon AF-S VR DX 18-140mm 3.5-5.6G ED schwarz</v>
      </c>
      <c r="B495" t="str">
        <f>'(Raw) LensesGH'!B495</f>
        <v>18 - 140mm</v>
      </c>
      <c r="C495" s="5">
        <f t="shared" si="64"/>
        <v>18</v>
      </c>
      <c r="D495" s="5">
        <f t="shared" si="65"/>
        <v>140</v>
      </c>
      <c r="E495" t="str">
        <f>'(Raw) LensesGH'!C495</f>
        <v>1:3.5-1:5.6</v>
      </c>
      <c r="F495" s="9">
        <f t="shared" si="66"/>
        <v>3.5</v>
      </c>
      <c r="G495" s="9">
        <f t="shared" si="67"/>
        <v>3.5</v>
      </c>
      <c r="H495" t="str">
        <f>'(Raw) LensesGH'!D495</f>
        <v>67mm</v>
      </c>
      <c r="I495" s="2">
        <f t="shared" si="68"/>
        <v>67</v>
      </c>
      <c r="J495" s="2" t="str">
        <f>'(Raw) LensesGH'!E495</f>
        <v>1:4.30</v>
      </c>
      <c r="K495" s="40">
        <f t="shared" si="69"/>
        <v>4.3</v>
      </c>
      <c r="L495" t="str">
        <f>'(Raw) LensesGH'!F495</f>
        <v>Nikon F</v>
      </c>
      <c r="M495" t="str">
        <f>'(Raw) LensesGH'!G495</f>
        <v>APS-C</v>
      </c>
      <c r="N495" t="str">
        <f>'(Raw) LensesGH'!H495</f>
        <v>490g</v>
      </c>
      <c r="O495" s="5">
        <f t="shared" si="70"/>
        <v>490</v>
      </c>
      <c r="P495" t="str">
        <f>'(Raw) LensesGH'!I495</f>
        <v>78 x 97mm</v>
      </c>
      <c r="Q495" s="39">
        <f t="shared" si="71"/>
        <v>78</v>
      </c>
      <c r="R495" s="39">
        <f t="shared" si="63"/>
        <v>97</v>
      </c>
    </row>
    <row r="496" spans="1:18" x14ac:dyDescent="0.25">
      <c r="A496" t="str">
        <f>'(Raw) LensesGH'!A496</f>
        <v>Nikon AF-S VR DX 18-200mm 3.5-5.6G ED II schwarz</v>
      </c>
      <c r="B496" t="str">
        <f>'(Raw) LensesGH'!B496</f>
        <v>18 - 200mm</v>
      </c>
      <c r="C496" s="5">
        <f t="shared" si="64"/>
        <v>18</v>
      </c>
      <c r="D496" s="5">
        <f t="shared" si="65"/>
        <v>200</v>
      </c>
      <c r="E496" t="str">
        <f>'(Raw) LensesGH'!C496</f>
        <v>1:3.5-1:5.6</v>
      </c>
      <c r="F496" s="9">
        <f t="shared" si="66"/>
        <v>3.5</v>
      </c>
      <c r="G496" s="9">
        <f t="shared" si="67"/>
        <v>3.5</v>
      </c>
      <c r="H496" t="str">
        <f>'(Raw) LensesGH'!D496</f>
        <v>72mm</v>
      </c>
      <c r="I496" s="2">
        <f t="shared" si="68"/>
        <v>72</v>
      </c>
      <c r="J496" s="2" t="str">
        <f>'(Raw) LensesGH'!E496</f>
        <v>1:4.55</v>
      </c>
      <c r="K496" s="40">
        <f t="shared" si="69"/>
        <v>4.55</v>
      </c>
      <c r="L496" t="str">
        <f>'(Raw) LensesGH'!F496</f>
        <v>Nikon F</v>
      </c>
      <c r="M496" t="str">
        <f>'(Raw) LensesGH'!G496</f>
        <v>APS-C</v>
      </c>
      <c r="N496" t="str">
        <f>'(Raw) LensesGH'!H496</f>
        <v>565g</v>
      </c>
      <c r="O496" s="5">
        <f t="shared" si="70"/>
        <v>565</v>
      </c>
      <c r="P496" t="str">
        <f>'(Raw) LensesGH'!I496</f>
        <v>77 x 96.5mm</v>
      </c>
      <c r="Q496" s="39">
        <f t="shared" si="71"/>
        <v>77</v>
      </c>
      <c r="R496" s="39">
        <f t="shared" si="63"/>
        <v>96.5</v>
      </c>
    </row>
    <row r="497" spans="1:18" x14ac:dyDescent="0.25">
      <c r="A497" t="str">
        <f>'(Raw) LensesGH'!A497</f>
        <v>Nikon AF-S VR DX 18-200mm 3.5-5.6G IF-ED schwarz</v>
      </c>
      <c r="B497" t="str">
        <f>'(Raw) LensesGH'!B497</f>
        <v>18 - 200mm</v>
      </c>
      <c r="C497" s="5">
        <f t="shared" si="64"/>
        <v>18</v>
      </c>
      <c r="D497" s="5">
        <f t="shared" si="65"/>
        <v>200</v>
      </c>
      <c r="E497" t="str">
        <f>'(Raw) LensesGH'!C497</f>
        <v>1:3.5-1:5.6</v>
      </c>
      <c r="F497" s="9">
        <f t="shared" si="66"/>
        <v>3.5</v>
      </c>
      <c r="G497" s="9">
        <f t="shared" si="67"/>
        <v>3.5</v>
      </c>
      <c r="H497" t="str">
        <f>'(Raw) LensesGH'!D497</f>
        <v>72mm</v>
      </c>
      <c r="I497" s="2">
        <f t="shared" si="68"/>
        <v>72</v>
      </c>
      <c r="J497" s="2" t="str">
        <f>'(Raw) LensesGH'!E497</f>
        <v>1:4.55</v>
      </c>
      <c r="K497" s="40">
        <f t="shared" si="69"/>
        <v>4.55</v>
      </c>
      <c r="L497" t="str">
        <f>'(Raw) LensesGH'!F497</f>
        <v>Nikon F</v>
      </c>
      <c r="M497" t="str">
        <f>'(Raw) LensesGH'!G497</f>
        <v>APS-C</v>
      </c>
      <c r="N497" t="str">
        <f>'(Raw) LensesGH'!H497</f>
        <v>560g</v>
      </c>
      <c r="O497" s="5">
        <f t="shared" si="70"/>
        <v>560</v>
      </c>
      <c r="P497" t="str">
        <f>'(Raw) LensesGH'!I497</f>
        <v>77 x 96.5mm</v>
      </c>
      <c r="Q497" s="39">
        <f t="shared" si="71"/>
        <v>77</v>
      </c>
      <c r="R497" s="39">
        <f t="shared" si="63"/>
        <v>96.5</v>
      </c>
    </row>
    <row r="498" spans="1:18" x14ac:dyDescent="0.25">
      <c r="A498" t="str">
        <f>'(Raw) LensesGH'!A498</f>
        <v>Nikon AF-S VR DX 18-300mm 3.5-5.6G ED schwarz</v>
      </c>
      <c r="B498" t="str">
        <f>'(Raw) LensesGH'!B498</f>
        <v>18 - 300mm</v>
      </c>
      <c r="C498" s="5">
        <f t="shared" si="64"/>
        <v>18</v>
      </c>
      <c r="D498" s="5">
        <f t="shared" si="65"/>
        <v>300</v>
      </c>
      <c r="E498" t="str">
        <f>'(Raw) LensesGH'!C498</f>
        <v>1:3.5-1:5.6</v>
      </c>
      <c r="F498" s="9">
        <f t="shared" si="66"/>
        <v>3.5</v>
      </c>
      <c r="G498" s="9">
        <f t="shared" si="67"/>
        <v>3.5</v>
      </c>
      <c r="H498" t="str">
        <f>'(Raw) LensesGH'!D498</f>
        <v>77mm</v>
      </c>
      <c r="I498" s="2">
        <f t="shared" si="68"/>
        <v>77</v>
      </c>
      <c r="J498" s="2" t="str">
        <f>'(Raw) LensesGH'!E498</f>
        <v>1:3.20</v>
      </c>
      <c r="K498" s="40">
        <f t="shared" si="69"/>
        <v>3.2</v>
      </c>
      <c r="L498" t="str">
        <f>'(Raw) LensesGH'!F498</f>
        <v>Nikon F</v>
      </c>
      <c r="M498" t="str">
        <f>'(Raw) LensesGH'!G498</f>
        <v>APS-C</v>
      </c>
      <c r="N498" t="str">
        <f>'(Raw) LensesGH'!H498</f>
        <v>830g</v>
      </c>
      <c r="O498" s="5">
        <f t="shared" si="70"/>
        <v>830</v>
      </c>
      <c r="P498" t="str">
        <f>'(Raw) LensesGH'!I498</f>
        <v>83 x 120mm</v>
      </c>
      <c r="Q498" s="39">
        <f t="shared" si="71"/>
        <v>83</v>
      </c>
      <c r="R498" s="39">
        <f t="shared" si="63"/>
        <v>120</v>
      </c>
    </row>
    <row r="499" spans="1:18" x14ac:dyDescent="0.25">
      <c r="A499" t="str">
        <f>'(Raw) LensesGH'!A499</f>
        <v>Nikon AF-S VR DX 18-300mm 3.5-6.3G ED schwarz</v>
      </c>
      <c r="B499" t="str">
        <f>'(Raw) LensesGH'!B499</f>
        <v>18 - 300mm</v>
      </c>
      <c r="C499" s="5">
        <f t="shared" si="64"/>
        <v>18</v>
      </c>
      <c r="D499" s="5">
        <f t="shared" si="65"/>
        <v>300</v>
      </c>
      <c r="E499" t="str">
        <f>'(Raw) LensesGH'!C499</f>
        <v>1:3.5-1:6.3</v>
      </c>
      <c r="F499" s="9">
        <f t="shared" si="66"/>
        <v>3.5</v>
      </c>
      <c r="G499" s="9">
        <f t="shared" si="67"/>
        <v>3.5</v>
      </c>
      <c r="H499" t="str">
        <f>'(Raw) LensesGH'!D499</f>
        <v>67mm</v>
      </c>
      <c r="I499" s="2">
        <f t="shared" si="68"/>
        <v>67</v>
      </c>
      <c r="J499" s="2">
        <f>'(Raw) LensesGH'!E499</f>
        <v>0</v>
      </c>
      <c r="K499" s="40">
        <f t="shared" si="69"/>
        <v>0</v>
      </c>
      <c r="L499" t="str">
        <f>'(Raw) LensesGH'!F499</f>
        <v>Nikon F</v>
      </c>
      <c r="M499" t="str">
        <f>'(Raw) LensesGH'!G499</f>
        <v>APS-C</v>
      </c>
      <c r="N499" t="str">
        <f>'(Raw) LensesGH'!H499</f>
        <v>550g</v>
      </c>
      <c r="O499" s="5">
        <f t="shared" si="70"/>
        <v>550</v>
      </c>
      <c r="P499" t="str">
        <f>'(Raw) LensesGH'!I499</f>
        <v>79 x 99mm</v>
      </c>
      <c r="Q499" s="39">
        <f t="shared" si="71"/>
        <v>79</v>
      </c>
      <c r="R499" s="39">
        <f t="shared" si="63"/>
        <v>99</v>
      </c>
    </row>
    <row r="500" spans="1:18" x14ac:dyDescent="0.25">
      <c r="A500" t="str">
        <f>'(Raw) LensesGH'!A500</f>
        <v>Nikon AF-S VR DX 18-55mm 3.5-5.6G II schwarz</v>
      </c>
      <c r="B500" t="str">
        <f>'(Raw) LensesGH'!B500</f>
        <v>18 - 55mm</v>
      </c>
      <c r="C500" s="5">
        <f t="shared" si="64"/>
        <v>18</v>
      </c>
      <c r="D500" s="5">
        <f t="shared" si="65"/>
        <v>55</v>
      </c>
      <c r="E500" t="str">
        <f>'(Raw) LensesGH'!C500</f>
        <v>1:3.5-1:5.6</v>
      </c>
      <c r="F500" s="9">
        <f t="shared" si="66"/>
        <v>3.5</v>
      </c>
      <c r="G500" s="9">
        <f t="shared" si="67"/>
        <v>3.5</v>
      </c>
      <c r="H500" t="str">
        <f>'(Raw) LensesGH'!D500</f>
        <v>52mm</v>
      </c>
      <c r="I500" s="2">
        <f t="shared" si="68"/>
        <v>52</v>
      </c>
      <c r="J500" s="2" t="str">
        <f>'(Raw) LensesGH'!E500</f>
        <v>1:3.20</v>
      </c>
      <c r="K500" s="40">
        <f t="shared" si="69"/>
        <v>3.2</v>
      </c>
      <c r="L500" t="str">
        <f>'(Raw) LensesGH'!F500</f>
        <v>Nikon F</v>
      </c>
      <c r="M500" t="str">
        <f>'(Raw) LensesGH'!G500</f>
        <v>APS-C</v>
      </c>
      <c r="N500" t="str">
        <f>'(Raw) LensesGH'!H500</f>
        <v>195g</v>
      </c>
      <c r="O500" s="5">
        <f t="shared" si="70"/>
        <v>195</v>
      </c>
      <c r="P500" t="str">
        <f>'(Raw) LensesGH'!I500</f>
        <v>66 x 59.5mm</v>
      </c>
      <c r="Q500" s="39">
        <f t="shared" si="71"/>
        <v>66</v>
      </c>
      <c r="R500" s="39">
        <f t="shared" si="63"/>
        <v>59.5</v>
      </c>
    </row>
    <row r="501" spans="1:18" x14ac:dyDescent="0.25">
      <c r="A501" t="str">
        <f>'(Raw) LensesGH'!A501</f>
        <v>Nikon AF-S VR DX 18-55mm 3.5-5.6G schwarz</v>
      </c>
      <c r="B501" t="str">
        <f>'(Raw) LensesGH'!B501</f>
        <v>18 - 55mm</v>
      </c>
      <c r="C501" s="5">
        <f t="shared" si="64"/>
        <v>18</v>
      </c>
      <c r="D501" s="5">
        <f t="shared" si="65"/>
        <v>55</v>
      </c>
      <c r="E501" t="str">
        <f>'(Raw) LensesGH'!C501</f>
        <v>1:3.5-1:5.6</v>
      </c>
      <c r="F501" s="9">
        <f t="shared" si="66"/>
        <v>3.5</v>
      </c>
      <c r="G501" s="9">
        <f t="shared" si="67"/>
        <v>3.5</v>
      </c>
      <c r="H501" t="str">
        <f>'(Raw) LensesGH'!D501</f>
        <v>52mm</v>
      </c>
      <c r="I501" s="2">
        <f t="shared" si="68"/>
        <v>52</v>
      </c>
      <c r="J501" s="2">
        <f>'(Raw) LensesGH'!E501</f>
        <v>0</v>
      </c>
      <c r="K501" s="40">
        <f t="shared" si="69"/>
        <v>0</v>
      </c>
      <c r="L501" t="str">
        <f>'(Raw) LensesGH'!F501</f>
        <v>Nikon F</v>
      </c>
      <c r="M501" t="str">
        <f>'(Raw) LensesGH'!G501</f>
        <v>APS-C</v>
      </c>
      <c r="N501" t="str">
        <f>'(Raw) LensesGH'!H501</f>
        <v>265g</v>
      </c>
      <c r="O501" s="5">
        <f t="shared" si="70"/>
        <v>265</v>
      </c>
      <c r="P501" t="str">
        <f>'(Raw) LensesGH'!I501</f>
        <v>73 x 79.5mm</v>
      </c>
      <c r="Q501" s="39">
        <f t="shared" si="71"/>
        <v>73</v>
      </c>
      <c r="R501" s="39">
        <f t="shared" si="63"/>
        <v>79.5</v>
      </c>
    </row>
    <row r="502" spans="1:18" x14ac:dyDescent="0.25">
      <c r="A502" t="str">
        <f>'(Raw) LensesGH'!A502</f>
        <v>Nikon AF-S VR DX 55-200mm 4.0-5.6G ED II schwarz</v>
      </c>
      <c r="B502" t="str">
        <f>'(Raw) LensesGH'!B502</f>
        <v>55 - 200mm</v>
      </c>
      <c r="C502" s="5">
        <f t="shared" si="64"/>
        <v>55</v>
      </c>
      <c r="D502" s="5">
        <f t="shared" si="65"/>
        <v>200</v>
      </c>
      <c r="E502" t="str">
        <f>'(Raw) LensesGH'!C502</f>
        <v>1:4.0-1:5.6</v>
      </c>
      <c r="F502" s="9">
        <f t="shared" si="66"/>
        <v>4</v>
      </c>
      <c r="G502" s="9">
        <f t="shared" si="67"/>
        <v>4</v>
      </c>
      <c r="H502" t="str">
        <f>'(Raw) LensesGH'!D502</f>
        <v>52mm</v>
      </c>
      <c r="I502" s="2">
        <f t="shared" si="68"/>
        <v>52</v>
      </c>
      <c r="J502" s="2">
        <f>'(Raw) LensesGH'!E502</f>
        <v>0</v>
      </c>
      <c r="K502" s="40">
        <f t="shared" si="69"/>
        <v>0</v>
      </c>
      <c r="L502" t="str">
        <f>'(Raw) LensesGH'!F502</f>
        <v>Nikon F</v>
      </c>
      <c r="M502" t="str">
        <f>'(Raw) LensesGH'!G502</f>
        <v>APS-C</v>
      </c>
      <c r="N502" t="str">
        <f>'(Raw) LensesGH'!H502</f>
        <v>300g</v>
      </c>
      <c r="O502" s="5">
        <f t="shared" si="70"/>
        <v>300</v>
      </c>
      <c r="P502" t="str">
        <f>'(Raw) LensesGH'!I502</f>
        <v>70.5 x 83mm</v>
      </c>
      <c r="Q502" s="39">
        <f t="shared" si="71"/>
        <v>70.5</v>
      </c>
      <c r="R502" s="39">
        <f t="shared" si="63"/>
        <v>83</v>
      </c>
    </row>
    <row r="503" spans="1:18" x14ac:dyDescent="0.25">
      <c r="A503" t="str">
        <f>'(Raw) LensesGH'!A503</f>
        <v>Nikon AF-S VR DX 55-200mm 4.0-5.6G IF-ED schwarz</v>
      </c>
      <c r="B503" t="str">
        <f>'(Raw) LensesGH'!B503</f>
        <v>55 - 200mm</v>
      </c>
      <c r="C503" s="5">
        <f t="shared" si="64"/>
        <v>55</v>
      </c>
      <c r="D503" s="5">
        <f t="shared" si="65"/>
        <v>200</v>
      </c>
      <c r="E503" t="str">
        <f>'(Raw) LensesGH'!C503</f>
        <v>1:4.0-1:5.6</v>
      </c>
      <c r="F503" s="9">
        <f t="shared" si="66"/>
        <v>4</v>
      </c>
      <c r="G503" s="9">
        <f t="shared" si="67"/>
        <v>4</v>
      </c>
      <c r="H503" t="str">
        <f>'(Raw) LensesGH'!D503</f>
        <v>52mm</v>
      </c>
      <c r="I503" s="2">
        <f t="shared" si="68"/>
        <v>52</v>
      </c>
      <c r="J503" s="2">
        <f>'(Raw) LensesGH'!E503</f>
        <v>0</v>
      </c>
      <c r="K503" s="40">
        <f t="shared" si="69"/>
        <v>0</v>
      </c>
      <c r="L503" t="str">
        <f>'(Raw) LensesGH'!F503</f>
        <v>Nikon F</v>
      </c>
      <c r="M503" t="str">
        <f>'(Raw) LensesGH'!G503</f>
        <v>APS-C</v>
      </c>
      <c r="N503" t="str">
        <f>'(Raw) LensesGH'!H503</f>
        <v>335g</v>
      </c>
      <c r="O503" s="5">
        <f t="shared" si="70"/>
        <v>335</v>
      </c>
      <c r="P503" t="str">
        <f>'(Raw) LensesGH'!I503</f>
        <v>73 x 99.5mm</v>
      </c>
      <c r="Q503" s="39">
        <f t="shared" si="71"/>
        <v>73</v>
      </c>
      <c r="R503" s="39">
        <f t="shared" si="63"/>
        <v>99.5</v>
      </c>
    </row>
    <row r="504" spans="1:18" x14ac:dyDescent="0.25">
      <c r="A504" t="str">
        <f>'(Raw) LensesGH'!A504</f>
        <v>Nikon AF-S VR DX 55-300mm 4.5-5.6G ED schwarz</v>
      </c>
      <c r="B504" t="str">
        <f>'(Raw) LensesGH'!B504</f>
        <v>55 - 300mm</v>
      </c>
      <c r="C504" s="5">
        <f t="shared" si="64"/>
        <v>55</v>
      </c>
      <c r="D504" s="5">
        <f t="shared" si="65"/>
        <v>300</v>
      </c>
      <c r="E504" t="str">
        <f>'(Raw) LensesGH'!C504</f>
        <v>1:4.5-1:5.6</v>
      </c>
      <c r="F504" s="9">
        <f t="shared" si="66"/>
        <v>4.5</v>
      </c>
      <c r="G504" s="9">
        <f t="shared" si="67"/>
        <v>4.5</v>
      </c>
      <c r="H504" t="str">
        <f>'(Raw) LensesGH'!D504</f>
        <v>58mm</v>
      </c>
      <c r="I504" s="2">
        <f t="shared" si="68"/>
        <v>58</v>
      </c>
      <c r="J504" s="2" t="str">
        <f>'(Raw) LensesGH'!E504</f>
        <v>1:3.57</v>
      </c>
      <c r="K504" s="40">
        <f t="shared" si="69"/>
        <v>3.57</v>
      </c>
      <c r="L504" t="str">
        <f>'(Raw) LensesGH'!F504</f>
        <v>Nikon F</v>
      </c>
      <c r="M504" t="str">
        <f>'(Raw) LensesGH'!G504</f>
        <v>APS-C</v>
      </c>
      <c r="N504" t="str">
        <f>'(Raw) LensesGH'!H504</f>
        <v>530g</v>
      </c>
      <c r="O504" s="5">
        <f t="shared" si="70"/>
        <v>530</v>
      </c>
      <c r="P504" t="str">
        <f>'(Raw) LensesGH'!I504</f>
        <v>76.5 x 123mm</v>
      </c>
      <c r="Q504" s="39">
        <f t="shared" si="71"/>
        <v>76.5</v>
      </c>
      <c r="R504" s="39">
        <f t="shared" si="63"/>
        <v>123</v>
      </c>
    </row>
    <row r="505" spans="1:18" x14ac:dyDescent="0.25">
      <c r="A505" t="str">
        <f>'(Raw) LensesGH'!A505</f>
        <v>Nikon AF-S VR DX Micro 85mm 3.5G IF-ED schwarz</v>
      </c>
      <c r="B505" t="str">
        <f>'(Raw) LensesGH'!B505</f>
        <v>85mm</v>
      </c>
      <c r="C505" s="5">
        <f t="shared" si="64"/>
        <v>85</v>
      </c>
      <c r="D505" s="5">
        <f t="shared" si="65"/>
        <v>85</v>
      </c>
      <c r="E505" t="str">
        <f>'(Raw) LensesGH'!C505</f>
        <v>1:3.5</v>
      </c>
      <c r="F505" s="9">
        <f t="shared" si="66"/>
        <v>3.5</v>
      </c>
      <c r="G505" s="9">
        <f t="shared" si="67"/>
        <v>3.5</v>
      </c>
      <c r="H505" t="str">
        <f>'(Raw) LensesGH'!D505</f>
        <v>52mm</v>
      </c>
      <c r="I505" s="2">
        <f t="shared" si="68"/>
        <v>52</v>
      </c>
      <c r="J505" s="2" t="str">
        <f>'(Raw) LensesGH'!E505</f>
        <v>1:1.00</v>
      </c>
      <c r="K505" s="40">
        <f t="shared" si="69"/>
        <v>1</v>
      </c>
      <c r="L505" t="str">
        <f>'(Raw) LensesGH'!F505</f>
        <v>Nikon F</v>
      </c>
      <c r="M505" t="str">
        <f>'(Raw) LensesGH'!G505</f>
        <v>APS-C</v>
      </c>
      <c r="N505" t="str">
        <f>'(Raw) LensesGH'!H505</f>
        <v>355g</v>
      </c>
      <c r="O505" s="5">
        <f t="shared" si="70"/>
        <v>355</v>
      </c>
      <c r="P505" t="str">
        <f>'(Raw) LensesGH'!I505</f>
        <v>73 x 98.5mm</v>
      </c>
      <c r="Q505" s="39">
        <f t="shared" si="71"/>
        <v>73</v>
      </c>
      <c r="R505" s="39">
        <f t="shared" si="63"/>
        <v>98.5</v>
      </c>
    </row>
    <row r="506" spans="1:18" x14ac:dyDescent="0.25">
      <c r="A506" t="str">
        <f>'(Raw) LensesGH'!A506</f>
        <v>Nikon AF-S VR Micro 105mm 2.8G IF-ED schwarz</v>
      </c>
      <c r="B506" t="str">
        <f>'(Raw) LensesGH'!B506</f>
        <v>105mm</v>
      </c>
      <c r="C506" s="5">
        <f t="shared" si="64"/>
        <v>105</v>
      </c>
      <c r="D506" s="5">
        <f t="shared" si="65"/>
        <v>105</v>
      </c>
      <c r="E506" t="str">
        <f>'(Raw) LensesGH'!C506</f>
        <v>1:2.8</v>
      </c>
      <c r="F506" s="9">
        <f t="shared" si="66"/>
        <v>2.8</v>
      </c>
      <c r="G506" s="9">
        <f t="shared" si="67"/>
        <v>2.8</v>
      </c>
      <c r="H506" t="str">
        <f>'(Raw) LensesGH'!D506</f>
        <v>62mm</v>
      </c>
      <c r="I506" s="2">
        <f t="shared" si="68"/>
        <v>62</v>
      </c>
      <c r="J506" s="2" t="str">
        <f>'(Raw) LensesGH'!E506</f>
        <v>1:1.00</v>
      </c>
      <c r="K506" s="40">
        <f t="shared" si="69"/>
        <v>1</v>
      </c>
      <c r="L506" t="str">
        <f>'(Raw) LensesGH'!F506</f>
        <v>Nikon F</v>
      </c>
      <c r="M506" t="str">
        <f>'(Raw) LensesGH'!G506</f>
        <v>APS-C/ Kleinbild</v>
      </c>
      <c r="N506" t="str">
        <f>'(Raw) LensesGH'!H506</f>
        <v>750g</v>
      </c>
      <c r="O506" s="5">
        <f t="shared" si="70"/>
        <v>750</v>
      </c>
      <c r="P506" t="str">
        <f>'(Raw) LensesGH'!I506</f>
        <v>83 x 116mm</v>
      </c>
      <c r="Q506" s="39">
        <f t="shared" si="71"/>
        <v>83</v>
      </c>
      <c r="R506" s="39">
        <f t="shared" si="63"/>
        <v>116</v>
      </c>
    </row>
    <row r="507" spans="1:18" x14ac:dyDescent="0.25">
      <c r="A507" t="str">
        <f>'(Raw) LensesGH'!A507</f>
        <v>Nikon MF 28mm 2.8 schwarz</v>
      </c>
      <c r="B507" t="str">
        <f>'(Raw) LensesGH'!B507</f>
        <v>28mm</v>
      </c>
      <c r="C507" s="5">
        <f t="shared" si="64"/>
        <v>28</v>
      </c>
      <c r="D507" s="5">
        <f t="shared" si="65"/>
        <v>28</v>
      </c>
      <c r="E507" t="str">
        <f>'(Raw) LensesGH'!C507</f>
        <v>1:2.8</v>
      </c>
      <c r="F507" s="9">
        <f t="shared" si="66"/>
        <v>2.8</v>
      </c>
      <c r="G507" s="9">
        <f t="shared" si="67"/>
        <v>2.8</v>
      </c>
      <c r="H507" t="str">
        <f>'(Raw) LensesGH'!D507</f>
        <v>52mm</v>
      </c>
      <c r="I507" s="2">
        <f t="shared" si="68"/>
        <v>52</v>
      </c>
      <c r="J507" s="2">
        <f>'(Raw) LensesGH'!E507</f>
        <v>0</v>
      </c>
      <c r="K507" s="40">
        <f t="shared" si="69"/>
        <v>0</v>
      </c>
      <c r="L507" t="str">
        <f>'(Raw) LensesGH'!F507</f>
        <v>Nikon F</v>
      </c>
      <c r="M507" t="str">
        <f>'(Raw) LensesGH'!G507</f>
        <v>APS-C/ Kleinbild</v>
      </c>
      <c r="N507" t="str">
        <f>'(Raw) LensesGH'!H507</f>
        <v>250g</v>
      </c>
      <c r="O507" s="5">
        <f t="shared" si="70"/>
        <v>250</v>
      </c>
      <c r="P507" t="str">
        <f>'(Raw) LensesGH'!I507</f>
        <v>63 x 44.5mm</v>
      </c>
      <c r="Q507" s="39">
        <f t="shared" si="71"/>
        <v>63</v>
      </c>
      <c r="R507" s="39">
        <f t="shared" si="63"/>
        <v>44.5</v>
      </c>
    </row>
    <row r="508" spans="1:18" x14ac:dyDescent="0.25">
      <c r="A508" t="str">
        <f>'(Raw) LensesGH'!A508</f>
        <v>Nikon Micro 55mm 2.8 schwarz</v>
      </c>
      <c r="B508" t="str">
        <f>'(Raw) LensesGH'!B508</f>
        <v>55mm</v>
      </c>
      <c r="C508" s="5">
        <f t="shared" si="64"/>
        <v>55</v>
      </c>
      <c r="D508" s="5">
        <f t="shared" si="65"/>
        <v>55</v>
      </c>
      <c r="E508" t="str">
        <f>'(Raw) LensesGH'!C508</f>
        <v>1:2.8</v>
      </c>
      <c r="F508" s="9">
        <f t="shared" si="66"/>
        <v>2.8</v>
      </c>
      <c r="G508" s="9">
        <f t="shared" si="67"/>
        <v>2.8</v>
      </c>
      <c r="H508" t="str">
        <f>'(Raw) LensesGH'!D508</f>
        <v>52mm</v>
      </c>
      <c r="I508" s="2">
        <f t="shared" si="68"/>
        <v>52</v>
      </c>
      <c r="J508" s="2">
        <f>'(Raw) LensesGH'!E508</f>
        <v>0</v>
      </c>
      <c r="K508" s="40">
        <f t="shared" si="69"/>
        <v>0</v>
      </c>
      <c r="L508" t="str">
        <f>'(Raw) LensesGH'!F508</f>
        <v>Nikon F</v>
      </c>
      <c r="M508" t="str">
        <f>'(Raw) LensesGH'!G508</f>
        <v>APS-C/ Kleinbild</v>
      </c>
      <c r="N508" t="str">
        <f>'(Raw) LensesGH'!H508</f>
        <v>210g</v>
      </c>
      <c r="O508" s="5">
        <f t="shared" si="70"/>
        <v>210</v>
      </c>
      <c r="P508" t="str">
        <f>'(Raw) LensesGH'!I508</f>
        <v>62 x 63.5mm</v>
      </c>
      <c r="Q508" s="39">
        <f t="shared" si="71"/>
        <v>62</v>
      </c>
      <c r="R508" s="39">
        <f t="shared" si="63"/>
        <v>63.5</v>
      </c>
    </row>
    <row r="509" spans="1:18" x14ac:dyDescent="0.25">
      <c r="A509" t="str">
        <f>'(Raw) LensesGH'!A509</f>
        <v>Nikon PC 19mm 4.0E ED schwarz</v>
      </c>
      <c r="B509" t="str">
        <f>'(Raw) LensesGH'!B509</f>
        <v>19mm</v>
      </c>
      <c r="C509" s="5">
        <f t="shared" si="64"/>
        <v>19</v>
      </c>
      <c r="D509" s="5">
        <f t="shared" si="65"/>
        <v>19</v>
      </c>
      <c r="E509" t="str">
        <f>'(Raw) LensesGH'!C509</f>
        <v>1:4.0</v>
      </c>
      <c r="F509" s="9">
        <f t="shared" si="66"/>
        <v>4</v>
      </c>
      <c r="G509" s="9">
        <f t="shared" si="67"/>
        <v>4</v>
      </c>
      <c r="H509">
        <f>'(Raw) LensesGH'!D509</f>
        <v>0</v>
      </c>
      <c r="I509" s="2">
        <f t="shared" si="68"/>
        <v>0</v>
      </c>
      <c r="J509" s="2" t="str">
        <f>'(Raw) LensesGH'!E509</f>
        <v>1:5.60</v>
      </c>
      <c r="K509" s="40">
        <f t="shared" si="69"/>
        <v>5.6</v>
      </c>
      <c r="L509" t="str">
        <f>'(Raw) LensesGH'!F509</f>
        <v>Nikon F</v>
      </c>
      <c r="M509" t="str">
        <f>'(Raw) LensesGH'!G509</f>
        <v>APS-C/ Kleinbild</v>
      </c>
      <c r="N509" t="str">
        <f>'(Raw) LensesGH'!H509</f>
        <v>885g</v>
      </c>
      <c r="O509" s="5">
        <f t="shared" si="70"/>
        <v>885</v>
      </c>
      <c r="P509" t="str">
        <f>'(Raw) LensesGH'!I509</f>
        <v>89 x 124mm</v>
      </c>
      <c r="Q509" s="39">
        <f t="shared" si="71"/>
        <v>89</v>
      </c>
      <c r="R509" s="39">
        <f t="shared" si="63"/>
        <v>124</v>
      </c>
    </row>
    <row r="510" spans="1:18" x14ac:dyDescent="0.25">
      <c r="A510" t="str">
        <f>'(Raw) LensesGH'!A510</f>
        <v>Nikon PC-E 24mm 3.5D ED Tilt/Shift schwarz</v>
      </c>
      <c r="B510" t="str">
        <f>'(Raw) LensesGH'!B510</f>
        <v>24mm</v>
      </c>
      <c r="C510" s="5">
        <f t="shared" si="64"/>
        <v>24</v>
      </c>
      <c r="D510" s="5">
        <f t="shared" si="65"/>
        <v>24</v>
      </c>
      <c r="E510" t="str">
        <f>'(Raw) LensesGH'!C510</f>
        <v>1:3.5</v>
      </c>
      <c r="F510" s="9">
        <f t="shared" si="66"/>
        <v>3.5</v>
      </c>
      <c r="G510" s="9">
        <f t="shared" si="67"/>
        <v>3.5</v>
      </c>
      <c r="H510" t="str">
        <f>'(Raw) LensesGH'!D510</f>
        <v>77mm</v>
      </c>
      <c r="I510" s="2">
        <f t="shared" si="68"/>
        <v>77</v>
      </c>
      <c r="J510" s="2" t="str">
        <f>'(Raw) LensesGH'!E510</f>
        <v>1:2.70</v>
      </c>
      <c r="K510" s="40">
        <f t="shared" si="69"/>
        <v>2.7</v>
      </c>
      <c r="L510" t="str">
        <f>'(Raw) LensesGH'!F510</f>
        <v>Nikon F</v>
      </c>
      <c r="M510" t="str">
        <f>'(Raw) LensesGH'!G510</f>
        <v>APS-C/ Kleinbild</v>
      </c>
      <c r="N510" t="str">
        <f>'(Raw) LensesGH'!H510</f>
        <v>730g</v>
      </c>
      <c r="O510" s="5">
        <f t="shared" si="70"/>
        <v>730</v>
      </c>
      <c r="P510" t="str">
        <f>'(Raw) LensesGH'!I510</f>
        <v>82.5 x 108mm</v>
      </c>
      <c r="Q510" s="39">
        <f t="shared" si="71"/>
        <v>82.5</v>
      </c>
      <c r="R510" s="39">
        <f t="shared" si="63"/>
        <v>108</v>
      </c>
    </row>
    <row r="511" spans="1:18" x14ac:dyDescent="0.25">
      <c r="A511" t="str">
        <f>'(Raw) LensesGH'!A511</f>
        <v>Nikon PC-E 45mm 2.8D ED Tilt/Shift schwarz</v>
      </c>
      <c r="B511" t="str">
        <f>'(Raw) LensesGH'!B511</f>
        <v>45mm</v>
      </c>
      <c r="C511" s="5">
        <f t="shared" si="64"/>
        <v>45</v>
      </c>
      <c r="D511" s="5">
        <f t="shared" si="65"/>
        <v>45</v>
      </c>
      <c r="E511" t="str">
        <f>'(Raw) LensesGH'!C511</f>
        <v>1:2.8</v>
      </c>
      <c r="F511" s="9">
        <f t="shared" si="66"/>
        <v>2.8</v>
      </c>
      <c r="G511" s="9">
        <f t="shared" si="67"/>
        <v>2.8</v>
      </c>
      <c r="H511" t="str">
        <f>'(Raw) LensesGH'!D511</f>
        <v>77mm</v>
      </c>
      <c r="I511" s="2">
        <f t="shared" si="68"/>
        <v>77</v>
      </c>
      <c r="J511" s="2" t="str">
        <f>'(Raw) LensesGH'!E511</f>
        <v>1:2.00</v>
      </c>
      <c r="K511" s="40">
        <f t="shared" si="69"/>
        <v>2</v>
      </c>
      <c r="L511" t="str">
        <f>'(Raw) LensesGH'!F511</f>
        <v>Nikon F</v>
      </c>
      <c r="M511" t="str">
        <f>'(Raw) LensesGH'!G511</f>
        <v>APS-C/ Kleinbild</v>
      </c>
      <c r="N511" t="str">
        <f>'(Raw) LensesGH'!H511</f>
        <v>780g</v>
      </c>
      <c r="O511" s="5">
        <f t="shared" si="70"/>
        <v>780</v>
      </c>
      <c r="P511" t="str">
        <f>'(Raw) LensesGH'!I511</f>
        <v>83.5 x 112mm</v>
      </c>
      <c r="Q511" s="39">
        <f t="shared" si="71"/>
        <v>83.5</v>
      </c>
      <c r="R511" s="39">
        <f t="shared" si="63"/>
        <v>112</v>
      </c>
    </row>
    <row r="512" spans="1:18" x14ac:dyDescent="0.25">
      <c r="A512" t="str">
        <f>'(Raw) LensesGH'!A512</f>
        <v>Nikon PC-E 85mm 2.8D ED Tilt/Shift schwarz</v>
      </c>
      <c r="B512" t="str">
        <f>'(Raw) LensesGH'!B512</f>
        <v>85mm</v>
      </c>
      <c r="C512" s="5">
        <f t="shared" si="64"/>
        <v>85</v>
      </c>
      <c r="D512" s="5">
        <f t="shared" si="65"/>
        <v>85</v>
      </c>
      <c r="E512" t="str">
        <f>'(Raw) LensesGH'!C512</f>
        <v>1:2.8</v>
      </c>
      <c r="F512" s="9">
        <f t="shared" si="66"/>
        <v>2.8</v>
      </c>
      <c r="G512" s="9">
        <f t="shared" si="67"/>
        <v>2.8</v>
      </c>
      <c r="H512" t="str">
        <f>'(Raw) LensesGH'!D512</f>
        <v>77mm</v>
      </c>
      <c r="I512" s="2">
        <f t="shared" si="68"/>
        <v>77</v>
      </c>
      <c r="J512" s="2" t="str">
        <f>'(Raw) LensesGH'!E512</f>
        <v>1:2.00</v>
      </c>
      <c r="K512" s="40">
        <f t="shared" si="69"/>
        <v>2</v>
      </c>
      <c r="L512" t="str">
        <f>'(Raw) LensesGH'!F512</f>
        <v>Nikon F</v>
      </c>
      <c r="M512" t="str">
        <f>'(Raw) LensesGH'!G512</f>
        <v>APS-C/ Kleinbild</v>
      </c>
      <c r="N512" t="str">
        <f>'(Raw) LensesGH'!H512</f>
        <v>650g</v>
      </c>
      <c r="O512" s="5">
        <f t="shared" si="70"/>
        <v>650</v>
      </c>
      <c r="P512" t="str">
        <f>'(Raw) LensesGH'!I512</f>
        <v>82.7 x 107mm</v>
      </c>
      <c r="Q512" s="39">
        <f t="shared" si="71"/>
        <v>82.7</v>
      </c>
      <c r="R512" s="39">
        <f t="shared" si="63"/>
        <v>107</v>
      </c>
    </row>
    <row r="513" spans="1:18" x14ac:dyDescent="0.25">
      <c r="A513" t="str">
        <f>'(Raw) LensesGH'!A513</f>
        <v>Olympus M.Zuiko digital 14-42mm 3.5-5.6 II schwarz</v>
      </c>
      <c r="B513" t="str">
        <f>'(Raw) LensesGH'!B513</f>
        <v>14 - 42mm</v>
      </c>
      <c r="C513" s="5">
        <f t="shared" si="64"/>
        <v>14</v>
      </c>
      <c r="D513" s="5">
        <f t="shared" si="65"/>
        <v>42</v>
      </c>
      <c r="E513" t="str">
        <f>'(Raw) LensesGH'!C513</f>
        <v>1:3.5-1:5.6</v>
      </c>
      <c r="F513" s="9">
        <f t="shared" si="66"/>
        <v>3.5</v>
      </c>
      <c r="G513" s="9">
        <f t="shared" si="67"/>
        <v>3.5</v>
      </c>
      <c r="H513" t="str">
        <f>'(Raw) LensesGH'!D513</f>
        <v>37mm</v>
      </c>
      <c r="I513" s="2">
        <f t="shared" si="68"/>
        <v>37</v>
      </c>
      <c r="J513" s="2" t="str">
        <f>'(Raw) LensesGH'!E513</f>
        <v>1:5.26</v>
      </c>
      <c r="K513" s="40">
        <f t="shared" si="69"/>
        <v>5.26</v>
      </c>
      <c r="L513" t="str">
        <f>'(Raw) LensesGH'!F513</f>
        <v>Micro-Four-Thirds</v>
      </c>
      <c r="M513" t="str">
        <f>'(Raw) LensesGH'!G513</f>
        <v>Four-Thirds</v>
      </c>
      <c r="N513" t="str">
        <f>'(Raw) LensesGH'!H513</f>
        <v>112g</v>
      </c>
      <c r="O513" s="5">
        <f t="shared" si="70"/>
        <v>112</v>
      </c>
      <c r="P513" t="str">
        <f>'(Raw) LensesGH'!I513</f>
        <v>56.5 x 50mm</v>
      </c>
      <c r="Q513" s="39">
        <f t="shared" si="71"/>
        <v>56.5</v>
      </c>
      <c r="R513" s="39">
        <f t="shared" si="63"/>
        <v>50</v>
      </c>
    </row>
    <row r="514" spans="1:18" x14ac:dyDescent="0.25">
      <c r="A514" t="str">
        <f>'(Raw) LensesGH'!A514</f>
        <v>Olympus M.Zuiko digital 14-42mm 3.5-5.6 II silber</v>
      </c>
      <c r="B514" t="str">
        <f>'(Raw) LensesGH'!B514</f>
        <v>14 - 42mm</v>
      </c>
      <c r="C514" s="5">
        <f t="shared" si="64"/>
        <v>14</v>
      </c>
      <c r="D514" s="5">
        <f t="shared" si="65"/>
        <v>42</v>
      </c>
      <c r="E514" t="str">
        <f>'(Raw) LensesGH'!C514</f>
        <v>1:3.5-1:5.6</v>
      </c>
      <c r="F514" s="9">
        <f t="shared" si="66"/>
        <v>3.5</v>
      </c>
      <c r="G514" s="9">
        <f t="shared" si="67"/>
        <v>3.5</v>
      </c>
      <c r="H514" t="str">
        <f>'(Raw) LensesGH'!D514</f>
        <v>37mm</v>
      </c>
      <c r="I514" s="2">
        <f t="shared" si="68"/>
        <v>37</v>
      </c>
      <c r="J514" s="2" t="str">
        <f>'(Raw) LensesGH'!E514</f>
        <v>1:5.26</v>
      </c>
      <c r="K514" s="40">
        <f t="shared" si="69"/>
        <v>5.26</v>
      </c>
      <c r="L514" t="str">
        <f>'(Raw) LensesGH'!F514</f>
        <v>Micro-Four-Thirds</v>
      </c>
      <c r="M514" t="str">
        <f>'(Raw) LensesGH'!G514</f>
        <v>Four-Thirds</v>
      </c>
      <c r="N514" t="str">
        <f>'(Raw) LensesGH'!H514</f>
        <v>112g</v>
      </c>
      <c r="O514" s="5">
        <f t="shared" si="70"/>
        <v>112</v>
      </c>
      <c r="P514" t="str">
        <f>'(Raw) LensesGH'!I514</f>
        <v>56.5 x 50mm</v>
      </c>
      <c r="Q514" s="39">
        <f t="shared" si="71"/>
        <v>56.5</v>
      </c>
      <c r="R514" s="39">
        <f t="shared" ref="R514:R577" si="72">getSizeLength(P514)</f>
        <v>50</v>
      </c>
    </row>
    <row r="515" spans="1:18" x14ac:dyDescent="0.25">
      <c r="A515" t="str">
        <f>'(Raw) LensesGH'!A515</f>
        <v>Olympus M.Zuiko digital 15mm 8.0 Body Cap Lens rot</v>
      </c>
      <c r="B515" t="str">
        <f>'(Raw) LensesGH'!B515</f>
        <v>15mm</v>
      </c>
      <c r="C515" s="5">
        <f t="shared" ref="C515:C578" si="73">getFocalLengthStart(B515)</f>
        <v>15</v>
      </c>
      <c r="D515" s="5">
        <f t="shared" ref="D515:D578" si="74">getFocalLengthEnd(B515)</f>
        <v>15</v>
      </c>
      <c r="E515" t="str">
        <f>'(Raw) LensesGH'!C515</f>
        <v>1:8.0</v>
      </c>
      <c r="F515" s="9">
        <f t="shared" ref="F515:F578" si="75">getApertureStart(E515)</f>
        <v>8</v>
      </c>
      <c r="G515" s="9">
        <f t="shared" ref="G515:G578" si="76">getApertureEnd(F515)</f>
        <v>8</v>
      </c>
      <c r="H515">
        <f>'(Raw) LensesGH'!D515</f>
        <v>0</v>
      </c>
      <c r="I515" s="2">
        <f t="shared" ref="I515:I578" si="77">getFiltersizeAsDouble(H515)</f>
        <v>0</v>
      </c>
      <c r="J515" s="2" t="str">
        <f>'(Raw) LensesGH'!E515</f>
        <v>1:16.67</v>
      </c>
      <c r="K515" s="40">
        <f t="shared" ref="K515:K578" si="78">getMagnification(J515)</f>
        <v>16.670000000000002</v>
      </c>
      <c r="L515" t="str">
        <f>'(Raw) LensesGH'!F515</f>
        <v>Micro-Four-Thirds</v>
      </c>
      <c r="M515" t="str">
        <f>'(Raw) LensesGH'!G515</f>
        <v>Four-Thirds</v>
      </c>
      <c r="N515" t="str">
        <f>'(Raw) LensesGH'!H515</f>
        <v>22g</v>
      </c>
      <c r="O515" s="5">
        <f t="shared" ref="O515:O578" si="79">getWeightAsDouble(N515)</f>
        <v>22</v>
      </c>
      <c r="P515" t="str">
        <f>'(Raw) LensesGH'!I515</f>
        <v>56 x 9mm</v>
      </c>
      <c r="Q515" s="39">
        <f t="shared" ref="Q515:Q578" si="80">getSizeDiameter(P515)</f>
        <v>56</v>
      </c>
      <c r="R515" s="39">
        <f t="shared" si="72"/>
        <v>9</v>
      </c>
    </row>
    <row r="516" spans="1:18" x14ac:dyDescent="0.25">
      <c r="A516" t="str">
        <f>'(Raw) LensesGH'!A516</f>
        <v>Olympus M.Zuiko digital 15mm 8.0 Body Cap Lens schwarz</v>
      </c>
      <c r="B516" t="str">
        <f>'(Raw) LensesGH'!B516</f>
        <v>15mm</v>
      </c>
      <c r="C516" s="5">
        <f t="shared" si="73"/>
        <v>15</v>
      </c>
      <c r="D516" s="5">
        <f t="shared" si="74"/>
        <v>15</v>
      </c>
      <c r="E516" t="str">
        <f>'(Raw) LensesGH'!C516</f>
        <v>1:8.0</v>
      </c>
      <c r="F516" s="9">
        <f t="shared" si="75"/>
        <v>8</v>
      </c>
      <c r="G516" s="9">
        <f t="shared" si="76"/>
        <v>8</v>
      </c>
      <c r="H516">
        <f>'(Raw) LensesGH'!D516</f>
        <v>0</v>
      </c>
      <c r="I516" s="2">
        <f t="shared" si="77"/>
        <v>0</v>
      </c>
      <c r="J516" s="2" t="str">
        <f>'(Raw) LensesGH'!E516</f>
        <v>1:16.67</v>
      </c>
      <c r="K516" s="40">
        <f t="shared" si="78"/>
        <v>16.670000000000002</v>
      </c>
      <c r="L516" t="str">
        <f>'(Raw) LensesGH'!F516</f>
        <v>Micro-Four-Thirds</v>
      </c>
      <c r="M516" t="str">
        <f>'(Raw) LensesGH'!G516</f>
        <v>Four-Thirds</v>
      </c>
      <c r="N516" t="str">
        <f>'(Raw) LensesGH'!H516</f>
        <v>22g</v>
      </c>
      <c r="O516" s="5">
        <f t="shared" si="79"/>
        <v>22</v>
      </c>
      <c r="P516" t="str">
        <f>'(Raw) LensesGH'!I516</f>
        <v>56 x 9mm</v>
      </c>
      <c r="Q516" s="39">
        <f t="shared" si="80"/>
        <v>56</v>
      </c>
      <c r="R516" s="39">
        <f t="shared" si="72"/>
        <v>9</v>
      </c>
    </row>
    <row r="517" spans="1:18" x14ac:dyDescent="0.25">
      <c r="A517" t="str">
        <f>'(Raw) LensesGH'!A517</f>
        <v>Olympus M.Zuiko digital 15mm 8.0 Body Cap Lens silber</v>
      </c>
      <c r="B517" t="str">
        <f>'(Raw) LensesGH'!B517</f>
        <v>15mm</v>
      </c>
      <c r="C517" s="5">
        <f t="shared" si="73"/>
        <v>15</v>
      </c>
      <c r="D517" s="5">
        <f t="shared" si="74"/>
        <v>15</v>
      </c>
      <c r="E517" t="str">
        <f>'(Raw) LensesGH'!C517</f>
        <v>1:8.0</v>
      </c>
      <c r="F517" s="9">
        <f t="shared" si="75"/>
        <v>8</v>
      </c>
      <c r="G517" s="9">
        <f t="shared" si="76"/>
        <v>8</v>
      </c>
      <c r="H517">
        <f>'(Raw) LensesGH'!D517</f>
        <v>0</v>
      </c>
      <c r="I517" s="2">
        <f t="shared" si="77"/>
        <v>0</v>
      </c>
      <c r="J517" s="2" t="str">
        <f>'(Raw) LensesGH'!E517</f>
        <v>1:16.67</v>
      </c>
      <c r="K517" s="40">
        <f t="shared" si="78"/>
        <v>16.670000000000002</v>
      </c>
      <c r="L517" t="str">
        <f>'(Raw) LensesGH'!F517</f>
        <v>Micro-Four-Thirds</v>
      </c>
      <c r="M517" t="str">
        <f>'(Raw) LensesGH'!G517</f>
        <v>Four-Thirds</v>
      </c>
      <c r="N517" t="str">
        <f>'(Raw) LensesGH'!H517</f>
        <v>22g</v>
      </c>
      <c r="O517" s="5">
        <f t="shared" si="79"/>
        <v>22</v>
      </c>
      <c r="P517" t="str">
        <f>'(Raw) LensesGH'!I517</f>
        <v>56 x 9mm</v>
      </c>
      <c r="Q517" s="39">
        <f t="shared" si="80"/>
        <v>56</v>
      </c>
      <c r="R517" s="39">
        <f t="shared" si="72"/>
        <v>9</v>
      </c>
    </row>
    <row r="518" spans="1:18" x14ac:dyDescent="0.25">
      <c r="A518" t="str">
        <f>'(Raw) LensesGH'!A518</f>
        <v>Olympus M.Zuiko digital 15mm 8.0 Body Cap Lens weiß</v>
      </c>
      <c r="B518" t="str">
        <f>'(Raw) LensesGH'!B518</f>
        <v>15mm</v>
      </c>
      <c r="C518" s="5">
        <f t="shared" si="73"/>
        <v>15</v>
      </c>
      <c r="D518" s="5">
        <f t="shared" si="74"/>
        <v>15</v>
      </c>
      <c r="E518" t="str">
        <f>'(Raw) LensesGH'!C518</f>
        <v>1:8.0</v>
      </c>
      <c r="F518" s="9">
        <f t="shared" si="75"/>
        <v>8</v>
      </c>
      <c r="G518" s="9">
        <f t="shared" si="76"/>
        <v>8</v>
      </c>
      <c r="H518">
        <f>'(Raw) LensesGH'!D518</f>
        <v>0</v>
      </c>
      <c r="I518" s="2">
        <f t="shared" si="77"/>
        <v>0</v>
      </c>
      <c r="J518" s="2" t="str">
        <f>'(Raw) LensesGH'!E518</f>
        <v>1:16.67</v>
      </c>
      <c r="K518" s="40">
        <f t="shared" si="78"/>
        <v>16.670000000000002</v>
      </c>
      <c r="L518" t="str">
        <f>'(Raw) LensesGH'!F518</f>
        <v>Micro-Four-Thirds</v>
      </c>
      <c r="M518" t="str">
        <f>'(Raw) LensesGH'!G518</f>
        <v>Four-Thirds</v>
      </c>
      <c r="N518" t="str">
        <f>'(Raw) LensesGH'!H518</f>
        <v>22g</v>
      </c>
      <c r="O518" s="5">
        <f t="shared" si="79"/>
        <v>22</v>
      </c>
      <c r="P518" t="str">
        <f>'(Raw) LensesGH'!I518</f>
        <v>56 x 9mm</v>
      </c>
      <c r="Q518" s="39">
        <f t="shared" si="80"/>
        <v>56</v>
      </c>
      <c r="R518" s="39">
        <f t="shared" si="72"/>
        <v>9</v>
      </c>
    </row>
    <row r="519" spans="1:18" x14ac:dyDescent="0.25">
      <c r="A519" t="str">
        <f>'(Raw) LensesGH'!A519</f>
        <v>Olympus M.Zuiko digital 17mm 1.8 schwarz</v>
      </c>
      <c r="B519" t="str">
        <f>'(Raw) LensesGH'!B519</f>
        <v>17mm</v>
      </c>
      <c r="C519" s="5">
        <f t="shared" si="73"/>
        <v>17</v>
      </c>
      <c r="D519" s="5">
        <f t="shared" si="74"/>
        <v>17</v>
      </c>
      <c r="E519" t="str">
        <f>'(Raw) LensesGH'!C519</f>
        <v>1:1.8</v>
      </c>
      <c r="F519" s="9">
        <f t="shared" si="75"/>
        <v>1.8</v>
      </c>
      <c r="G519" s="9">
        <f t="shared" si="76"/>
        <v>1.8</v>
      </c>
      <c r="H519" t="str">
        <f>'(Raw) LensesGH'!D519</f>
        <v>46mm</v>
      </c>
      <c r="I519" s="2">
        <f t="shared" si="77"/>
        <v>46</v>
      </c>
      <c r="J519" s="2" t="str">
        <f>'(Raw) LensesGH'!E519</f>
        <v>1:12.50</v>
      </c>
      <c r="K519" s="40">
        <f t="shared" si="78"/>
        <v>12.5</v>
      </c>
      <c r="L519" t="str">
        <f>'(Raw) LensesGH'!F519</f>
        <v>Micro-Four-Thirds</v>
      </c>
      <c r="M519" t="str">
        <f>'(Raw) LensesGH'!G519</f>
        <v>Four-Thirds</v>
      </c>
      <c r="N519" t="str">
        <f>'(Raw) LensesGH'!H519</f>
        <v>120g</v>
      </c>
      <c r="O519" s="5">
        <f t="shared" si="79"/>
        <v>120</v>
      </c>
      <c r="P519" t="str">
        <f>'(Raw) LensesGH'!I519</f>
        <v>58 x 36mm</v>
      </c>
      <c r="Q519" s="39">
        <f t="shared" si="80"/>
        <v>58</v>
      </c>
      <c r="R519" s="39">
        <f t="shared" si="72"/>
        <v>36</v>
      </c>
    </row>
    <row r="520" spans="1:18" x14ac:dyDescent="0.25">
      <c r="A520" t="str">
        <f>'(Raw) LensesGH'!A520</f>
        <v>Olympus M.Zuiko digital 17mm 1.8 silber</v>
      </c>
      <c r="B520" t="str">
        <f>'(Raw) LensesGH'!B520</f>
        <v>17mm</v>
      </c>
      <c r="C520" s="5">
        <f t="shared" si="73"/>
        <v>17</v>
      </c>
      <c r="D520" s="5">
        <f t="shared" si="74"/>
        <v>17</v>
      </c>
      <c r="E520" t="str">
        <f>'(Raw) LensesGH'!C520</f>
        <v>1:1.8</v>
      </c>
      <c r="F520" s="9">
        <f t="shared" si="75"/>
        <v>1.8</v>
      </c>
      <c r="G520" s="9">
        <f t="shared" si="76"/>
        <v>1.8</v>
      </c>
      <c r="H520" t="str">
        <f>'(Raw) LensesGH'!D520</f>
        <v>46mm</v>
      </c>
      <c r="I520" s="2">
        <f t="shared" si="77"/>
        <v>46</v>
      </c>
      <c r="J520" s="2" t="str">
        <f>'(Raw) LensesGH'!E520</f>
        <v>1:12.50</v>
      </c>
      <c r="K520" s="40">
        <f t="shared" si="78"/>
        <v>12.5</v>
      </c>
      <c r="L520" t="str">
        <f>'(Raw) LensesGH'!F520</f>
        <v>Micro-Four-Thirds</v>
      </c>
      <c r="M520" t="str">
        <f>'(Raw) LensesGH'!G520</f>
        <v>Four-Thirds</v>
      </c>
      <c r="N520" t="str">
        <f>'(Raw) LensesGH'!H520</f>
        <v>120g</v>
      </c>
      <c r="O520" s="5">
        <f t="shared" si="79"/>
        <v>120</v>
      </c>
      <c r="P520" t="str">
        <f>'(Raw) LensesGH'!I520</f>
        <v>58 x 36mm</v>
      </c>
      <c r="Q520" s="39">
        <f t="shared" si="80"/>
        <v>58</v>
      </c>
      <c r="R520" s="39">
        <f t="shared" si="72"/>
        <v>36</v>
      </c>
    </row>
    <row r="521" spans="1:18" x14ac:dyDescent="0.25">
      <c r="A521" t="str">
        <f>'(Raw) LensesGH'!A521</f>
        <v>Olympus M.Zuiko digital 17mm 2.8 Pancake schwarz</v>
      </c>
      <c r="B521" t="str">
        <f>'(Raw) LensesGH'!B521</f>
        <v>17mm</v>
      </c>
      <c r="C521" s="5">
        <f t="shared" si="73"/>
        <v>17</v>
      </c>
      <c r="D521" s="5">
        <f t="shared" si="74"/>
        <v>17</v>
      </c>
      <c r="E521" t="str">
        <f>'(Raw) LensesGH'!C521</f>
        <v>1:2.8</v>
      </c>
      <c r="F521" s="9">
        <f t="shared" si="75"/>
        <v>2.8</v>
      </c>
      <c r="G521" s="9">
        <f t="shared" si="76"/>
        <v>2.8</v>
      </c>
      <c r="H521" t="str">
        <f>'(Raw) LensesGH'!D521</f>
        <v>37mm</v>
      </c>
      <c r="I521" s="2">
        <f t="shared" si="77"/>
        <v>37</v>
      </c>
      <c r="J521" s="2" t="str">
        <f>'(Raw) LensesGH'!E521</f>
        <v>1:9.09</v>
      </c>
      <c r="K521" s="40">
        <f t="shared" si="78"/>
        <v>9.09</v>
      </c>
      <c r="L521" t="str">
        <f>'(Raw) LensesGH'!F521</f>
        <v>Micro-Four-Thirds</v>
      </c>
      <c r="M521" t="str">
        <f>'(Raw) LensesGH'!G521</f>
        <v>Four-Thirds</v>
      </c>
      <c r="N521" t="str">
        <f>'(Raw) LensesGH'!H521</f>
        <v>71g</v>
      </c>
      <c r="O521" s="5">
        <f t="shared" si="79"/>
        <v>71</v>
      </c>
      <c r="P521" t="str">
        <f>'(Raw) LensesGH'!I521</f>
        <v>57 x 22mm</v>
      </c>
      <c r="Q521" s="39">
        <f t="shared" si="80"/>
        <v>57</v>
      </c>
      <c r="R521" s="39">
        <f t="shared" si="72"/>
        <v>22</v>
      </c>
    </row>
    <row r="522" spans="1:18" x14ac:dyDescent="0.25">
      <c r="A522" t="str">
        <f>'(Raw) LensesGH'!A522</f>
        <v>Olympus M.Zuiko digital 17mm 2.8 Pancake silber</v>
      </c>
      <c r="B522" t="str">
        <f>'(Raw) LensesGH'!B522</f>
        <v>17mm</v>
      </c>
      <c r="C522" s="5">
        <f t="shared" si="73"/>
        <v>17</v>
      </c>
      <c r="D522" s="5">
        <f t="shared" si="74"/>
        <v>17</v>
      </c>
      <c r="E522" t="str">
        <f>'(Raw) LensesGH'!C522</f>
        <v>1:2.8</v>
      </c>
      <c r="F522" s="9">
        <f t="shared" si="75"/>
        <v>2.8</v>
      </c>
      <c r="G522" s="9">
        <f t="shared" si="76"/>
        <v>2.8</v>
      </c>
      <c r="H522" t="str">
        <f>'(Raw) LensesGH'!D522</f>
        <v>37mm</v>
      </c>
      <c r="I522" s="2">
        <f t="shared" si="77"/>
        <v>37</v>
      </c>
      <c r="J522" s="2" t="str">
        <f>'(Raw) LensesGH'!E522</f>
        <v>1:9.09</v>
      </c>
      <c r="K522" s="40">
        <f t="shared" si="78"/>
        <v>9.09</v>
      </c>
      <c r="L522" t="str">
        <f>'(Raw) LensesGH'!F522</f>
        <v>Micro-Four-Thirds</v>
      </c>
      <c r="M522" t="str">
        <f>'(Raw) LensesGH'!G522</f>
        <v>Four-Thirds</v>
      </c>
      <c r="N522" t="str">
        <f>'(Raw) LensesGH'!H522</f>
        <v>71g</v>
      </c>
      <c r="O522" s="5">
        <f t="shared" si="79"/>
        <v>71</v>
      </c>
      <c r="P522" t="str">
        <f>'(Raw) LensesGH'!I522</f>
        <v>57 x 22mm</v>
      </c>
      <c r="Q522" s="39">
        <f t="shared" si="80"/>
        <v>57</v>
      </c>
      <c r="R522" s="39">
        <f t="shared" si="72"/>
        <v>22</v>
      </c>
    </row>
    <row r="523" spans="1:18" x14ac:dyDescent="0.25">
      <c r="A523" t="str">
        <f>'(Raw) LensesGH'!A523</f>
        <v>Olympus M.Zuiko digital 25mm 1.8 schwarz</v>
      </c>
      <c r="B523" t="str">
        <f>'(Raw) LensesGH'!B523</f>
        <v>25mm</v>
      </c>
      <c r="C523" s="5">
        <f t="shared" si="73"/>
        <v>25</v>
      </c>
      <c r="D523" s="5">
        <f t="shared" si="74"/>
        <v>25</v>
      </c>
      <c r="E523" t="str">
        <f>'(Raw) LensesGH'!C523</f>
        <v>1:1.8</v>
      </c>
      <c r="F523" s="9">
        <f t="shared" si="75"/>
        <v>1.8</v>
      </c>
      <c r="G523" s="9">
        <f t="shared" si="76"/>
        <v>1.8</v>
      </c>
      <c r="H523" t="str">
        <f>'(Raw) LensesGH'!D523</f>
        <v>46mm</v>
      </c>
      <c r="I523" s="2">
        <f t="shared" si="77"/>
        <v>46</v>
      </c>
      <c r="J523" s="2" t="str">
        <f>'(Raw) LensesGH'!E523</f>
        <v>1:4.17</v>
      </c>
      <c r="K523" s="40">
        <f t="shared" si="78"/>
        <v>4.17</v>
      </c>
      <c r="L523" t="str">
        <f>'(Raw) LensesGH'!F523</f>
        <v>Micro-Four-Thirds</v>
      </c>
      <c r="M523" t="str">
        <f>'(Raw) LensesGH'!G523</f>
        <v>Four-Thirds</v>
      </c>
      <c r="N523" t="str">
        <f>'(Raw) LensesGH'!H523</f>
        <v>137g</v>
      </c>
      <c r="O523" s="5">
        <f t="shared" si="79"/>
        <v>137</v>
      </c>
      <c r="P523" t="str">
        <f>'(Raw) LensesGH'!I523</f>
        <v>58 x 42mm</v>
      </c>
      <c r="Q523" s="39">
        <f t="shared" si="80"/>
        <v>58</v>
      </c>
      <c r="R523" s="39">
        <f t="shared" si="72"/>
        <v>42</v>
      </c>
    </row>
    <row r="524" spans="1:18" x14ac:dyDescent="0.25">
      <c r="A524" t="str">
        <f>'(Raw) LensesGH'!A524</f>
        <v>Olympus M.Zuiko digital 25mm 1.8 silber</v>
      </c>
      <c r="B524" t="str">
        <f>'(Raw) LensesGH'!B524</f>
        <v>25mm</v>
      </c>
      <c r="C524" s="5">
        <f t="shared" si="73"/>
        <v>25</v>
      </c>
      <c r="D524" s="5">
        <f t="shared" si="74"/>
        <v>25</v>
      </c>
      <c r="E524" t="str">
        <f>'(Raw) LensesGH'!C524</f>
        <v>1:1.8</v>
      </c>
      <c r="F524" s="9">
        <f t="shared" si="75"/>
        <v>1.8</v>
      </c>
      <c r="G524" s="9">
        <f t="shared" si="76"/>
        <v>1.8</v>
      </c>
      <c r="H524" t="str">
        <f>'(Raw) LensesGH'!D524</f>
        <v>46mm</v>
      </c>
      <c r="I524" s="2">
        <f t="shared" si="77"/>
        <v>46</v>
      </c>
      <c r="J524" s="2" t="str">
        <f>'(Raw) LensesGH'!E524</f>
        <v>1:4.17</v>
      </c>
      <c r="K524" s="40">
        <f t="shared" si="78"/>
        <v>4.17</v>
      </c>
      <c r="L524" t="str">
        <f>'(Raw) LensesGH'!F524</f>
        <v>Micro-Four-Thirds</v>
      </c>
      <c r="M524" t="str">
        <f>'(Raw) LensesGH'!G524</f>
        <v>Four-Thirds</v>
      </c>
      <c r="N524" t="str">
        <f>'(Raw) LensesGH'!H524</f>
        <v>137g</v>
      </c>
      <c r="O524" s="5">
        <f t="shared" si="79"/>
        <v>137</v>
      </c>
      <c r="P524" t="str">
        <f>'(Raw) LensesGH'!I524</f>
        <v>58 x 42mm</v>
      </c>
      <c r="Q524" s="39">
        <f t="shared" si="80"/>
        <v>58</v>
      </c>
      <c r="R524" s="39">
        <f t="shared" si="72"/>
        <v>42</v>
      </c>
    </row>
    <row r="525" spans="1:18" x14ac:dyDescent="0.25">
      <c r="A525" t="str">
        <f>'(Raw) LensesGH'!A525</f>
        <v>Olympus M.Zuiko digital 45mm 1.8 schwarz</v>
      </c>
      <c r="B525" t="str">
        <f>'(Raw) LensesGH'!B525</f>
        <v>45mm</v>
      </c>
      <c r="C525" s="5">
        <f t="shared" si="73"/>
        <v>45</v>
      </c>
      <c r="D525" s="5">
        <f t="shared" si="74"/>
        <v>45</v>
      </c>
      <c r="E525" t="str">
        <f>'(Raw) LensesGH'!C525</f>
        <v>1:1.8</v>
      </c>
      <c r="F525" s="9">
        <f t="shared" si="75"/>
        <v>1.8</v>
      </c>
      <c r="G525" s="9">
        <f t="shared" si="76"/>
        <v>1.8</v>
      </c>
      <c r="H525" t="str">
        <f>'(Raw) LensesGH'!D525</f>
        <v>37mm</v>
      </c>
      <c r="I525" s="2">
        <f t="shared" si="77"/>
        <v>37</v>
      </c>
      <c r="J525" s="2" t="str">
        <f>'(Raw) LensesGH'!E525</f>
        <v>1:9.09</v>
      </c>
      <c r="K525" s="40">
        <f t="shared" si="78"/>
        <v>9.09</v>
      </c>
      <c r="L525" t="str">
        <f>'(Raw) LensesGH'!F525</f>
        <v>Micro-Four-Thirds</v>
      </c>
      <c r="M525" t="str">
        <f>'(Raw) LensesGH'!G525</f>
        <v>Four-Thirds</v>
      </c>
      <c r="N525" t="str">
        <f>'(Raw) LensesGH'!H525</f>
        <v>116g</v>
      </c>
      <c r="O525" s="5">
        <f t="shared" si="79"/>
        <v>116</v>
      </c>
      <c r="P525" t="str">
        <f>'(Raw) LensesGH'!I525</f>
        <v>56 x 46mm</v>
      </c>
      <c r="Q525" s="39">
        <f t="shared" si="80"/>
        <v>56</v>
      </c>
      <c r="R525" s="39">
        <f t="shared" si="72"/>
        <v>46</v>
      </c>
    </row>
    <row r="526" spans="1:18" x14ac:dyDescent="0.25">
      <c r="A526" t="str">
        <f>'(Raw) LensesGH'!A526</f>
        <v>Olympus M.Zuiko digital 45mm 1.8 silber</v>
      </c>
      <c r="B526" t="str">
        <f>'(Raw) LensesGH'!B526</f>
        <v>45mm</v>
      </c>
      <c r="C526" s="5">
        <f t="shared" si="73"/>
        <v>45</v>
      </c>
      <c r="D526" s="5">
        <f t="shared" si="74"/>
        <v>45</v>
      </c>
      <c r="E526" t="str">
        <f>'(Raw) LensesGH'!C526</f>
        <v>1:1.8</v>
      </c>
      <c r="F526" s="9">
        <f t="shared" si="75"/>
        <v>1.8</v>
      </c>
      <c r="G526" s="9">
        <f t="shared" si="76"/>
        <v>1.8</v>
      </c>
      <c r="H526" t="str">
        <f>'(Raw) LensesGH'!D526</f>
        <v>37mm</v>
      </c>
      <c r="I526" s="2">
        <f t="shared" si="77"/>
        <v>37</v>
      </c>
      <c r="J526" s="2" t="str">
        <f>'(Raw) LensesGH'!E526</f>
        <v>1:9.09</v>
      </c>
      <c r="K526" s="40">
        <f t="shared" si="78"/>
        <v>9.09</v>
      </c>
      <c r="L526" t="str">
        <f>'(Raw) LensesGH'!F526</f>
        <v>Micro-Four-Thirds</v>
      </c>
      <c r="M526" t="str">
        <f>'(Raw) LensesGH'!G526</f>
        <v>Four-Thirds</v>
      </c>
      <c r="N526" t="str">
        <f>'(Raw) LensesGH'!H526</f>
        <v>116g</v>
      </c>
      <c r="O526" s="5">
        <f t="shared" si="79"/>
        <v>116</v>
      </c>
      <c r="P526" t="str">
        <f>'(Raw) LensesGH'!I526</f>
        <v>56 x 46mm</v>
      </c>
      <c r="Q526" s="39">
        <f t="shared" si="80"/>
        <v>56</v>
      </c>
      <c r="R526" s="39">
        <f t="shared" si="72"/>
        <v>46</v>
      </c>
    </row>
    <row r="527" spans="1:18" x14ac:dyDescent="0.25">
      <c r="A527" t="str">
        <f>'(Raw) LensesGH'!A527</f>
        <v>Olympus M.Zuiko digital 9mm 8.0 Body Cap Lens schwarz</v>
      </c>
      <c r="B527" t="str">
        <f>'(Raw) LensesGH'!B527</f>
        <v>9mm</v>
      </c>
      <c r="C527" s="5">
        <f t="shared" si="73"/>
        <v>9</v>
      </c>
      <c r="D527" s="5">
        <f t="shared" si="74"/>
        <v>9</v>
      </c>
      <c r="E527" t="str">
        <f>'(Raw) LensesGH'!C527</f>
        <v>1:8.0</v>
      </c>
      <c r="F527" s="9">
        <f t="shared" si="75"/>
        <v>8</v>
      </c>
      <c r="G527" s="9">
        <f t="shared" si="76"/>
        <v>8</v>
      </c>
      <c r="H527">
        <f>'(Raw) LensesGH'!D527</f>
        <v>0</v>
      </c>
      <c r="I527" s="2">
        <f t="shared" si="77"/>
        <v>0</v>
      </c>
      <c r="J527" s="2" t="str">
        <f>'(Raw) LensesGH'!E527</f>
        <v>1:21.74</v>
      </c>
      <c r="K527" s="40">
        <f t="shared" si="78"/>
        <v>21.74</v>
      </c>
      <c r="L527" t="str">
        <f>'(Raw) LensesGH'!F527</f>
        <v>Micro-Four-Thirds</v>
      </c>
      <c r="M527" t="str">
        <f>'(Raw) LensesGH'!G527</f>
        <v>Four-Thirds</v>
      </c>
      <c r="N527" t="str">
        <f>'(Raw) LensesGH'!H527</f>
        <v>30g</v>
      </c>
      <c r="O527" s="5">
        <f t="shared" si="79"/>
        <v>30</v>
      </c>
      <c r="P527" t="str">
        <f>'(Raw) LensesGH'!I527</f>
        <v>56 x 12.8mm</v>
      </c>
      <c r="Q527" s="39">
        <f t="shared" si="80"/>
        <v>56</v>
      </c>
      <c r="R527" s="39">
        <f t="shared" si="72"/>
        <v>12.8</v>
      </c>
    </row>
    <row r="528" spans="1:18" x14ac:dyDescent="0.25">
      <c r="A528" t="str">
        <f>'(Raw) LensesGH'!A528</f>
        <v>Olympus M.Zuiko digital 9mm 8.0 Body Cap Lens weiß</v>
      </c>
      <c r="B528" t="str">
        <f>'(Raw) LensesGH'!B528</f>
        <v>9mm</v>
      </c>
      <c r="C528" s="5">
        <f t="shared" si="73"/>
        <v>9</v>
      </c>
      <c r="D528" s="5">
        <f t="shared" si="74"/>
        <v>9</v>
      </c>
      <c r="E528" t="str">
        <f>'(Raw) LensesGH'!C528</f>
        <v>1:8.0</v>
      </c>
      <c r="F528" s="9">
        <f t="shared" si="75"/>
        <v>8</v>
      </c>
      <c r="G528" s="9">
        <f t="shared" si="76"/>
        <v>8</v>
      </c>
      <c r="H528">
        <f>'(Raw) LensesGH'!D528</f>
        <v>0</v>
      </c>
      <c r="I528" s="2">
        <f t="shared" si="77"/>
        <v>0</v>
      </c>
      <c r="J528" s="2" t="str">
        <f>'(Raw) LensesGH'!E528</f>
        <v>1:21.74</v>
      </c>
      <c r="K528" s="40">
        <f t="shared" si="78"/>
        <v>21.74</v>
      </c>
      <c r="L528" t="str">
        <f>'(Raw) LensesGH'!F528</f>
        <v>Micro-Four-Thirds</v>
      </c>
      <c r="M528" t="str">
        <f>'(Raw) LensesGH'!G528</f>
        <v>Four-Thirds</v>
      </c>
      <c r="N528" t="str">
        <f>'(Raw) LensesGH'!H528</f>
        <v>30g</v>
      </c>
      <c r="O528" s="5">
        <f t="shared" si="79"/>
        <v>30</v>
      </c>
      <c r="P528" t="str">
        <f>'(Raw) LensesGH'!I528</f>
        <v>56 x 12.8mm</v>
      </c>
      <c r="Q528" s="39">
        <f t="shared" si="80"/>
        <v>56</v>
      </c>
      <c r="R528" s="39">
        <f t="shared" si="72"/>
        <v>12.8</v>
      </c>
    </row>
    <row r="529" spans="1:18" x14ac:dyDescent="0.25">
      <c r="A529" t="str">
        <f>'(Raw) LensesGH'!A529</f>
        <v>Olympus M.Zuiko digital ED 12-100mm 4.0 IS PRO schwarz</v>
      </c>
      <c r="B529" t="str">
        <f>'(Raw) LensesGH'!B529</f>
        <v>12 - 100mm</v>
      </c>
      <c r="C529" s="5">
        <f t="shared" si="73"/>
        <v>12</v>
      </c>
      <c r="D529" s="5">
        <f t="shared" si="74"/>
        <v>100</v>
      </c>
      <c r="E529" t="str">
        <f>'(Raw) LensesGH'!C529</f>
        <v>1:4.0</v>
      </c>
      <c r="F529" s="9">
        <f t="shared" si="75"/>
        <v>4</v>
      </c>
      <c r="G529" s="9">
        <f t="shared" si="76"/>
        <v>4</v>
      </c>
      <c r="H529" t="str">
        <f>'(Raw) LensesGH'!D529</f>
        <v>72mm</v>
      </c>
      <c r="I529" s="2">
        <f t="shared" si="77"/>
        <v>72</v>
      </c>
      <c r="J529" s="2" t="str">
        <f>'(Raw) LensesGH'!E529</f>
        <v>1:3.33</v>
      </c>
      <c r="K529" s="40">
        <f t="shared" si="78"/>
        <v>3.33</v>
      </c>
      <c r="L529" t="str">
        <f>'(Raw) LensesGH'!F529</f>
        <v>Micro-Four-Thirds</v>
      </c>
      <c r="M529" t="str">
        <f>'(Raw) LensesGH'!G529</f>
        <v>Four-Thirds</v>
      </c>
      <c r="N529" t="str">
        <f>'(Raw) LensesGH'!H529</f>
        <v>561g</v>
      </c>
      <c r="O529" s="5">
        <f t="shared" si="79"/>
        <v>561</v>
      </c>
      <c r="P529" t="str">
        <f>'(Raw) LensesGH'!I529</f>
        <v>77.5 x 116.5mm</v>
      </c>
      <c r="Q529" s="39">
        <f t="shared" si="80"/>
        <v>77.5</v>
      </c>
      <c r="R529" s="39">
        <f t="shared" si="72"/>
        <v>116.5</v>
      </c>
    </row>
    <row r="530" spans="1:18" x14ac:dyDescent="0.25">
      <c r="A530" t="str">
        <f>'(Raw) LensesGH'!A530</f>
        <v>Olympus M.Zuiko digital ED 12-40mm 2.8 PRO schwarz</v>
      </c>
      <c r="B530" t="str">
        <f>'(Raw) LensesGH'!B530</f>
        <v>12 - 40mm</v>
      </c>
      <c r="C530" s="5">
        <f t="shared" si="73"/>
        <v>12</v>
      </c>
      <c r="D530" s="5">
        <f t="shared" si="74"/>
        <v>40</v>
      </c>
      <c r="E530" t="str">
        <f>'(Raw) LensesGH'!C530</f>
        <v>1:2.8</v>
      </c>
      <c r="F530" s="9">
        <f t="shared" si="75"/>
        <v>2.8</v>
      </c>
      <c r="G530" s="9">
        <f t="shared" si="76"/>
        <v>2.8</v>
      </c>
      <c r="H530" t="str">
        <f>'(Raw) LensesGH'!D530</f>
        <v>62mm</v>
      </c>
      <c r="I530" s="2">
        <f t="shared" si="77"/>
        <v>62</v>
      </c>
      <c r="J530" s="2" t="str">
        <f>'(Raw) LensesGH'!E530</f>
        <v>1:3.33</v>
      </c>
      <c r="K530" s="40">
        <f t="shared" si="78"/>
        <v>3.33</v>
      </c>
      <c r="L530" t="str">
        <f>'(Raw) LensesGH'!F530</f>
        <v>Micro-Four-Thirds</v>
      </c>
      <c r="M530" t="str">
        <f>'(Raw) LensesGH'!G530</f>
        <v>Four-Thirds</v>
      </c>
      <c r="N530" t="str">
        <f>'(Raw) LensesGH'!H530</f>
        <v>382g</v>
      </c>
      <c r="O530" s="5">
        <f t="shared" si="79"/>
        <v>382</v>
      </c>
      <c r="P530" t="str">
        <f>'(Raw) LensesGH'!I530</f>
        <v>70 x 84mm</v>
      </c>
      <c r="Q530" s="39">
        <f t="shared" si="80"/>
        <v>70</v>
      </c>
      <c r="R530" s="39">
        <f t="shared" si="72"/>
        <v>84</v>
      </c>
    </row>
    <row r="531" spans="1:18" x14ac:dyDescent="0.25">
      <c r="A531" t="str">
        <f>'(Raw) LensesGH'!A531</f>
        <v>Olympus M.Zuiko digital ED 12-50mm 3.5-6.3 EZ schwarz</v>
      </c>
      <c r="B531" t="str">
        <f>'(Raw) LensesGH'!B531</f>
        <v>12 - 50mm</v>
      </c>
      <c r="C531" s="5">
        <f t="shared" si="73"/>
        <v>12</v>
      </c>
      <c r="D531" s="5">
        <f t="shared" si="74"/>
        <v>50</v>
      </c>
      <c r="E531" t="str">
        <f>'(Raw) LensesGH'!C531</f>
        <v>1:3.5-1:6.3</v>
      </c>
      <c r="F531" s="9">
        <f t="shared" si="75"/>
        <v>3.5</v>
      </c>
      <c r="G531" s="9">
        <f t="shared" si="76"/>
        <v>3.5</v>
      </c>
      <c r="H531" t="str">
        <f>'(Raw) LensesGH'!D531</f>
        <v>52mm</v>
      </c>
      <c r="I531" s="2">
        <f t="shared" si="77"/>
        <v>52</v>
      </c>
      <c r="J531" s="2" t="str">
        <f>'(Raw) LensesGH'!E531</f>
        <v>1:2.78</v>
      </c>
      <c r="K531" s="40">
        <f t="shared" si="78"/>
        <v>2.78</v>
      </c>
      <c r="L531" t="str">
        <f>'(Raw) LensesGH'!F531</f>
        <v>Micro-Four-Thirds</v>
      </c>
      <c r="M531" t="str">
        <f>'(Raw) LensesGH'!G531</f>
        <v>Four-Thirds</v>
      </c>
      <c r="N531" t="str">
        <f>'(Raw) LensesGH'!H531</f>
        <v>211g</v>
      </c>
      <c r="O531" s="5">
        <f t="shared" si="79"/>
        <v>211</v>
      </c>
      <c r="P531" t="str">
        <f>'(Raw) LensesGH'!I531</f>
        <v>57 x 83mm</v>
      </c>
      <c r="Q531" s="39">
        <f t="shared" si="80"/>
        <v>57</v>
      </c>
      <c r="R531" s="39">
        <f t="shared" si="72"/>
        <v>83</v>
      </c>
    </row>
    <row r="532" spans="1:18" x14ac:dyDescent="0.25">
      <c r="A532" t="str">
        <f>'(Raw) LensesGH'!A532</f>
        <v>Olympus M.Zuiko digital ED 12-50mm 3.5-6.3 EZ silber</v>
      </c>
      <c r="B532" t="str">
        <f>'(Raw) LensesGH'!B532</f>
        <v>12 - 50mm</v>
      </c>
      <c r="C532" s="5">
        <f t="shared" si="73"/>
        <v>12</v>
      </c>
      <c r="D532" s="5">
        <f t="shared" si="74"/>
        <v>50</v>
      </c>
      <c r="E532" t="str">
        <f>'(Raw) LensesGH'!C532</f>
        <v>1:3.5-1:6.3</v>
      </c>
      <c r="F532" s="9">
        <f t="shared" si="75"/>
        <v>3.5</v>
      </c>
      <c r="G532" s="9">
        <f t="shared" si="76"/>
        <v>3.5</v>
      </c>
      <c r="H532" t="str">
        <f>'(Raw) LensesGH'!D532</f>
        <v>52mm</v>
      </c>
      <c r="I532" s="2">
        <f t="shared" si="77"/>
        <v>52</v>
      </c>
      <c r="J532" s="2" t="str">
        <f>'(Raw) LensesGH'!E532</f>
        <v>1:2.78</v>
      </c>
      <c r="K532" s="40">
        <f t="shared" si="78"/>
        <v>2.78</v>
      </c>
      <c r="L532" t="str">
        <f>'(Raw) LensesGH'!F532</f>
        <v>Micro-Four-Thirds</v>
      </c>
      <c r="M532" t="str">
        <f>'(Raw) LensesGH'!G532</f>
        <v>Four-Thirds</v>
      </c>
      <c r="N532" t="str">
        <f>'(Raw) LensesGH'!H532</f>
        <v>211g</v>
      </c>
      <c r="O532" s="5">
        <f t="shared" si="79"/>
        <v>211</v>
      </c>
      <c r="P532" t="str">
        <f>'(Raw) LensesGH'!I532</f>
        <v>57 x 83mm</v>
      </c>
      <c r="Q532" s="39">
        <f t="shared" si="80"/>
        <v>57</v>
      </c>
      <c r="R532" s="39">
        <f t="shared" si="72"/>
        <v>83</v>
      </c>
    </row>
    <row r="533" spans="1:18" x14ac:dyDescent="0.25">
      <c r="A533" t="str">
        <f>'(Raw) LensesGH'!A533</f>
        <v>Olympus M.Zuiko digital ED 12mm 2.0 Limited Edition schwarz</v>
      </c>
      <c r="B533" t="str">
        <f>'(Raw) LensesGH'!B533</f>
        <v>12mm</v>
      </c>
      <c r="C533" s="5">
        <f t="shared" si="73"/>
        <v>12</v>
      </c>
      <c r="D533" s="5">
        <f t="shared" si="74"/>
        <v>12</v>
      </c>
      <c r="E533" t="str">
        <f>'(Raw) LensesGH'!C533</f>
        <v>1:2.0</v>
      </c>
      <c r="F533" s="9">
        <f t="shared" si="75"/>
        <v>2</v>
      </c>
      <c r="G533" s="9">
        <f t="shared" si="76"/>
        <v>2</v>
      </c>
      <c r="H533" t="str">
        <f>'(Raw) LensesGH'!D533</f>
        <v>46mm</v>
      </c>
      <c r="I533" s="2">
        <f t="shared" si="77"/>
        <v>46</v>
      </c>
      <c r="J533" s="2" t="str">
        <f>'(Raw) LensesGH'!E533</f>
        <v>1:12.50</v>
      </c>
      <c r="K533" s="40">
        <f t="shared" si="78"/>
        <v>12.5</v>
      </c>
      <c r="L533" t="str">
        <f>'(Raw) LensesGH'!F533</f>
        <v>Micro-Four-Thirds</v>
      </c>
      <c r="M533" t="str">
        <f>'(Raw) LensesGH'!G533</f>
        <v>Four-Thirds</v>
      </c>
      <c r="N533" t="str">
        <f>'(Raw) LensesGH'!H533</f>
        <v>130g</v>
      </c>
      <c r="O533" s="5">
        <f t="shared" si="79"/>
        <v>130</v>
      </c>
      <c r="P533" t="str">
        <f>'(Raw) LensesGH'!I533</f>
        <v>56 x 43mm</v>
      </c>
      <c r="Q533" s="39">
        <f t="shared" si="80"/>
        <v>56</v>
      </c>
      <c r="R533" s="39">
        <f t="shared" si="72"/>
        <v>43</v>
      </c>
    </row>
    <row r="534" spans="1:18" x14ac:dyDescent="0.25">
      <c r="A534" t="str">
        <f>'(Raw) LensesGH'!A534</f>
        <v>Olympus M.Zuiko digital ED 12mm 2.0 silber</v>
      </c>
      <c r="B534" t="str">
        <f>'(Raw) LensesGH'!B534</f>
        <v>12mm</v>
      </c>
      <c r="C534" s="5">
        <f t="shared" si="73"/>
        <v>12</v>
      </c>
      <c r="D534" s="5">
        <f t="shared" si="74"/>
        <v>12</v>
      </c>
      <c r="E534" t="str">
        <f>'(Raw) LensesGH'!C534</f>
        <v>1:2.0</v>
      </c>
      <c r="F534" s="9">
        <f t="shared" si="75"/>
        <v>2</v>
      </c>
      <c r="G534" s="9">
        <f t="shared" si="76"/>
        <v>2</v>
      </c>
      <c r="H534" t="str">
        <f>'(Raw) LensesGH'!D534</f>
        <v>46mm</v>
      </c>
      <c r="I534" s="2">
        <f t="shared" si="77"/>
        <v>46</v>
      </c>
      <c r="J534" s="2" t="str">
        <f>'(Raw) LensesGH'!E534</f>
        <v>1:12.50</v>
      </c>
      <c r="K534" s="40">
        <f t="shared" si="78"/>
        <v>12.5</v>
      </c>
      <c r="L534" t="str">
        <f>'(Raw) LensesGH'!F534</f>
        <v>Micro-Four-Thirds</v>
      </c>
      <c r="M534" t="str">
        <f>'(Raw) LensesGH'!G534</f>
        <v>Four-Thirds</v>
      </c>
      <c r="N534" t="str">
        <f>'(Raw) LensesGH'!H534</f>
        <v>130g</v>
      </c>
      <c r="O534" s="5">
        <f t="shared" si="79"/>
        <v>130</v>
      </c>
      <c r="P534" t="str">
        <f>'(Raw) LensesGH'!I534</f>
        <v>56 x 43mm</v>
      </c>
      <c r="Q534" s="39">
        <f t="shared" si="80"/>
        <v>56</v>
      </c>
      <c r="R534" s="39">
        <f t="shared" si="72"/>
        <v>43</v>
      </c>
    </row>
    <row r="535" spans="1:18" x14ac:dyDescent="0.25">
      <c r="A535" t="str">
        <f>'(Raw) LensesGH'!A535</f>
        <v>Olympus M.Zuiko digital ED 14-150mm 4.0-5.6 II schwarz</v>
      </c>
      <c r="B535" t="str">
        <f>'(Raw) LensesGH'!B535</f>
        <v>14 - 150mm</v>
      </c>
      <c r="C535" s="5">
        <f t="shared" si="73"/>
        <v>14</v>
      </c>
      <c r="D535" s="5">
        <f t="shared" si="74"/>
        <v>150</v>
      </c>
      <c r="E535" t="str">
        <f>'(Raw) LensesGH'!C535</f>
        <v>1:4.0-1:5.6</v>
      </c>
      <c r="F535" s="9">
        <f t="shared" si="75"/>
        <v>4</v>
      </c>
      <c r="G535" s="9">
        <f t="shared" si="76"/>
        <v>4</v>
      </c>
      <c r="H535" t="str">
        <f>'(Raw) LensesGH'!D535</f>
        <v>58mm</v>
      </c>
      <c r="I535" s="2">
        <f t="shared" si="77"/>
        <v>58</v>
      </c>
      <c r="J535" s="2" t="str">
        <f>'(Raw) LensesGH'!E535</f>
        <v>1:4.17</v>
      </c>
      <c r="K535" s="40">
        <f t="shared" si="78"/>
        <v>4.17</v>
      </c>
      <c r="L535" t="str">
        <f>'(Raw) LensesGH'!F535</f>
        <v>Micro-Four-Thirds</v>
      </c>
      <c r="M535" t="str">
        <f>'(Raw) LensesGH'!G535</f>
        <v>Four-Thirds</v>
      </c>
      <c r="N535" t="str">
        <f>'(Raw) LensesGH'!H535</f>
        <v>285g</v>
      </c>
      <c r="O535" s="5">
        <f t="shared" si="79"/>
        <v>285</v>
      </c>
      <c r="P535" t="str">
        <f>'(Raw) LensesGH'!I535</f>
        <v>63.5 x 83mm</v>
      </c>
      <c r="Q535" s="39">
        <f t="shared" si="80"/>
        <v>63.5</v>
      </c>
      <c r="R535" s="39">
        <f t="shared" si="72"/>
        <v>83</v>
      </c>
    </row>
    <row r="536" spans="1:18" x14ac:dyDescent="0.25">
      <c r="A536" t="str">
        <f>'(Raw) LensesGH'!A536</f>
        <v>Olympus M.Zuiko digital ED 14-42mm 3.5-5.6 EZ schwarz</v>
      </c>
      <c r="B536" t="str">
        <f>'(Raw) LensesGH'!B536</f>
        <v>14 - 42mm</v>
      </c>
      <c r="C536" s="5">
        <f t="shared" si="73"/>
        <v>14</v>
      </c>
      <c r="D536" s="5">
        <f t="shared" si="74"/>
        <v>42</v>
      </c>
      <c r="E536" t="str">
        <f>'(Raw) LensesGH'!C536</f>
        <v>1:3.5-1:5.6</v>
      </c>
      <c r="F536" s="9">
        <f t="shared" si="75"/>
        <v>3.5</v>
      </c>
      <c r="G536" s="9">
        <f t="shared" si="76"/>
        <v>3.5</v>
      </c>
      <c r="H536" t="str">
        <f>'(Raw) LensesGH'!D536</f>
        <v>37mm</v>
      </c>
      <c r="I536" s="2">
        <f t="shared" si="77"/>
        <v>37</v>
      </c>
      <c r="J536" s="2" t="str">
        <f>'(Raw) LensesGH'!E536</f>
        <v>1:4.35</v>
      </c>
      <c r="K536" s="40">
        <f t="shared" si="78"/>
        <v>4.3499999999999996</v>
      </c>
      <c r="L536" t="str">
        <f>'(Raw) LensesGH'!F536</f>
        <v>Micro-Four-Thirds</v>
      </c>
      <c r="M536" t="str">
        <f>'(Raw) LensesGH'!G536</f>
        <v>Four-Thirds</v>
      </c>
      <c r="N536" t="str">
        <f>'(Raw) LensesGH'!H536</f>
        <v>93g</v>
      </c>
      <c r="O536" s="5">
        <f t="shared" si="79"/>
        <v>93</v>
      </c>
      <c r="P536" t="str">
        <f>'(Raw) LensesGH'!I536</f>
        <v>60.6 x 22.5mm</v>
      </c>
      <c r="Q536" s="39">
        <f t="shared" si="80"/>
        <v>60.6</v>
      </c>
      <c r="R536" s="39">
        <f t="shared" si="72"/>
        <v>22.5</v>
      </c>
    </row>
    <row r="537" spans="1:18" x14ac:dyDescent="0.25">
      <c r="A537" t="str">
        <f>'(Raw) LensesGH'!A537</f>
        <v>Olympus M.Zuiko digital ED 14-42mm 3.5-5.6 EZ silber</v>
      </c>
      <c r="B537" t="str">
        <f>'(Raw) LensesGH'!B537</f>
        <v>14 - 42mm</v>
      </c>
      <c r="C537" s="5">
        <f t="shared" si="73"/>
        <v>14</v>
      </c>
      <c r="D537" s="5">
        <f t="shared" si="74"/>
        <v>42</v>
      </c>
      <c r="E537" t="str">
        <f>'(Raw) LensesGH'!C537</f>
        <v>1:3.5-1:5.6</v>
      </c>
      <c r="F537" s="9">
        <f t="shared" si="75"/>
        <v>3.5</v>
      </c>
      <c r="G537" s="9">
        <f t="shared" si="76"/>
        <v>3.5</v>
      </c>
      <c r="H537" t="str">
        <f>'(Raw) LensesGH'!D537</f>
        <v>37mm</v>
      </c>
      <c r="I537" s="2">
        <f t="shared" si="77"/>
        <v>37</v>
      </c>
      <c r="J537" s="2" t="str">
        <f>'(Raw) LensesGH'!E537</f>
        <v>1:4.35</v>
      </c>
      <c r="K537" s="40">
        <f t="shared" si="78"/>
        <v>4.3499999999999996</v>
      </c>
      <c r="L537" t="str">
        <f>'(Raw) LensesGH'!F537</f>
        <v>Micro-Four-Thirds</v>
      </c>
      <c r="M537" t="str">
        <f>'(Raw) LensesGH'!G537</f>
        <v>Four-Thirds</v>
      </c>
      <c r="N537" t="str">
        <f>'(Raw) LensesGH'!H537</f>
        <v>93g</v>
      </c>
      <c r="O537" s="5">
        <f t="shared" si="79"/>
        <v>93</v>
      </c>
      <c r="P537" t="str">
        <f>'(Raw) LensesGH'!I537</f>
        <v>60.6 x 22.5mm</v>
      </c>
      <c r="Q537" s="39">
        <f t="shared" si="80"/>
        <v>60.6</v>
      </c>
      <c r="R537" s="39">
        <f t="shared" si="72"/>
        <v>22.5</v>
      </c>
    </row>
    <row r="538" spans="1:18" x14ac:dyDescent="0.25">
      <c r="A538" t="str">
        <f>'(Raw) LensesGH'!A538</f>
        <v>Olympus M.Zuiko digital ED 17mm 1.2 PRO schwarz</v>
      </c>
      <c r="B538" t="str">
        <f>'(Raw) LensesGH'!B538</f>
        <v>17mm</v>
      </c>
      <c r="C538" s="5">
        <f t="shared" si="73"/>
        <v>17</v>
      </c>
      <c r="D538" s="5">
        <f t="shared" si="74"/>
        <v>17</v>
      </c>
      <c r="E538" t="str">
        <f>'(Raw) LensesGH'!C538</f>
        <v>1:1.2</v>
      </c>
      <c r="F538" s="9">
        <f t="shared" si="75"/>
        <v>1.2</v>
      </c>
      <c r="G538" s="9">
        <f t="shared" si="76"/>
        <v>1.2</v>
      </c>
      <c r="H538" t="str">
        <f>'(Raw) LensesGH'!D538</f>
        <v>62mm</v>
      </c>
      <c r="I538" s="2">
        <f t="shared" si="77"/>
        <v>62</v>
      </c>
      <c r="J538" s="2" t="str">
        <f>'(Raw) LensesGH'!E538</f>
        <v>1:6.67</v>
      </c>
      <c r="K538" s="40">
        <f t="shared" si="78"/>
        <v>6.67</v>
      </c>
      <c r="L538" t="str">
        <f>'(Raw) LensesGH'!F538</f>
        <v>Micro-Four-Thirds</v>
      </c>
      <c r="M538" t="str">
        <f>'(Raw) LensesGH'!G538</f>
        <v>Four-Thirds</v>
      </c>
      <c r="N538" t="str">
        <f>'(Raw) LensesGH'!H538</f>
        <v>390g</v>
      </c>
      <c r="O538" s="5">
        <f t="shared" si="79"/>
        <v>390</v>
      </c>
      <c r="P538" t="str">
        <f>'(Raw) LensesGH'!I538</f>
        <v>68.2 x 87mm</v>
      </c>
      <c r="Q538" s="39">
        <f t="shared" si="80"/>
        <v>68.2</v>
      </c>
      <c r="R538" s="39">
        <f t="shared" si="72"/>
        <v>87</v>
      </c>
    </row>
    <row r="539" spans="1:18" x14ac:dyDescent="0.25">
      <c r="A539" t="str">
        <f>'(Raw) LensesGH'!A539</f>
        <v>Olympus M.Zuiko digital ED 25mm 1.2 PRO schwarz</v>
      </c>
      <c r="B539" t="str">
        <f>'(Raw) LensesGH'!B539</f>
        <v>25mm</v>
      </c>
      <c r="C539" s="5">
        <f t="shared" si="73"/>
        <v>25</v>
      </c>
      <c r="D539" s="5">
        <f t="shared" si="74"/>
        <v>25</v>
      </c>
      <c r="E539" t="str">
        <f>'(Raw) LensesGH'!C539</f>
        <v>1:1.2</v>
      </c>
      <c r="F539" s="9">
        <f t="shared" si="75"/>
        <v>1.2</v>
      </c>
      <c r="G539" s="9">
        <f t="shared" si="76"/>
        <v>1.2</v>
      </c>
      <c r="H539" t="str">
        <f>'(Raw) LensesGH'!D539</f>
        <v>62mm</v>
      </c>
      <c r="I539" s="2">
        <f t="shared" si="77"/>
        <v>62</v>
      </c>
      <c r="J539" s="2" t="str">
        <f>'(Raw) LensesGH'!E539</f>
        <v>1:9.09</v>
      </c>
      <c r="K539" s="40">
        <f t="shared" si="78"/>
        <v>9.09</v>
      </c>
      <c r="L539" t="str">
        <f>'(Raw) LensesGH'!F539</f>
        <v>Micro-Four-Thirds</v>
      </c>
      <c r="M539" t="str">
        <f>'(Raw) LensesGH'!G539</f>
        <v>Four-Thirds</v>
      </c>
      <c r="N539" t="str">
        <f>'(Raw) LensesGH'!H539</f>
        <v>410g</v>
      </c>
      <c r="O539" s="5">
        <f t="shared" si="79"/>
        <v>410</v>
      </c>
      <c r="P539" t="str">
        <f>'(Raw) LensesGH'!I539</f>
        <v>70 x 87mm</v>
      </c>
      <c r="Q539" s="39">
        <f t="shared" si="80"/>
        <v>70</v>
      </c>
      <c r="R539" s="39">
        <f t="shared" si="72"/>
        <v>87</v>
      </c>
    </row>
    <row r="540" spans="1:18" x14ac:dyDescent="0.25">
      <c r="A540" t="str">
        <f>'(Raw) LensesGH'!A540</f>
        <v>Olympus M.Zuiko digital ED 300mm 4.0 IS PRO schwarz</v>
      </c>
      <c r="B540" t="str">
        <f>'(Raw) LensesGH'!B540</f>
        <v>300mm</v>
      </c>
      <c r="C540" s="5">
        <f t="shared" si="73"/>
        <v>300</v>
      </c>
      <c r="D540" s="5">
        <f t="shared" si="74"/>
        <v>300</v>
      </c>
      <c r="E540" t="str">
        <f>'(Raw) LensesGH'!C540</f>
        <v>1:4.0</v>
      </c>
      <c r="F540" s="9">
        <f t="shared" si="75"/>
        <v>4</v>
      </c>
      <c r="G540" s="9">
        <f t="shared" si="76"/>
        <v>4</v>
      </c>
      <c r="H540" t="str">
        <f>'(Raw) LensesGH'!D540</f>
        <v>77mm</v>
      </c>
      <c r="I540" s="2">
        <f t="shared" si="77"/>
        <v>77</v>
      </c>
      <c r="J540" s="2" t="str">
        <f>'(Raw) LensesGH'!E540</f>
        <v>1:2.08</v>
      </c>
      <c r="K540" s="40">
        <f t="shared" si="78"/>
        <v>2.08</v>
      </c>
      <c r="L540" t="str">
        <f>'(Raw) LensesGH'!F540</f>
        <v>Micro-Four-Thirds</v>
      </c>
      <c r="M540" t="str">
        <f>'(Raw) LensesGH'!G540</f>
        <v>Four-Thirds</v>
      </c>
      <c r="N540" t="str">
        <f>'(Raw) LensesGH'!H540</f>
        <v>1270g</v>
      </c>
      <c r="O540" s="5">
        <f t="shared" si="79"/>
        <v>1270</v>
      </c>
      <c r="P540" t="str">
        <f>'(Raw) LensesGH'!I540</f>
        <v>92.5 x 227mm</v>
      </c>
      <c r="Q540" s="39">
        <f t="shared" si="80"/>
        <v>92.5</v>
      </c>
      <c r="R540" s="39">
        <f t="shared" si="72"/>
        <v>227</v>
      </c>
    </row>
    <row r="541" spans="1:18" x14ac:dyDescent="0.25">
      <c r="A541" t="str">
        <f>'(Raw) LensesGH'!A541</f>
        <v>Olympus M.Zuiko digital ED 30mm 3.5 Macro schwarz</v>
      </c>
      <c r="B541" t="str">
        <f>'(Raw) LensesGH'!B541</f>
        <v>30mm</v>
      </c>
      <c r="C541" s="5">
        <f t="shared" si="73"/>
        <v>30</v>
      </c>
      <c r="D541" s="5">
        <f t="shared" si="74"/>
        <v>30</v>
      </c>
      <c r="E541" t="str">
        <f>'(Raw) LensesGH'!C541</f>
        <v>1:3.5</v>
      </c>
      <c r="F541" s="9">
        <f t="shared" si="75"/>
        <v>3.5</v>
      </c>
      <c r="G541" s="9">
        <f t="shared" si="76"/>
        <v>3.5</v>
      </c>
      <c r="H541" t="str">
        <f>'(Raw) LensesGH'!D541</f>
        <v>46mm</v>
      </c>
      <c r="I541" s="2">
        <f t="shared" si="77"/>
        <v>46</v>
      </c>
      <c r="J541" s="2" t="str">
        <f>'(Raw) LensesGH'!E541</f>
        <v>1:0.80</v>
      </c>
      <c r="K541" s="40">
        <f t="shared" si="78"/>
        <v>0.8</v>
      </c>
      <c r="L541" t="str">
        <f>'(Raw) LensesGH'!F541</f>
        <v>Micro-Four-Thirds</v>
      </c>
      <c r="M541" t="str">
        <f>'(Raw) LensesGH'!G541</f>
        <v>Four-Thirds</v>
      </c>
      <c r="N541" t="str">
        <f>'(Raw) LensesGH'!H541</f>
        <v>128g</v>
      </c>
      <c r="O541" s="5">
        <f t="shared" si="79"/>
        <v>128</v>
      </c>
      <c r="P541" t="str">
        <f>'(Raw) LensesGH'!I541</f>
        <v>57 x 60mm</v>
      </c>
      <c r="Q541" s="39">
        <f t="shared" si="80"/>
        <v>57</v>
      </c>
      <c r="R541" s="39">
        <f t="shared" si="72"/>
        <v>60</v>
      </c>
    </row>
    <row r="542" spans="1:18" x14ac:dyDescent="0.25">
      <c r="A542" t="str">
        <f>'(Raw) LensesGH'!A542</f>
        <v>Olympus M.Zuiko digital ED 40-150mm 2.8 PRO schwarz</v>
      </c>
      <c r="B542" t="str">
        <f>'(Raw) LensesGH'!B542</f>
        <v>40 - 150mm</v>
      </c>
      <c r="C542" s="5">
        <f t="shared" si="73"/>
        <v>40</v>
      </c>
      <c r="D542" s="5">
        <f t="shared" si="74"/>
        <v>150</v>
      </c>
      <c r="E542" t="str">
        <f>'(Raw) LensesGH'!C542</f>
        <v>1:2.8</v>
      </c>
      <c r="F542" s="9">
        <f t="shared" si="75"/>
        <v>2.8</v>
      </c>
      <c r="G542" s="9">
        <f t="shared" si="76"/>
        <v>2.8</v>
      </c>
      <c r="H542" t="str">
        <f>'(Raw) LensesGH'!D542</f>
        <v>72mm</v>
      </c>
      <c r="I542" s="2">
        <f t="shared" si="77"/>
        <v>72</v>
      </c>
      <c r="J542" s="2" t="str">
        <f>'(Raw) LensesGH'!E542</f>
        <v>1:4.76</v>
      </c>
      <c r="K542" s="40">
        <f t="shared" si="78"/>
        <v>4.76</v>
      </c>
      <c r="L542" t="str">
        <f>'(Raw) LensesGH'!F542</f>
        <v>Micro-Four-Thirds</v>
      </c>
      <c r="M542" t="str">
        <f>'(Raw) LensesGH'!G542</f>
        <v>Four-Thirds</v>
      </c>
      <c r="N542" t="str">
        <f>'(Raw) LensesGH'!H542</f>
        <v>760g</v>
      </c>
      <c r="O542" s="5">
        <f t="shared" si="79"/>
        <v>760</v>
      </c>
      <c r="P542" t="str">
        <f>'(Raw) LensesGH'!I542</f>
        <v>79.4 x 160mm</v>
      </c>
      <c r="Q542" s="39">
        <f t="shared" si="80"/>
        <v>79.400000000000006</v>
      </c>
      <c r="R542" s="39">
        <f t="shared" si="72"/>
        <v>160</v>
      </c>
    </row>
    <row r="543" spans="1:18" x14ac:dyDescent="0.25">
      <c r="A543" t="str">
        <f>'(Raw) LensesGH'!A543</f>
        <v>Olympus M.Zuiko digital ED 40-150mm 2.8 PRO Set schwarz</v>
      </c>
      <c r="B543" t="str">
        <f>'(Raw) LensesGH'!B543</f>
        <v>40 - 150mm</v>
      </c>
      <c r="C543" s="5">
        <f t="shared" si="73"/>
        <v>40</v>
      </c>
      <c r="D543" s="5">
        <f t="shared" si="74"/>
        <v>150</v>
      </c>
      <c r="E543" t="str">
        <f>'(Raw) LensesGH'!C543</f>
        <v>1:2.8</v>
      </c>
      <c r="F543" s="9">
        <f t="shared" si="75"/>
        <v>2.8</v>
      </c>
      <c r="G543" s="9">
        <f t="shared" si="76"/>
        <v>2.8</v>
      </c>
      <c r="H543" t="str">
        <f>'(Raw) LensesGH'!D543</f>
        <v>72mm</v>
      </c>
      <c r="I543" s="2">
        <f t="shared" si="77"/>
        <v>72</v>
      </c>
      <c r="J543" s="2" t="str">
        <f>'(Raw) LensesGH'!E543</f>
        <v>1:4.76</v>
      </c>
      <c r="K543" s="40">
        <f t="shared" si="78"/>
        <v>4.76</v>
      </c>
      <c r="L543" t="str">
        <f>'(Raw) LensesGH'!F543</f>
        <v>Micro-Four-Thirds</v>
      </c>
      <c r="M543" t="str">
        <f>'(Raw) LensesGH'!G543</f>
        <v>Four-Thirds</v>
      </c>
      <c r="N543" t="str">
        <f>'(Raw) LensesGH'!H543</f>
        <v>760g</v>
      </c>
      <c r="O543" s="5">
        <f t="shared" si="79"/>
        <v>760</v>
      </c>
      <c r="P543" t="str">
        <f>'(Raw) LensesGH'!I543</f>
        <v>79.4 x 160mm</v>
      </c>
      <c r="Q543" s="39">
        <f t="shared" si="80"/>
        <v>79.400000000000006</v>
      </c>
      <c r="R543" s="39">
        <f t="shared" si="72"/>
        <v>160</v>
      </c>
    </row>
    <row r="544" spans="1:18" x14ac:dyDescent="0.25">
      <c r="A544" t="str">
        <f>'(Raw) LensesGH'!A544</f>
        <v>Olympus M.Zuiko digital ED 40-150mm 4.0-5.6 R MSC schwarz</v>
      </c>
      <c r="B544" t="str">
        <f>'(Raw) LensesGH'!B544</f>
        <v>40 - 150mm</v>
      </c>
      <c r="C544" s="5">
        <f t="shared" si="73"/>
        <v>40</v>
      </c>
      <c r="D544" s="5">
        <f t="shared" si="74"/>
        <v>150</v>
      </c>
      <c r="E544" t="str">
        <f>'(Raw) LensesGH'!C544</f>
        <v>1:4.0-1:5.6</v>
      </c>
      <c r="F544" s="9">
        <f t="shared" si="75"/>
        <v>4</v>
      </c>
      <c r="G544" s="9">
        <f t="shared" si="76"/>
        <v>4</v>
      </c>
      <c r="H544" t="str">
        <f>'(Raw) LensesGH'!D544</f>
        <v>58mm</v>
      </c>
      <c r="I544" s="2">
        <f t="shared" si="77"/>
        <v>58</v>
      </c>
      <c r="J544" s="2" t="str">
        <f>'(Raw) LensesGH'!E544</f>
        <v>1:6.25</v>
      </c>
      <c r="K544" s="40">
        <f t="shared" si="78"/>
        <v>6.25</v>
      </c>
      <c r="L544" t="str">
        <f>'(Raw) LensesGH'!F544</f>
        <v>Micro-Four-Thirds</v>
      </c>
      <c r="M544" t="str">
        <f>'(Raw) LensesGH'!G544</f>
        <v>Four-Thirds</v>
      </c>
      <c r="N544" t="str">
        <f>'(Raw) LensesGH'!H544</f>
        <v>190g</v>
      </c>
      <c r="O544" s="5">
        <f t="shared" si="79"/>
        <v>190</v>
      </c>
      <c r="P544" t="str">
        <f>'(Raw) LensesGH'!I544</f>
        <v>63.5 x 83mm</v>
      </c>
      <c r="Q544" s="39">
        <f t="shared" si="80"/>
        <v>63.5</v>
      </c>
      <c r="R544" s="39">
        <f t="shared" si="72"/>
        <v>83</v>
      </c>
    </row>
    <row r="545" spans="1:18" x14ac:dyDescent="0.25">
      <c r="A545" t="str">
        <f>'(Raw) LensesGH'!A545</f>
        <v>Olympus M.Zuiko digital ED 40-150mm 4.0-5.6 R MSC silber</v>
      </c>
      <c r="B545" t="str">
        <f>'(Raw) LensesGH'!B545</f>
        <v>40 - 150mm</v>
      </c>
      <c r="C545" s="5">
        <f t="shared" si="73"/>
        <v>40</v>
      </c>
      <c r="D545" s="5">
        <f t="shared" si="74"/>
        <v>150</v>
      </c>
      <c r="E545" t="str">
        <f>'(Raw) LensesGH'!C545</f>
        <v>1:4.0-1:5.6</v>
      </c>
      <c r="F545" s="9">
        <f t="shared" si="75"/>
        <v>4</v>
      </c>
      <c r="G545" s="9">
        <f t="shared" si="76"/>
        <v>4</v>
      </c>
      <c r="H545" t="str">
        <f>'(Raw) LensesGH'!D545</f>
        <v>58mm</v>
      </c>
      <c r="I545" s="2">
        <f t="shared" si="77"/>
        <v>58</v>
      </c>
      <c r="J545" s="2" t="str">
        <f>'(Raw) LensesGH'!E545</f>
        <v>1:6.25</v>
      </c>
      <c r="K545" s="40">
        <f t="shared" si="78"/>
        <v>6.25</v>
      </c>
      <c r="L545" t="str">
        <f>'(Raw) LensesGH'!F545</f>
        <v>Micro-Four-Thirds</v>
      </c>
      <c r="M545" t="str">
        <f>'(Raw) LensesGH'!G545</f>
        <v>Four-Thirds</v>
      </c>
      <c r="N545" t="str">
        <f>'(Raw) LensesGH'!H545</f>
        <v>190g</v>
      </c>
      <c r="O545" s="5">
        <f t="shared" si="79"/>
        <v>190</v>
      </c>
      <c r="P545" t="str">
        <f>'(Raw) LensesGH'!I545</f>
        <v>63.5 x 83mm</v>
      </c>
      <c r="Q545" s="39">
        <f t="shared" si="80"/>
        <v>63.5</v>
      </c>
      <c r="R545" s="39">
        <f t="shared" si="72"/>
        <v>83</v>
      </c>
    </row>
    <row r="546" spans="1:18" x14ac:dyDescent="0.25">
      <c r="A546" t="str">
        <f>'(Raw) LensesGH'!A546</f>
        <v>Olympus M.Zuiko digital ED 40-150mm 4.0-5.6 silber</v>
      </c>
      <c r="B546" t="str">
        <f>'(Raw) LensesGH'!B546</f>
        <v>40 - 150mm</v>
      </c>
      <c r="C546" s="5">
        <f t="shared" si="73"/>
        <v>40</v>
      </c>
      <c r="D546" s="5">
        <f t="shared" si="74"/>
        <v>150</v>
      </c>
      <c r="E546" t="str">
        <f>'(Raw) LensesGH'!C546</f>
        <v>1:4.0-1:5.6</v>
      </c>
      <c r="F546" s="9">
        <f t="shared" si="75"/>
        <v>4</v>
      </c>
      <c r="G546" s="9">
        <f t="shared" si="76"/>
        <v>4</v>
      </c>
      <c r="H546" t="str">
        <f>'(Raw) LensesGH'!D546</f>
        <v>58mm</v>
      </c>
      <c r="I546" s="2">
        <f t="shared" si="77"/>
        <v>58</v>
      </c>
      <c r="J546" s="2" t="str">
        <f>'(Raw) LensesGH'!E546</f>
        <v>1:6.25</v>
      </c>
      <c r="K546" s="40">
        <f t="shared" si="78"/>
        <v>6.25</v>
      </c>
      <c r="L546" t="str">
        <f>'(Raw) LensesGH'!F546</f>
        <v>Micro-Four-Thirds</v>
      </c>
      <c r="M546" t="str">
        <f>'(Raw) LensesGH'!G546</f>
        <v>Four-Thirds</v>
      </c>
      <c r="N546">
        <f>'(Raw) LensesGH'!H546</f>
        <v>0</v>
      </c>
      <c r="O546" s="5">
        <f t="shared" si="79"/>
        <v>0</v>
      </c>
      <c r="P546" t="str">
        <f>'(Raw) LensesGH'!I546</f>
        <v>63.5 x 83mm</v>
      </c>
      <c r="Q546" s="39">
        <f t="shared" si="80"/>
        <v>63.5</v>
      </c>
      <c r="R546" s="39">
        <f t="shared" si="72"/>
        <v>83</v>
      </c>
    </row>
    <row r="547" spans="1:18" x14ac:dyDescent="0.25">
      <c r="A547" t="str">
        <f>'(Raw) LensesGH'!A547</f>
        <v>Olympus M.Zuiko digital ED 45mm 1.2 PRO schwarz</v>
      </c>
      <c r="B547" t="str">
        <f>'(Raw) LensesGH'!B547</f>
        <v>45mm</v>
      </c>
      <c r="C547" s="5">
        <f t="shared" si="73"/>
        <v>45</v>
      </c>
      <c r="D547" s="5">
        <f t="shared" si="74"/>
        <v>45</v>
      </c>
      <c r="E547" t="str">
        <f>'(Raw) LensesGH'!C547</f>
        <v>1:1.2</v>
      </c>
      <c r="F547" s="9">
        <f t="shared" si="75"/>
        <v>1.2</v>
      </c>
      <c r="G547" s="9">
        <f t="shared" si="76"/>
        <v>1.2</v>
      </c>
      <c r="H547" t="str">
        <f>'(Raw) LensesGH'!D547</f>
        <v>62mm</v>
      </c>
      <c r="I547" s="2">
        <f t="shared" si="77"/>
        <v>62</v>
      </c>
      <c r="J547" s="2" t="str">
        <f>'(Raw) LensesGH'!E547</f>
        <v>1:10.00</v>
      </c>
      <c r="K547" s="40">
        <f t="shared" si="78"/>
        <v>10</v>
      </c>
      <c r="L547" t="str">
        <f>'(Raw) LensesGH'!F547</f>
        <v>Micro-Four-Thirds</v>
      </c>
      <c r="M547" t="str">
        <f>'(Raw) LensesGH'!G547</f>
        <v>Four-Thirds</v>
      </c>
      <c r="N547" t="str">
        <f>'(Raw) LensesGH'!H547</f>
        <v>410g</v>
      </c>
      <c r="O547" s="5">
        <f t="shared" si="79"/>
        <v>410</v>
      </c>
      <c r="P547" t="str">
        <f>'(Raw) LensesGH'!I547</f>
        <v>70 x 84.9mm</v>
      </c>
      <c r="Q547" s="39">
        <f t="shared" si="80"/>
        <v>70</v>
      </c>
      <c r="R547" s="39">
        <f t="shared" si="72"/>
        <v>84.9</v>
      </c>
    </row>
    <row r="548" spans="1:18" x14ac:dyDescent="0.25">
      <c r="A548" t="str">
        <f>'(Raw) LensesGH'!A548</f>
        <v>Olympus M.Zuiko digital ED 60mm 2.8 Makro schwarz</v>
      </c>
      <c r="B548" t="str">
        <f>'(Raw) LensesGH'!B548</f>
        <v>60mm</v>
      </c>
      <c r="C548" s="5">
        <f t="shared" si="73"/>
        <v>60</v>
      </c>
      <c r="D548" s="5">
        <f t="shared" si="74"/>
        <v>60</v>
      </c>
      <c r="E548" t="str">
        <f>'(Raw) LensesGH'!C548</f>
        <v>1:2.8</v>
      </c>
      <c r="F548" s="9">
        <f t="shared" si="75"/>
        <v>2.8</v>
      </c>
      <c r="G548" s="9">
        <f t="shared" si="76"/>
        <v>2.8</v>
      </c>
      <c r="H548" t="str">
        <f>'(Raw) LensesGH'!D548</f>
        <v>46mm</v>
      </c>
      <c r="I548" s="2">
        <f t="shared" si="77"/>
        <v>46</v>
      </c>
      <c r="J548" s="2" t="str">
        <f>'(Raw) LensesGH'!E548</f>
        <v>1:1.00</v>
      </c>
      <c r="K548" s="40">
        <f t="shared" si="78"/>
        <v>1</v>
      </c>
      <c r="L548" t="str">
        <f>'(Raw) LensesGH'!F548</f>
        <v>Micro-Four-Thirds</v>
      </c>
      <c r="M548" t="str">
        <f>'(Raw) LensesGH'!G548</f>
        <v>Four-Thirds</v>
      </c>
      <c r="N548" t="str">
        <f>'(Raw) LensesGH'!H548</f>
        <v>185g</v>
      </c>
      <c r="O548" s="5">
        <f t="shared" si="79"/>
        <v>185</v>
      </c>
      <c r="P548" t="str">
        <f>'(Raw) LensesGH'!I548</f>
        <v>56 x 82mm</v>
      </c>
      <c r="Q548" s="39">
        <f t="shared" si="80"/>
        <v>56</v>
      </c>
      <c r="R548" s="39">
        <f t="shared" si="72"/>
        <v>82</v>
      </c>
    </row>
    <row r="549" spans="1:18" x14ac:dyDescent="0.25">
      <c r="A549" t="str">
        <f>'(Raw) LensesGH'!A549</f>
        <v>Olympus M.Zuiko digital ED 7-14mm 2.8 PRO schwarz</v>
      </c>
      <c r="B549" t="str">
        <f>'(Raw) LensesGH'!B549</f>
        <v>7 - 14mm</v>
      </c>
      <c r="C549" s="5">
        <f t="shared" si="73"/>
        <v>7</v>
      </c>
      <c r="D549" s="5">
        <f t="shared" si="74"/>
        <v>14</v>
      </c>
      <c r="E549" t="str">
        <f>'(Raw) LensesGH'!C549</f>
        <v>1:2.8</v>
      </c>
      <c r="F549" s="9">
        <f t="shared" si="75"/>
        <v>2.8</v>
      </c>
      <c r="G549" s="9">
        <f t="shared" si="76"/>
        <v>2.8</v>
      </c>
      <c r="H549">
        <f>'(Raw) LensesGH'!D549</f>
        <v>0</v>
      </c>
      <c r="I549" s="2">
        <f t="shared" si="77"/>
        <v>0</v>
      </c>
      <c r="J549" s="2" t="str">
        <f>'(Raw) LensesGH'!E549</f>
        <v>1:8.33</v>
      </c>
      <c r="K549" s="40">
        <f t="shared" si="78"/>
        <v>8.33</v>
      </c>
      <c r="L549" t="str">
        <f>'(Raw) LensesGH'!F549</f>
        <v>Micro-Four-Thirds</v>
      </c>
      <c r="M549" t="str">
        <f>'(Raw) LensesGH'!G549</f>
        <v>Four-Thirds</v>
      </c>
      <c r="N549" t="str">
        <f>'(Raw) LensesGH'!H549</f>
        <v>534g</v>
      </c>
      <c r="O549" s="5">
        <f t="shared" si="79"/>
        <v>534</v>
      </c>
      <c r="P549" t="str">
        <f>'(Raw) LensesGH'!I549</f>
        <v>78.9 x 105.8mm</v>
      </c>
      <c r="Q549" s="39">
        <f t="shared" si="80"/>
        <v>78.900000000000006</v>
      </c>
      <c r="R549" s="39">
        <f t="shared" si="72"/>
        <v>105.8</v>
      </c>
    </row>
    <row r="550" spans="1:18" x14ac:dyDescent="0.25">
      <c r="A550" t="str">
        <f>'(Raw) LensesGH'!A550</f>
        <v>Olympus M.Zuiko digital ED 75-300mm 4.8-6.7 II schwarz</v>
      </c>
      <c r="B550" t="str">
        <f>'(Raw) LensesGH'!B550</f>
        <v>75 - 300mm</v>
      </c>
      <c r="C550" s="5">
        <f t="shared" si="73"/>
        <v>75</v>
      </c>
      <c r="D550" s="5">
        <f t="shared" si="74"/>
        <v>300</v>
      </c>
      <c r="E550" t="str">
        <f>'(Raw) LensesGH'!C550</f>
        <v>1:4.8-1:6.7</v>
      </c>
      <c r="F550" s="9">
        <f t="shared" si="75"/>
        <v>4.8</v>
      </c>
      <c r="G550" s="9">
        <f t="shared" si="76"/>
        <v>4.8</v>
      </c>
      <c r="H550" t="str">
        <f>'(Raw) LensesGH'!D550</f>
        <v>58mm</v>
      </c>
      <c r="I550" s="2">
        <f t="shared" si="77"/>
        <v>58</v>
      </c>
      <c r="J550" s="2" t="str">
        <f>'(Raw) LensesGH'!E550</f>
        <v>1:5.56</v>
      </c>
      <c r="K550" s="40">
        <f t="shared" si="78"/>
        <v>5.56</v>
      </c>
      <c r="L550" t="str">
        <f>'(Raw) LensesGH'!F550</f>
        <v>Micro-Four-Thirds</v>
      </c>
      <c r="M550" t="str">
        <f>'(Raw) LensesGH'!G550</f>
        <v>Four-Thirds</v>
      </c>
      <c r="N550" t="str">
        <f>'(Raw) LensesGH'!H550</f>
        <v>423g</v>
      </c>
      <c r="O550" s="5">
        <f t="shared" si="79"/>
        <v>423</v>
      </c>
      <c r="P550" t="str">
        <f>'(Raw) LensesGH'!I550</f>
        <v>69 x 116.5mm</v>
      </c>
      <c r="Q550" s="39">
        <f t="shared" si="80"/>
        <v>69</v>
      </c>
      <c r="R550" s="39">
        <f t="shared" si="72"/>
        <v>116.5</v>
      </c>
    </row>
    <row r="551" spans="1:18" x14ac:dyDescent="0.25">
      <c r="A551" t="str">
        <f>'(Raw) LensesGH'!A551</f>
        <v>Olympus M.Zuiko digital ED 75mm 1.8 schwarz</v>
      </c>
      <c r="B551" t="str">
        <f>'(Raw) LensesGH'!B551</f>
        <v>75mm</v>
      </c>
      <c r="C551" s="5">
        <f t="shared" si="73"/>
        <v>75</v>
      </c>
      <c r="D551" s="5">
        <f t="shared" si="74"/>
        <v>75</v>
      </c>
      <c r="E551" t="str">
        <f>'(Raw) LensesGH'!C551</f>
        <v>1:1.8</v>
      </c>
      <c r="F551" s="9">
        <f t="shared" si="75"/>
        <v>1.8</v>
      </c>
      <c r="G551" s="9">
        <f t="shared" si="76"/>
        <v>1.8</v>
      </c>
      <c r="H551" t="str">
        <f>'(Raw) LensesGH'!D551</f>
        <v>58mm</v>
      </c>
      <c r="I551" s="2">
        <f t="shared" si="77"/>
        <v>58</v>
      </c>
      <c r="J551" s="2" t="str">
        <f>'(Raw) LensesGH'!E551</f>
        <v>1:10.00</v>
      </c>
      <c r="K551" s="40">
        <f t="shared" si="78"/>
        <v>10</v>
      </c>
      <c r="L551" t="str">
        <f>'(Raw) LensesGH'!F551</f>
        <v>Micro-Four-Thirds</v>
      </c>
      <c r="M551" t="str">
        <f>'(Raw) LensesGH'!G551</f>
        <v>Four-Thirds</v>
      </c>
      <c r="N551" t="str">
        <f>'(Raw) LensesGH'!H551</f>
        <v>305g</v>
      </c>
      <c r="O551" s="5">
        <f t="shared" si="79"/>
        <v>305</v>
      </c>
      <c r="P551" t="str">
        <f>'(Raw) LensesGH'!I551</f>
        <v>64 x 69mm</v>
      </c>
      <c r="Q551" s="39">
        <f t="shared" si="80"/>
        <v>64</v>
      </c>
      <c r="R551" s="39">
        <f t="shared" si="72"/>
        <v>69</v>
      </c>
    </row>
    <row r="552" spans="1:18" x14ac:dyDescent="0.25">
      <c r="A552" t="str">
        <f>'(Raw) LensesGH'!A552</f>
        <v>Olympus M.Zuiko digital ED 75mm 1.8 silber</v>
      </c>
      <c r="B552" t="str">
        <f>'(Raw) LensesGH'!B552</f>
        <v>75mm</v>
      </c>
      <c r="C552" s="5">
        <f t="shared" si="73"/>
        <v>75</v>
      </c>
      <c r="D552" s="5">
        <f t="shared" si="74"/>
        <v>75</v>
      </c>
      <c r="E552" t="str">
        <f>'(Raw) LensesGH'!C552</f>
        <v>1:1.8</v>
      </c>
      <c r="F552" s="9">
        <f t="shared" si="75"/>
        <v>1.8</v>
      </c>
      <c r="G552" s="9">
        <f t="shared" si="76"/>
        <v>1.8</v>
      </c>
      <c r="H552" t="str">
        <f>'(Raw) LensesGH'!D552</f>
        <v>58mm</v>
      </c>
      <c r="I552" s="2">
        <f t="shared" si="77"/>
        <v>58</v>
      </c>
      <c r="J552" s="2" t="str">
        <f>'(Raw) LensesGH'!E552</f>
        <v>1:10.00</v>
      </c>
      <c r="K552" s="40">
        <f t="shared" si="78"/>
        <v>10</v>
      </c>
      <c r="L552" t="str">
        <f>'(Raw) LensesGH'!F552</f>
        <v>Micro-Four-Thirds</v>
      </c>
      <c r="M552" t="str">
        <f>'(Raw) LensesGH'!G552</f>
        <v>Four-Thirds</v>
      </c>
      <c r="N552" t="str">
        <f>'(Raw) LensesGH'!H552</f>
        <v>305g</v>
      </c>
      <c r="O552" s="5">
        <f t="shared" si="79"/>
        <v>305</v>
      </c>
      <c r="P552" t="str">
        <f>'(Raw) LensesGH'!I552</f>
        <v>64 x 69mm</v>
      </c>
      <c r="Q552" s="39">
        <f t="shared" si="80"/>
        <v>64</v>
      </c>
      <c r="R552" s="39">
        <f t="shared" si="72"/>
        <v>69</v>
      </c>
    </row>
    <row r="553" spans="1:18" x14ac:dyDescent="0.25">
      <c r="A553" t="str">
        <f>'(Raw) LensesGH'!A553</f>
        <v>Olympus M.Zuiko digital ED 8mm 1.8 PRO Fisheye schwarz</v>
      </c>
      <c r="B553" t="str">
        <f>'(Raw) LensesGH'!B553</f>
        <v>8mm</v>
      </c>
      <c r="C553" s="5">
        <f t="shared" si="73"/>
        <v>8</v>
      </c>
      <c r="D553" s="5">
        <f t="shared" si="74"/>
        <v>8</v>
      </c>
      <c r="E553" t="str">
        <f>'(Raw) LensesGH'!C553</f>
        <v>1:1.8</v>
      </c>
      <c r="F553" s="9">
        <f t="shared" si="75"/>
        <v>1.8</v>
      </c>
      <c r="G553" s="9">
        <f t="shared" si="76"/>
        <v>1.8</v>
      </c>
      <c r="H553">
        <f>'(Raw) LensesGH'!D553</f>
        <v>0</v>
      </c>
      <c r="I553" s="2">
        <f t="shared" si="77"/>
        <v>0</v>
      </c>
      <c r="J553" s="2" t="str">
        <f>'(Raw) LensesGH'!E553</f>
        <v>1:5.00</v>
      </c>
      <c r="K553" s="40">
        <f t="shared" si="78"/>
        <v>5</v>
      </c>
      <c r="L553" t="str">
        <f>'(Raw) LensesGH'!F553</f>
        <v>Micro-Four-Thirds</v>
      </c>
      <c r="M553" t="str">
        <f>'(Raw) LensesGH'!G553</f>
        <v>Four-Thirds</v>
      </c>
      <c r="N553" t="str">
        <f>'(Raw) LensesGH'!H553</f>
        <v>315g</v>
      </c>
      <c r="O553" s="5">
        <f t="shared" si="79"/>
        <v>315</v>
      </c>
      <c r="P553" t="str">
        <f>'(Raw) LensesGH'!I553</f>
        <v>62 x 80mm</v>
      </c>
      <c r="Q553" s="39">
        <f t="shared" si="80"/>
        <v>62</v>
      </c>
      <c r="R553" s="39">
        <f t="shared" si="72"/>
        <v>80</v>
      </c>
    </row>
    <row r="554" spans="1:18" x14ac:dyDescent="0.25">
      <c r="A554" t="str">
        <f>'(Raw) LensesGH'!A554</f>
        <v>Olympus M.Zuiko digital ED 9-18mm 4.0-5.6 schwarz</v>
      </c>
      <c r="B554" t="str">
        <f>'(Raw) LensesGH'!B554</f>
        <v>9 - 18mm</v>
      </c>
      <c r="C554" s="5">
        <f t="shared" si="73"/>
        <v>9</v>
      </c>
      <c r="D554" s="5">
        <f t="shared" si="74"/>
        <v>18</v>
      </c>
      <c r="E554" t="str">
        <f>'(Raw) LensesGH'!C554</f>
        <v>1:4.0-1:5.6</v>
      </c>
      <c r="F554" s="9">
        <f t="shared" si="75"/>
        <v>4</v>
      </c>
      <c r="G554" s="9">
        <f t="shared" si="76"/>
        <v>4</v>
      </c>
      <c r="H554" t="str">
        <f>'(Raw) LensesGH'!D554</f>
        <v>52mm</v>
      </c>
      <c r="I554" s="2">
        <f t="shared" si="77"/>
        <v>52</v>
      </c>
      <c r="J554" s="2" t="str">
        <f>'(Raw) LensesGH'!E554</f>
        <v>1:10.00</v>
      </c>
      <c r="K554" s="40">
        <f t="shared" si="78"/>
        <v>10</v>
      </c>
      <c r="L554" t="str">
        <f>'(Raw) LensesGH'!F554</f>
        <v>Micro-Four-Thirds</v>
      </c>
      <c r="M554" t="str">
        <f>'(Raw) LensesGH'!G554</f>
        <v>Four-Thirds</v>
      </c>
      <c r="N554" t="str">
        <f>'(Raw) LensesGH'!H554</f>
        <v>155g</v>
      </c>
      <c r="O554" s="5">
        <f t="shared" si="79"/>
        <v>155</v>
      </c>
      <c r="P554" t="str">
        <f>'(Raw) LensesGH'!I554</f>
        <v>56.5 x 49.5mm</v>
      </c>
      <c r="Q554" s="39">
        <f t="shared" si="80"/>
        <v>56.5</v>
      </c>
      <c r="R554" s="39">
        <f t="shared" si="72"/>
        <v>49.5</v>
      </c>
    </row>
    <row r="555" spans="1:18" x14ac:dyDescent="0.25">
      <c r="A555" t="str">
        <f>'(Raw) LensesGH'!A555</f>
        <v>Olympus Zuiko digital 11-22mm 2.8-3.5 schwarz</v>
      </c>
      <c r="B555" t="str">
        <f>'(Raw) LensesGH'!B555</f>
        <v>11 - 22mm</v>
      </c>
      <c r="C555" s="5">
        <f t="shared" si="73"/>
        <v>11</v>
      </c>
      <c r="D555" s="5">
        <f t="shared" si="74"/>
        <v>22</v>
      </c>
      <c r="E555" t="str">
        <f>'(Raw) LensesGH'!C555</f>
        <v>1:2.8-1:3.5</v>
      </c>
      <c r="F555" s="9">
        <f t="shared" si="75"/>
        <v>2.8</v>
      </c>
      <c r="G555" s="9">
        <f t="shared" si="76"/>
        <v>2.8</v>
      </c>
      <c r="H555" t="str">
        <f>'(Raw) LensesGH'!D555</f>
        <v>72mm</v>
      </c>
      <c r="I555" s="2">
        <f t="shared" si="77"/>
        <v>72</v>
      </c>
      <c r="J555" s="2" t="str">
        <f>'(Raw) LensesGH'!E555</f>
        <v>1:7.69</v>
      </c>
      <c r="K555" s="40">
        <f t="shared" si="78"/>
        <v>7.69</v>
      </c>
      <c r="L555" t="str">
        <f>'(Raw) LensesGH'!F555</f>
        <v>Four-Thirds</v>
      </c>
      <c r="M555" t="str">
        <f>'(Raw) LensesGH'!G555</f>
        <v>Four-Thirds</v>
      </c>
      <c r="N555" t="str">
        <f>'(Raw) LensesGH'!H555</f>
        <v>485g</v>
      </c>
      <c r="O555" s="5">
        <f t="shared" si="79"/>
        <v>485</v>
      </c>
      <c r="P555" t="str">
        <f>'(Raw) LensesGH'!I555</f>
        <v>75 x 92.5mm</v>
      </c>
      <c r="Q555" s="39">
        <f t="shared" si="80"/>
        <v>75</v>
      </c>
      <c r="R555" s="39">
        <f t="shared" si="72"/>
        <v>92.5</v>
      </c>
    </row>
    <row r="556" spans="1:18" x14ac:dyDescent="0.25">
      <c r="A556" t="str">
        <f>'(Raw) LensesGH'!A556</f>
        <v>Olympus Zuiko digital 14-54mm 2.8-3.5 II schwarz</v>
      </c>
      <c r="B556" t="str">
        <f>'(Raw) LensesGH'!B556</f>
        <v>14 - 54mm</v>
      </c>
      <c r="C556" s="5">
        <f t="shared" si="73"/>
        <v>14</v>
      </c>
      <c r="D556" s="5">
        <f t="shared" si="74"/>
        <v>54</v>
      </c>
      <c r="E556" t="str">
        <f>'(Raw) LensesGH'!C556</f>
        <v>1:2.8-1:3.5</v>
      </c>
      <c r="F556" s="9">
        <f t="shared" si="75"/>
        <v>2.8</v>
      </c>
      <c r="G556" s="9">
        <f t="shared" si="76"/>
        <v>2.8</v>
      </c>
      <c r="H556" t="str">
        <f>'(Raw) LensesGH'!D556</f>
        <v>67mm</v>
      </c>
      <c r="I556" s="2">
        <f t="shared" si="77"/>
        <v>67</v>
      </c>
      <c r="J556" s="2" t="str">
        <f>'(Raw) LensesGH'!E556</f>
        <v>1:3.85</v>
      </c>
      <c r="K556" s="40">
        <f t="shared" si="78"/>
        <v>3.85</v>
      </c>
      <c r="L556" t="str">
        <f>'(Raw) LensesGH'!F556</f>
        <v>Four-Thirds</v>
      </c>
      <c r="M556" t="str">
        <f>'(Raw) LensesGH'!G556</f>
        <v>Four-Thirds</v>
      </c>
      <c r="N556" t="str">
        <f>'(Raw) LensesGH'!H556</f>
        <v>440g</v>
      </c>
      <c r="O556" s="5">
        <f t="shared" si="79"/>
        <v>440</v>
      </c>
      <c r="P556" t="str">
        <f>'(Raw) LensesGH'!I556</f>
        <v>74.5 x 88.5mm</v>
      </c>
      <c r="Q556" s="39">
        <f t="shared" si="80"/>
        <v>74.5</v>
      </c>
      <c r="R556" s="39">
        <f t="shared" si="72"/>
        <v>88.5</v>
      </c>
    </row>
    <row r="557" spans="1:18" x14ac:dyDescent="0.25">
      <c r="A557" t="str">
        <f>'(Raw) LensesGH'!A557</f>
        <v>Olympus Zuiko digital 25mm 2.8 Pancake schwarz</v>
      </c>
      <c r="B557" t="str">
        <f>'(Raw) LensesGH'!B557</f>
        <v>25mm</v>
      </c>
      <c r="C557" s="5">
        <f t="shared" si="73"/>
        <v>25</v>
      </c>
      <c r="D557" s="5">
        <f t="shared" si="74"/>
        <v>25</v>
      </c>
      <c r="E557" t="str">
        <f>'(Raw) LensesGH'!C557</f>
        <v>1:2.8</v>
      </c>
      <c r="F557" s="9">
        <f t="shared" si="75"/>
        <v>2.8</v>
      </c>
      <c r="G557" s="9">
        <f t="shared" si="76"/>
        <v>2.8</v>
      </c>
      <c r="H557" t="str">
        <f>'(Raw) LensesGH'!D557</f>
        <v>43mm</v>
      </c>
      <c r="I557" s="2">
        <f t="shared" si="77"/>
        <v>43</v>
      </c>
      <c r="J557" s="2" t="str">
        <f>'(Raw) LensesGH'!E557</f>
        <v>1:5.26</v>
      </c>
      <c r="K557" s="40">
        <f t="shared" si="78"/>
        <v>5.26</v>
      </c>
      <c r="L557" t="str">
        <f>'(Raw) LensesGH'!F557</f>
        <v>Four-Thirds</v>
      </c>
      <c r="M557" t="str">
        <f>'(Raw) LensesGH'!G557</f>
        <v>Four-Thirds</v>
      </c>
      <c r="N557" t="str">
        <f>'(Raw) LensesGH'!H557</f>
        <v>95g</v>
      </c>
      <c r="O557" s="5">
        <f t="shared" si="79"/>
        <v>95</v>
      </c>
      <c r="P557" t="str">
        <f>'(Raw) LensesGH'!I557</f>
        <v>64 x 23.5mm</v>
      </c>
      <c r="Q557" s="39">
        <f t="shared" si="80"/>
        <v>64</v>
      </c>
      <c r="R557" s="39">
        <f t="shared" si="72"/>
        <v>23.5</v>
      </c>
    </row>
    <row r="558" spans="1:18" x14ac:dyDescent="0.25">
      <c r="A558" t="str">
        <f>'(Raw) LensesGH'!A558</f>
        <v>Olympus Zuiko digital 35mm 3.5 Makro schwarz</v>
      </c>
      <c r="B558" t="str">
        <f>'(Raw) LensesGH'!B558</f>
        <v>35mm</v>
      </c>
      <c r="C558" s="5">
        <f t="shared" si="73"/>
        <v>35</v>
      </c>
      <c r="D558" s="5">
        <f t="shared" si="74"/>
        <v>35</v>
      </c>
      <c r="E558" t="str">
        <f>'(Raw) LensesGH'!C558</f>
        <v>1:3.5</v>
      </c>
      <c r="F558" s="9">
        <f t="shared" si="75"/>
        <v>3.5</v>
      </c>
      <c r="G558" s="9">
        <f t="shared" si="76"/>
        <v>3.5</v>
      </c>
      <c r="H558" t="str">
        <f>'(Raw) LensesGH'!D558</f>
        <v>52mm</v>
      </c>
      <c r="I558" s="2">
        <f t="shared" si="77"/>
        <v>52</v>
      </c>
      <c r="J558" s="2" t="str">
        <f>'(Raw) LensesGH'!E558</f>
        <v>1:1.00</v>
      </c>
      <c r="K558" s="40">
        <f t="shared" si="78"/>
        <v>1</v>
      </c>
      <c r="L558" t="str">
        <f>'(Raw) LensesGH'!F558</f>
        <v>Four-Thirds</v>
      </c>
      <c r="M558" t="str">
        <f>'(Raw) LensesGH'!G558</f>
        <v>Four-Thirds</v>
      </c>
      <c r="N558" t="str">
        <f>'(Raw) LensesGH'!H558</f>
        <v>165g</v>
      </c>
      <c r="O558" s="5">
        <f t="shared" si="79"/>
        <v>165</v>
      </c>
      <c r="P558" t="str">
        <f>'(Raw) LensesGH'!I558</f>
        <v>71 x 53mm</v>
      </c>
      <c r="Q558" s="39">
        <f t="shared" si="80"/>
        <v>71</v>
      </c>
      <c r="R558" s="39">
        <f t="shared" si="72"/>
        <v>53</v>
      </c>
    </row>
    <row r="559" spans="1:18" x14ac:dyDescent="0.25">
      <c r="A559" t="str">
        <f>'(Raw) LensesGH'!A559</f>
        <v>Olympus Zuiko digital ED 12-60mm 2.8-4.0 SWD schwarz</v>
      </c>
      <c r="B559" t="str">
        <f>'(Raw) LensesGH'!B559</f>
        <v>12 - 60mm</v>
      </c>
      <c r="C559" s="5">
        <f t="shared" si="73"/>
        <v>12</v>
      </c>
      <c r="D559" s="5">
        <f t="shared" si="74"/>
        <v>60</v>
      </c>
      <c r="E559" t="str">
        <f>'(Raw) LensesGH'!C559</f>
        <v>1:2.8-1:4.0</v>
      </c>
      <c r="F559" s="9">
        <f t="shared" si="75"/>
        <v>2.8</v>
      </c>
      <c r="G559" s="9">
        <f t="shared" si="76"/>
        <v>2.8</v>
      </c>
      <c r="H559" t="str">
        <f>'(Raw) LensesGH'!D559</f>
        <v>72mm</v>
      </c>
      <c r="I559" s="2">
        <f t="shared" si="77"/>
        <v>72</v>
      </c>
      <c r="J559" s="2" t="str">
        <f>'(Raw) LensesGH'!E559</f>
        <v>1:3.57</v>
      </c>
      <c r="K559" s="40">
        <f t="shared" si="78"/>
        <v>3.57</v>
      </c>
      <c r="L559" t="str">
        <f>'(Raw) LensesGH'!F559</f>
        <v>Four-Thirds</v>
      </c>
      <c r="M559" t="str">
        <f>'(Raw) LensesGH'!G559</f>
        <v>Four-Thirds</v>
      </c>
      <c r="N559" t="str">
        <f>'(Raw) LensesGH'!H559</f>
        <v>575g</v>
      </c>
      <c r="O559" s="5">
        <f t="shared" si="79"/>
        <v>575</v>
      </c>
      <c r="P559" t="str">
        <f>'(Raw) LensesGH'!I559</f>
        <v>79.5 x 98.5mm</v>
      </c>
      <c r="Q559" s="39">
        <f t="shared" si="80"/>
        <v>79.5</v>
      </c>
      <c r="R559" s="39">
        <f t="shared" si="72"/>
        <v>98.5</v>
      </c>
    </row>
    <row r="560" spans="1:18" x14ac:dyDescent="0.25">
      <c r="A560" t="str">
        <f>'(Raw) LensesGH'!A560</f>
        <v>Olympus Zuiko digital ED 14-35mm 2.0 SWD schwarz</v>
      </c>
      <c r="B560" t="str">
        <f>'(Raw) LensesGH'!B560</f>
        <v>14 - 35mm</v>
      </c>
      <c r="C560" s="5">
        <f t="shared" si="73"/>
        <v>14</v>
      </c>
      <c r="D560" s="5">
        <f t="shared" si="74"/>
        <v>35</v>
      </c>
      <c r="E560" t="str">
        <f>'(Raw) LensesGH'!C560</f>
        <v>1:2.0</v>
      </c>
      <c r="F560" s="9">
        <f t="shared" si="75"/>
        <v>2</v>
      </c>
      <c r="G560" s="9">
        <f t="shared" si="76"/>
        <v>2</v>
      </c>
      <c r="H560" t="str">
        <f>'(Raw) LensesGH'!D560</f>
        <v>77mm</v>
      </c>
      <c r="I560" s="2">
        <f t="shared" si="77"/>
        <v>77</v>
      </c>
      <c r="J560" s="2" t="str">
        <f>'(Raw) LensesGH'!E560</f>
        <v>1:8.33</v>
      </c>
      <c r="K560" s="40">
        <f t="shared" si="78"/>
        <v>8.33</v>
      </c>
      <c r="L560" t="str">
        <f>'(Raw) LensesGH'!F560</f>
        <v>Four-Thirds</v>
      </c>
      <c r="M560" t="str">
        <f>'(Raw) LensesGH'!G560</f>
        <v>Four-Thirds</v>
      </c>
      <c r="N560" t="str">
        <f>'(Raw) LensesGH'!H560</f>
        <v>915g</v>
      </c>
      <c r="O560" s="5">
        <f t="shared" si="79"/>
        <v>915</v>
      </c>
      <c r="P560" t="str">
        <f>'(Raw) LensesGH'!I560</f>
        <v>86 x 133mm</v>
      </c>
      <c r="Q560" s="39">
        <f t="shared" si="80"/>
        <v>86</v>
      </c>
      <c r="R560" s="39">
        <f t="shared" si="72"/>
        <v>133</v>
      </c>
    </row>
    <row r="561" spans="1:18" x14ac:dyDescent="0.25">
      <c r="A561" t="str">
        <f>'(Raw) LensesGH'!A561</f>
        <v>Olympus Zuiko digital ED 150mm 2.0 schwarz</v>
      </c>
      <c r="B561" t="str">
        <f>'(Raw) LensesGH'!B561</f>
        <v>150mm</v>
      </c>
      <c r="C561" s="5">
        <f t="shared" si="73"/>
        <v>150</v>
      </c>
      <c r="D561" s="5">
        <f t="shared" si="74"/>
        <v>150</v>
      </c>
      <c r="E561" t="str">
        <f>'(Raw) LensesGH'!C561</f>
        <v>1:2.0</v>
      </c>
      <c r="F561" s="9">
        <f t="shared" si="75"/>
        <v>2</v>
      </c>
      <c r="G561" s="9">
        <f t="shared" si="76"/>
        <v>2</v>
      </c>
      <c r="H561" t="str">
        <f>'(Raw) LensesGH'!D561</f>
        <v>82mm</v>
      </c>
      <c r="I561" s="2">
        <f t="shared" si="77"/>
        <v>82</v>
      </c>
      <c r="J561" s="2" t="str">
        <f>'(Raw) LensesGH'!E561</f>
        <v>1:7.69</v>
      </c>
      <c r="K561" s="40">
        <f t="shared" si="78"/>
        <v>7.69</v>
      </c>
      <c r="L561" t="str">
        <f>'(Raw) LensesGH'!F561</f>
        <v>Four-Thirds</v>
      </c>
      <c r="M561" t="str">
        <f>'(Raw) LensesGH'!G561</f>
        <v>Four-Thirds</v>
      </c>
      <c r="N561" t="str">
        <f>'(Raw) LensesGH'!H561</f>
        <v>1610g</v>
      </c>
      <c r="O561" s="5">
        <f t="shared" si="79"/>
        <v>1610</v>
      </c>
      <c r="P561" t="str">
        <f>'(Raw) LensesGH'!I561</f>
        <v>100 x 150mm</v>
      </c>
      <c r="Q561" s="39">
        <f t="shared" si="80"/>
        <v>100</v>
      </c>
      <c r="R561" s="39">
        <f t="shared" si="72"/>
        <v>150</v>
      </c>
    </row>
    <row r="562" spans="1:18" x14ac:dyDescent="0.25">
      <c r="A562" t="str">
        <f>'(Raw) LensesGH'!A562</f>
        <v>Olympus Zuiko digital ED 18-180mm 3.5-6-3 schwarz</v>
      </c>
      <c r="B562" t="str">
        <f>'(Raw) LensesGH'!B562</f>
        <v>18 - 180mm</v>
      </c>
      <c r="C562" s="5">
        <f t="shared" si="73"/>
        <v>18</v>
      </c>
      <c r="D562" s="5">
        <f t="shared" si="74"/>
        <v>180</v>
      </c>
      <c r="E562" t="str">
        <f>'(Raw) LensesGH'!C562</f>
        <v>1:3.5-1:6.3</v>
      </c>
      <c r="F562" s="9">
        <f t="shared" si="75"/>
        <v>3.5</v>
      </c>
      <c r="G562" s="9">
        <f t="shared" si="76"/>
        <v>3.5</v>
      </c>
      <c r="H562" t="str">
        <f>'(Raw) LensesGH'!D562</f>
        <v>62mm</v>
      </c>
      <c r="I562" s="2">
        <f t="shared" si="77"/>
        <v>62</v>
      </c>
      <c r="J562" s="2" t="str">
        <f>'(Raw) LensesGH'!E562</f>
        <v>1:4.35</v>
      </c>
      <c r="K562" s="40">
        <f t="shared" si="78"/>
        <v>4.3499999999999996</v>
      </c>
      <c r="L562" t="str">
        <f>'(Raw) LensesGH'!F562</f>
        <v>Four-Thirds</v>
      </c>
      <c r="M562" t="str">
        <f>'(Raw) LensesGH'!G562</f>
        <v>Four-Thirds</v>
      </c>
      <c r="N562" t="str">
        <f>'(Raw) LensesGH'!H562</f>
        <v>435g</v>
      </c>
      <c r="O562" s="5">
        <f t="shared" si="79"/>
        <v>435</v>
      </c>
      <c r="P562" t="str">
        <f>'(Raw) LensesGH'!I562</f>
        <v>78 x 84.5mm</v>
      </c>
      <c r="Q562" s="39">
        <f t="shared" si="80"/>
        <v>78</v>
      </c>
      <c r="R562" s="39">
        <f t="shared" si="72"/>
        <v>84.5</v>
      </c>
    </row>
    <row r="563" spans="1:18" x14ac:dyDescent="0.25">
      <c r="A563" t="str">
        <f>'(Raw) LensesGH'!A563</f>
        <v>Olympus Zuiko digital ED 300mm 2.8 schwarz</v>
      </c>
      <c r="B563" t="str">
        <f>'(Raw) LensesGH'!B563</f>
        <v>300mm</v>
      </c>
      <c r="C563" s="5">
        <f t="shared" si="73"/>
        <v>300</v>
      </c>
      <c r="D563" s="5">
        <f t="shared" si="74"/>
        <v>300</v>
      </c>
      <c r="E563" t="str">
        <f>'(Raw) LensesGH'!C563</f>
        <v>1:2.8</v>
      </c>
      <c r="F563" s="9">
        <f t="shared" si="75"/>
        <v>2.8</v>
      </c>
      <c r="G563" s="9">
        <f t="shared" si="76"/>
        <v>2.8</v>
      </c>
      <c r="H563" t="str">
        <f>'(Raw) LensesGH'!D563</f>
        <v>43mm</v>
      </c>
      <c r="I563" s="2">
        <f t="shared" si="77"/>
        <v>43</v>
      </c>
      <c r="J563" s="2" t="str">
        <f>'(Raw) LensesGH'!E563</f>
        <v>1:6.67</v>
      </c>
      <c r="K563" s="40">
        <f t="shared" si="78"/>
        <v>6.67</v>
      </c>
      <c r="L563" t="str">
        <f>'(Raw) LensesGH'!F563</f>
        <v>Four-Thirds</v>
      </c>
      <c r="M563" t="str">
        <f>'(Raw) LensesGH'!G563</f>
        <v>Four-Thirds</v>
      </c>
      <c r="N563" t="str">
        <f>'(Raw) LensesGH'!H563</f>
        <v>3290g</v>
      </c>
      <c r="O563" s="5">
        <f t="shared" si="79"/>
        <v>3290</v>
      </c>
      <c r="P563" t="str">
        <f>'(Raw) LensesGH'!I563</f>
        <v>129 x 281mm</v>
      </c>
      <c r="Q563" s="39">
        <f t="shared" si="80"/>
        <v>129</v>
      </c>
      <c r="R563" s="39">
        <f t="shared" si="72"/>
        <v>281</v>
      </c>
    </row>
    <row r="564" spans="1:18" x14ac:dyDescent="0.25">
      <c r="A564" t="str">
        <f>'(Raw) LensesGH'!A564</f>
        <v>Olympus Zuiko digital ED 35-100mm 2.0 schwarz</v>
      </c>
      <c r="B564" t="str">
        <f>'(Raw) LensesGH'!B564</f>
        <v>35 - 100mm</v>
      </c>
      <c r="C564" s="5">
        <f t="shared" si="73"/>
        <v>35</v>
      </c>
      <c r="D564" s="5">
        <f t="shared" si="74"/>
        <v>100</v>
      </c>
      <c r="E564" t="str">
        <f>'(Raw) LensesGH'!C564</f>
        <v>1:2.0</v>
      </c>
      <c r="F564" s="9">
        <f t="shared" si="75"/>
        <v>2</v>
      </c>
      <c r="G564" s="9">
        <f t="shared" si="76"/>
        <v>2</v>
      </c>
      <c r="H564" t="str">
        <f>'(Raw) LensesGH'!D564</f>
        <v>77mm</v>
      </c>
      <c r="I564" s="2">
        <f t="shared" si="77"/>
        <v>77</v>
      </c>
      <c r="J564" s="2" t="str">
        <f>'(Raw) LensesGH'!E564</f>
        <v>1:11.11</v>
      </c>
      <c r="K564" s="40">
        <f t="shared" si="78"/>
        <v>11.11</v>
      </c>
      <c r="L564" t="str">
        <f>'(Raw) LensesGH'!F564</f>
        <v>Four-Thirds</v>
      </c>
      <c r="M564" t="str">
        <f>'(Raw) LensesGH'!G564</f>
        <v>Four-Thirds</v>
      </c>
      <c r="N564" t="str">
        <f>'(Raw) LensesGH'!H564</f>
        <v>1650g</v>
      </c>
      <c r="O564" s="5">
        <f t="shared" si="79"/>
        <v>1650</v>
      </c>
      <c r="P564" t="str">
        <f>'(Raw) LensesGH'!I564</f>
        <v>96.5 x 213.5mm</v>
      </c>
      <c r="Q564" s="39">
        <f t="shared" si="80"/>
        <v>96.5</v>
      </c>
      <c r="R564" s="39">
        <f t="shared" si="72"/>
        <v>213.5</v>
      </c>
    </row>
    <row r="565" spans="1:18" x14ac:dyDescent="0.25">
      <c r="A565" t="str">
        <f>'(Raw) LensesGH'!A565</f>
        <v>Olympus Zuiko digital ED 40-150mm 4.0-5.6 schwarz</v>
      </c>
      <c r="B565" t="str">
        <f>'(Raw) LensesGH'!B565</f>
        <v>40 - 150mm</v>
      </c>
      <c r="C565" s="5">
        <f t="shared" si="73"/>
        <v>40</v>
      </c>
      <c r="D565" s="5">
        <f t="shared" si="74"/>
        <v>150</v>
      </c>
      <c r="E565" t="str">
        <f>'(Raw) LensesGH'!C565</f>
        <v>1:4.0-1:5.6</v>
      </c>
      <c r="F565" s="9">
        <f t="shared" si="75"/>
        <v>4</v>
      </c>
      <c r="G565" s="9">
        <f t="shared" si="76"/>
        <v>4</v>
      </c>
      <c r="H565" t="str">
        <f>'(Raw) LensesGH'!D565</f>
        <v>58mm</v>
      </c>
      <c r="I565" s="2">
        <f t="shared" si="77"/>
        <v>58</v>
      </c>
      <c r="J565" s="2" t="str">
        <f>'(Raw) LensesGH'!E565</f>
        <v>1:6.25</v>
      </c>
      <c r="K565" s="40">
        <f t="shared" si="78"/>
        <v>6.25</v>
      </c>
      <c r="L565" t="str">
        <f>'(Raw) LensesGH'!F565</f>
        <v>Four-Thirds</v>
      </c>
      <c r="M565" t="str">
        <f>'(Raw) LensesGH'!G565</f>
        <v>Four-Thirds</v>
      </c>
      <c r="N565" t="str">
        <f>'(Raw) LensesGH'!H565</f>
        <v>220g</v>
      </c>
      <c r="O565" s="5">
        <f t="shared" si="79"/>
        <v>220</v>
      </c>
      <c r="P565" t="str">
        <f>'(Raw) LensesGH'!I565</f>
        <v>65.5 x 72mm</v>
      </c>
      <c r="Q565" s="39">
        <f t="shared" si="80"/>
        <v>65.5</v>
      </c>
      <c r="R565" s="39">
        <f t="shared" si="72"/>
        <v>72</v>
      </c>
    </row>
    <row r="566" spans="1:18" x14ac:dyDescent="0.25">
      <c r="A566" t="str">
        <f>'(Raw) LensesGH'!A566</f>
        <v>Olympus Zuiko digital ED 50-200mm 2.8-3.5 SWD schwarz</v>
      </c>
      <c r="B566" t="str">
        <f>'(Raw) LensesGH'!B566</f>
        <v>50 - 200mm</v>
      </c>
      <c r="C566" s="5">
        <f t="shared" si="73"/>
        <v>50</v>
      </c>
      <c r="D566" s="5">
        <f t="shared" si="74"/>
        <v>200</v>
      </c>
      <c r="E566" t="str">
        <f>'(Raw) LensesGH'!C566</f>
        <v>1:2.8-1:3.5</v>
      </c>
      <c r="F566" s="9">
        <f t="shared" si="75"/>
        <v>2.8</v>
      </c>
      <c r="G566" s="9">
        <f t="shared" si="76"/>
        <v>2.8</v>
      </c>
      <c r="H566" t="str">
        <f>'(Raw) LensesGH'!D566</f>
        <v>67mm</v>
      </c>
      <c r="I566" s="2">
        <f t="shared" si="77"/>
        <v>67</v>
      </c>
      <c r="J566" s="2" t="str">
        <f>'(Raw) LensesGH'!E566</f>
        <v>1:4.76</v>
      </c>
      <c r="K566" s="40">
        <f t="shared" si="78"/>
        <v>4.76</v>
      </c>
      <c r="L566" t="str">
        <f>'(Raw) LensesGH'!F566</f>
        <v>Four-Thirds</v>
      </c>
      <c r="M566" t="str">
        <f>'(Raw) LensesGH'!G566</f>
        <v>Four-Thirds</v>
      </c>
      <c r="N566" t="str">
        <f>'(Raw) LensesGH'!H566</f>
        <v>995g</v>
      </c>
      <c r="O566" s="5">
        <f t="shared" si="79"/>
        <v>995</v>
      </c>
      <c r="P566" t="str">
        <f>'(Raw) LensesGH'!I566</f>
        <v>86.5 x 157mm</v>
      </c>
      <c r="Q566" s="39">
        <f t="shared" si="80"/>
        <v>86.5</v>
      </c>
      <c r="R566" s="39">
        <f t="shared" si="72"/>
        <v>157</v>
      </c>
    </row>
    <row r="567" spans="1:18" x14ac:dyDescent="0.25">
      <c r="A567" t="str">
        <f>'(Raw) LensesGH'!A567</f>
        <v>Olympus Zuiko digital ED 50mm 2.0 Makro schwarz</v>
      </c>
      <c r="B567" t="str">
        <f>'(Raw) LensesGH'!B567</f>
        <v>50mm</v>
      </c>
      <c r="C567" s="5">
        <f t="shared" si="73"/>
        <v>50</v>
      </c>
      <c r="D567" s="5">
        <f t="shared" si="74"/>
        <v>50</v>
      </c>
      <c r="E567" t="str">
        <f>'(Raw) LensesGH'!C567</f>
        <v>1:2.0</v>
      </c>
      <c r="F567" s="9">
        <f t="shared" si="75"/>
        <v>2</v>
      </c>
      <c r="G567" s="9">
        <f t="shared" si="76"/>
        <v>2</v>
      </c>
      <c r="H567" t="str">
        <f>'(Raw) LensesGH'!D567</f>
        <v>52mm</v>
      </c>
      <c r="I567" s="2">
        <f t="shared" si="77"/>
        <v>52</v>
      </c>
      <c r="J567" s="2" t="str">
        <f>'(Raw) LensesGH'!E567</f>
        <v>1:1.92</v>
      </c>
      <c r="K567" s="40">
        <f t="shared" si="78"/>
        <v>1.92</v>
      </c>
      <c r="L567" t="str">
        <f>'(Raw) LensesGH'!F567</f>
        <v>Four-Thirds</v>
      </c>
      <c r="M567" t="str">
        <f>'(Raw) LensesGH'!G567</f>
        <v>Four-Thirds</v>
      </c>
      <c r="N567" t="str">
        <f>'(Raw) LensesGH'!H567</f>
        <v>300g</v>
      </c>
      <c r="O567" s="5">
        <f t="shared" si="79"/>
        <v>300</v>
      </c>
      <c r="P567" t="str">
        <f>'(Raw) LensesGH'!I567</f>
        <v>71 x 61.5mm</v>
      </c>
      <c r="Q567" s="39">
        <f t="shared" si="80"/>
        <v>71</v>
      </c>
      <c r="R567" s="39">
        <f t="shared" si="72"/>
        <v>61.5</v>
      </c>
    </row>
    <row r="568" spans="1:18" x14ac:dyDescent="0.25">
      <c r="A568" t="str">
        <f>'(Raw) LensesGH'!A568</f>
        <v>Olympus Zuiko digital ED 70-300mm 4.0-5.6 schwarz</v>
      </c>
      <c r="B568" t="str">
        <f>'(Raw) LensesGH'!B568</f>
        <v>70 - 300mm</v>
      </c>
      <c r="C568" s="5">
        <f t="shared" si="73"/>
        <v>70</v>
      </c>
      <c r="D568" s="5">
        <f t="shared" si="74"/>
        <v>300</v>
      </c>
      <c r="E568" t="str">
        <f>'(Raw) LensesGH'!C568</f>
        <v>1:4.0-1:5.6</v>
      </c>
      <c r="F568" s="9">
        <f t="shared" si="75"/>
        <v>4</v>
      </c>
      <c r="G568" s="9">
        <f t="shared" si="76"/>
        <v>4</v>
      </c>
      <c r="H568" t="str">
        <f>'(Raw) LensesGH'!D568</f>
        <v>58mm</v>
      </c>
      <c r="I568" s="2">
        <f t="shared" si="77"/>
        <v>58</v>
      </c>
      <c r="J568" s="2" t="str">
        <f>'(Raw) LensesGH'!E568</f>
        <v>1:2.00</v>
      </c>
      <c r="K568" s="40">
        <f t="shared" si="78"/>
        <v>2</v>
      </c>
      <c r="L568" t="str">
        <f>'(Raw) LensesGH'!F568</f>
        <v>Four-Thirds</v>
      </c>
      <c r="M568" t="str">
        <f>'(Raw) LensesGH'!G568</f>
        <v>Four-Thirds</v>
      </c>
      <c r="N568" t="str">
        <f>'(Raw) LensesGH'!H568</f>
        <v>620g</v>
      </c>
      <c r="O568" s="5">
        <f t="shared" si="79"/>
        <v>620</v>
      </c>
      <c r="P568" t="str">
        <f>'(Raw) LensesGH'!I568</f>
        <v>80 x 127mm</v>
      </c>
      <c r="Q568" s="39">
        <f t="shared" si="80"/>
        <v>80</v>
      </c>
      <c r="R568" s="39">
        <f t="shared" si="72"/>
        <v>127</v>
      </c>
    </row>
    <row r="569" spans="1:18" x14ac:dyDescent="0.25">
      <c r="A569" t="str">
        <f>'(Raw) LensesGH'!A569</f>
        <v>Olympus Zuiko digital ED 7-14mm 4.0 schwarz</v>
      </c>
      <c r="B569" t="str">
        <f>'(Raw) LensesGH'!B569</f>
        <v>7 - 14mm</v>
      </c>
      <c r="C569" s="5">
        <f t="shared" si="73"/>
        <v>7</v>
      </c>
      <c r="D569" s="5">
        <f t="shared" si="74"/>
        <v>14</v>
      </c>
      <c r="E569" t="str">
        <f>'(Raw) LensesGH'!C569</f>
        <v>1:4.0</v>
      </c>
      <c r="F569" s="9">
        <f t="shared" si="75"/>
        <v>4</v>
      </c>
      <c r="G569" s="9">
        <f t="shared" si="76"/>
        <v>4</v>
      </c>
      <c r="H569">
        <f>'(Raw) LensesGH'!D569</f>
        <v>0</v>
      </c>
      <c r="I569" s="2">
        <f t="shared" si="77"/>
        <v>0</v>
      </c>
      <c r="J569" s="2" t="str">
        <f>'(Raw) LensesGH'!E569</f>
        <v>1:9.09</v>
      </c>
      <c r="K569" s="40">
        <f t="shared" si="78"/>
        <v>9.09</v>
      </c>
      <c r="L569" t="str">
        <f>'(Raw) LensesGH'!F569</f>
        <v>Four-Thirds</v>
      </c>
      <c r="M569" t="str">
        <f>'(Raw) LensesGH'!G569</f>
        <v>Four-Thirds</v>
      </c>
      <c r="N569" t="str">
        <f>'(Raw) LensesGH'!H569</f>
        <v>780g</v>
      </c>
      <c r="O569" s="5">
        <f t="shared" si="79"/>
        <v>780</v>
      </c>
      <c r="P569" t="str">
        <f>'(Raw) LensesGH'!I569</f>
        <v>86.5 x 119.5mm</v>
      </c>
      <c r="Q569" s="39">
        <f t="shared" si="80"/>
        <v>86.5</v>
      </c>
      <c r="R569" s="39">
        <f t="shared" si="72"/>
        <v>119.5</v>
      </c>
    </row>
    <row r="570" spans="1:18" x14ac:dyDescent="0.25">
      <c r="A570" t="str">
        <f>'(Raw) LensesGH'!A570</f>
        <v>Olympus Zuiko digital ED 8mm 3.5 Fisheye schwarz</v>
      </c>
      <c r="B570" t="str">
        <f>'(Raw) LensesGH'!B570</f>
        <v>8mm</v>
      </c>
      <c r="C570" s="5">
        <f t="shared" si="73"/>
        <v>8</v>
      </c>
      <c r="D570" s="5">
        <f t="shared" si="74"/>
        <v>8</v>
      </c>
      <c r="E570" t="str">
        <f>'(Raw) LensesGH'!C570</f>
        <v>1:3.5</v>
      </c>
      <c r="F570" s="9">
        <f t="shared" si="75"/>
        <v>3.5</v>
      </c>
      <c r="G570" s="9">
        <f t="shared" si="76"/>
        <v>3.5</v>
      </c>
      <c r="H570">
        <f>'(Raw) LensesGH'!D570</f>
        <v>0</v>
      </c>
      <c r="I570" s="2">
        <f t="shared" si="77"/>
        <v>0</v>
      </c>
      <c r="J570" s="2" t="str">
        <f>'(Raw) LensesGH'!E570</f>
        <v>1:4.55</v>
      </c>
      <c r="K570" s="40">
        <f t="shared" si="78"/>
        <v>4.55</v>
      </c>
      <c r="L570" t="str">
        <f>'(Raw) LensesGH'!F570</f>
        <v>Four-Thirds</v>
      </c>
      <c r="M570" t="str">
        <f>'(Raw) LensesGH'!G570</f>
        <v>Four-Thirds</v>
      </c>
      <c r="N570" t="str">
        <f>'(Raw) LensesGH'!H570</f>
        <v>455g</v>
      </c>
      <c r="O570" s="5">
        <f t="shared" si="79"/>
        <v>455</v>
      </c>
      <c r="P570" t="str">
        <f>'(Raw) LensesGH'!I570</f>
        <v>79 x 78mm</v>
      </c>
      <c r="Q570" s="39">
        <f t="shared" si="80"/>
        <v>79</v>
      </c>
      <c r="R570" s="39">
        <f t="shared" si="72"/>
        <v>78</v>
      </c>
    </row>
    <row r="571" spans="1:18" x14ac:dyDescent="0.25">
      <c r="A571" t="str">
        <f>'(Raw) LensesGH'!A571</f>
        <v>Olympus Zuiko digital ED 9-18mm 4.0-5.6 schwarz</v>
      </c>
      <c r="B571" t="str">
        <f>'(Raw) LensesGH'!B571</f>
        <v>9 - 18mm</v>
      </c>
      <c r="C571" s="5">
        <f t="shared" si="73"/>
        <v>9</v>
      </c>
      <c r="D571" s="5">
        <f t="shared" si="74"/>
        <v>18</v>
      </c>
      <c r="E571" t="str">
        <f>'(Raw) LensesGH'!C571</f>
        <v>1:4.0-1:5.6</v>
      </c>
      <c r="F571" s="9">
        <f t="shared" si="75"/>
        <v>4</v>
      </c>
      <c r="G571" s="9">
        <f t="shared" si="76"/>
        <v>4</v>
      </c>
      <c r="H571" t="str">
        <f>'(Raw) LensesGH'!D571</f>
        <v>72mm</v>
      </c>
      <c r="I571" s="2">
        <f t="shared" si="77"/>
        <v>72</v>
      </c>
      <c r="J571" s="2" t="str">
        <f>'(Raw) LensesGH'!E571</f>
        <v>1:8.33</v>
      </c>
      <c r="K571" s="40">
        <f t="shared" si="78"/>
        <v>8.33</v>
      </c>
      <c r="L571" t="str">
        <f>'(Raw) LensesGH'!F571</f>
        <v>Four-Thirds</v>
      </c>
      <c r="M571" t="str">
        <f>'(Raw) LensesGH'!G571</f>
        <v>Four-Thirds</v>
      </c>
      <c r="N571" t="str">
        <f>'(Raw) LensesGH'!H571</f>
        <v>280g</v>
      </c>
      <c r="O571" s="5">
        <f t="shared" si="79"/>
        <v>280</v>
      </c>
      <c r="P571" t="str">
        <f>'(Raw) LensesGH'!I571</f>
        <v>73 x 79.5mm</v>
      </c>
      <c r="Q571" s="39">
        <f t="shared" si="80"/>
        <v>73</v>
      </c>
      <c r="R571" s="39">
        <f t="shared" si="72"/>
        <v>79.5</v>
      </c>
    </row>
    <row r="572" spans="1:18" x14ac:dyDescent="0.25">
      <c r="A572" t="str">
        <f>'(Raw) LensesGH'!A572</f>
        <v>Panasonic Lumix 3D-Objektiv G 12.5mm 12.0 schwarz</v>
      </c>
      <c r="B572" t="str">
        <f>'(Raw) LensesGH'!B572</f>
        <v>12.5mm</v>
      </c>
      <c r="C572" s="5">
        <f t="shared" si="73"/>
        <v>12.5</v>
      </c>
      <c r="D572" s="5">
        <f t="shared" si="74"/>
        <v>12.5</v>
      </c>
      <c r="E572">
        <f>'(Raw) LensesGH'!C572</f>
        <v>4.9999999999999996E-2</v>
      </c>
      <c r="F572" s="9">
        <f t="shared" si="75"/>
        <v>0.05</v>
      </c>
      <c r="G572" s="9">
        <f t="shared" si="76"/>
        <v>0.05</v>
      </c>
      <c r="H572">
        <f>'(Raw) LensesGH'!D572</f>
        <v>0</v>
      </c>
      <c r="I572" s="2">
        <f t="shared" si="77"/>
        <v>0</v>
      </c>
      <c r="J572" s="2" t="str">
        <f>'(Raw) LensesGH'!E572</f>
        <v>1:50.00</v>
      </c>
      <c r="K572" s="40">
        <f t="shared" si="78"/>
        <v>50</v>
      </c>
      <c r="L572" t="str">
        <f>'(Raw) LensesGH'!F572</f>
        <v>Micro-Four-Thirds</v>
      </c>
      <c r="M572" t="str">
        <f>'(Raw) LensesGH'!G572</f>
        <v>Four-Thirds</v>
      </c>
      <c r="N572" t="str">
        <f>'(Raw) LensesGH'!H572</f>
        <v>45g</v>
      </c>
      <c r="O572" s="5">
        <f t="shared" si="79"/>
        <v>45</v>
      </c>
      <c r="P572">
        <f>'(Raw) LensesGH'!I572</f>
        <v>0</v>
      </c>
      <c r="Q572" s="39">
        <f t="shared" si="80"/>
        <v>0</v>
      </c>
      <c r="R572" s="39">
        <f t="shared" si="72"/>
        <v>0</v>
      </c>
    </row>
    <row r="573" spans="1:18" x14ac:dyDescent="0.25">
      <c r="A573" t="str">
        <f>'(Raw) LensesGH'!A573</f>
        <v>Panasonic Lumix G 14mm 2.5 ASPH II schwarz</v>
      </c>
      <c r="B573" t="str">
        <f>'(Raw) LensesGH'!B573</f>
        <v>14mm</v>
      </c>
      <c r="C573" s="5">
        <f t="shared" si="73"/>
        <v>14</v>
      </c>
      <c r="D573" s="5">
        <f t="shared" si="74"/>
        <v>14</v>
      </c>
      <c r="E573" t="str">
        <f>'(Raw) LensesGH'!C573</f>
        <v>1:2.5</v>
      </c>
      <c r="F573" s="9">
        <f t="shared" si="75"/>
        <v>2.5</v>
      </c>
      <c r="G573" s="9">
        <f t="shared" si="76"/>
        <v>2.5</v>
      </c>
      <c r="H573" t="str">
        <f>'(Raw) LensesGH'!D573</f>
        <v>46mm</v>
      </c>
      <c r="I573" s="2">
        <f t="shared" si="77"/>
        <v>46</v>
      </c>
      <c r="J573" s="2" t="str">
        <f>'(Raw) LensesGH'!E573</f>
        <v>1:10.00</v>
      </c>
      <c r="K573" s="40">
        <f t="shared" si="78"/>
        <v>10</v>
      </c>
      <c r="L573" t="str">
        <f>'(Raw) LensesGH'!F573</f>
        <v>Micro-Four-Thirds</v>
      </c>
      <c r="M573" t="str">
        <f>'(Raw) LensesGH'!G573</f>
        <v>Four-Thirds</v>
      </c>
      <c r="N573" t="str">
        <f>'(Raw) LensesGH'!H573</f>
        <v>55g</v>
      </c>
      <c r="O573" s="5">
        <f t="shared" si="79"/>
        <v>55</v>
      </c>
      <c r="P573" t="str">
        <f>'(Raw) LensesGH'!I573</f>
        <v>55.5 x 20.5mm</v>
      </c>
      <c r="Q573" s="39">
        <f t="shared" si="80"/>
        <v>55.5</v>
      </c>
      <c r="R573" s="39">
        <f t="shared" si="72"/>
        <v>20.5</v>
      </c>
    </row>
    <row r="574" spans="1:18" x14ac:dyDescent="0.25">
      <c r="A574" t="str">
        <f>'(Raw) LensesGH'!A574</f>
        <v>Panasonic Lumix G 14mm 2.5 ASPH II silber</v>
      </c>
      <c r="B574" t="str">
        <f>'(Raw) LensesGH'!B574</f>
        <v>14mm</v>
      </c>
      <c r="C574" s="5">
        <f t="shared" si="73"/>
        <v>14</v>
      </c>
      <c r="D574" s="5">
        <f t="shared" si="74"/>
        <v>14</v>
      </c>
      <c r="E574" t="str">
        <f>'(Raw) LensesGH'!C574</f>
        <v>1:2.5</v>
      </c>
      <c r="F574" s="9">
        <f t="shared" si="75"/>
        <v>2.5</v>
      </c>
      <c r="G574" s="9">
        <f t="shared" si="76"/>
        <v>2.5</v>
      </c>
      <c r="H574" t="str">
        <f>'(Raw) LensesGH'!D574</f>
        <v>46mm</v>
      </c>
      <c r="I574" s="2">
        <f t="shared" si="77"/>
        <v>46</v>
      </c>
      <c r="J574" s="2" t="str">
        <f>'(Raw) LensesGH'!E574</f>
        <v>1:10.00</v>
      </c>
      <c r="K574" s="40">
        <f t="shared" si="78"/>
        <v>10</v>
      </c>
      <c r="L574" t="str">
        <f>'(Raw) LensesGH'!F574</f>
        <v>Micro-Four-Thirds</v>
      </c>
      <c r="M574" t="str">
        <f>'(Raw) LensesGH'!G574</f>
        <v>Four-Thirds</v>
      </c>
      <c r="N574" t="str">
        <f>'(Raw) LensesGH'!H574</f>
        <v>55g</v>
      </c>
      <c r="O574" s="5">
        <f t="shared" si="79"/>
        <v>55</v>
      </c>
      <c r="P574" t="str">
        <f>'(Raw) LensesGH'!I574</f>
        <v>55.5 x 20.5mm</v>
      </c>
      <c r="Q574" s="39">
        <f t="shared" si="80"/>
        <v>55.5</v>
      </c>
      <c r="R574" s="39">
        <f t="shared" si="72"/>
        <v>20.5</v>
      </c>
    </row>
    <row r="575" spans="1:18" x14ac:dyDescent="0.25">
      <c r="A575" t="str">
        <f>'(Raw) LensesGH'!A575</f>
        <v>Panasonic Lumix G 14mm 2.5 ASPH schwarz</v>
      </c>
      <c r="B575" t="str">
        <f>'(Raw) LensesGH'!B575</f>
        <v>14mm</v>
      </c>
      <c r="C575" s="5">
        <f t="shared" si="73"/>
        <v>14</v>
      </c>
      <c r="D575" s="5">
        <f t="shared" si="74"/>
        <v>14</v>
      </c>
      <c r="E575" t="str">
        <f>'(Raw) LensesGH'!C575</f>
        <v>1:2.5</v>
      </c>
      <c r="F575" s="9">
        <f t="shared" si="75"/>
        <v>2.5</v>
      </c>
      <c r="G575" s="9">
        <f t="shared" si="76"/>
        <v>2.5</v>
      </c>
      <c r="H575" t="str">
        <f>'(Raw) LensesGH'!D575</f>
        <v>46mm</v>
      </c>
      <c r="I575" s="2">
        <f t="shared" si="77"/>
        <v>46</v>
      </c>
      <c r="J575" s="2">
        <f>'(Raw) LensesGH'!E575</f>
        <v>0</v>
      </c>
      <c r="K575" s="40">
        <f t="shared" si="78"/>
        <v>0</v>
      </c>
      <c r="L575" t="str">
        <f>'(Raw) LensesGH'!F575</f>
        <v>Micro-Four-Thirds</v>
      </c>
      <c r="M575" t="str">
        <f>'(Raw) LensesGH'!G575</f>
        <v>Four-Thirds</v>
      </c>
      <c r="N575" t="str">
        <f>'(Raw) LensesGH'!H575</f>
        <v>55g</v>
      </c>
      <c r="O575" s="5">
        <f t="shared" si="79"/>
        <v>55</v>
      </c>
      <c r="P575">
        <f>'(Raw) LensesGH'!I575</f>
        <v>0</v>
      </c>
      <c r="Q575" s="39">
        <f t="shared" si="80"/>
        <v>0</v>
      </c>
      <c r="R575" s="39">
        <f t="shared" si="72"/>
        <v>0</v>
      </c>
    </row>
    <row r="576" spans="1:18" x14ac:dyDescent="0.25">
      <c r="A576" t="str">
        <f>'(Raw) LensesGH'!A576</f>
        <v>Panasonic Lumix G 20mm 1.7 ASPH schwarz</v>
      </c>
      <c r="B576" t="str">
        <f>'(Raw) LensesGH'!B576</f>
        <v>20mm</v>
      </c>
      <c r="C576" s="5">
        <f t="shared" si="73"/>
        <v>20</v>
      </c>
      <c r="D576" s="5">
        <f t="shared" si="74"/>
        <v>20</v>
      </c>
      <c r="E576" t="str">
        <f>'(Raw) LensesGH'!C576</f>
        <v>1:1.7</v>
      </c>
      <c r="F576" s="9">
        <f t="shared" si="75"/>
        <v>1.7</v>
      </c>
      <c r="G576" s="9">
        <f t="shared" si="76"/>
        <v>1.7</v>
      </c>
      <c r="H576" t="str">
        <f>'(Raw) LensesGH'!D576</f>
        <v>46mm</v>
      </c>
      <c r="I576" s="2">
        <f t="shared" si="77"/>
        <v>46</v>
      </c>
      <c r="J576" s="2" t="str">
        <f>'(Raw) LensesGH'!E576</f>
        <v>1:7.69</v>
      </c>
      <c r="K576" s="40">
        <f t="shared" si="78"/>
        <v>7.69</v>
      </c>
      <c r="L576" t="str">
        <f>'(Raw) LensesGH'!F576</f>
        <v>Micro-Four-Thirds</v>
      </c>
      <c r="M576" t="str">
        <f>'(Raw) LensesGH'!G576</f>
        <v>Four-Thirds</v>
      </c>
      <c r="N576" t="str">
        <f>'(Raw) LensesGH'!H576</f>
        <v>100g</v>
      </c>
      <c r="O576" s="5">
        <f t="shared" si="79"/>
        <v>100</v>
      </c>
      <c r="P576" t="str">
        <f>'(Raw) LensesGH'!I576</f>
        <v>63 x 25.5mm</v>
      </c>
      <c r="Q576" s="39">
        <f t="shared" si="80"/>
        <v>63</v>
      </c>
      <c r="R576" s="39">
        <f t="shared" si="72"/>
        <v>25.5</v>
      </c>
    </row>
    <row r="577" spans="1:18" x14ac:dyDescent="0.25">
      <c r="A577" t="str">
        <f>'(Raw) LensesGH'!A577</f>
        <v>Panasonic Lumix G 20mm 1.7 II ASPH schwarz</v>
      </c>
      <c r="B577" t="str">
        <f>'(Raw) LensesGH'!B577</f>
        <v>20mm</v>
      </c>
      <c r="C577" s="5">
        <f t="shared" si="73"/>
        <v>20</v>
      </c>
      <c r="D577" s="5">
        <f t="shared" si="74"/>
        <v>20</v>
      </c>
      <c r="E577" t="str">
        <f>'(Raw) LensesGH'!C577</f>
        <v>1:1.7</v>
      </c>
      <c r="F577" s="9">
        <f t="shared" si="75"/>
        <v>1.7</v>
      </c>
      <c r="G577" s="9">
        <f t="shared" si="76"/>
        <v>1.7</v>
      </c>
      <c r="H577" t="str">
        <f>'(Raw) LensesGH'!D577</f>
        <v>46mm</v>
      </c>
      <c r="I577" s="2">
        <f t="shared" si="77"/>
        <v>46</v>
      </c>
      <c r="J577" s="2" t="str">
        <f>'(Raw) LensesGH'!E577</f>
        <v>1:7.69</v>
      </c>
      <c r="K577" s="40">
        <f t="shared" si="78"/>
        <v>7.69</v>
      </c>
      <c r="L577" t="str">
        <f>'(Raw) LensesGH'!F577</f>
        <v>Micro-Four-Thirds</v>
      </c>
      <c r="M577" t="str">
        <f>'(Raw) LensesGH'!G577</f>
        <v>Four-Thirds</v>
      </c>
      <c r="N577" t="str">
        <f>'(Raw) LensesGH'!H577</f>
        <v>87g</v>
      </c>
      <c r="O577" s="5">
        <f t="shared" si="79"/>
        <v>87</v>
      </c>
      <c r="P577" t="str">
        <f>'(Raw) LensesGH'!I577</f>
        <v>63 x 25.5mm</v>
      </c>
      <c r="Q577" s="39">
        <f t="shared" si="80"/>
        <v>63</v>
      </c>
      <c r="R577" s="39">
        <f t="shared" si="72"/>
        <v>25.5</v>
      </c>
    </row>
    <row r="578" spans="1:18" x14ac:dyDescent="0.25">
      <c r="A578" t="str">
        <f>'(Raw) LensesGH'!A578</f>
        <v>Panasonic Lumix G 20mm 1.7 II ASPH silber</v>
      </c>
      <c r="B578" t="str">
        <f>'(Raw) LensesGH'!B578</f>
        <v>20mm</v>
      </c>
      <c r="C578" s="5">
        <f t="shared" si="73"/>
        <v>20</v>
      </c>
      <c r="D578" s="5">
        <f t="shared" si="74"/>
        <v>20</v>
      </c>
      <c r="E578" t="str">
        <f>'(Raw) LensesGH'!C578</f>
        <v>1:1.7</v>
      </c>
      <c r="F578" s="9">
        <f t="shared" si="75"/>
        <v>1.7</v>
      </c>
      <c r="G578" s="9">
        <f t="shared" si="76"/>
        <v>1.7</v>
      </c>
      <c r="H578" t="str">
        <f>'(Raw) LensesGH'!D578</f>
        <v>46mm</v>
      </c>
      <c r="I578" s="2">
        <f t="shared" si="77"/>
        <v>46</v>
      </c>
      <c r="J578" s="2" t="str">
        <f>'(Raw) LensesGH'!E578</f>
        <v>1:7.69</v>
      </c>
      <c r="K578" s="40">
        <f t="shared" si="78"/>
        <v>7.69</v>
      </c>
      <c r="L578" t="str">
        <f>'(Raw) LensesGH'!F578</f>
        <v>Micro-Four-Thirds</v>
      </c>
      <c r="M578" t="str">
        <f>'(Raw) LensesGH'!G578</f>
        <v>Four-Thirds</v>
      </c>
      <c r="N578" t="str">
        <f>'(Raw) LensesGH'!H578</f>
        <v>87g</v>
      </c>
      <c r="O578" s="5">
        <f t="shared" si="79"/>
        <v>87</v>
      </c>
      <c r="P578" t="str">
        <f>'(Raw) LensesGH'!I578</f>
        <v>63 x 25.5mm</v>
      </c>
      <c r="Q578" s="39">
        <f t="shared" si="80"/>
        <v>63</v>
      </c>
      <c r="R578" s="39">
        <f t="shared" ref="R578:R641" si="81">getSizeLength(P578)</f>
        <v>25.5</v>
      </c>
    </row>
    <row r="579" spans="1:18" x14ac:dyDescent="0.25">
      <c r="A579" t="str">
        <f>'(Raw) LensesGH'!A579</f>
        <v>Panasonic Lumix G 25mm 1.7 schwarz</v>
      </c>
      <c r="B579" t="str">
        <f>'(Raw) LensesGH'!B579</f>
        <v>25mm</v>
      </c>
      <c r="C579" s="5">
        <f t="shared" ref="C579:C642" si="82">getFocalLengthStart(B579)</f>
        <v>25</v>
      </c>
      <c r="D579" s="5">
        <f t="shared" ref="D579:D642" si="83">getFocalLengthEnd(B579)</f>
        <v>25</v>
      </c>
      <c r="E579" t="str">
        <f>'(Raw) LensesGH'!C579</f>
        <v>1:1.7</v>
      </c>
      <c r="F579" s="9">
        <f t="shared" ref="F579:F642" si="84">getApertureStart(E579)</f>
        <v>1.7</v>
      </c>
      <c r="G579" s="9">
        <f t="shared" ref="G579:G642" si="85">getApertureEnd(F579)</f>
        <v>1.7</v>
      </c>
      <c r="H579" t="str">
        <f>'(Raw) LensesGH'!D579</f>
        <v>46mm</v>
      </c>
      <c r="I579" s="2">
        <f t="shared" ref="I579:I642" si="86">getFiltersizeAsDouble(H579)</f>
        <v>46</v>
      </c>
      <c r="J579" s="2" t="str">
        <f>'(Raw) LensesGH'!E579</f>
        <v>1:7.14</v>
      </c>
      <c r="K579" s="40">
        <f t="shared" ref="K579:K642" si="87">getMagnification(J579)</f>
        <v>7.14</v>
      </c>
      <c r="L579" t="str">
        <f>'(Raw) LensesGH'!F579</f>
        <v>Micro-Four-Thirds</v>
      </c>
      <c r="M579" t="str">
        <f>'(Raw) LensesGH'!G579</f>
        <v>Four-Thirds</v>
      </c>
      <c r="N579" t="str">
        <f>'(Raw) LensesGH'!H579</f>
        <v>125g</v>
      </c>
      <c r="O579" s="5">
        <f t="shared" ref="O579:O642" si="88">getWeightAsDouble(N579)</f>
        <v>125</v>
      </c>
      <c r="P579" t="str">
        <f>'(Raw) LensesGH'!I579</f>
        <v>60.8 x 52mm</v>
      </c>
      <c r="Q579" s="39">
        <f t="shared" ref="Q579:Q642" si="89">getSizeDiameter(P579)</f>
        <v>60.8</v>
      </c>
      <c r="R579" s="39">
        <f t="shared" si="81"/>
        <v>52</v>
      </c>
    </row>
    <row r="580" spans="1:18" x14ac:dyDescent="0.25">
      <c r="A580" t="str">
        <f>'(Raw) LensesGH'!A580</f>
        <v>Panasonic Lumix G 25mm 1.7 silber</v>
      </c>
      <c r="B580" t="str">
        <f>'(Raw) LensesGH'!B580</f>
        <v>25mm</v>
      </c>
      <c r="C580" s="5">
        <f t="shared" si="82"/>
        <v>25</v>
      </c>
      <c r="D580" s="5">
        <f t="shared" si="83"/>
        <v>25</v>
      </c>
      <c r="E580" t="str">
        <f>'(Raw) LensesGH'!C580</f>
        <v>1:1.7</v>
      </c>
      <c r="F580" s="9">
        <f t="shared" si="84"/>
        <v>1.7</v>
      </c>
      <c r="G580" s="9">
        <f t="shared" si="85"/>
        <v>1.7</v>
      </c>
      <c r="H580" t="str">
        <f>'(Raw) LensesGH'!D580</f>
        <v>46mm</v>
      </c>
      <c r="I580" s="2">
        <f t="shared" si="86"/>
        <v>46</v>
      </c>
      <c r="J580" s="2" t="str">
        <f>'(Raw) LensesGH'!E580</f>
        <v>1:7.14</v>
      </c>
      <c r="K580" s="40">
        <f t="shared" si="87"/>
        <v>7.14</v>
      </c>
      <c r="L580" t="str">
        <f>'(Raw) LensesGH'!F580</f>
        <v>Micro-Four-Thirds</v>
      </c>
      <c r="M580" t="str">
        <f>'(Raw) LensesGH'!G580</f>
        <v>Four-Thirds</v>
      </c>
      <c r="N580" t="str">
        <f>'(Raw) LensesGH'!H580</f>
        <v>125g</v>
      </c>
      <c r="O580" s="5">
        <f t="shared" si="88"/>
        <v>125</v>
      </c>
      <c r="P580" t="str">
        <f>'(Raw) LensesGH'!I580</f>
        <v>60.8 x 52mm</v>
      </c>
      <c r="Q580" s="39">
        <f t="shared" si="89"/>
        <v>60.8</v>
      </c>
      <c r="R580" s="39">
        <f t="shared" si="81"/>
        <v>52</v>
      </c>
    </row>
    <row r="581" spans="1:18" x14ac:dyDescent="0.25">
      <c r="A581" t="str">
        <f>'(Raw) LensesGH'!A581</f>
        <v>Panasonic Lumix G 30mm 2.8 Makro ASPH OIS schwarz</v>
      </c>
      <c r="B581" t="str">
        <f>'(Raw) LensesGH'!B581</f>
        <v>30mm</v>
      </c>
      <c r="C581" s="5">
        <f t="shared" si="82"/>
        <v>30</v>
      </c>
      <c r="D581" s="5">
        <f t="shared" si="83"/>
        <v>30</v>
      </c>
      <c r="E581" t="str">
        <f>'(Raw) LensesGH'!C581</f>
        <v>1:2.8</v>
      </c>
      <c r="F581" s="9">
        <f t="shared" si="84"/>
        <v>2.8</v>
      </c>
      <c r="G581" s="9">
        <f t="shared" si="85"/>
        <v>2.8</v>
      </c>
      <c r="H581" t="str">
        <f>'(Raw) LensesGH'!D581</f>
        <v>46mm</v>
      </c>
      <c r="I581" s="2">
        <f t="shared" si="86"/>
        <v>46</v>
      </c>
      <c r="J581" s="2" t="str">
        <f>'(Raw) LensesGH'!E581</f>
        <v>1:1.00</v>
      </c>
      <c r="K581" s="40">
        <f t="shared" si="87"/>
        <v>1</v>
      </c>
      <c r="L581" t="str">
        <f>'(Raw) LensesGH'!F581</f>
        <v>Micro-Four-Thirds</v>
      </c>
      <c r="M581" t="str">
        <f>'(Raw) LensesGH'!G581</f>
        <v>Four-Thirds</v>
      </c>
      <c r="N581" t="str">
        <f>'(Raw) LensesGH'!H581</f>
        <v>180g</v>
      </c>
      <c r="O581" s="5">
        <f t="shared" si="88"/>
        <v>180</v>
      </c>
      <c r="P581" t="str">
        <f>'(Raw) LensesGH'!I581</f>
        <v>58.8 x 63.5mm</v>
      </c>
      <c r="Q581" s="39">
        <f t="shared" si="89"/>
        <v>58.8</v>
      </c>
      <c r="R581" s="39">
        <f t="shared" si="81"/>
        <v>63.5</v>
      </c>
    </row>
    <row r="582" spans="1:18" x14ac:dyDescent="0.25">
      <c r="A582" t="str">
        <f>'(Raw) LensesGH'!A582</f>
        <v>Panasonic Lumix G 42.5mm 1.7 ASPH Power OIS schwarz</v>
      </c>
      <c r="B582" t="str">
        <f>'(Raw) LensesGH'!B582</f>
        <v>42.5mm</v>
      </c>
      <c r="C582" s="5">
        <f t="shared" si="82"/>
        <v>42.5</v>
      </c>
      <c r="D582" s="5">
        <f t="shared" si="83"/>
        <v>42.5</v>
      </c>
      <c r="E582" t="str">
        <f>'(Raw) LensesGH'!C582</f>
        <v>1:1.7</v>
      </c>
      <c r="F582" s="9">
        <f t="shared" si="84"/>
        <v>1.7</v>
      </c>
      <c r="G582" s="9">
        <f t="shared" si="85"/>
        <v>1.7</v>
      </c>
      <c r="H582" t="str">
        <f>'(Raw) LensesGH'!D582</f>
        <v>37mm</v>
      </c>
      <c r="I582" s="2">
        <f t="shared" si="86"/>
        <v>37</v>
      </c>
      <c r="J582" s="2" t="str">
        <f>'(Raw) LensesGH'!E582</f>
        <v>1:5.00</v>
      </c>
      <c r="K582" s="40">
        <f t="shared" si="87"/>
        <v>5</v>
      </c>
      <c r="L582" t="str">
        <f>'(Raw) LensesGH'!F582</f>
        <v>Micro-Four-Thirds</v>
      </c>
      <c r="M582" t="str">
        <f>'(Raw) LensesGH'!G582</f>
        <v>Four-Thirds</v>
      </c>
      <c r="N582" t="str">
        <f>'(Raw) LensesGH'!H582</f>
        <v>130g</v>
      </c>
      <c r="O582" s="5">
        <f t="shared" si="88"/>
        <v>130</v>
      </c>
      <c r="P582" t="str">
        <f>'(Raw) LensesGH'!I582</f>
        <v>55 x 50mm</v>
      </c>
      <c r="Q582" s="39">
        <f t="shared" si="89"/>
        <v>55</v>
      </c>
      <c r="R582" s="39">
        <f t="shared" si="81"/>
        <v>50</v>
      </c>
    </row>
    <row r="583" spans="1:18" x14ac:dyDescent="0.25">
      <c r="A583" t="str">
        <f>'(Raw) LensesGH'!A583</f>
        <v>Panasonic Lumix G 8mm 3.5 Fisheye schwarz</v>
      </c>
      <c r="B583" t="str">
        <f>'(Raw) LensesGH'!B583</f>
        <v>8mm</v>
      </c>
      <c r="C583" s="5">
        <f t="shared" si="82"/>
        <v>8</v>
      </c>
      <c r="D583" s="5">
        <f t="shared" si="83"/>
        <v>8</v>
      </c>
      <c r="E583" t="str">
        <f>'(Raw) LensesGH'!C583</f>
        <v>1:3.5</v>
      </c>
      <c r="F583" s="9">
        <f t="shared" si="84"/>
        <v>3.5</v>
      </c>
      <c r="G583" s="9">
        <f t="shared" si="85"/>
        <v>3.5</v>
      </c>
      <c r="H583">
        <f>'(Raw) LensesGH'!D583</f>
        <v>0</v>
      </c>
      <c r="I583" s="2">
        <f t="shared" si="86"/>
        <v>0</v>
      </c>
      <c r="J583" s="2" t="str">
        <f>'(Raw) LensesGH'!E583</f>
        <v>1:5.00</v>
      </c>
      <c r="K583" s="40">
        <f t="shared" si="87"/>
        <v>5</v>
      </c>
      <c r="L583" t="str">
        <f>'(Raw) LensesGH'!F583</f>
        <v>Micro-Four-Thirds</v>
      </c>
      <c r="M583" t="str">
        <f>'(Raw) LensesGH'!G583</f>
        <v>Four-Thirds</v>
      </c>
      <c r="N583" t="str">
        <f>'(Raw) LensesGH'!H583</f>
        <v>165g</v>
      </c>
      <c r="O583" s="5">
        <f t="shared" si="88"/>
        <v>165</v>
      </c>
      <c r="P583" t="str">
        <f>'(Raw) LensesGH'!I583</f>
        <v>60.7 x 51.7mm</v>
      </c>
      <c r="Q583" s="39">
        <f t="shared" si="89"/>
        <v>60.7</v>
      </c>
      <c r="R583" s="39">
        <f t="shared" si="81"/>
        <v>51.7</v>
      </c>
    </row>
    <row r="584" spans="1:18" x14ac:dyDescent="0.25">
      <c r="A584" t="str">
        <f>'(Raw) LensesGH'!A584</f>
        <v>Panasonic Lumix G Vario 100-300mm 4.0-5.6 II OIS schwarz</v>
      </c>
      <c r="B584" t="str">
        <f>'(Raw) LensesGH'!B584</f>
        <v>100 - 300mm</v>
      </c>
      <c r="C584" s="5">
        <f t="shared" si="82"/>
        <v>100</v>
      </c>
      <c r="D584" s="5">
        <f t="shared" si="83"/>
        <v>300</v>
      </c>
      <c r="E584" t="str">
        <f>'(Raw) LensesGH'!C584</f>
        <v>1:4.0-1:5.6</v>
      </c>
      <c r="F584" s="9">
        <f t="shared" si="84"/>
        <v>4</v>
      </c>
      <c r="G584" s="9">
        <f t="shared" si="85"/>
        <v>4</v>
      </c>
      <c r="H584" t="str">
        <f>'(Raw) LensesGH'!D584</f>
        <v>67mm</v>
      </c>
      <c r="I584" s="2">
        <f t="shared" si="86"/>
        <v>67</v>
      </c>
      <c r="J584" s="2" t="str">
        <f>'(Raw) LensesGH'!E584</f>
        <v>1:4.76</v>
      </c>
      <c r="K584" s="40">
        <f t="shared" si="87"/>
        <v>4.76</v>
      </c>
      <c r="L584" t="str">
        <f>'(Raw) LensesGH'!F584</f>
        <v>Micro-Four-Thirds</v>
      </c>
      <c r="M584" t="str">
        <f>'(Raw) LensesGH'!G584</f>
        <v>Four-Thirds</v>
      </c>
      <c r="N584" t="str">
        <f>'(Raw) LensesGH'!H584</f>
        <v>520g</v>
      </c>
      <c r="O584" s="5">
        <f t="shared" si="88"/>
        <v>520</v>
      </c>
      <c r="P584" t="str">
        <f>'(Raw) LensesGH'!I584</f>
        <v>73.6 x 126mm</v>
      </c>
      <c r="Q584" s="39">
        <f t="shared" si="89"/>
        <v>73.599999999999994</v>
      </c>
      <c r="R584" s="39">
        <f t="shared" si="81"/>
        <v>126</v>
      </c>
    </row>
    <row r="585" spans="1:18" x14ac:dyDescent="0.25">
      <c r="A585" t="str">
        <f>'(Raw) LensesGH'!A585</f>
        <v>Panasonic Lumix G Vario 100-300mm 4.0-5.6 OIS schwarz</v>
      </c>
      <c r="B585" t="str">
        <f>'(Raw) LensesGH'!B585</f>
        <v>100 - 300mm</v>
      </c>
      <c r="C585" s="5">
        <f t="shared" si="82"/>
        <v>100</v>
      </c>
      <c r="D585" s="5">
        <f t="shared" si="83"/>
        <v>300</v>
      </c>
      <c r="E585" t="str">
        <f>'(Raw) LensesGH'!C585</f>
        <v>1:4.0-1:5.6</v>
      </c>
      <c r="F585" s="9">
        <f t="shared" si="84"/>
        <v>4</v>
      </c>
      <c r="G585" s="9">
        <f t="shared" si="85"/>
        <v>4</v>
      </c>
      <c r="H585" t="str">
        <f>'(Raw) LensesGH'!D585</f>
        <v>67mm</v>
      </c>
      <c r="I585" s="2">
        <f t="shared" si="86"/>
        <v>67</v>
      </c>
      <c r="J585" s="2" t="str">
        <f>'(Raw) LensesGH'!E585</f>
        <v>1:4.76</v>
      </c>
      <c r="K585" s="40">
        <f t="shared" si="87"/>
        <v>4.76</v>
      </c>
      <c r="L585" t="str">
        <f>'(Raw) LensesGH'!F585</f>
        <v>Micro-Four-Thirds</v>
      </c>
      <c r="M585" t="str">
        <f>'(Raw) LensesGH'!G585</f>
        <v>Four-Thirds</v>
      </c>
      <c r="N585" t="str">
        <f>'(Raw) LensesGH'!H585</f>
        <v>520g</v>
      </c>
      <c r="O585" s="5">
        <f t="shared" si="88"/>
        <v>520</v>
      </c>
      <c r="P585" t="str">
        <f>'(Raw) LensesGH'!I585</f>
        <v>73 x 126mm</v>
      </c>
      <c r="Q585" s="39">
        <f t="shared" si="89"/>
        <v>73</v>
      </c>
      <c r="R585" s="39">
        <f t="shared" si="81"/>
        <v>126</v>
      </c>
    </row>
    <row r="586" spans="1:18" x14ac:dyDescent="0.25">
      <c r="A586" t="str">
        <f>'(Raw) LensesGH'!A586</f>
        <v>Panasonic Lumix G Vario 12-32mm 3.5-5.6 ASPH OIS schwarz</v>
      </c>
      <c r="B586" t="str">
        <f>'(Raw) LensesGH'!B586</f>
        <v>12 - 32mm</v>
      </c>
      <c r="C586" s="5">
        <f t="shared" si="82"/>
        <v>12</v>
      </c>
      <c r="D586" s="5">
        <f t="shared" si="83"/>
        <v>32</v>
      </c>
      <c r="E586" t="str">
        <f>'(Raw) LensesGH'!C586</f>
        <v>1:3.5-1:5.6</v>
      </c>
      <c r="F586" s="9">
        <f t="shared" si="84"/>
        <v>3.5</v>
      </c>
      <c r="G586" s="9">
        <f t="shared" si="85"/>
        <v>3.5</v>
      </c>
      <c r="H586" t="str">
        <f>'(Raw) LensesGH'!D586</f>
        <v>37mm</v>
      </c>
      <c r="I586" s="2">
        <f t="shared" si="86"/>
        <v>37</v>
      </c>
      <c r="J586" s="2" t="str">
        <f>'(Raw) LensesGH'!E586</f>
        <v>1:7.69</v>
      </c>
      <c r="K586" s="40">
        <f t="shared" si="87"/>
        <v>7.69</v>
      </c>
      <c r="L586" t="str">
        <f>'(Raw) LensesGH'!F586</f>
        <v>Micro-Four-Thirds</v>
      </c>
      <c r="M586" t="str">
        <f>'(Raw) LensesGH'!G586</f>
        <v>Four-Thirds</v>
      </c>
      <c r="N586" t="str">
        <f>'(Raw) LensesGH'!H586</f>
        <v>70g</v>
      </c>
      <c r="O586" s="5">
        <f t="shared" si="88"/>
        <v>70</v>
      </c>
      <c r="P586" t="str">
        <f>'(Raw) LensesGH'!I586</f>
        <v>55.5 x 24mm</v>
      </c>
      <c r="Q586" s="39">
        <f t="shared" si="89"/>
        <v>55.5</v>
      </c>
      <c r="R586" s="39">
        <f t="shared" si="81"/>
        <v>24</v>
      </c>
    </row>
    <row r="587" spans="1:18" x14ac:dyDescent="0.25">
      <c r="A587" t="str">
        <f>'(Raw) LensesGH'!A587</f>
        <v>Panasonic Lumix G Vario 12-32mm 3.5-5.6 ASPH OIS silber</v>
      </c>
      <c r="B587" t="str">
        <f>'(Raw) LensesGH'!B587</f>
        <v>12 - 32mm</v>
      </c>
      <c r="C587" s="5">
        <f t="shared" si="82"/>
        <v>12</v>
      </c>
      <c r="D587" s="5">
        <f t="shared" si="83"/>
        <v>32</v>
      </c>
      <c r="E587" t="str">
        <f>'(Raw) LensesGH'!C587</f>
        <v>1:3.5-1:5.6</v>
      </c>
      <c r="F587" s="9">
        <f t="shared" si="84"/>
        <v>3.5</v>
      </c>
      <c r="G587" s="9">
        <f t="shared" si="85"/>
        <v>3.5</v>
      </c>
      <c r="H587" t="str">
        <f>'(Raw) LensesGH'!D587</f>
        <v>37mm</v>
      </c>
      <c r="I587" s="2">
        <f t="shared" si="86"/>
        <v>37</v>
      </c>
      <c r="J587" s="2" t="str">
        <f>'(Raw) LensesGH'!E587</f>
        <v>1:7.69</v>
      </c>
      <c r="K587" s="40">
        <f t="shared" si="87"/>
        <v>7.69</v>
      </c>
      <c r="L587" t="str">
        <f>'(Raw) LensesGH'!F587</f>
        <v>Micro-Four-Thirds</v>
      </c>
      <c r="M587" t="str">
        <f>'(Raw) LensesGH'!G587</f>
        <v>Four-Thirds</v>
      </c>
      <c r="N587" t="str">
        <f>'(Raw) LensesGH'!H587</f>
        <v>70g</v>
      </c>
      <c r="O587" s="5">
        <f t="shared" si="88"/>
        <v>70</v>
      </c>
      <c r="P587" t="str">
        <f>'(Raw) LensesGH'!I587</f>
        <v>55.5 x 24mm</v>
      </c>
      <c r="Q587" s="39">
        <f t="shared" si="89"/>
        <v>55.5</v>
      </c>
      <c r="R587" s="39">
        <f t="shared" si="81"/>
        <v>24</v>
      </c>
    </row>
    <row r="588" spans="1:18" x14ac:dyDescent="0.25">
      <c r="A588" t="str">
        <f>'(Raw) LensesGH'!A588</f>
        <v>Panasonic Lumix G Vario 12-60mm 3.5-5.6 ASPH Power OIS schwarz</v>
      </c>
      <c r="B588" t="str">
        <f>'(Raw) LensesGH'!B588</f>
        <v>12 - 60mm</v>
      </c>
      <c r="C588" s="5">
        <f t="shared" si="82"/>
        <v>12</v>
      </c>
      <c r="D588" s="5">
        <f t="shared" si="83"/>
        <v>60</v>
      </c>
      <c r="E588" t="str">
        <f>'(Raw) LensesGH'!C588</f>
        <v>1:3.5-1:5.6</v>
      </c>
      <c r="F588" s="9">
        <f t="shared" si="84"/>
        <v>3.5</v>
      </c>
      <c r="G588" s="9">
        <f t="shared" si="85"/>
        <v>3.5</v>
      </c>
      <c r="H588" t="str">
        <f>'(Raw) LensesGH'!D588</f>
        <v>58mm</v>
      </c>
      <c r="I588" s="2">
        <f t="shared" si="86"/>
        <v>58</v>
      </c>
      <c r="J588" s="2" t="str">
        <f>'(Raw) LensesGH'!E588</f>
        <v>1:3.70</v>
      </c>
      <c r="K588" s="40">
        <f t="shared" si="87"/>
        <v>3.7</v>
      </c>
      <c r="L588" t="str">
        <f>'(Raw) LensesGH'!F588</f>
        <v>Micro-Four-Thirds</v>
      </c>
      <c r="M588" t="str">
        <f>'(Raw) LensesGH'!G588</f>
        <v>Four-Thirds</v>
      </c>
      <c r="N588" t="str">
        <f>'(Raw) LensesGH'!H588</f>
        <v>210g</v>
      </c>
      <c r="O588" s="5">
        <f t="shared" si="88"/>
        <v>210</v>
      </c>
      <c r="P588" t="str">
        <f>'(Raw) LensesGH'!I588</f>
        <v>66 x 71mm</v>
      </c>
      <c r="Q588" s="39">
        <f t="shared" si="89"/>
        <v>66</v>
      </c>
      <c r="R588" s="39">
        <f t="shared" si="81"/>
        <v>71</v>
      </c>
    </row>
    <row r="589" spans="1:18" x14ac:dyDescent="0.25">
      <c r="A589" t="str">
        <f>'(Raw) LensesGH'!A589</f>
        <v>Panasonic Lumix G Vario 14-140mm 3.5-5.6 ASPH OIS schwarz</v>
      </c>
      <c r="B589" t="str">
        <f>'(Raw) LensesGH'!B589</f>
        <v>14 - 140mm</v>
      </c>
      <c r="C589" s="5">
        <f t="shared" si="82"/>
        <v>14</v>
      </c>
      <c r="D589" s="5">
        <f t="shared" si="83"/>
        <v>140</v>
      </c>
      <c r="E589" t="str">
        <f>'(Raw) LensesGH'!C589</f>
        <v>1:3.5-1:5.6</v>
      </c>
      <c r="F589" s="9">
        <f t="shared" si="84"/>
        <v>3.5</v>
      </c>
      <c r="G589" s="9">
        <f t="shared" si="85"/>
        <v>3.5</v>
      </c>
      <c r="H589" t="str">
        <f>'(Raw) LensesGH'!D589</f>
        <v>58mm</v>
      </c>
      <c r="I589" s="2">
        <f t="shared" si="86"/>
        <v>58</v>
      </c>
      <c r="J589" s="2" t="str">
        <f>'(Raw) LensesGH'!E589</f>
        <v>1:4.00</v>
      </c>
      <c r="K589" s="40">
        <f t="shared" si="87"/>
        <v>4</v>
      </c>
      <c r="L589" t="str">
        <f>'(Raw) LensesGH'!F589</f>
        <v>Micro-Four-Thirds</v>
      </c>
      <c r="M589" t="str">
        <f>'(Raw) LensesGH'!G589</f>
        <v>Four-Thirds</v>
      </c>
      <c r="N589" t="str">
        <f>'(Raw) LensesGH'!H589</f>
        <v>265g</v>
      </c>
      <c r="O589" s="5">
        <f t="shared" si="88"/>
        <v>265</v>
      </c>
      <c r="P589" t="str">
        <f>'(Raw) LensesGH'!I589</f>
        <v>67 x 75mm</v>
      </c>
      <c r="Q589" s="39">
        <f t="shared" si="89"/>
        <v>67</v>
      </c>
      <c r="R589" s="39">
        <f t="shared" si="81"/>
        <v>75</v>
      </c>
    </row>
    <row r="590" spans="1:18" x14ac:dyDescent="0.25">
      <c r="A590" t="str">
        <f>'(Raw) LensesGH'!A590</f>
        <v>Panasonic Lumix G Vario 14-42mm 3.5-5.6 ASPH OIS schwarz</v>
      </c>
      <c r="B590" t="str">
        <f>'(Raw) LensesGH'!B590</f>
        <v>14 - 42mm</v>
      </c>
      <c r="C590" s="5">
        <f t="shared" si="82"/>
        <v>14</v>
      </c>
      <c r="D590" s="5">
        <f t="shared" si="83"/>
        <v>42</v>
      </c>
      <c r="E590" t="str">
        <f>'(Raw) LensesGH'!C590</f>
        <v>1:3.5-1:5.6</v>
      </c>
      <c r="F590" s="9">
        <f t="shared" si="84"/>
        <v>3.5</v>
      </c>
      <c r="G590" s="9">
        <f t="shared" si="85"/>
        <v>3.5</v>
      </c>
      <c r="H590" t="str">
        <f>'(Raw) LensesGH'!D590</f>
        <v>52mm</v>
      </c>
      <c r="I590" s="2">
        <f t="shared" si="86"/>
        <v>52</v>
      </c>
      <c r="J590" s="2" t="str">
        <f>'(Raw) LensesGH'!E590</f>
        <v>1:6.25</v>
      </c>
      <c r="K590" s="40">
        <f t="shared" si="87"/>
        <v>6.25</v>
      </c>
      <c r="L590" t="str">
        <f>'(Raw) LensesGH'!F590</f>
        <v>Micro-Four-Thirds</v>
      </c>
      <c r="M590" t="str">
        <f>'(Raw) LensesGH'!G590</f>
        <v>Four-Thirds</v>
      </c>
      <c r="N590" t="str">
        <f>'(Raw) LensesGH'!H590</f>
        <v>165g</v>
      </c>
      <c r="O590" s="5">
        <f t="shared" si="88"/>
        <v>165</v>
      </c>
      <c r="P590">
        <f>'(Raw) LensesGH'!I590</f>
        <v>0</v>
      </c>
      <c r="Q590" s="39">
        <f t="shared" si="89"/>
        <v>0</v>
      </c>
      <c r="R590" s="39">
        <f t="shared" si="81"/>
        <v>0</v>
      </c>
    </row>
    <row r="591" spans="1:18" x14ac:dyDescent="0.25">
      <c r="A591" t="str">
        <f>'(Raw) LensesGH'!A591</f>
        <v>Panasonic Lumix G Vario 14-42mm 3.5-5.6 II ASPH OIS schwarz</v>
      </c>
      <c r="B591" t="str">
        <f>'(Raw) LensesGH'!B591</f>
        <v>14 - 42mm</v>
      </c>
      <c r="C591" s="5">
        <f t="shared" si="82"/>
        <v>14</v>
      </c>
      <c r="D591" s="5">
        <f t="shared" si="83"/>
        <v>42</v>
      </c>
      <c r="E591" t="str">
        <f>'(Raw) LensesGH'!C591</f>
        <v>1:3.5-1:5.6</v>
      </c>
      <c r="F591" s="9">
        <f t="shared" si="84"/>
        <v>3.5</v>
      </c>
      <c r="G591" s="9">
        <f t="shared" si="85"/>
        <v>3.5</v>
      </c>
      <c r="H591" t="str">
        <f>'(Raw) LensesGH'!D591</f>
        <v>46mm</v>
      </c>
      <c r="I591" s="2">
        <f t="shared" si="86"/>
        <v>46</v>
      </c>
      <c r="J591" s="2" t="str">
        <f>'(Raw) LensesGH'!E591</f>
        <v>1:2.94</v>
      </c>
      <c r="K591" s="40">
        <f t="shared" si="87"/>
        <v>2.94</v>
      </c>
      <c r="L591" t="str">
        <f>'(Raw) LensesGH'!F591</f>
        <v>Micro-Four-Thirds</v>
      </c>
      <c r="M591" t="str">
        <f>'(Raw) LensesGH'!G591</f>
        <v>Four-Thirds</v>
      </c>
      <c r="N591" t="str">
        <f>'(Raw) LensesGH'!H591</f>
        <v>110g</v>
      </c>
      <c r="O591" s="5">
        <f t="shared" si="88"/>
        <v>110</v>
      </c>
      <c r="P591" t="str">
        <f>'(Raw) LensesGH'!I591</f>
        <v>56 x 49mm</v>
      </c>
      <c r="Q591" s="39">
        <f t="shared" si="89"/>
        <v>56</v>
      </c>
      <c r="R591" s="39">
        <f t="shared" si="81"/>
        <v>49</v>
      </c>
    </row>
    <row r="592" spans="1:18" x14ac:dyDescent="0.25">
      <c r="A592" t="str">
        <f>'(Raw) LensesGH'!A592</f>
        <v>Panasonic Lumix G Vario 14-42mm 3.5-5.6 II ASPH OIS silber</v>
      </c>
      <c r="B592" t="str">
        <f>'(Raw) LensesGH'!B592</f>
        <v>14 - 42mm</v>
      </c>
      <c r="C592" s="5">
        <f t="shared" si="82"/>
        <v>14</v>
      </c>
      <c r="D592" s="5">
        <f t="shared" si="83"/>
        <v>42</v>
      </c>
      <c r="E592" t="str">
        <f>'(Raw) LensesGH'!C592</f>
        <v>1:3.5-1:5.6</v>
      </c>
      <c r="F592" s="9">
        <f t="shared" si="84"/>
        <v>3.5</v>
      </c>
      <c r="G592" s="9">
        <f t="shared" si="85"/>
        <v>3.5</v>
      </c>
      <c r="H592" t="str">
        <f>'(Raw) LensesGH'!D592</f>
        <v>46mm</v>
      </c>
      <c r="I592" s="2">
        <f t="shared" si="86"/>
        <v>46</v>
      </c>
      <c r="J592" s="2" t="str">
        <f>'(Raw) LensesGH'!E592</f>
        <v>1:2.94</v>
      </c>
      <c r="K592" s="40">
        <f t="shared" si="87"/>
        <v>2.94</v>
      </c>
      <c r="L592" t="str">
        <f>'(Raw) LensesGH'!F592</f>
        <v>Micro-Four-Thirds</v>
      </c>
      <c r="M592" t="str">
        <f>'(Raw) LensesGH'!G592</f>
        <v>Four-Thirds</v>
      </c>
      <c r="N592" t="str">
        <f>'(Raw) LensesGH'!H592</f>
        <v>110g</v>
      </c>
      <c r="O592" s="5">
        <f t="shared" si="88"/>
        <v>110</v>
      </c>
      <c r="P592" t="str">
        <f>'(Raw) LensesGH'!I592</f>
        <v>56 x 49mm</v>
      </c>
      <c r="Q592" s="39">
        <f t="shared" si="89"/>
        <v>56</v>
      </c>
      <c r="R592" s="39">
        <f t="shared" si="81"/>
        <v>49</v>
      </c>
    </row>
    <row r="593" spans="1:18" x14ac:dyDescent="0.25">
      <c r="A593" t="str">
        <f>'(Raw) LensesGH'!A593</f>
        <v>Panasonic Lumix G Vario 14-45mm 3.5-5.6 ASPH OIS schwarz</v>
      </c>
      <c r="B593" t="str">
        <f>'(Raw) LensesGH'!B593</f>
        <v>14 - 45mm</v>
      </c>
      <c r="C593" s="5">
        <f t="shared" si="82"/>
        <v>14</v>
      </c>
      <c r="D593" s="5">
        <f t="shared" si="83"/>
        <v>45</v>
      </c>
      <c r="E593" t="str">
        <f>'(Raw) LensesGH'!C593</f>
        <v>1:3.5-1:5.6</v>
      </c>
      <c r="F593" s="9">
        <f t="shared" si="84"/>
        <v>3.5</v>
      </c>
      <c r="G593" s="9">
        <f t="shared" si="85"/>
        <v>3.5</v>
      </c>
      <c r="H593">
        <f>'(Raw) LensesGH'!D593</f>
        <v>0</v>
      </c>
      <c r="I593" s="2">
        <f t="shared" si="86"/>
        <v>0</v>
      </c>
      <c r="J593" s="2">
        <f>'(Raw) LensesGH'!E593</f>
        <v>0</v>
      </c>
      <c r="K593" s="40">
        <f t="shared" si="87"/>
        <v>0</v>
      </c>
      <c r="L593" t="str">
        <f>'(Raw) LensesGH'!F593</f>
        <v>Micro-Four-Thirds</v>
      </c>
      <c r="M593" t="str">
        <f>'(Raw) LensesGH'!G593</f>
        <v>Four-Thirds</v>
      </c>
      <c r="N593" t="str">
        <f>'(Raw) LensesGH'!H593</f>
        <v>225g</v>
      </c>
      <c r="O593" s="5">
        <f t="shared" si="88"/>
        <v>225</v>
      </c>
      <c r="P593" t="str">
        <f>'(Raw) LensesGH'!I593</f>
        <v>63 x 62.5mm</v>
      </c>
      <c r="Q593" s="39">
        <f t="shared" si="89"/>
        <v>63</v>
      </c>
      <c r="R593" s="39">
        <f t="shared" si="81"/>
        <v>62.5</v>
      </c>
    </row>
    <row r="594" spans="1:18" x14ac:dyDescent="0.25">
      <c r="A594" t="str">
        <f>'(Raw) LensesGH'!A594</f>
        <v>Panasonic Lumix G Vario 35-100mm 4.0-5.6 OIS schwarz</v>
      </c>
      <c r="B594" t="str">
        <f>'(Raw) LensesGH'!B594</f>
        <v>35 - 100mm</v>
      </c>
      <c r="C594" s="5">
        <f t="shared" si="82"/>
        <v>35</v>
      </c>
      <c r="D594" s="5">
        <f t="shared" si="83"/>
        <v>100</v>
      </c>
      <c r="E594" t="str">
        <f>'(Raw) LensesGH'!C594</f>
        <v>1:4.0-1:5.6</v>
      </c>
      <c r="F594" s="9">
        <f t="shared" si="84"/>
        <v>4</v>
      </c>
      <c r="G594" s="9">
        <f t="shared" si="85"/>
        <v>4</v>
      </c>
      <c r="H594" t="str">
        <f>'(Raw) LensesGH'!D594</f>
        <v>46mm</v>
      </c>
      <c r="I594" s="2">
        <f t="shared" si="86"/>
        <v>46</v>
      </c>
      <c r="J594" s="2" t="str">
        <f>'(Raw) LensesGH'!E594</f>
        <v>1:4.54</v>
      </c>
      <c r="K594" s="40">
        <f t="shared" si="87"/>
        <v>4.54</v>
      </c>
      <c r="L594" t="str">
        <f>'(Raw) LensesGH'!F594</f>
        <v>Micro-Four-Thirds</v>
      </c>
      <c r="M594" t="str">
        <f>'(Raw) LensesGH'!G594</f>
        <v>Four-Thirds</v>
      </c>
      <c r="N594" t="str">
        <f>'(Raw) LensesGH'!H594</f>
        <v>135g</v>
      </c>
      <c r="O594" s="5">
        <f t="shared" si="88"/>
        <v>135</v>
      </c>
      <c r="P594" t="str">
        <f>'(Raw) LensesGH'!I594</f>
        <v>55.5 x 50mm</v>
      </c>
      <c r="Q594" s="39">
        <f t="shared" si="89"/>
        <v>55.5</v>
      </c>
      <c r="R594" s="39">
        <f t="shared" si="81"/>
        <v>50</v>
      </c>
    </row>
    <row r="595" spans="1:18" x14ac:dyDescent="0.25">
      <c r="A595" t="str">
        <f>'(Raw) LensesGH'!A595</f>
        <v>Panasonic Lumix G Vario 35-100mm 4.0-5.6 OIS silber</v>
      </c>
      <c r="B595" t="str">
        <f>'(Raw) LensesGH'!B595</f>
        <v>35 - 100mm</v>
      </c>
      <c r="C595" s="5">
        <f t="shared" si="82"/>
        <v>35</v>
      </c>
      <c r="D595" s="5">
        <f t="shared" si="83"/>
        <v>100</v>
      </c>
      <c r="E595" t="str">
        <f>'(Raw) LensesGH'!C595</f>
        <v>1:4.0-1:5.6</v>
      </c>
      <c r="F595" s="9">
        <f t="shared" si="84"/>
        <v>4</v>
      </c>
      <c r="G595" s="9">
        <f t="shared" si="85"/>
        <v>4</v>
      </c>
      <c r="H595" t="str">
        <f>'(Raw) LensesGH'!D595</f>
        <v>46mm</v>
      </c>
      <c r="I595" s="2">
        <f t="shared" si="86"/>
        <v>46</v>
      </c>
      <c r="J595" s="2" t="str">
        <f>'(Raw) LensesGH'!E595</f>
        <v>1:4.54</v>
      </c>
      <c r="K595" s="40">
        <f t="shared" si="87"/>
        <v>4.54</v>
      </c>
      <c r="L595" t="str">
        <f>'(Raw) LensesGH'!F595</f>
        <v>Micro-Four-Thirds</v>
      </c>
      <c r="M595" t="str">
        <f>'(Raw) LensesGH'!G595</f>
        <v>Four-Thirds</v>
      </c>
      <c r="N595" t="str">
        <f>'(Raw) LensesGH'!H595</f>
        <v>135g</v>
      </c>
      <c r="O595" s="5">
        <f t="shared" si="88"/>
        <v>135</v>
      </c>
      <c r="P595" t="str">
        <f>'(Raw) LensesGH'!I595</f>
        <v>55.5 x 50mm</v>
      </c>
      <c r="Q595" s="39">
        <f t="shared" si="89"/>
        <v>55.5</v>
      </c>
      <c r="R595" s="39">
        <f t="shared" si="81"/>
        <v>50</v>
      </c>
    </row>
    <row r="596" spans="1:18" x14ac:dyDescent="0.25">
      <c r="A596" t="str">
        <f>'(Raw) LensesGH'!A596</f>
        <v>Panasonic Lumix G Vario 45-150mm 4.0-5.6 OIS schwarz</v>
      </c>
      <c r="B596" t="str">
        <f>'(Raw) LensesGH'!B596</f>
        <v>45 - 150mm</v>
      </c>
      <c r="C596" s="5">
        <f t="shared" si="82"/>
        <v>45</v>
      </c>
      <c r="D596" s="5">
        <f t="shared" si="83"/>
        <v>150</v>
      </c>
      <c r="E596" t="str">
        <f>'(Raw) LensesGH'!C596</f>
        <v>1:4.0-1:5.6</v>
      </c>
      <c r="F596" s="9">
        <f t="shared" si="84"/>
        <v>4</v>
      </c>
      <c r="G596" s="9">
        <f t="shared" si="85"/>
        <v>4</v>
      </c>
      <c r="H596" t="str">
        <f>'(Raw) LensesGH'!D596</f>
        <v>52mm</v>
      </c>
      <c r="I596" s="2">
        <f t="shared" si="86"/>
        <v>52</v>
      </c>
      <c r="J596" s="2" t="str">
        <f>'(Raw) LensesGH'!E596</f>
        <v>1:5.88</v>
      </c>
      <c r="K596" s="40">
        <f t="shared" si="87"/>
        <v>5.88</v>
      </c>
      <c r="L596" t="str">
        <f>'(Raw) LensesGH'!F596</f>
        <v>Micro-Four-Thirds</v>
      </c>
      <c r="M596" t="str">
        <f>'(Raw) LensesGH'!G596</f>
        <v>Four-Thirds</v>
      </c>
      <c r="N596" t="str">
        <f>'(Raw) LensesGH'!H596</f>
        <v>200g</v>
      </c>
      <c r="O596" s="5">
        <f t="shared" si="88"/>
        <v>200</v>
      </c>
      <c r="P596" t="str">
        <f>'(Raw) LensesGH'!I596</f>
        <v>62 x 73mm</v>
      </c>
      <c r="Q596" s="39">
        <f t="shared" si="89"/>
        <v>62</v>
      </c>
      <c r="R596" s="39">
        <f t="shared" si="81"/>
        <v>73</v>
      </c>
    </row>
    <row r="597" spans="1:18" x14ac:dyDescent="0.25">
      <c r="A597" t="str">
        <f>'(Raw) LensesGH'!A597</f>
        <v>Panasonic Lumix G Vario 45-150mm 4.0-5.6 OIS silber</v>
      </c>
      <c r="B597" t="str">
        <f>'(Raw) LensesGH'!B597</f>
        <v>45 - 150mm</v>
      </c>
      <c r="C597" s="5">
        <f t="shared" si="82"/>
        <v>45</v>
      </c>
      <c r="D597" s="5">
        <f t="shared" si="83"/>
        <v>150</v>
      </c>
      <c r="E597" t="str">
        <f>'(Raw) LensesGH'!C597</f>
        <v>1:4.0-1:5.6</v>
      </c>
      <c r="F597" s="9">
        <f t="shared" si="84"/>
        <v>4</v>
      </c>
      <c r="G597" s="9">
        <f t="shared" si="85"/>
        <v>4</v>
      </c>
      <c r="H597" t="str">
        <f>'(Raw) LensesGH'!D597</f>
        <v>52mm</v>
      </c>
      <c r="I597" s="2">
        <f t="shared" si="86"/>
        <v>52</v>
      </c>
      <c r="J597" s="2" t="str">
        <f>'(Raw) LensesGH'!E597</f>
        <v>1:5.88</v>
      </c>
      <c r="K597" s="40">
        <f t="shared" si="87"/>
        <v>5.88</v>
      </c>
      <c r="L597" t="str">
        <f>'(Raw) LensesGH'!F597</f>
        <v>Micro-Four-Thirds</v>
      </c>
      <c r="M597" t="str">
        <f>'(Raw) LensesGH'!G597</f>
        <v>Four-Thirds</v>
      </c>
      <c r="N597" t="str">
        <f>'(Raw) LensesGH'!H597</f>
        <v>200g</v>
      </c>
      <c r="O597" s="5">
        <f t="shared" si="88"/>
        <v>200</v>
      </c>
      <c r="P597" t="str">
        <f>'(Raw) LensesGH'!I597</f>
        <v>62 x 73mm</v>
      </c>
      <c r="Q597" s="39">
        <f t="shared" si="89"/>
        <v>62</v>
      </c>
      <c r="R597" s="39">
        <f t="shared" si="81"/>
        <v>73</v>
      </c>
    </row>
    <row r="598" spans="1:18" x14ac:dyDescent="0.25">
      <c r="A598" t="str">
        <f>'(Raw) LensesGH'!A598</f>
        <v>Panasonic Lumix G Vario 45-200mm 4.0-5.6 II OIS schwarz</v>
      </c>
      <c r="B598" t="str">
        <f>'(Raw) LensesGH'!B598</f>
        <v>45 - 200mm</v>
      </c>
      <c r="C598" s="5">
        <f t="shared" si="82"/>
        <v>45</v>
      </c>
      <c r="D598" s="5">
        <f t="shared" si="83"/>
        <v>200</v>
      </c>
      <c r="E598" t="str">
        <f>'(Raw) LensesGH'!C598</f>
        <v>1:4.0-1:5.6</v>
      </c>
      <c r="F598" s="9">
        <f t="shared" si="84"/>
        <v>4</v>
      </c>
      <c r="G598" s="9">
        <f t="shared" si="85"/>
        <v>4</v>
      </c>
      <c r="H598" t="str">
        <f>'(Raw) LensesGH'!D598</f>
        <v>52mm</v>
      </c>
      <c r="I598" s="2">
        <f t="shared" si="86"/>
        <v>52</v>
      </c>
      <c r="J598" s="2" t="str">
        <f>'(Raw) LensesGH'!E598</f>
        <v>1:5.26</v>
      </c>
      <c r="K598" s="40">
        <f t="shared" si="87"/>
        <v>5.26</v>
      </c>
      <c r="L598" t="str">
        <f>'(Raw) LensesGH'!F598</f>
        <v>Micro-Four-Thirds</v>
      </c>
      <c r="M598" t="str">
        <f>'(Raw) LensesGH'!G598</f>
        <v>Four-Thirds</v>
      </c>
      <c r="N598" t="str">
        <f>'(Raw) LensesGH'!H598</f>
        <v>370g</v>
      </c>
      <c r="O598" s="5">
        <f t="shared" si="88"/>
        <v>370</v>
      </c>
      <c r="P598" t="str">
        <f>'(Raw) LensesGH'!I598</f>
        <v>70 x 100mm</v>
      </c>
      <c r="Q598" s="39">
        <f t="shared" si="89"/>
        <v>70</v>
      </c>
      <c r="R598" s="39">
        <f t="shared" si="81"/>
        <v>100</v>
      </c>
    </row>
    <row r="599" spans="1:18" x14ac:dyDescent="0.25">
      <c r="A599" t="str">
        <f>'(Raw) LensesGH'!A599</f>
        <v>Panasonic Lumix G Vario 45-200mm 4.0-5.6 OIS schwarz</v>
      </c>
      <c r="B599" t="str">
        <f>'(Raw) LensesGH'!B599</f>
        <v>45 - 200mm</v>
      </c>
      <c r="C599" s="5">
        <f t="shared" si="82"/>
        <v>45</v>
      </c>
      <c r="D599" s="5">
        <f t="shared" si="83"/>
        <v>200</v>
      </c>
      <c r="E599" t="str">
        <f>'(Raw) LensesGH'!C599</f>
        <v>1:4.0-1:5.6</v>
      </c>
      <c r="F599" s="9">
        <f t="shared" si="84"/>
        <v>4</v>
      </c>
      <c r="G599" s="9">
        <f t="shared" si="85"/>
        <v>4</v>
      </c>
      <c r="H599" t="str">
        <f>'(Raw) LensesGH'!D599</f>
        <v>52mm</v>
      </c>
      <c r="I599" s="2">
        <f t="shared" si="86"/>
        <v>52</v>
      </c>
      <c r="J599" s="2">
        <f>'(Raw) LensesGH'!E599</f>
        <v>0</v>
      </c>
      <c r="K599" s="40">
        <f t="shared" si="87"/>
        <v>0</v>
      </c>
      <c r="L599" t="str">
        <f>'(Raw) LensesGH'!F599</f>
        <v>Micro-Four-Thirds</v>
      </c>
      <c r="M599" t="str">
        <f>'(Raw) LensesGH'!G599</f>
        <v>Four-Thirds</v>
      </c>
      <c r="N599" t="str">
        <f>'(Raw) LensesGH'!H599</f>
        <v>380g</v>
      </c>
      <c r="O599" s="5">
        <f t="shared" si="88"/>
        <v>380</v>
      </c>
      <c r="P599" t="str">
        <f>'(Raw) LensesGH'!I599</f>
        <v>70 x 100mm</v>
      </c>
      <c r="Q599" s="39">
        <f t="shared" si="89"/>
        <v>70</v>
      </c>
      <c r="R599" s="39">
        <f t="shared" si="81"/>
        <v>100</v>
      </c>
    </row>
    <row r="600" spans="1:18" x14ac:dyDescent="0.25">
      <c r="A600" t="str">
        <f>'(Raw) LensesGH'!A600</f>
        <v>Panasonic Lumix G Vario 7-14mm 4.0 ASPH schwarz</v>
      </c>
      <c r="B600" t="str">
        <f>'(Raw) LensesGH'!B600</f>
        <v>7 - 14mm</v>
      </c>
      <c r="C600" s="5">
        <f t="shared" si="82"/>
        <v>7</v>
      </c>
      <c r="D600" s="5">
        <f t="shared" si="83"/>
        <v>14</v>
      </c>
      <c r="E600" t="str">
        <f>'(Raw) LensesGH'!C600</f>
        <v>1:4.0</v>
      </c>
      <c r="F600" s="9">
        <f t="shared" si="84"/>
        <v>4</v>
      </c>
      <c r="G600" s="9">
        <f t="shared" si="85"/>
        <v>4</v>
      </c>
      <c r="H600">
        <f>'(Raw) LensesGH'!D600</f>
        <v>0</v>
      </c>
      <c r="I600" s="2">
        <f t="shared" si="86"/>
        <v>0</v>
      </c>
      <c r="J600" s="2" t="str">
        <f>'(Raw) LensesGH'!E600</f>
        <v>1:5.00</v>
      </c>
      <c r="K600" s="40">
        <f t="shared" si="87"/>
        <v>5</v>
      </c>
      <c r="L600" t="str">
        <f>'(Raw) LensesGH'!F600</f>
        <v>Micro-Four-Thirds</v>
      </c>
      <c r="M600" t="str">
        <f>'(Raw) LensesGH'!G600</f>
        <v>Four-Thirds</v>
      </c>
      <c r="N600" t="str">
        <f>'(Raw) LensesGH'!H600</f>
        <v>300g</v>
      </c>
      <c r="O600" s="5">
        <f t="shared" si="88"/>
        <v>300</v>
      </c>
      <c r="P600" t="str">
        <f>'(Raw) LensesGH'!I600</f>
        <v>75 x 83.1mm</v>
      </c>
      <c r="Q600" s="39">
        <f t="shared" si="89"/>
        <v>75</v>
      </c>
      <c r="R600" s="39">
        <f t="shared" si="81"/>
        <v>83.1</v>
      </c>
    </row>
    <row r="601" spans="1:18" x14ac:dyDescent="0.25">
      <c r="A601" t="str">
        <f>'(Raw) LensesGH'!A601</f>
        <v>Panasonic Lumix G X Vario 12-35mm 2.8 ASPH II OIS schwarz</v>
      </c>
      <c r="B601" t="str">
        <f>'(Raw) LensesGH'!B601</f>
        <v>12 - 35mm</v>
      </c>
      <c r="C601" s="5">
        <f t="shared" si="82"/>
        <v>12</v>
      </c>
      <c r="D601" s="5">
        <f t="shared" si="83"/>
        <v>35</v>
      </c>
      <c r="E601" t="str">
        <f>'(Raw) LensesGH'!C601</f>
        <v>1:2.8</v>
      </c>
      <c r="F601" s="9">
        <f t="shared" si="84"/>
        <v>2.8</v>
      </c>
      <c r="G601" s="9">
        <f t="shared" si="85"/>
        <v>2.8</v>
      </c>
      <c r="H601" t="str">
        <f>'(Raw) LensesGH'!D601</f>
        <v>58mm</v>
      </c>
      <c r="I601" s="2">
        <f t="shared" si="86"/>
        <v>58</v>
      </c>
      <c r="J601" s="2" t="str">
        <f>'(Raw) LensesGH'!E601</f>
        <v>1:5.88</v>
      </c>
      <c r="K601" s="40">
        <f t="shared" si="87"/>
        <v>5.88</v>
      </c>
      <c r="L601" t="str">
        <f>'(Raw) LensesGH'!F601</f>
        <v>Micro-Four-Thirds</v>
      </c>
      <c r="M601" t="str">
        <f>'(Raw) LensesGH'!G601</f>
        <v>Four-Thirds</v>
      </c>
      <c r="N601" t="str">
        <f>'(Raw) LensesGH'!H601</f>
        <v>305g</v>
      </c>
      <c r="O601" s="5">
        <f t="shared" si="88"/>
        <v>305</v>
      </c>
      <c r="P601" t="str">
        <f>'(Raw) LensesGH'!I601</f>
        <v>67.6 x 73.8mm</v>
      </c>
      <c r="Q601" s="39">
        <f t="shared" si="89"/>
        <v>67.599999999999994</v>
      </c>
      <c r="R601" s="39">
        <f t="shared" si="81"/>
        <v>73.8</v>
      </c>
    </row>
    <row r="602" spans="1:18" x14ac:dyDescent="0.25">
      <c r="A602" t="str">
        <f>'(Raw) LensesGH'!A602</f>
        <v>Panasonic Lumix G X Vario 12-35mm 2.8 ASPH OIS schwarz</v>
      </c>
      <c r="B602" t="str">
        <f>'(Raw) LensesGH'!B602</f>
        <v>12 - 35mm</v>
      </c>
      <c r="C602" s="5">
        <f t="shared" si="82"/>
        <v>12</v>
      </c>
      <c r="D602" s="5">
        <f t="shared" si="83"/>
        <v>35</v>
      </c>
      <c r="E602" t="str">
        <f>'(Raw) LensesGH'!C602</f>
        <v>1:2.8</v>
      </c>
      <c r="F602" s="9">
        <f t="shared" si="84"/>
        <v>2.8</v>
      </c>
      <c r="G602" s="9">
        <f t="shared" si="85"/>
        <v>2.8</v>
      </c>
      <c r="H602" t="str">
        <f>'(Raw) LensesGH'!D602</f>
        <v>58mm</v>
      </c>
      <c r="I602" s="2">
        <f t="shared" si="86"/>
        <v>58</v>
      </c>
      <c r="J602" s="2" t="str">
        <f>'(Raw) LensesGH'!E602</f>
        <v>1:5.88</v>
      </c>
      <c r="K602" s="40">
        <f t="shared" si="87"/>
        <v>5.88</v>
      </c>
      <c r="L602" t="str">
        <f>'(Raw) LensesGH'!F602</f>
        <v>Micro-Four-Thirds</v>
      </c>
      <c r="M602" t="str">
        <f>'(Raw) LensesGH'!G602</f>
        <v>Four-Thirds</v>
      </c>
      <c r="N602" t="str">
        <f>'(Raw) LensesGH'!H602</f>
        <v>305g</v>
      </c>
      <c r="O602" s="5">
        <f t="shared" si="88"/>
        <v>305</v>
      </c>
      <c r="P602" t="str">
        <f>'(Raw) LensesGH'!I602</f>
        <v>68 x 74mm</v>
      </c>
      <c r="Q602" s="39">
        <f t="shared" si="89"/>
        <v>68</v>
      </c>
      <c r="R602" s="39">
        <f t="shared" si="81"/>
        <v>74</v>
      </c>
    </row>
    <row r="603" spans="1:18" x14ac:dyDescent="0.25">
      <c r="A603" t="str">
        <f>'(Raw) LensesGH'!A603</f>
        <v>Panasonic Lumix G X Vario 35-100mm 2.8 II OIS schwarz</v>
      </c>
      <c r="B603" t="str">
        <f>'(Raw) LensesGH'!B603</f>
        <v>35 - 100mm</v>
      </c>
      <c r="C603" s="5">
        <f t="shared" si="82"/>
        <v>35</v>
      </c>
      <c r="D603" s="5">
        <f t="shared" si="83"/>
        <v>100</v>
      </c>
      <c r="E603" t="str">
        <f>'(Raw) LensesGH'!C603</f>
        <v>1:2.8</v>
      </c>
      <c r="F603" s="9">
        <f t="shared" si="84"/>
        <v>2.8</v>
      </c>
      <c r="G603" s="9">
        <f t="shared" si="85"/>
        <v>2.8</v>
      </c>
      <c r="H603" t="str">
        <f>'(Raw) LensesGH'!D603</f>
        <v>58mm</v>
      </c>
      <c r="I603" s="2">
        <f t="shared" si="86"/>
        <v>58</v>
      </c>
      <c r="J603" s="2" t="str">
        <f>'(Raw) LensesGH'!E603</f>
        <v>1:10.00</v>
      </c>
      <c r="K603" s="40">
        <f t="shared" si="87"/>
        <v>10</v>
      </c>
      <c r="L603" t="str">
        <f>'(Raw) LensesGH'!F603</f>
        <v>Micro-Four-Thirds</v>
      </c>
      <c r="M603" t="str">
        <f>'(Raw) LensesGH'!G603</f>
        <v>Four-Thirds</v>
      </c>
      <c r="N603" t="str">
        <f>'(Raw) LensesGH'!H603</f>
        <v>357g</v>
      </c>
      <c r="O603" s="5">
        <f t="shared" si="88"/>
        <v>357</v>
      </c>
      <c r="P603" t="str">
        <f>'(Raw) LensesGH'!I603</f>
        <v>67.4 x 99.9mm</v>
      </c>
      <c r="Q603" s="39">
        <f t="shared" si="89"/>
        <v>67.400000000000006</v>
      </c>
      <c r="R603" s="39">
        <f t="shared" si="81"/>
        <v>99.9</v>
      </c>
    </row>
    <row r="604" spans="1:18" x14ac:dyDescent="0.25">
      <c r="A604" t="str">
        <f>'(Raw) LensesGH'!A604</f>
        <v>Panasonic Lumix G X Vario 35-100mm 2.8 OIS schwarz</v>
      </c>
      <c r="B604" t="str">
        <f>'(Raw) LensesGH'!B604</f>
        <v>35 - 100mm</v>
      </c>
      <c r="C604" s="5">
        <f t="shared" si="82"/>
        <v>35</v>
      </c>
      <c r="D604" s="5">
        <f t="shared" si="83"/>
        <v>100</v>
      </c>
      <c r="E604" t="str">
        <f>'(Raw) LensesGH'!C604</f>
        <v>1:2.8</v>
      </c>
      <c r="F604" s="9">
        <f t="shared" si="84"/>
        <v>2.8</v>
      </c>
      <c r="G604" s="9">
        <f t="shared" si="85"/>
        <v>2.8</v>
      </c>
      <c r="H604" t="str">
        <f>'(Raw) LensesGH'!D604</f>
        <v>58mm</v>
      </c>
      <c r="I604" s="2">
        <f t="shared" si="86"/>
        <v>58</v>
      </c>
      <c r="J604" s="2" t="str">
        <f>'(Raw) LensesGH'!E604</f>
        <v>1:10.00</v>
      </c>
      <c r="K604" s="40">
        <f t="shared" si="87"/>
        <v>10</v>
      </c>
      <c r="L604" t="str">
        <f>'(Raw) LensesGH'!F604</f>
        <v>Micro-Four-Thirds</v>
      </c>
      <c r="M604" t="str">
        <f>'(Raw) LensesGH'!G604</f>
        <v>Four-Thirds</v>
      </c>
      <c r="N604" t="str">
        <f>'(Raw) LensesGH'!H604</f>
        <v>360g</v>
      </c>
      <c r="O604" s="5">
        <f t="shared" si="88"/>
        <v>360</v>
      </c>
      <c r="P604" t="str">
        <f>'(Raw) LensesGH'!I604</f>
        <v>67.4 x 99.9mm</v>
      </c>
      <c r="Q604" s="39">
        <f t="shared" si="89"/>
        <v>67.400000000000006</v>
      </c>
      <c r="R604" s="39">
        <f t="shared" si="81"/>
        <v>99.9</v>
      </c>
    </row>
    <row r="605" spans="1:18" x14ac:dyDescent="0.25">
      <c r="A605" t="str">
        <f>'(Raw) LensesGH'!A605</f>
        <v>Panasonic Lumix G X Vario PZ 14-42mm 3.5-5.6 ASPH OIS schwarz</v>
      </c>
      <c r="B605" t="str">
        <f>'(Raw) LensesGH'!B605</f>
        <v>14 - 42mm</v>
      </c>
      <c r="C605" s="5">
        <f t="shared" si="82"/>
        <v>14</v>
      </c>
      <c r="D605" s="5">
        <f t="shared" si="83"/>
        <v>42</v>
      </c>
      <c r="E605" t="str">
        <f>'(Raw) LensesGH'!C605</f>
        <v>1:3.5-1:5.6</v>
      </c>
      <c r="F605" s="9">
        <f t="shared" si="84"/>
        <v>3.5</v>
      </c>
      <c r="G605" s="9">
        <f t="shared" si="85"/>
        <v>3.5</v>
      </c>
      <c r="H605" t="str">
        <f>'(Raw) LensesGH'!D605</f>
        <v>37mm</v>
      </c>
      <c r="I605" s="2">
        <f t="shared" si="86"/>
        <v>37</v>
      </c>
      <c r="J605" s="2" t="str">
        <f>'(Raw) LensesGH'!E605</f>
        <v>1:5.88</v>
      </c>
      <c r="K605" s="40">
        <f t="shared" si="87"/>
        <v>5.88</v>
      </c>
      <c r="L605" t="str">
        <f>'(Raw) LensesGH'!F605</f>
        <v>Micro-Four-Thirds</v>
      </c>
      <c r="M605" t="str">
        <f>'(Raw) LensesGH'!G605</f>
        <v>Four-Thirds</v>
      </c>
      <c r="N605" t="str">
        <f>'(Raw) LensesGH'!H605</f>
        <v>95g</v>
      </c>
      <c r="O605" s="5">
        <f t="shared" si="88"/>
        <v>95</v>
      </c>
      <c r="P605" t="str">
        <f>'(Raw) LensesGH'!I605</f>
        <v>61 x 26.8mm</v>
      </c>
      <c r="Q605" s="39">
        <f t="shared" si="89"/>
        <v>61</v>
      </c>
      <c r="R605" s="39">
        <f t="shared" si="81"/>
        <v>26.8</v>
      </c>
    </row>
    <row r="606" spans="1:18" x14ac:dyDescent="0.25">
      <c r="A606" t="str">
        <f>'(Raw) LensesGH'!A606</f>
        <v>Panasonic Lumix G X Vario PZ 14-42mm 3.5-5.6 ASPH OIS silber</v>
      </c>
      <c r="B606" t="str">
        <f>'(Raw) LensesGH'!B606</f>
        <v>14 - 42mm</v>
      </c>
      <c r="C606" s="5">
        <f t="shared" si="82"/>
        <v>14</v>
      </c>
      <c r="D606" s="5">
        <f t="shared" si="83"/>
        <v>42</v>
      </c>
      <c r="E606" t="str">
        <f>'(Raw) LensesGH'!C606</f>
        <v>1:3.5-1:5.6</v>
      </c>
      <c r="F606" s="9">
        <f t="shared" si="84"/>
        <v>3.5</v>
      </c>
      <c r="G606" s="9">
        <f t="shared" si="85"/>
        <v>3.5</v>
      </c>
      <c r="H606" t="str">
        <f>'(Raw) LensesGH'!D606</f>
        <v>37mm</v>
      </c>
      <c r="I606" s="2">
        <f t="shared" si="86"/>
        <v>37</v>
      </c>
      <c r="J606" s="2" t="str">
        <f>'(Raw) LensesGH'!E606</f>
        <v>1:5.88</v>
      </c>
      <c r="K606" s="40">
        <f t="shared" si="87"/>
        <v>5.88</v>
      </c>
      <c r="L606" t="str">
        <f>'(Raw) LensesGH'!F606</f>
        <v>Micro-Four-Thirds</v>
      </c>
      <c r="M606" t="str">
        <f>'(Raw) LensesGH'!G606</f>
        <v>Four-Thirds</v>
      </c>
      <c r="N606" t="str">
        <f>'(Raw) LensesGH'!H606</f>
        <v>95g</v>
      </c>
      <c r="O606" s="5">
        <f t="shared" si="88"/>
        <v>95</v>
      </c>
      <c r="P606" t="str">
        <f>'(Raw) LensesGH'!I606</f>
        <v>61 x 26.8mm</v>
      </c>
      <c r="Q606" s="39">
        <f t="shared" si="89"/>
        <v>61</v>
      </c>
      <c r="R606" s="39">
        <f t="shared" si="81"/>
        <v>26.8</v>
      </c>
    </row>
    <row r="607" spans="1:18" x14ac:dyDescent="0.25">
      <c r="A607" t="str">
        <f>'(Raw) LensesGH'!A607</f>
        <v>Panasonic Lumix G X Vario PZ 45-175mm 4.0-5-6 ASPH OIS schwarz</v>
      </c>
      <c r="B607" t="str">
        <f>'(Raw) LensesGH'!B607</f>
        <v>45 - 175mm</v>
      </c>
      <c r="C607" s="5">
        <f t="shared" si="82"/>
        <v>45</v>
      </c>
      <c r="D607" s="5">
        <f t="shared" si="83"/>
        <v>175</v>
      </c>
      <c r="E607" t="str">
        <f>'(Raw) LensesGH'!C607</f>
        <v>1:4.0-1:5.6</v>
      </c>
      <c r="F607" s="9">
        <f t="shared" si="84"/>
        <v>4</v>
      </c>
      <c r="G607" s="9">
        <f t="shared" si="85"/>
        <v>4</v>
      </c>
      <c r="H607" t="str">
        <f>'(Raw) LensesGH'!D607</f>
        <v>46mm</v>
      </c>
      <c r="I607" s="2">
        <f t="shared" si="86"/>
        <v>46</v>
      </c>
      <c r="J607" s="2" t="str">
        <f>'(Raw) LensesGH'!E607</f>
        <v>1:5.00</v>
      </c>
      <c r="K607" s="40">
        <f t="shared" si="87"/>
        <v>5</v>
      </c>
      <c r="L607" t="str">
        <f>'(Raw) LensesGH'!F607</f>
        <v>Micro-Four-Thirds</v>
      </c>
      <c r="M607" t="str">
        <f>'(Raw) LensesGH'!G607</f>
        <v>Four-Thirds</v>
      </c>
      <c r="N607" t="str">
        <f>'(Raw) LensesGH'!H607</f>
        <v>210g</v>
      </c>
      <c r="O607" s="5">
        <f t="shared" si="88"/>
        <v>210</v>
      </c>
      <c r="P607" t="str">
        <f>'(Raw) LensesGH'!I607</f>
        <v>62 x 90mm</v>
      </c>
      <c r="Q607" s="39">
        <f t="shared" si="89"/>
        <v>62</v>
      </c>
      <c r="R607" s="39">
        <f t="shared" si="81"/>
        <v>90</v>
      </c>
    </row>
    <row r="608" spans="1:18" x14ac:dyDescent="0.25">
      <c r="A608" t="str">
        <f>'(Raw) LensesGH'!A608</f>
        <v>Panasonic/Leica DG Macro-Elmarit 45mm 2.8 ASPH OIS schwarz</v>
      </c>
      <c r="B608" t="str">
        <f>'(Raw) LensesGH'!B608</f>
        <v>45mm</v>
      </c>
      <c r="C608" s="5">
        <f t="shared" si="82"/>
        <v>45</v>
      </c>
      <c r="D608" s="5">
        <f t="shared" si="83"/>
        <v>45</v>
      </c>
      <c r="E608" t="str">
        <f>'(Raw) LensesGH'!C608</f>
        <v>1:2.8</v>
      </c>
      <c r="F608" s="9">
        <f t="shared" si="84"/>
        <v>2.8</v>
      </c>
      <c r="G608" s="9">
        <f t="shared" si="85"/>
        <v>2.8</v>
      </c>
      <c r="H608">
        <f>'(Raw) LensesGH'!D608</f>
        <v>0</v>
      </c>
      <c r="I608" s="2">
        <f t="shared" si="86"/>
        <v>0</v>
      </c>
      <c r="J608" s="2" t="str">
        <f>'(Raw) LensesGH'!E608</f>
        <v>1:1.00</v>
      </c>
      <c r="K608" s="40">
        <f t="shared" si="87"/>
        <v>1</v>
      </c>
      <c r="L608" t="str">
        <f>'(Raw) LensesGH'!F608</f>
        <v>Micro-Four-Thirds</v>
      </c>
      <c r="M608" t="str">
        <f>'(Raw) LensesGH'!G608</f>
        <v>Four-Thirds</v>
      </c>
      <c r="N608" t="str">
        <f>'(Raw) LensesGH'!H608</f>
        <v>225g</v>
      </c>
      <c r="O608" s="5">
        <f t="shared" si="88"/>
        <v>225</v>
      </c>
      <c r="P608" t="str">
        <f>'(Raw) LensesGH'!I608</f>
        <v>63 x 62.5mm</v>
      </c>
      <c r="Q608" s="39">
        <f t="shared" si="89"/>
        <v>63</v>
      </c>
      <c r="R608" s="39">
        <f t="shared" si="81"/>
        <v>62.5</v>
      </c>
    </row>
    <row r="609" spans="1:18" x14ac:dyDescent="0.25">
      <c r="A609" t="str">
        <f>'(Raw) LensesGH'!A609</f>
        <v>Panasonic/Leica DG Nocticron 42.5mm 1.2 ASPH OIS schwarz</v>
      </c>
      <c r="B609" t="str">
        <f>'(Raw) LensesGH'!B609</f>
        <v>42.5mm</v>
      </c>
      <c r="C609" s="5">
        <f t="shared" si="82"/>
        <v>42.5</v>
      </c>
      <c r="D609" s="5">
        <f t="shared" si="83"/>
        <v>42.5</v>
      </c>
      <c r="E609" t="str">
        <f>'(Raw) LensesGH'!C609</f>
        <v>1:1.2</v>
      </c>
      <c r="F609" s="9">
        <f t="shared" si="84"/>
        <v>1.2</v>
      </c>
      <c r="G609" s="9">
        <f t="shared" si="85"/>
        <v>1.2</v>
      </c>
      <c r="H609" t="str">
        <f>'(Raw) LensesGH'!D609</f>
        <v>67mm</v>
      </c>
      <c r="I609" s="2">
        <f t="shared" si="86"/>
        <v>67</v>
      </c>
      <c r="J609" s="2" t="str">
        <f>'(Raw) LensesGH'!E609</f>
        <v>1:5.00</v>
      </c>
      <c r="K609" s="40">
        <f t="shared" si="87"/>
        <v>5</v>
      </c>
      <c r="L609" t="str">
        <f>'(Raw) LensesGH'!F609</f>
        <v>Micro-Four-Thirds</v>
      </c>
      <c r="M609" t="str">
        <f>'(Raw) LensesGH'!G609</f>
        <v>Four-Thirds</v>
      </c>
      <c r="N609" t="str">
        <f>'(Raw) LensesGH'!H609</f>
        <v>425g</v>
      </c>
      <c r="O609" s="5">
        <f t="shared" si="88"/>
        <v>425</v>
      </c>
      <c r="P609" t="str">
        <f>'(Raw) LensesGH'!I609</f>
        <v>74 x 77mm</v>
      </c>
      <c r="Q609" s="39">
        <f t="shared" si="89"/>
        <v>74</v>
      </c>
      <c r="R609" s="39">
        <f t="shared" si="81"/>
        <v>77</v>
      </c>
    </row>
    <row r="610" spans="1:18" x14ac:dyDescent="0.25">
      <c r="A610" t="str">
        <f>'(Raw) LensesGH'!A610</f>
        <v>Panasonic/Leica DG Summilux 12mm 1.4 ASPH schwarz</v>
      </c>
      <c r="B610" t="str">
        <f>'(Raw) LensesGH'!B610</f>
        <v>12mm</v>
      </c>
      <c r="C610" s="5">
        <f t="shared" si="82"/>
        <v>12</v>
      </c>
      <c r="D610" s="5">
        <f t="shared" si="83"/>
        <v>12</v>
      </c>
      <c r="E610" t="str">
        <f>'(Raw) LensesGH'!C610</f>
        <v>1:1.4</v>
      </c>
      <c r="F610" s="9">
        <f t="shared" si="84"/>
        <v>1.4</v>
      </c>
      <c r="G610" s="9">
        <f t="shared" si="85"/>
        <v>1.4</v>
      </c>
      <c r="H610" t="str">
        <f>'(Raw) LensesGH'!D610</f>
        <v>62mm</v>
      </c>
      <c r="I610" s="2">
        <f t="shared" si="86"/>
        <v>62</v>
      </c>
      <c r="J610" s="2" t="str">
        <f>'(Raw) LensesGH'!E610</f>
        <v>1:10.00</v>
      </c>
      <c r="K610" s="40">
        <f t="shared" si="87"/>
        <v>10</v>
      </c>
      <c r="L610" t="str">
        <f>'(Raw) LensesGH'!F610</f>
        <v>Micro-Four-Thirds</v>
      </c>
      <c r="M610" t="str">
        <f>'(Raw) LensesGH'!G610</f>
        <v>Four-Thirds</v>
      </c>
      <c r="N610" t="str">
        <f>'(Raw) LensesGH'!H610</f>
        <v>335g</v>
      </c>
      <c r="O610" s="5">
        <f t="shared" si="88"/>
        <v>335</v>
      </c>
      <c r="P610" t="str">
        <f>'(Raw) LensesGH'!I610</f>
        <v>70 x 70mm</v>
      </c>
      <c r="Q610" s="39">
        <f t="shared" si="89"/>
        <v>70</v>
      </c>
      <c r="R610" s="39">
        <f t="shared" si="81"/>
        <v>70</v>
      </c>
    </row>
    <row r="611" spans="1:18" x14ac:dyDescent="0.25">
      <c r="A611" t="str">
        <f>'(Raw) LensesGH'!A611</f>
        <v>Panasonic/Leica DG Summilux 15mm 1.7 ASPH schwarz</v>
      </c>
      <c r="B611" t="str">
        <f>'(Raw) LensesGH'!B611</f>
        <v>15mm</v>
      </c>
      <c r="C611" s="5">
        <f t="shared" si="82"/>
        <v>15</v>
      </c>
      <c r="D611" s="5">
        <f t="shared" si="83"/>
        <v>15</v>
      </c>
      <c r="E611" t="str">
        <f>'(Raw) LensesGH'!C611</f>
        <v>1:1.7</v>
      </c>
      <c r="F611" s="9">
        <f t="shared" si="84"/>
        <v>1.7</v>
      </c>
      <c r="G611" s="9">
        <f t="shared" si="85"/>
        <v>1.7</v>
      </c>
      <c r="H611" t="str">
        <f>'(Raw) LensesGH'!D611</f>
        <v>46mm</v>
      </c>
      <c r="I611" s="2">
        <f t="shared" si="86"/>
        <v>46</v>
      </c>
      <c r="J611" s="2" t="str">
        <f>'(Raw) LensesGH'!E611</f>
        <v>1:10.00</v>
      </c>
      <c r="K611" s="40">
        <f t="shared" si="87"/>
        <v>10</v>
      </c>
      <c r="L611" t="str">
        <f>'(Raw) LensesGH'!F611</f>
        <v>Micro-Four-Thirds</v>
      </c>
      <c r="M611" t="str">
        <f>'(Raw) LensesGH'!G611</f>
        <v>Four-Thirds</v>
      </c>
      <c r="N611" t="str">
        <f>'(Raw) LensesGH'!H611</f>
        <v>115g</v>
      </c>
      <c r="O611" s="5">
        <f t="shared" si="88"/>
        <v>115</v>
      </c>
      <c r="P611" t="str">
        <f>'(Raw) LensesGH'!I611</f>
        <v>58 x 36mm</v>
      </c>
      <c r="Q611" s="39">
        <f t="shared" si="89"/>
        <v>58</v>
      </c>
      <c r="R611" s="39">
        <f t="shared" si="81"/>
        <v>36</v>
      </c>
    </row>
    <row r="612" spans="1:18" x14ac:dyDescent="0.25">
      <c r="A612" t="str">
        <f>'(Raw) LensesGH'!A612</f>
        <v>Panasonic/Leica DG Summilux 15mm 1.7 ASPH silber</v>
      </c>
      <c r="B612" t="str">
        <f>'(Raw) LensesGH'!B612</f>
        <v>15mm</v>
      </c>
      <c r="C612" s="5">
        <f t="shared" si="82"/>
        <v>15</v>
      </c>
      <c r="D612" s="5">
        <f t="shared" si="83"/>
        <v>15</v>
      </c>
      <c r="E612" t="str">
        <f>'(Raw) LensesGH'!C612</f>
        <v>1:1.7</v>
      </c>
      <c r="F612" s="9">
        <f t="shared" si="84"/>
        <v>1.7</v>
      </c>
      <c r="G612" s="9">
        <f t="shared" si="85"/>
        <v>1.7</v>
      </c>
      <c r="H612" t="str">
        <f>'(Raw) LensesGH'!D612</f>
        <v>46mm</v>
      </c>
      <c r="I612" s="2">
        <f t="shared" si="86"/>
        <v>46</v>
      </c>
      <c r="J612" s="2" t="str">
        <f>'(Raw) LensesGH'!E612</f>
        <v>1:10.00</v>
      </c>
      <c r="K612" s="40">
        <f t="shared" si="87"/>
        <v>10</v>
      </c>
      <c r="L612" t="str">
        <f>'(Raw) LensesGH'!F612</f>
        <v>Micro-Four-Thirds</v>
      </c>
      <c r="M612" t="str">
        <f>'(Raw) LensesGH'!G612</f>
        <v>Four-Thirds</v>
      </c>
      <c r="N612" t="str">
        <f>'(Raw) LensesGH'!H612</f>
        <v>115g</v>
      </c>
      <c r="O612" s="5">
        <f t="shared" si="88"/>
        <v>115</v>
      </c>
      <c r="P612" t="str">
        <f>'(Raw) LensesGH'!I612</f>
        <v>58 x 36mm</v>
      </c>
      <c r="Q612" s="39">
        <f t="shared" si="89"/>
        <v>58</v>
      </c>
      <c r="R612" s="39">
        <f t="shared" si="81"/>
        <v>36</v>
      </c>
    </row>
    <row r="613" spans="1:18" x14ac:dyDescent="0.25">
      <c r="A613" t="str">
        <f>'(Raw) LensesGH'!A613</f>
        <v>Panasonic/Leica DG Summilux 25mm 1.4 ASPH schwarz</v>
      </c>
      <c r="B613" t="str">
        <f>'(Raw) LensesGH'!B613</f>
        <v>25mm</v>
      </c>
      <c r="C613" s="5">
        <f t="shared" si="82"/>
        <v>25</v>
      </c>
      <c r="D613" s="5">
        <f t="shared" si="83"/>
        <v>25</v>
      </c>
      <c r="E613" t="str">
        <f>'(Raw) LensesGH'!C613</f>
        <v>1:1.4</v>
      </c>
      <c r="F613" s="9">
        <f t="shared" si="84"/>
        <v>1.4</v>
      </c>
      <c r="G613" s="9">
        <f t="shared" si="85"/>
        <v>1.4</v>
      </c>
      <c r="H613" t="str">
        <f>'(Raw) LensesGH'!D613</f>
        <v>46mm</v>
      </c>
      <c r="I613" s="2">
        <f t="shared" si="86"/>
        <v>46</v>
      </c>
      <c r="J613" s="2" t="str">
        <f>'(Raw) LensesGH'!E613</f>
        <v>1:9.09</v>
      </c>
      <c r="K613" s="40">
        <f t="shared" si="87"/>
        <v>9.09</v>
      </c>
      <c r="L613" t="str">
        <f>'(Raw) LensesGH'!F613</f>
        <v>Micro-Four-Thirds</v>
      </c>
      <c r="M613" t="str">
        <f>'(Raw) LensesGH'!G613</f>
        <v>Four-Thirds</v>
      </c>
      <c r="N613" t="str">
        <f>'(Raw) LensesGH'!H613</f>
        <v>200g</v>
      </c>
      <c r="O613" s="5">
        <f t="shared" si="88"/>
        <v>200</v>
      </c>
      <c r="P613" t="str">
        <f>'(Raw) LensesGH'!I613</f>
        <v>63 x 54.5mm</v>
      </c>
      <c r="Q613" s="39">
        <f t="shared" si="89"/>
        <v>63</v>
      </c>
      <c r="R613" s="39">
        <f t="shared" si="81"/>
        <v>54.5</v>
      </c>
    </row>
    <row r="614" spans="1:18" x14ac:dyDescent="0.25">
      <c r="A614" t="str">
        <f>'(Raw) LensesGH'!A614</f>
        <v>Panasonic/Leica DG Vario Elmar 100-400mm 4.0-6.3 ASPH Power OIS schwarz</v>
      </c>
      <c r="B614" t="str">
        <f>'(Raw) LensesGH'!B614</f>
        <v>100 - 400mm</v>
      </c>
      <c r="C614" s="5">
        <f t="shared" si="82"/>
        <v>100</v>
      </c>
      <c r="D614" s="5">
        <f t="shared" si="83"/>
        <v>400</v>
      </c>
      <c r="E614" t="str">
        <f>'(Raw) LensesGH'!C614</f>
        <v>1:4.0-1:6.3</v>
      </c>
      <c r="F614" s="9">
        <f t="shared" si="84"/>
        <v>4</v>
      </c>
      <c r="G614" s="9">
        <f t="shared" si="85"/>
        <v>4</v>
      </c>
      <c r="H614" t="str">
        <f>'(Raw) LensesGH'!D614</f>
        <v>72mm</v>
      </c>
      <c r="I614" s="2">
        <f t="shared" si="86"/>
        <v>72</v>
      </c>
      <c r="J614" s="2" t="str">
        <f>'(Raw) LensesGH'!E614</f>
        <v>1:2.00</v>
      </c>
      <c r="K614" s="40">
        <f t="shared" si="87"/>
        <v>2</v>
      </c>
      <c r="L614" t="str">
        <f>'(Raw) LensesGH'!F614</f>
        <v>Micro-Four-Thirds</v>
      </c>
      <c r="M614" t="str">
        <f>'(Raw) LensesGH'!G614</f>
        <v>Four-Thirds</v>
      </c>
      <c r="N614" t="str">
        <f>'(Raw) LensesGH'!H614</f>
        <v>985g</v>
      </c>
      <c r="O614" s="5">
        <f t="shared" si="88"/>
        <v>985</v>
      </c>
      <c r="P614" t="str">
        <f>'(Raw) LensesGH'!I614</f>
        <v>83 x 172mm</v>
      </c>
      <c r="Q614" s="39">
        <f t="shared" si="89"/>
        <v>83</v>
      </c>
      <c r="R614" s="39">
        <f t="shared" si="81"/>
        <v>172</v>
      </c>
    </row>
    <row r="615" spans="1:18" x14ac:dyDescent="0.25">
      <c r="A615" t="str">
        <f>'(Raw) LensesGH'!A615</f>
        <v>Panasonic/Leica DG Vario Elmarit 12-60mm 2.8-4.0 ASPH schwarz</v>
      </c>
      <c r="B615" t="str">
        <f>'(Raw) LensesGH'!B615</f>
        <v>12 - 60mm</v>
      </c>
      <c r="C615" s="5">
        <f t="shared" si="82"/>
        <v>12</v>
      </c>
      <c r="D615" s="5">
        <f t="shared" si="83"/>
        <v>60</v>
      </c>
      <c r="E615" t="str">
        <f>'(Raw) LensesGH'!C615</f>
        <v>1:2.8-1:4.0</v>
      </c>
      <c r="F615" s="9">
        <f t="shared" si="84"/>
        <v>2.8</v>
      </c>
      <c r="G615" s="9">
        <f t="shared" si="85"/>
        <v>2.8</v>
      </c>
      <c r="H615" t="str">
        <f>'(Raw) LensesGH'!D615</f>
        <v>62mm</v>
      </c>
      <c r="I615" s="2">
        <f t="shared" si="86"/>
        <v>62</v>
      </c>
      <c r="J615" s="2" t="str">
        <f>'(Raw) LensesGH'!E615</f>
        <v>1:2.00</v>
      </c>
      <c r="K615" s="40">
        <f t="shared" si="87"/>
        <v>2</v>
      </c>
      <c r="L615" t="str">
        <f>'(Raw) LensesGH'!F615</f>
        <v>Micro-Four-Thirds</v>
      </c>
      <c r="M615" t="str">
        <f>'(Raw) LensesGH'!G615</f>
        <v>Four-Thirds</v>
      </c>
      <c r="N615" t="str">
        <f>'(Raw) LensesGH'!H615</f>
        <v>320g</v>
      </c>
      <c r="O615" s="5">
        <f t="shared" si="88"/>
        <v>320</v>
      </c>
      <c r="P615" t="str">
        <f>'(Raw) LensesGH'!I615</f>
        <v>68.4 x 86mm</v>
      </c>
      <c r="Q615" s="39">
        <f t="shared" si="89"/>
        <v>68.400000000000006</v>
      </c>
      <c r="R615" s="39">
        <f t="shared" si="81"/>
        <v>86</v>
      </c>
    </row>
    <row r="616" spans="1:18" x14ac:dyDescent="0.25">
      <c r="A616" t="str">
        <f>'(Raw) LensesGH'!A616</f>
        <v>Panasonic/Leica DG Vario Elmarit 8-18mm 2.8-4.0 ASPH schwarz</v>
      </c>
      <c r="B616" t="str">
        <f>'(Raw) LensesGH'!B616</f>
        <v>8 - 18mm</v>
      </c>
      <c r="C616" s="5">
        <f t="shared" si="82"/>
        <v>8</v>
      </c>
      <c r="D616" s="5">
        <f t="shared" si="83"/>
        <v>18</v>
      </c>
      <c r="E616" t="str">
        <f>'(Raw) LensesGH'!C616</f>
        <v>1:2.8-1:4.0</v>
      </c>
      <c r="F616" s="9">
        <f t="shared" si="84"/>
        <v>2.8</v>
      </c>
      <c r="G616" s="9">
        <f t="shared" si="85"/>
        <v>2.8</v>
      </c>
      <c r="H616" t="str">
        <f>'(Raw) LensesGH'!D616</f>
        <v>67mm</v>
      </c>
      <c r="I616" s="2">
        <f t="shared" si="86"/>
        <v>67</v>
      </c>
      <c r="J616" s="2" t="str">
        <f>'(Raw) LensesGH'!E616</f>
        <v>1:8.30</v>
      </c>
      <c r="K616" s="40">
        <f t="shared" si="87"/>
        <v>8.3000000000000007</v>
      </c>
      <c r="L616" t="str">
        <f>'(Raw) LensesGH'!F616</f>
        <v>Micro-Four-Thirds</v>
      </c>
      <c r="M616" t="str">
        <f>'(Raw) LensesGH'!G616</f>
        <v>Four-Thirds</v>
      </c>
      <c r="N616" t="str">
        <f>'(Raw) LensesGH'!H616</f>
        <v>315g</v>
      </c>
      <c r="O616" s="5">
        <f t="shared" si="88"/>
        <v>315</v>
      </c>
      <c r="P616" t="str">
        <f>'(Raw) LensesGH'!I616</f>
        <v>73.4 x 88mm</v>
      </c>
      <c r="Q616" s="39">
        <f t="shared" si="89"/>
        <v>73.400000000000006</v>
      </c>
      <c r="R616" s="39">
        <f t="shared" si="81"/>
        <v>88</v>
      </c>
    </row>
    <row r="617" spans="1:18" x14ac:dyDescent="0.25">
      <c r="A617" t="str">
        <f>'(Raw) LensesGH'!A617</f>
        <v>Pentax HD DA 15mm 4.0 AL Limited schwarz</v>
      </c>
      <c r="B617" t="str">
        <f>'(Raw) LensesGH'!B617</f>
        <v>15mm</v>
      </c>
      <c r="C617" s="5">
        <f t="shared" si="82"/>
        <v>15</v>
      </c>
      <c r="D617" s="5">
        <f t="shared" si="83"/>
        <v>15</v>
      </c>
      <c r="E617" t="str">
        <f>'(Raw) LensesGH'!C617</f>
        <v>1:4.0</v>
      </c>
      <c r="F617" s="9">
        <f t="shared" si="84"/>
        <v>4</v>
      </c>
      <c r="G617" s="9">
        <f t="shared" si="85"/>
        <v>4</v>
      </c>
      <c r="H617" t="str">
        <f>'(Raw) LensesGH'!D617</f>
        <v>49mm</v>
      </c>
      <c r="I617" s="2">
        <f t="shared" si="86"/>
        <v>49</v>
      </c>
      <c r="J617" s="2" t="str">
        <f>'(Raw) LensesGH'!E617</f>
        <v>1:6.67</v>
      </c>
      <c r="K617" s="40">
        <f t="shared" si="87"/>
        <v>6.67</v>
      </c>
      <c r="L617" t="str">
        <f>'(Raw) LensesGH'!F617</f>
        <v>Pentax K</v>
      </c>
      <c r="M617" t="str">
        <f>'(Raw) LensesGH'!G617</f>
        <v>APS-C</v>
      </c>
      <c r="N617" t="str">
        <f>'(Raw) LensesGH'!H617</f>
        <v>189g</v>
      </c>
      <c r="O617" s="5">
        <f t="shared" si="88"/>
        <v>189</v>
      </c>
      <c r="P617" t="str">
        <f>'(Raw) LensesGH'!I617</f>
        <v>63 x 39.5mm</v>
      </c>
      <c r="Q617" s="39">
        <f t="shared" si="89"/>
        <v>63</v>
      </c>
      <c r="R617" s="39">
        <f t="shared" si="81"/>
        <v>39.5</v>
      </c>
    </row>
    <row r="618" spans="1:18" x14ac:dyDescent="0.25">
      <c r="A618" t="str">
        <f>'(Raw) LensesGH'!A618</f>
        <v>Pentax HD DA 15mm 4.0 AL Limited silber</v>
      </c>
      <c r="B618" t="str">
        <f>'(Raw) LensesGH'!B618</f>
        <v>15mm</v>
      </c>
      <c r="C618" s="5">
        <f t="shared" si="82"/>
        <v>15</v>
      </c>
      <c r="D618" s="5">
        <f t="shared" si="83"/>
        <v>15</v>
      </c>
      <c r="E618" t="str">
        <f>'(Raw) LensesGH'!C618</f>
        <v>1:4.0</v>
      </c>
      <c r="F618" s="9">
        <f t="shared" si="84"/>
        <v>4</v>
      </c>
      <c r="G618" s="9">
        <f t="shared" si="85"/>
        <v>4</v>
      </c>
      <c r="H618" t="str">
        <f>'(Raw) LensesGH'!D618</f>
        <v>49mm</v>
      </c>
      <c r="I618" s="2">
        <f t="shared" si="86"/>
        <v>49</v>
      </c>
      <c r="J618" s="2" t="str">
        <f>'(Raw) LensesGH'!E618</f>
        <v>1:6.67</v>
      </c>
      <c r="K618" s="40">
        <f t="shared" si="87"/>
        <v>6.67</v>
      </c>
      <c r="L618" t="str">
        <f>'(Raw) LensesGH'!F618</f>
        <v>Pentax K</v>
      </c>
      <c r="M618" t="str">
        <f>'(Raw) LensesGH'!G618</f>
        <v>APS-C</v>
      </c>
      <c r="N618" t="str">
        <f>'(Raw) LensesGH'!H618</f>
        <v>189g</v>
      </c>
      <c r="O618" s="5">
        <f t="shared" si="88"/>
        <v>189</v>
      </c>
      <c r="P618" t="str">
        <f>'(Raw) LensesGH'!I618</f>
        <v>63 x 39.5mm</v>
      </c>
      <c r="Q618" s="39">
        <f t="shared" si="89"/>
        <v>63</v>
      </c>
      <c r="R618" s="39">
        <f t="shared" si="81"/>
        <v>39.5</v>
      </c>
    </row>
    <row r="619" spans="1:18" x14ac:dyDescent="0.25">
      <c r="A619" t="str">
        <f>'(Raw) LensesGH'!A619</f>
        <v>Pentax HD DA 16-85mm 3.5-5.6 ED DC WR schwarz</v>
      </c>
      <c r="B619" t="str">
        <f>'(Raw) LensesGH'!B619</f>
        <v>16 - 85mm</v>
      </c>
      <c r="C619" s="5">
        <f t="shared" si="82"/>
        <v>16</v>
      </c>
      <c r="D619" s="5">
        <f t="shared" si="83"/>
        <v>85</v>
      </c>
      <c r="E619" t="str">
        <f>'(Raw) LensesGH'!C619</f>
        <v>1:3.5-1:5.6</v>
      </c>
      <c r="F619" s="9">
        <f t="shared" si="84"/>
        <v>3.5</v>
      </c>
      <c r="G619" s="9">
        <f t="shared" si="85"/>
        <v>3.5</v>
      </c>
      <c r="H619" t="str">
        <f>'(Raw) LensesGH'!D619</f>
        <v>72mm</v>
      </c>
      <c r="I619" s="2">
        <f t="shared" si="86"/>
        <v>72</v>
      </c>
      <c r="J619" s="2" t="str">
        <f>'(Raw) LensesGH'!E619</f>
        <v>1:3.80</v>
      </c>
      <c r="K619" s="40">
        <f t="shared" si="87"/>
        <v>3.8</v>
      </c>
      <c r="L619" t="str">
        <f>'(Raw) LensesGH'!F619</f>
        <v>Pentax K</v>
      </c>
      <c r="M619" t="str">
        <f>'(Raw) LensesGH'!G619</f>
        <v>APS-C</v>
      </c>
      <c r="N619" t="str">
        <f>'(Raw) LensesGH'!H619</f>
        <v>488g</v>
      </c>
      <c r="O619" s="5">
        <f t="shared" si="88"/>
        <v>488</v>
      </c>
      <c r="P619" t="str">
        <f>'(Raw) LensesGH'!I619</f>
        <v>78 x 94mm</v>
      </c>
      <c r="Q619" s="39">
        <f t="shared" si="89"/>
        <v>78</v>
      </c>
      <c r="R619" s="39">
        <f t="shared" si="81"/>
        <v>94</v>
      </c>
    </row>
    <row r="620" spans="1:18" x14ac:dyDescent="0.25">
      <c r="A620" t="str">
        <f>'(Raw) LensesGH'!A620</f>
        <v>Pentax HD DA 18-50mm 4.0-5.6 DC WR RE schwarz</v>
      </c>
      <c r="B620" t="str">
        <f>'(Raw) LensesGH'!B620</f>
        <v>18 - 50mm</v>
      </c>
      <c r="C620" s="5">
        <f t="shared" si="82"/>
        <v>18</v>
      </c>
      <c r="D620" s="5">
        <f t="shared" si="83"/>
        <v>50</v>
      </c>
      <c r="E620" t="str">
        <f>'(Raw) LensesGH'!C620</f>
        <v>1:4.0-1:5.6</v>
      </c>
      <c r="F620" s="9">
        <f t="shared" si="84"/>
        <v>4</v>
      </c>
      <c r="G620" s="9">
        <f t="shared" si="85"/>
        <v>4</v>
      </c>
      <c r="H620" t="str">
        <f>'(Raw) LensesGH'!D620</f>
        <v>58mm</v>
      </c>
      <c r="I620" s="2">
        <f t="shared" si="86"/>
        <v>58</v>
      </c>
      <c r="J620" s="2" t="str">
        <f>'(Raw) LensesGH'!E620</f>
        <v>1:4.35</v>
      </c>
      <c r="K620" s="40">
        <f t="shared" si="87"/>
        <v>4.3499999999999996</v>
      </c>
      <c r="L620" t="str">
        <f>'(Raw) LensesGH'!F620</f>
        <v>Pentax K</v>
      </c>
      <c r="M620" t="str">
        <f>'(Raw) LensesGH'!G620</f>
        <v>APS-C</v>
      </c>
      <c r="N620" t="str">
        <f>'(Raw) LensesGH'!H620</f>
        <v>158g</v>
      </c>
      <c r="O620" s="5">
        <f t="shared" si="88"/>
        <v>158</v>
      </c>
      <c r="P620" t="str">
        <f>'(Raw) LensesGH'!I620</f>
        <v>71 x 41mm</v>
      </c>
      <c r="Q620" s="39">
        <f t="shared" si="89"/>
        <v>71</v>
      </c>
      <c r="R620" s="39">
        <f t="shared" si="81"/>
        <v>41</v>
      </c>
    </row>
    <row r="621" spans="1:18" x14ac:dyDescent="0.25">
      <c r="A621" t="str">
        <f>'(Raw) LensesGH'!A621</f>
        <v>Pentax HD DA 20-40mm 2.8-4.0 ED DC WR Limited schwarz</v>
      </c>
      <c r="B621" t="str">
        <f>'(Raw) LensesGH'!B621</f>
        <v>20 - 40mm</v>
      </c>
      <c r="C621" s="5">
        <f t="shared" si="82"/>
        <v>20</v>
      </c>
      <c r="D621" s="5">
        <f t="shared" si="83"/>
        <v>40</v>
      </c>
      <c r="E621" t="str">
        <f>'(Raw) LensesGH'!C621</f>
        <v>1:2.8-1:4.0</v>
      </c>
      <c r="F621" s="9">
        <f t="shared" si="84"/>
        <v>2.8</v>
      </c>
      <c r="G621" s="9">
        <f t="shared" si="85"/>
        <v>2.8</v>
      </c>
      <c r="H621" t="str">
        <f>'(Raw) LensesGH'!D621</f>
        <v>55mm</v>
      </c>
      <c r="I621" s="2">
        <f t="shared" si="86"/>
        <v>55</v>
      </c>
      <c r="J621" s="2" t="str">
        <f>'(Raw) LensesGH'!E621</f>
        <v>1:5.00</v>
      </c>
      <c r="K621" s="40">
        <f t="shared" si="87"/>
        <v>5</v>
      </c>
      <c r="L621" t="str">
        <f>'(Raw) LensesGH'!F621</f>
        <v>Pentax K</v>
      </c>
      <c r="M621" t="str">
        <f>'(Raw) LensesGH'!G621</f>
        <v>APS-C</v>
      </c>
      <c r="N621" t="str">
        <f>'(Raw) LensesGH'!H621</f>
        <v>283g</v>
      </c>
      <c r="O621" s="5">
        <f t="shared" si="88"/>
        <v>283</v>
      </c>
      <c r="P621" t="str">
        <f>'(Raw) LensesGH'!I621</f>
        <v>71 x 68.5mm</v>
      </c>
      <c r="Q621" s="39">
        <f t="shared" si="89"/>
        <v>71</v>
      </c>
      <c r="R621" s="39">
        <f t="shared" si="81"/>
        <v>68.5</v>
      </c>
    </row>
    <row r="622" spans="1:18" x14ac:dyDescent="0.25">
      <c r="A622" t="str">
        <f>'(Raw) LensesGH'!A622</f>
        <v>Pentax HD DA 20-40mm 2.8-4.0 ED DC WR Limited silber</v>
      </c>
      <c r="B622" t="str">
        <f>'(Raw) LensesGH'!B622</f>
        <v>20 - 40mm</v>
      </c>
      <c r="C622" s="5">
        <f t="shared" si="82"/>
        <v>20</v>
      </c>
      <c r="D622" s="5">
        <f t="shared" si="83"/>
        <v>40</v>
      </c>
      <c r="E622" t="str">
        <f>'(Raw) LensesGH'!C622</f>
        <v>1:2.8-1:4.0</v>
      </c>
      <c r="F622" s="9">
        <f t="shared" si="84"/>
        <v>2.8</v>
      </c>
      <c r="G622" s="9">
        <f t="shared" si="85"/>
        <v>2.8</v>
      </c>
      <c r="H622" t="str">
        <f>'(Raw) LensesGH'!D622</f>
        <v>55mm</v>
      </c>
      <c r="I622" s="2">
        <f t="shared" si="86"/>
        <v>55</v>
      </c>
      <c r="J622" s="2" t="str">
        <f>'(Raw) LensesGH'!E622</f>
        <v>1:5.00</v>
      </c>
      <c r="K622" s="40">
        <f t="shared" si="87"/>
        <v>5</v>
      </c>
      <c r="L622" t="str">
        <f>'(Raw) LensesGH'!F622</f>
        <v>Pentax K</v>
      </c>
      <c r="M622" t="str">
        <f>'(Raw) LensesGH'!G622</f>
        <v>APS-C</v>
      </c>
      <c r="N622" t="str">
        <f>'(Raw) LensesGH'!H622</f>
        <v>283g</v>
      </c>
      <c r="O622" s="5">
        <f t="shared" si="88"/>
        <v>283</v>
      </c>
      <c r="P622" t="str">
        <f>'(Raw) LensesGH'!I622</f>
        <v>71 x 68.5mm</v>
      </c>
      <c r="Q622" s="39">
        <f t="shared" si="89"/>
        <v>71</v>
      </c>
      <c r="R622" s="39">
        <f t="shared" si="81"/>
        <v>68.5</v>
      </c>
    </row>
    <row r="623" spans="1:18" x14ac:dyDescent="0.25">
      <c r="A623" t="str">
        <f>'(Raw) LensesGH'!A623</f>
        <v>Pentax HD DA 21mm 3.2 AL Limited schwarz</v>
      </c>
      <c r="B623" t="str">
        <f>'(Raw) LensesGH'!B623</f>
        <v>21mm</v>
      </c>
      <c r="C623" s="5">
        <f t="shared" si="82"/>
        <v>21</v>
      </c>
      <c r="D623" s="5">
        <f t="shared" si="83"/>
        <v>21</v>
      </c>
      <c r="E623" t="str">
        <f>'(Raw) LensesGH'!C623</f>
        <v>1:3.2</v>
      </c>
      <c r="F623" s="9">
        <f t="shared" si="84"/>
        <v>3.2</v>
      </c>
      <c r="G623" s="9">
        <f t="shared" si="85"/>
        <v>3.2</v>
      </c>
      <c r="H623" t="str">
        <f>'(Raw) LensesGH'!D623</f>
        <v>49mm</v>
      </c>
      <c r="I623" s="2">
        <f t="shared" si="86"/>
        <v>49</v>
      </c>
      <c r="J623" s="2" t="str">
        <f>'(Raw) LensesGH'!E623</f>
        <v>1:5.88</v>
      </c>
      <c r="K623" s="40">
        <f t="shared" si="87"/>
        <v>5.88</v>
      </c>
      <c r="L623" t="str">
        <f>'(Raw) LensesGH'!F623</f>
        <v>Pentax K</v>
      </c>
      <c r="M623" t="str">
        <f>'(Raw) LensesGH'!G623</f>
        <v>APS-C</v>
      </c>
      <c r="N623" t="str">
        <f>'(Raw) LensesGH'!H623</f>
        <v>134g</v>
      </c>
      <c r="O623" s="5">
        <f t="shared" si="88"/>
        <v>134</v>
      </c>
      <c r="P623" t="str">
        <f>'(Raw) LensesGH'!I623</f>
        <v>63 x 25mm</v>
      </c>
      <c r="Q623" s="39">
        <f t="shared" si="89"/>
        <v>63</v>
      </c>
      <c r="R623" s="39">
        <f t="shared" si="81"/>
        <v>25</v>
      </c>
    </row>
    <row r="624" spans="1:18" x14ac:dyDescent="0.25">
      <c r="A624" t="str">
        <f>'(Raw) LensesGH'!A624</f>
        <v>Pentax HD DA 21mm 3.2 AL Limited silber</v>
      </c>
      <c r="B624" t="str">
        <f>'(Raw) LensesGH'!B624</f>
        <v>21mm</v>
      </c>
      <c r="C624" s="5">
        <f t="shared" si="82"/>
        <v>21</v>
      </c>
      <c r="D624" s="5">
        <f t="shared" si="83"/>
        <v>21</v>
      </c>
      <c r="E624" t="str">
        <f>'(Raw) LensesGH'!C624</f>
        <v>1:3.2</v>
      </c>
      <c r="F624" s="9">
        <f t="shared" si="84"/>
        <v>3.2</v>
      </c>
      <c r="G624" s="9">
        <f t="shared" si="85"/>
        <v>3.2</v>
      </c>
      <c r="H624" t="str">
        <f>'(Raw) LensesGH'!D624</f>
        <v>49mm</v>
      </c>
      <c r="I624" s="2">
        <f t="shared" si="86"/>
        <v>49</v>
      </c>
      <c r="J624" s="2" t="str">
        <f>'(Raw) LensesGH'!E624</f>
        <v>1:5.88</v>
      </c>
      <c r="K624" s="40">
        <f t="shared" si="87"/>
        <v>5.88</v>
      </c>
      <c r="L624" t="str">
        <f>'(Raw) LensesGH'!F624</f>
        <v>Pentax K</v>
      </c>
      <c r="M624" t="str">
        <f>'(Raw) LensesGH'!G624</f>
        <v>APS-C</v>
      </c>
      <c r="N624" t="str">
        <f>'(Raw) LensesGH'!H624</f>
        <v>134g</v>
      </c>
      <c r="O624" s="5">
        <f t="shared" si="88"/>
        <v>134</v>
      </c>
      <c r="P624" t="str">
        <f>'(Raw) LensesGH'!I624</f>
        <v>63 x 25mm</v>
      </c>
      <c r="Q624" s="39">
        <f t="shared" si="89"/>
        <v>63</v>
      </c>
      <c r="R624" s="39">
        <f t="shared" si="81"/>
        <v>25</v>
      </c>
    </row>
    <row r="625" spans="1:18" x14ac:dyDescent="0.25">
      <c r="A625" t="str">
        <f>'(Raw) LensesGH'!A625</f>
        <v>Pentax HD DA 35mm 2.8 Makro Limited schwarz</v>
      </c>
      <c r="B625" t="str">
        <f>'(Raw) LensesGH'!B625</f>
        <v>35mm</v>
      </c>
      <c r="C625" s="5">
        <f t="shared" si="82"/>
        <v>35</v>
      </c>
      <c r="D625" s="5">
        <f t="shared" si="83"/>
        <v>35</v>
      </c>
      <c r="E625" t="str">
        <f>'(Raw) LensesGH'!C625</f>
        <v>1:2.8</v>
      </c>
      <c r="F625" s="9">
        <f t="shared" si="84"/>
        <v>2.8</v>
      </c>
      <c r="G625" s="9">
        <f t="shared" si="85"/>
        <v>2.8</v>
      </c>
      <c r="H625">
        <f>'(Raw) LensesGH'!D625</f>
        <v>0</v>
      </c>
      <c r="I625" s="2">
        <f t="shared" si="86"/>
        <v>0</v>
      </c>
      <c r="J625" s="2" t="str">
        <f>'(Raw) LensesGH'!E625</f>
        <v>1:1.00</v>
      </c>
      <c r="K625" s="40">
        <f t="shared" si="87"/>
        <v>1</v>
      </c>
      <c r="L625" t="str">
        <f>'(Raw) LensesGH'!F625</f>
        <v>Pentax K</v>
      </c>
      <c r="M625" t="str">
        <f>'(Raw) LensesGH'!G625</f>
        <v>APS-C</v>
      </c>
      <c r="N625" t="str">
        <f>'(Raw) LensesGH'!H625</f>
        <v>214g</v>
      </c>
      <c r="O625" s="5">
        <f t="shared" si="88"/>
        <v>214</v>
      </c>
      <c r="P625" t="str">
        <f>'(Raw) LensesGH'!I625</f>
        <v>63 x 46.5mm</v>
      </c>
      <c r="Q625" s="39">
        <f t="shared" si="89"/>
        <v>63</v>
      </c>
      <c r="R625" s="39">
        <f t="shared" si="81"/>
        <v>46.5</v>
      </c>
    </row>
    <row r="626" spans="1:18" x14ac:dyDescent="0.25">
      <c r="A626" t="str">
        <f>'(Raw) LensesGH'!A626</f>
        <v>Pentax HD DA 35mm 2.8 Makro Limited silber</v>
      </c>
      <c r="B626" t="str">
        <f>'(Raw) LensesGH'!B626</f>
        <v>35mm</v>
      </c>
      <c r="C626" s="5">
        <f t="shared" si="82"/>
        <v>35</v>
      </c>
      <c r="D626" s="5">
        <f t="shared" si="83"/>
        <v>35</v>
      </c>
      <c r="E626" t="str">
        <f>'(Raw) LensesGH'!C626</f>
        <v>1:2.8</v>
      </c>
      <c r="F626" s="9">
        <f t="shared" si="84"/>
        <v>2.8</v>
      </c>
      <c r="G626" s="9">
        <f t="shared" si="85"/>
        <v>2.8</v>
      </c>
      <c r="H626">
        <f>'(Raw) LensesGH'!D626</f>
        <v>0</v>
      </c>
      <c r="I626" s="2">
        <f t="shared" si="86"/>
        <v>0</v>
      </c>
      <c r="J626" s="2" t="str">
        <f>'(Raw) LensesGH'!E626</f>
        <v>1:1.00</v>
      </c>
      <c r="K626" s="40">
        <f t="shared" si="87"/>
        <v>1</v>
      </c>
      <c r="L626" t="str">
        <f>'(Raw) LensesGH'!F626</f>
        <v>Pentax K</v>
      </c>
      <c r="M626" t="str">
        <f>'(Raw) LensesGH'!G626</f>
        <v>APS-C</v>
      </c>
      <c r="N626" t="str">
        <f>'(Raw) LensesGH'!H626</f>
        <v>214g</v>
      </c>
      <c r="O626" s="5">
        <f t="shared" si="88"/>
        <v>214</v>
      </c>
      <c r="P626" t="str">
        <f>'(Raw) LensesGH'!I626</f>
        <v>63 x 46.5mm</v>
      </c>
      <c r="Q626" s="39">
        <f t="shared" si="89"/>
        <v>63</v>
      </c>
      <c r="R626" s="39">
        <f t="shared" si="81"/>
        <v>46.5</v>
      </c>
    </row>
    <row r="627" spans="1:18" x14ac:dyDescent="0.25">
      <c r="A627" t="str">
        <f>'(Raw) LensesGH'!A627</f>
        <v>Pentax HD DA 40mm 2.8 Limited schwarz</v>
      </c>
      <c r="B627" t="str">
        <f>'(Raw) LensesGH'!B627</f>
        <v>40mm</v>
      </c>
      <c r="C627" s="5">
        <f t="shared" si="82"/>
        <v>40</v>
      </c>
      <c r="D627" s="5">
        <f t="shared" si="83"/>
        <v>40</v>
      </c>
      <c r="E627" t="str">
        <f>'(Raw) LensesGH'!C627</f>
        <v>1:2.8</v>
      </c>
      <c r="F627" s="9">
        <f t="shared" si="84"/>
        <v>2.8</v>
      </c>
      <c r="G627" s="9">
        <f t="shared" si="85"/>
        <v>2.8</v>
      </c>
      <c r="H627" t="str">
        <f>'(Raw) LensesGH'!D627</f>
        <v>49mm</v>
      </c>
      <c r="I627" s="2">
        <f t="shared" si="86"/>
        <v>49</v>
      </c>
      <c r="J627" s="2" t="str">
        <f>'(Raw) LensesGH'!E627</f>
        <v>1:7.69</v>
      </c>
      <c r="K627" s="40">
        <f t="shared" si="87"/>
        <v>7.69</v>
      </c>
      <c r="L627" t="str">
        <f>'(Raw) LensesGH'!F627</f>
        <v>Pentax K</v>
      </c>
      <c r="M627" t="str">
        <f>'(Raw) LensesGH'!G627</f>
        <v>APS-C</v>
      </c>
      <c r="N627" t="str">
        <f>'(Raw) LensesGH'!H627</f>
        <v>89g</v>
      </c>
      <c r="O627" s="5">
        <f t="shared" si="88"/>
        <v>89</v>
      </c>
      <c r="P627" t="str">
        <f>'(Raw) LensesGH'!I627</f>
        <v>63 x 15mm</v>
      </c>
      <c r="Q627" s="39">
        <f t="shared" si="89"/>
        <v>63</v>
      </c>
      <c r="R627" s="39">
        <f t="shared" si="81"/>
        <v>15</v>
      </c>
    </row>
    <row r="628" spans="1:18" x14ac:dyDescent="0.25">
      <c r="A628" t="str">
        <f>'(Raw) LensesGH'!A628</f>
        <v>Pentax HD DA 40mm 2.8 Limited silber</v>
      </c>
      <c r="B628" t="str">
        <f>'(Raw) LensesGH'!B628</f>
        <v>40mm</v>
      </c>
      <c r="C628" s="5">
        <f t="shared" si="82"/>
        <v>40</v>
      </c>
      <c r="D628" s="5">
        <f t="shared" si="83"/>
        <v>40</v>
      </c>
      <c r="E628" t="str">
        <f>'(Raw) LensesGH'!C628</f>
        <v>1:2.8</v>
      </c>
      <c r="F628" s="9">
        <f t="shared" si="84"/>
        <v>2.8</v>
      </c>
      <c r="G628" s="9">
        <f t="shared" si="85"/>
        <v>2.8</v>
      </c>
      <c r="H628" t="str">
        <f>'(Raw) LensesGH'!D628</f>
        <v>49mm</v>
      </c>
      <c r="I628" s="2">
        <f t="shared" si="86"/>
        <v>49</v>
      </c>
      <c r="J628" s="2" t="str">
        <f>'(Raw) LensesGH'!E628</f>
        <v>1:7.69</v>
      </c>
      <c r="K628" s="40">
        <f t="shared" si="87"/>
        <v>7.69</v>
      </c>
      <c r="L628" t="str">
        <f>'(Raw) LensesGH'!F628</f>
        <v>Pentax K</v>
      </c>
      <c r="M628" t="str">
        <f>'(Raw) LensesGH'!G628</f>
        <v>APS-C</v>
      </c>
      <c r="N628" t="str">
        <f>'(Raw) LensesGH'!H628</f>
        <v>89g</v>
      </c>
      <c r="O628" s="5">
        <f t="shared" si="88"/>
        <v>89</v>
      </c>
      <c r="P628" t="str">
        <f>'(Raw) LensesGH'!I628</f>
        <v>63 x 15mm</v>
      </c>
      <c r="Q628" s="39">
        <f t="shared" si="89"/>
        <v>63</v>
      </c>
      <c r="R628" s="39">
        <f t="shared" si="81"/>
        <v>15</v>
      </c>
    </row>
    <row r="629" spans="1:18" x14ac:dyDescent="0.25">
      <c r="A629" t="str">
        <f>'(Raw) LensesGH'!A629</f>
        <v>Pentax HD DA 55-300mm 4.0-5.8 ED WR schwarz</v>
      </c>
      <c r="B629" t="str">
        <f>'(Raw) LensesGH'!B629</f>
        <v>55 - 300mm</v>
      </c>
      <c r="C629" s="5">
        <f t="shared" si="82"/>
        <v>55</v>
      </c>
      <c r="D629" s="5">
        <f t="shared" si="83"/>
        <v>300</v>
      </c>
      <c r="E629" t="str">
        <f>'(Raw) LensesGH'!C629</f>
        <v>1:4.0-1:5.8</v>
      </c>
      <c r="F629" s="9">
        <f t="shared" si="84"/>
        <v>4</v>
      </c>
      <c r="G629" s="9">
        <f t="shared" si="85"/>
        <v>4</v>
      </c>
      <c r="H629" t="str">
        <f>'(Raw) LensesGH'!D629</f>
        <v>58mm</v>
      </c>
      <c r="I629" s="2">
        <f t="shared" si="86"/>
        <v>58</v>
      </c>
      <c r="J629" s="2" t="str">
        <f>'(Raw) LensesGH'!E629</f>
        <v>1:3.57</v>
      </c>
      <c r="K629" s="40">
        <f t="shared" si="87"/>
        <v>3.57</v>
      </c>
      <c r="L629" t="str">
        <f>'(Raw) LensesGH'!F629</f>
        <v>Pentax K</v>
      </c>
      <c r="M629" t="str">
        <f>'(Raw) LensesGH'!G629</f>
        <v>APS-C</v>
      </c>
      <c r="N629" t="str">
        <f>'(Raw) LensesGH'!H629</f>
        <v>466g</v>
      </c>
      <c r="O629" s="5">
        <f t="shared" si="88"/>
        <v>466</v>
      </c>
      <c r="P629" t="str">
        <f>'(Raw) LensesGH'!I629</f>
        <v>72 x 111.5mm</v>
      </c>
      <c r="Q629" s="39">
        <f t="shared" si="89"/>
        <v>72</v>
      </c>
      <c r="R629" s="39">
        <f t="shared" si="81"/>
        <v>111.5</v>
      </c>
    </row>
    <row r="630" spans="1:18" x14ac:dyDescent="0.25">
      <c r="A630" t="str">
        <f>'(Raw) LensesGH'!A630</f>
        <v>Pentax HD DA 55-300mm 4.5-6.3 ED PLM WR RE schwarz</v>
      </c>
      <c r="B630" t="str">
        <f>'(Raw) LensesGH'!B630</f>
        <v>55 - 300mm</v>
      </c>
      <c r="C630" s="5">
        <f t="shared" si="82"/>
        <v>55</v>
      </c>
      <c r="D630" s="5">
        <f t="shared" si="83"/>
        <v>300</v>
      </c>
      <c r="E630" t="str">
        <f>'(Raw) LensesGH'!C630</f>
        <v>1:4.5-1:6.3</v>
      </c>
      <c r="F630" s="9">
        <f t="shared" si="84"/>
        <v>4.5</v>
      </c>
      <c r="G630" s="9">
        <f t="shared" si="85"/>
        <v>4.5</v>
      </c>
      <c r="H630" t="str">
        <f>'(Raw) LensesGH'!D630</f>
        <v>58mm</v>
      </c>
      <c r="I630" s="2">
        <f t="shared" si="86"/>
        <v>58</v>
      </c>
      <c r="J630" s="2" t="str">
        <f>'(Raw) LensesGH'!E630</f>
        <v>1:3.33</v>
      </c>
      <c r="K630" s="40">
        <f t="shared" si="87"/>
        <v>3.33</v>
      </c>
      <c r="L630" t="str">
        <f>'(Raw) LensesGH'!F630</f>
        <v>Pentax K</v>
      </c>
      <c r="M630" t="str">
        <f>'(Raw) LensesGH'!G630</f>
        <v>APS-C</v>
      </c>
      <c r="N630" t="str">
        <f>'(Raw) LensesGH'!H630</f>
        <v>442g</v>
      </c>
      <c r="O630" s="5">
        <f t="shared" si="88"/>
        <v>442</v>
      </c>
      <c r="P630" t="str">
        <f>'(Raw) LensesGH'!I630</f>
        <v>76.5 x 89mm</v>
      </c>
      <c r="Q630" s="39">
        <f t="shared" si="89"/>
        <v>76.5</v>
      </c>
      <c r="R630" s="39">
        <f t="shared" si="81"/>
        <v>89</v>
      </c>
    </row>
    <row r="631" spans="1:18" x14ac:dyDescent="0.25">
      <c r="A631" t="str">
        <f>'(Raw) LensesGH'!A631</f>
        <v>Pentax HD DA 645 28-45mm 4.5 ED AW SR schwarz</v>
      </c>
      <c r="B631" t="str">
        <f>'(Raw) LensesGH'!B631</f>
        <v>28 - 45mm</v>
      </c>
      <c r="C631" s="5">
        <f t="shared" si="82"/>
        <v>28</v>
      </c>
      <c r="D631" s="5">
        <f t="shared" si="83"/>
        <v>45</v>
      </c>
      <c r="E631" t="str">
        <f>'(Raw) LensesGH'!C631</f>
        <v>1:4.5</v>
      </c>
      <c r="F631" s="9">
        <f t="shared" si="84"/>
        <v>4.5</v>
      </c>
      <c r="G631" s="9">
        <f t="shared" si="85"/>
        <v>4.5</v>
      </c>
      <c r="H631" t="str">
        <f>'(Raw) LensesGH'!D631</f>
        <v>82mm</v>
      </c>
      <c r="I631" s="2">
        <f t="shared" si="86"/>
        <v>82</v>
      </c>
      <c r="J631" s="2" t="str">
        <f>'(Raw) LensesGH'!E631</f>
        <v>1:4.76</v>
      </c>
      <c r="K631" s="40">
        <f t="shared" si="87"/>
        <v>4.76</v>
      </c>
      <c r="L631" t="str">
        <f>'(Raw) LensesGH'!F631</f>
        <v>Pentax 645</v>
      </c>
      <c r="M631" t="str">
        <f>'(Raw) LensesGH'!G631</f>
        <v>APS-C</v>
      </c>
      <c r="N631" t="str">
        <f>'(Raw) LensesGH'!H631</f>
        <v>1470g</v>
      </c>
      <c r="O631" s="5">
        <f t="shared" si="88"/>
        <v>1470</v>
      </c>
      <c r="P631" t="str">
        <f>'(Raw) LensesGH'!I631</f>
        <v>99 x 152mm</v>
      </c>
      <c r="Q631" s="39">
        <f t="shared" si="89"/>
        <v>99</v>
      </c>
      <c r="R631" s="39">
        <f t="shared" si="81"/>
        <v>152</v>
      </c>
    </row>
    <row r="632" spans="1:18" x14ac:dyDescent="0.25">
      <c r="A632" t="str">
        <f>'(Raw) LensesGH'!A632</f>
        <v>Pentax HD DA 70mm 2.4 Limited schwarz</v>
      </c>
      <c r="B632" t="str">
        <f>'(Raw) LensesGH'!B632</f>
        <v>70mm</v>
      </c>
      <c r="C632" s="5">
        <f t="shared" si="82"/>
        <v>70</v>
      </c>
      <c r="D632" s="5">
        <f t="shared" si="83"/>
        <v>70</v>
      </c>
      <c r="E632" t="str">
        <f>'(Raw) LensesGH'!C632</f>
        <v>1:2.4</v>
      </c>
      <c r="F632" s="9">
        <f t="shared" si="84"/>
        <v>2.4</v>
      </c>
      <c r="G632" s="9">
        <f t="shared" si="85"/>
        <v>2.4</v>
      </c>
      <c r="H632" t="str">
        <f>'(Raw) LensesGH'!D632</f>
        <v>49mm</v>
      </c>
      <c r="I632" s="2">
        <f t="shared" si="86"/>
        <v>49</v>
      </c>
      <c r="J632" s="2" t="str">
        <f>'(Raw) LensesGH'!E632</f>
        <v>1:8.33</v>
      </c>
      <c r="K632" s="40">
        <f t="shared" si="87"/>
        <v>8.33</v>
      </c>
      <c r="L632" t="str">
        <f>'(Raw) LensesGH'!F632</f>
        <v>Pentax K</v>
      </c>
      <c r="M632" t="str">
        <f>'(Raw) LensesGH'!G632</f>
        <v>APS-C</v>
      </c>
      <c r="N632" t="str">
        <f>'(Raw) LensesGH'!H632</f>
        <v>131g</v>
      </c>
      <c r="O632" s="5">
        <f t="shared" si="88"/>
        <v>131</v>
      </c>
      <c r="P632" t="str">
        <f>'(Raw) LensesGH'!I632</f>
        <v>63 x 26mm</v>
      </c>
      <c r="Q632" s="39">
        <f t="shared" si="89"/>
        <v>63</v>
      </c>
      <c r="R632" s="39">
        <f t="shared" si="81"/>
        <v>26</v>
      </c>
    </row>
    <row r="633" spans="1:18" x14ac:dyDescent="0.25">
      <c r="A633" t="str">
        <f>'(Raw) LensesGH'!A633</f>
        <v>Pentax HD DA 70mm 2.4 Limited silber</v>
      </c>
      <c r="B633" t="str">
        <f>'(Raw) LensesGH'!B633</f>
        <v>70mm</v>
      </c>
      <c r="C633" s="5">
        <f t="shared" si="82"/>
        <v>70</v>
      </c>
      <c r="D633" s="5">
        <f t="shared" si="83"/>
        <v>70</v>
      </c>
      <c r="E633" t="str">
        <f>'(Raw) LensesGH'!C633</f>
        <v>1:2.4</v>
      </c>
      <c r="F633" s="9">
        <f t="shared" si="84"/>
        <v>2.4</v>
      </c>
      <c r="G633" s="9">
        <f t="shared" si="85"/>
        <v>2.4</v>
      </c>
      <c r="H633" t="str">
        <f>'(Raw) LensesGH'!D633</f>
        <v>49mm</v>
      </c>
      <c r="I633" s="2">
        <f t="shared" si="86"/>
        <v>49</v>
      </c>
      <c r="J633" s="2" t="str">
        <f>'(Raw) LensesGH'!E633</f>
        <v>1:8.33</v>
      </c>
      <c r="K633" s="40">
        <f t="shared" si="87"/>
        <v>8.33</v>
      </c>
      <c r="L633" t="str">
        <f>'(Raw) LensesGH'!F633</f>
        <v>Pentax K</v>
      </c>
      <c r="M633" t="str">
        <f>'(Raw) LensesGH'!G633</f>
        <v>APS-C</v>
      </c>
      <c r="N633" t="str">
        <f>'(Raw) LensesGH'!H633</f>
        <v>131g</v>
      </c>
      <c r="O633" s="5">
        <f t="shared" si="88"/>
        <v>131</v>
      </c>
      <c r="P633" t="str">
        <f>'(Raw) LensesGH'!I633</f>
        <v>63 x 26mm</v>
      </c>
      <c r="Q633" s="39">
        <f t="shared" si="89"/>
        <v>63</v>
      </c>
      <c r="R633" s="39">
        <f t="shared" si="81"/>
        <v>26</v>
      </c>
    </row>
    <row r="634" spans="1:18" x14ac:dyDescent="0.25">
      <c r="A634" t="str">
        <f>'(Raw) LensesGH'!A634</f>
        <v>Pentax HD DFA 150-450mm 4.5-5.6 ED DC AW schwarz</v>
      </c>
      <c r="B634" t="str">
        <f>'(Raw) LensesGH'!B634</f>
        <v>150 - 450mm</v>
      </c>
      <c r="C634" s="5">
        <f t="shared" si="82"/>
        <v>150</v>
      </c>
      <c r="D634" s="5">
        <f t="shared" si="83"/>
        <v>450</v>
      </c>
      <c r="E634" t="str">
        <f>'(Raw) LensesGH'!C634</f>
        <v>1:4.5-1:5.6</v>
      </c>
      <c r="F634" s="9">
        <f t="shared" si="84"/>
        <v>4.5</v>
      </c>
      <c r="G634" s="9">
        <f t="shared" si="85"/>
        <v>4.5</v>
      </c>
      <c r="H634" t="str">
        <f>'(Raw) LensesGH'!D634</f>
        <v>86mm</v>
      </c>
      <c r="I634" s="2">
        <f t="shared" si="86"/>
        <v>86</v>
      </c>
      <c r="J634" s="2" t="str">
        <f>'(Raw) LensesGH'!E634</f>
        <v>1:4.55</v>
      </c>
      <c r="K634" s="40">
        <f t="shared" si="87"/>
        <v>4.55</v>
      </c>
      <c r="L634" t="str">
        <f>'(Raw) LensesGH'!F634</f>
        <v>Pentax K</v>
      </c>
      <c r="M634" t="str">
        <f>'(Raw) LensesGH'!G634</f>
        <v>APS-C/ Kleinbild</v>
      </c>
      <c r="N634" t="str">
        <f>'(Raw) LensesGH'!H634</f>
        <v>2000g</v>
      </c>
      <c r="O634" s="5">
        <f t="shared" si="88"/>
        <v>2000</v>
      </c>
      <c r="P634" t="str">
        <f>'(Raw) LensesGH'!I634</f>
        <v>95 x 241.5mm</v>
      </c>
      <c r="Q634" s="39">
        <f t="shared" si="89"/>
        <v>95</v>
      </c>
      <c r="R634" s="39">
        <f t="shared" si="81"/>
        <v>241.5</v>
      </c>
    </row>
    <row r="635" spans="1:18" x14ac:dyDescent="0.25">
      <c r="A635" t="str">
        <f>'(Raw) LensesGH'!A635</f>
        <v>Pentax HD DFA 15-30mm 2.8 ED SDM WR schwarz</v>
      </c>
      <c r="B635" t="str">
        <f>'(Raw) LensesGH'!B635</f>
        <v>15 - 30mm</v>
      </c>
      <c r="C635" s="5">
        <f t="shared" si="82"/>
        <v>15</v>
      </c>
      <c r="D635" s="5">
        <f t="shared" si="83"/>
        <v>30</v>
      </c>
      <c r="E635" t="str">
        <f>'(Raw) LensesGH'!C635</f>
        <v>1:2.8</v>
      </c>
      <c r="F635" s="9">
        <f t="shared" si="84"/>
        <v>2.8</v>
      </c>
      <c r="G635" s="9">
        <f t="shared" si="85"/>
        <v>2.8</v>
      </c>
      <c r="H635">
        <f>'(Raw) LensesGH'!D635</f>
        <v>0</v>
      </c>
      <c r="I635" s="2">
        <f t="shared" si="86"/>
        <v>0</v>
      </c>
      <c r="J635" s="2" t="str">
        <f>'(Raw) LensesGH'!E635</f>
        <v>1:5.00</v>
      </c>
      <c r="K635" s="40">
        <f t="shared" si="87"/>
        <v>5</v>
      </c>
      <c r="L635" t="str">
        <f>'(Raw) LensesGH'!F635</f>
        <v>Pentax K</v>
      </c>
      <c r="M635" t="str">
        <f>'(Raw) LensesGH'!G635</f>
        <v>APS-C/ Kleinbild</v>
      </c>
      <c r="N635" t="str">
        <f>'(Raw) LensesGH'!H635</f>
        <v>1040g</v>
      </c>
      <c r="O635" s="5">
        <f t="shared" si="88"/>
        <v>1040</v>
      </c>
      <c r="P635" t="str">
        <f>'(Raw) LensesGH'!I635</f>
        <v>98.5 x 143.5mm</v>
      </c>
      <c r="Q635" s="39">
        <f t="shared" si="89"/>
        <v>98.5</v>
      </c>
      <c r="R635" s="39">
        <f t="shared" si="81"/>
        <v>143.5</v>
      </c>
    </row>
    <row r="636" spans="1:18" x14ac:dyDescent="0.25">
      <c r="A636" t="str">
        <f>'(Raw) LensesGH'!A636</f>
        <v>Pentax HD DFA 24-70mm 2.8 ED SDM WR schwarz</v>
      </c>
      <c r="B636" t="str">
        <f>'(Raw) LensesGH'!B636</f>
        <v>24 - 70mm</v>
      </c>
      <c r="C636" s="5">
        <f t="shared" si="82"/>
        <v>24</v>
      </c>
      <c r="D636" s="5">
        <f t="shared" si="83"/>
        <v>70</v>
      </c>
      <c r="E636" t="str">
        <f>'(Raw) LensesGH'!C636</f>
        <v>1:2.8</v>
      </c>
      <c r="F636" s="9">
        <f t="shared" si="84"/>
        <v>2.8</v>
      </c>
      <c r="G636" s="9">
        <f t="shared" si="85"/>
        <v>2.8</v>
      </c>
      <c r="H636" t="str">
        <f>'(Raw) LensesGH'!D636</f>
        <v>82mm</v>
      </c>
      <c r="I636" s="2">
        <f t="shared" si="86"/>
        <v>82</v>
      </c>
      <c r="J636" s="2" t="str">
        <f>'(Raw) LensesGH'!E636</f>
        <v>1:5.00</v>
      </c>
      <c r="K636" s="40">
        <f t="shared" si="87"/>
        <v>5</v>
      </c>
      <c r="L636" t="str">
        <f>'(Raw) LensesGH'!F636</f>
        <v>Pentax K</v>
      </c>
      <c r="M636" t="str">
        <f>'(Raw) LensesGH'!G636</f>
        <v>APS-C/ Kleinbild</v>
      </c>
      <c r="N636" t="str">
        <f>'(Raw) LensesGH'!H636</f>
        <v>787g</v>
      </c>
      <c r="O636" s="5">
        <f t="shared" si="88"/>
        <v>787</v>
      </c>
      <c r="P636" t="str">
        <f>'(Raw) LensesGH'!I636</f>
        <v>88.5 x 109.5mm</v>
      </c>
      <c r="Q636" s="39">
        <f t="shared" si="89"/>
        <v>88.5</v>
      </c>
      <c r="R636" s="39">
        <f t="shared" si="81"/>
        <v>109.5</v>
      </c>
    </row>
    <row r="637" spans="1:18" x14ac:dyDescent="0.25">
      <c r="A637" t="str">
        <f>'(Raw) LensesGH'!A637</f>
        <v>Pentax HD DFA 28-105mm 3.5-5.6 ED DC WR schwarz</v>
      </c>
      <c r="B637" t="str">
        <f>'(Raw) LensesGH'!B637</f>
        <v>28 - 105mm</v>
      </c>
      <c r="C637" s="5">
        <f t="shared" si="82"/>
        <v>28</v>
      </c>
      <c r="D637" s="5">
        <f t="shared" si="83"/>
        <v>105</v>
      </c>
      <c r="E637" t="str">
        <f>'(Raw) LensesGH'!C637</f>
        <v>1:3.5-1:5.6</v>
      </c>
      <c r="F637" s="9">
        <f t="shared" si="84"/>
        <v>3.5</v>
      </c>
      <c r="G637" s="9">
        <f t="shared" si="85"/>
        <v>3.5</v>
      </c>
      <c r="H637" t="str">
        <f>'(Raw) LensesGH'!D637</f>
        <v>62mm</v>
      </c>
      <c r="I637" s="2">
        <f t="shared" si="86"/>
        <v>62</v>
      </c>
      <c r="J637" s="2" t="str">
        <f>'(Raw) LensesGH'!E637</f>
        <v>1:4.55</v>
      </c>
      <c r="K637" s="40">
        <f t="shared" si="87"/>
        <v>4.55</v>
      </c>
      <c r="L637" t="str">
        <f>'(Raw) LensesGH'!F637</f>
        <v>Pentax K</v>
      </c>
      <c r="M637" t="str">
        <f>'(Raw) LensesGH'!G637</f>
        <v>APS-C/ Kleinbild</v>
      </c>
      <c r="N637" t="str">
        <f>'(Raw) LensesGH'!H637</f>
        <v>440g</v>
      </c>
      <c r="O637" s="5">
        <f t="shared" si="88"/>
        <v>440</v>
      </c>
      <c r="P637" t="str">
        <f>'(Raw) LensesGH'!I637</f>
        <v>73 x 86.5mm</v>
      </c>
      <c r="Q637" s="39">
        <f t="shared" si="89"/>
        <v>73</v>
      </c>
      <c r="R637" s="39">
        <f t="shared" si="81"/>
        <v>86.5</v>
      </c>
    </row>
    <row r="638" spans="1:18" x14ac:dyDescent="0.25">
      <c r="A638" t="str">
        <f>'(Raw) LensesGH'!A638</f>
        <v>Pentax HD DFA* 70-200mm 2.8 ED DC AW schwarz</v>
      </c>
      <c r="B638" t="str">
        <f>'(Raw) LensesGH'!B638</f>
        <v>70 - 200mm</v>
      </c>
      <c r="C638" s="5">
        <f t="shared" si="82"/>
        <v>70</v>
      </c>
      <c r="D638" s="5">
        <f t="shared" si="83"/>
        <v>200</v>
      </c>
      <c r="E638" t="str">
        <f>'(Raw) LensesGH'!C638</f>
        <v>1:2.8</v>
      </c>
      <c r="F638" s="9">
        <f t="shared" si="84"/>
        <v>2.8</v>
      </c>
      <c r="G638" s="9">
        <f t="shared" si="85"/>
        <v>2.8</v>
      </c>
      <c r="H638" t="str">
        <f>'(Raw) LensesGH'!D638</f>
        <v>77mm</v>
      </c>
      <c r="I638" s="2">
        <f t="shared" si="86"/>
        <v>77</v>
      </c>
      <c r="J638" s="2" t="str">
        <f>'(Raw) LensesGH'!E638</f>
        <v>1:7.69</v>
      </c>
      <c r="K638" s="40">
        <f t="shared" si="87"/>
        <v>7.69</v>
      </c>
      <c r="L638" t="str">
        <f>'(Raw) LensesGH'!F638</f>
        <v>Pentax K</v>
      </c>
      <c r="M638" t="str">
        <f>'(Raw) LensesGH'!G638</f>
        <v>APS-C/ Kleinbild</v>
      </c>
      <c r="N638" t="str">
        <f>'(Raw) LensesGH'!H638</f>
        <v>1760g</v>
      </c>
      <c r="O638" s="5">
        <f t="shared" si="88"/>
        <v>1760</v>
      </c>
      <c r="P638" t="str">
        <f>'(Raw) LensesGH'!I638</f>
        <v>91.5 x 203mm</v>
      </c>
      <c r="Q638" s="39">
        <f t="shared" si="89"/>
        <v>91.5</v>
      </c>
      <c r="R638" s="39">
        <f t="shared" si="81"/>
        <v>203</v>
      </c>
    </row>
    <row r="639" spans="1:18" x14ac:dyDescent="0.25">
      <c r="A639" t="str">
        <f>'(Raw) LensesGH'!A639</f>
        <v>Pentax Q 01 Standard Prime 8.5mm 1.9 AL silber</v>
      </c>
      <c r="B639" t="str">
        <f>'(Raw) LensesGH'!B639</f>
        <v>8.5mm</v>
      </c>
      <c r="C639" s="5">
        <f t="shared" si="82"/>
        <v>8.5</v>
      </c>
      <c r="D639" s="5">
        <f t="shared" si="83"/>
        <v>8.5</v>
      </c>
      <c r="E639" t="str">
        <f>'(Raw) LensesGH'!C639</f>
        <v>1:1.9</v>
      </c>
      <c r="F639" s="9">
        <f t="shared" si="84"/>
        <v>1.9</v>
      </c>
      <c r="G639" s="9">
        <f t="shared" si="85"/>
        <v>1.9</v>
      </c>
      <c r="H639" t="str">
        <f>'(Raw) LensesGH'!D639</f>
        <v>40.5mm</v>
      </c>
      <c r="I639" s="2">
        <f t="shared" si="86"/>
        <v>40.5</v>
      </c>
      <c r="J639" s="2" t="str">
        <f>'(Raw) LensesGH'!E639</f>
        <v>1:20.00</v>
      </c>
      <c r="K639" s="40">
        <f t="shared" si="87"/>
        <v>20</v>
      </c>
      <c r="L639" t="str">
        <f>'(Raw) LensesGH'!F639</f>
        <v>Pentax Q</v>
      </c>
      <c r="M639" t="str">
        <f>'(Raw) LensesGH'!G639</f>
        <v>Pentax Q</v>
      </c>
      <c r="N639" t="str">
        <f>'(Raw) LensesGH'!H639</f>
        <v>37g</v>
      </c>
      <c r="O639" s="5">
        <f t="shared" si="88"/>
        <v>37</v>
      </c>
      <c r="P639" t="str">
        <f>'(Raw) LensesGH'!I639</f>
        <v>45.5 x 23mm</v>
      </c>
      <c r="Q639" s="39">
        <f t="shared" si="89"/>
        <v>45.5</v>
      </c>
      <c r="R639" s="39">
        <f t="shared" si="81"/>
        <v>23</v>
      </c>
    </row>
    <row r="640" spans="1:18" x14ac:dyDescent="0.25">
      <c r="A640" t="str">
        <f>'(Raw) LensesGH'!A640</f>
        <v>Pentax Q 02 Standard Zoom 5-15mm 2.8-4.5 AL silber</v>
      </c>
      <c r="B640" t="str">
        <f>'(Raw) LensesGH'!B640</f>
        <v>5 - 15mm</v>
      </c>
      <c r="C640" s="5">
        <f t="shared" si="82"/>
        <v>5</v>
      </c>
      <c r="D640" s="5">
        <f t="shared" si="83"/>
        <v>15</v>
      </c>
      <c r="E640" t="str">
        <f>'(Raw) LensesGH'!C640</f>
        <v>1:2.8-1:4.5</v>
      </c>
      <c r="F640" s="9">
        <f t="shared" si="84"/>
        <v>2.8</v>
      </c>
      <c r="G640" s="9">
        <f t="shared" si="85"/>
        <v>2.8</v>
      </c>
      <c r="H640" t="str">
        <f>'(Raw) LensesGH'!D640</f>
        <v>40.5mm</v>
      </c>
      <c r="I640" s="2">
        <f t="shared" si="86"/>
        <v>40.5</v>
      </c>
      <c r="J640" s="2" t="str">
        <f>'(Raw) LensesGH'!E640</f>
        <v>1:16.67</v>
      </c>
      <c r="K640" s="40">
        <f t="shared" si="87"/>
        <v>16.670000000000002</v>
      </c>
      <c r="L640" t="str">
        <f>'(Raw) LensesGH'!F640</f>
        <v>Pentax Q</v>
      </c>
      <c r="M640" t="str">
        <f>'(Raw) LensesGH'!G640</f>
        <v>Pentax Q</v>
      </c>
      <c r="N640" t="str">
        <f>'(Raw) LensesGH'!H640</f>
        <v>96g</v>
      </c>
      <c r="O640" s="5">
        <f t="shared" si="88"/>
        <v>96</v>
      </c>
      <c r="P640" t="str">
        <f>'(Raw) LensesGH'!I640</f>
        <v>48.5 x 48mm</v>
      </c>
      <c r="Q640" s="39">
        <f t="shared" si="89"/>
        <v>48.5</v>
      </c>
      <c r="R640" s="39">
        <f t="shared" si="81"/>
        <v>48</v>
      </c>
    </row>
    <row r="641" spans="1:18" x14ac:dyDescent="0.25">
      <c r="A641" t="str">
        <f>'(Raw) LensesGH'!A641</f>
        <v>Pentax Q 03 Fisheye 3.2mm 5.6 silber</v>
      </c>
      <c r="B641" t="str">
        <f>'(Raw) LensesGH'!B641</f>
        <v>3.2mm</v>
      </c>
      <c r="C641" s="5">
        <f t="shared" si="82"/>
        <v>3.2</v>
      </c>
      <c r="D641" s="5">
        <f t="shared" si="83"/>
        <v>3.2</v>
      </c>
      <c r="E641" t="str">
        <f>'(Raw) LensesGH'!C641</f>
        <v>1:5.6</v>
      </c>
      <c r="F641" s="9">
        <f t="shared" si="84"/>
        <v>5.6</v>
      </c>
      <c r="G641" s="9">
        <f t="shared" si="85"/>
        <v>5.6</v>
      </c>
      <c r="H641">
        <f>'(Raw) LensesGH'!D641</f>
        <v>0</v>
      </c>
      <c r="I641" s="2">
        <f t="shared" si="86"/>
        <v>0</v>
      </c>
      <c r="J641" s="2" t="str">
        <f>'(Raw) LensesGH'!E641</f>
        <v>1:16.67</v>
      </c>
      <c r="K641" s="40">
        <f t="shared" si="87"/>
        <v>16.670000000000002</v>
      </c>
      <c r="L641" t="str">
        <f>'(Raw) LensesGH'!F641</f>
        <v>Pentax Q</v>
      </c>
      <c r="M641" t="str">
        <f>'(Raw) LensesGH'!G641</f>
        <v>Pentax Q</v>
      </c>
      <c r="N641" t="str">
        <f>'(Raw) LensesGH'!H641</f>
        <v>29g</v>
      </c>
      <c r="O641" s="5">
        <f t="shared" si="88"/>
        <v>29</v>
      </c>
      <c r="P641" t="str">
        <f>'(Raw) LensesGH'!I641</f>
        <v>40.6 x 30.5mm</v>
      </c>
      <c r="Q641" s="39">
        <f t="shared" si="89"/>
        <v>40.6</v>
      </c>
      <c r="R641" s="39">
        <f t="shared" si="81"/>
        <v>30.5</v>
      </c>
    </row>
    <row r="642" spans="1:18" x14ac:dyDescent="0.25">
      <c r="A642" t="str">
        <f>'(Raw) LensesGH'!A642</f>
        <v>Pentax Q 04 Toy Lens Wide 6.3mm 7.1 silber</v>
      </c>
      <c r="B642" t="str">
        <f>'(Raw) LensesGH'!B642</f>
        <v>6.3mm</v>
      </c>
      <c r="C642" s="5">
        <f t="shared" si="82"/>
        <v>6.3</v>
      </c>
      <c r="D642" s="5">
        <f t="shared" si="83"/>
        <v>6.3</v>
      </c>
      <c r="E642" t="str">
        <f>'(Raw) LensesGH'!C642</f>
        <v>1:7.1</v>
      </c>
      <c r="F642" s="9">
        <f t="shared" si="84"/>
        <v>7.1</v>
      </c>
      <c r="G642" s="9">
        <f t="shared" si="85"/>
        <v>7.1</v>
      </c>
      <c r="H642">
        <f>'(Raw) LensesGH'!D642</f>
        <v>0</v>
      </c>
      <c r="I642" s="2">
        <f t="shared" si="86"/>
        <v>0</v>
      </c>
      <c r="J642" s="2" t="str">
        <f>'(Raw) LensesGH'!E642</f>
        <v>1:6.67</v>
      </c>
      <c r="K642" s="40">
        <f t="shared" si="87"/>
        <v>6.67</v>
      </c>
      <c r="L642" t="str">
        <f>'(Raw) LensesGH'!F642</f>
        <v>Pentax Q</v>
      </c>
      <c r="M642" t="str">
        <f>'(Raw) LensesGH'!G642</f>
        <v>Pentax Q</v>
      </c>
      <c r="N642" t="str">
        <f>'(Raw) LensesGH'!H642</f>
        <v>21g</v>
      </c>
      <c r="O642" s="5">
        <f t="shared" si="88"/>
        <v>21</v>
      </c>
      <c r="P642" t="str">
        <f>'(Raw) LensesGH'!I642</f>
        <v>40.6 x 25mm</v>
      </c>
      <c r="Q642" s="39">
        <f t="shared" si="89"/>
        <v>40.6</v>
      </c>
      <c r="R642" s="39">
        <f t="shared" ref="R642:R705" si="90">getSizeLength(P642)</f>
        <v>25</v>
      </c>
    </row>
    <row r="643" spans="1:18" x14ac:dyDescent="0.25">
      <c r="A643" t="str">
        <f>'(Raw) LensesGH'!A643</f>
        <v>Pentax Q 05 Toy Lens Telephoto 18mm 8.0 silber</v>
      </c>
      <c r="B643" t="str">
        <f>'(Raw) LensesGH'!B643</f>
        <v>18mm</v>
      </c>
      <c r="C643" s="5">
        <f t="shared" ref="C643:C706" si="91">getFocalLengthStart(B643)</f>
        <v>18</v>
      </c>
      <c r="D643" s="5">
        <f t="shared" ref="D643:D706" si="92">getFocalLengthEnd(B643)</f>
        <v>18</v>
      </c>
      <c r="E643" t="str">
        <f>'(Raw) LensesGH'!C643</f>
        <v>1:8.0</v>
      </c>
      <c r="F643" s="9">
        <f t="shared" ref="F643:F706" si="93">getApertureStart(E643)</f>
        <v>8</v>
      </c>
      <c r="G643" s="9">
        <f t="shared" ref="G643:G706" si="94">getApertureEnd(F643)</f>
        <v>8</v>
      </c>
      <c r="H643">
        <f>'(Raw) LensesGH'!D643</f>
        <v>0</v>
      </c>
      <c r="I643" s="2">
        <f t="shared" ref="I643:I706" si="95">getFiltersizeAsDouble(H643)</f>
        <v>0</v>
      </c>
      <c r="J643" s="2" t="str">
        <f>'(Raw) LensesGH'!E643</f>
        <v>1:12.50</v>
      </c>
      <c r="K643" s="40">
        <f t="shared" ref="K643:K706" si="96">getMagnification(J643)</f>
        <v>12.5</v>
      </c>
      <c r="L643" t="str">
        <f>'(Raw) LensesGH'!F643</f>
        <v>Pentax Q</v>
      </c>
      <c r="M643" t="str">
        <f>'(Raw) LensesGH'!G643</f>
        <v>Pentax Q</v>
      </c>
      <c r="N643" t="str">
        <f>'(Raw) LensesGH'!H643</f>
        <v>18g</v>
      </c>
      <c r="O643" s="5">
        <f t="shared" ref="O643:O706" si="97">getWeightAsDouble(N643)</f>
        <v>18</v>
      </c>
      <c r="P643" t="str">
        <f>'(Raw) LensesGH'!I643</f>
        <v>40.6 x 19.5mm</v>
      </c>
      <c r="Q643" s="39">
        <f t="shared" ref="Q643:Q706" si="98">getSizeDiameter(P643)</f>
        <v>40.6</v>
      </c>
      <c r="R643" s="39">
        <f t="shared" si="90"/>
        <v>19.5</v>
      </c>
    </row>
    <row r="644" spans="1:18" x14ac:dyDescent="0.25">
      <c r="A644" t="str">
        <f>'(Raw) LensesGH'!A644</f>
        <v>Pentax Q 06 Telephoto Zoom 15-45mm 2.8 AL silber</v>
      </c>
      <c r="B644" t="str">
        <f>'(Raw) LensesGH'!B644</f>
        <v>15 - 45mm</v>
      </c>
      <c r="C644" s="5">
        <f t="shared" si="91"/>
        <v>15</v>
      </c>
      <c r="D644" s="5">
        <f t="shared" si="92"/>
        <v>45</v>
      </c>
      <c r="E644" t="str">
        <f>'(Raw) LensesGH'!C644</f>
        <v>1:2.8</v>
      </c>
      <c r="F644" s="9">
        <f t="shared" si="93"/>
        <v>2.8</v>
      </c>
      <c r="G644" s="9">
        <f t="shared" si="94"/>
        <v>2.8</v>
      </c>
      <c r="H644" t="str">
        <f>'(Raw) LensesGH'!D644</f>
        <v>40.5mm</v>
      </c>
      <c r="I644" s="2">
        <f t="shared" si="95"/>
        <v>40.5</v>
      </c>
      <c r="J644" s="2" t="str">
        <f>'(Raw) LensesGH'!E644</f>
        <v>1:20.0</v>
      </c>
      <c r="K644" s="40">
        <f>getMagnification(J644)</f>
        <v>20</v>
      </c>
      <c r="L644" t="str">
        <f>'(Raw) LensesGH'!F644</f>
        <v>Pentax Q</v>
      </c>
      <c r="M644" t="str">
        <f>'(Raw) LensesGH'!G644</f>
        <v>Pentax Q</v>
      </c>
      <c r="N644" t="str">
        <f>'(Raw) LensesGH'!H644</f>
        <v>90g</v>
      </c>
      <c r="O644" s="5">
        <f t="shared" si="97"/>
        <v>90</v>
      </c>
      <c r="P644" t="str">
        <f>'(Raw) LensesGH'!I644</f>
        <v>50 x 56mm</v>
      </c>
      <c r="Q644" s="39">
        <f t="shared" si="98"/>
        <v>50</v>
      </c>
      <c r="R644" s="39">
        <f t="shared" si="90"/>
        <v>56</v>
      </c>
    </row>
    <row r="645" spans="1:18" x14ac:dyDescent="0.25">
      <c r="A645" t="str">
        <f>'(Raw) LensesGH'!A645</f>
        <v>Pentax Q 08 Wide Zoom 3.8-5.9mm 3.7-4.0 silber</v>
      </c>
      <c r="B645" t="str">
        <f>'(Raw) LensesGH'!B645</f>
        <v>3.8 - 5.9mm</v>
      </c>
      <c r="C645" s="5">
        <f t="shared" si="91"/>
        <v>3.8</v>
      </c>
      <c r="D645" s="5">
        <f t="shared" si="92"/>
        <v>5.9</v>
      </c>
      <c r="E645" t="str">
        <f>'(Raw) LensesGH'!C645</f>
        <v>1:3.7-1:4.0</v>
      </c>
      <c r="F645" s="9">
        <f t="shared" si="93"/>
        <v>3.7</v>
      </c>
      <c r="G645" s="9">
        <f t="shared" si="94"/>
        <v>3.7</v>
      </c>
      <c r="H645" t="str">
        <f>'(Raw) LensesGH'!D645</f>
        <v>49mm</v>
      </c>
      <c r="I645" s="2">
        <f t="shared" si="95"/>
        <v>49</v>
      </c>
      <c r="J645" s="2" t="str">
        <f>'(Raw) LensesGH'!E645</f>
        <v>1:33.33</v>
      </c>
      <c r="K645" s="40">
        <f t="shared" si="96"/>
        <v>33.33</v>
      </c>
      <c r="L645" t="str">
        <f>'(Raw) LensesGH'!F645</f>
        <v>Pentax Q</v>
      </c>
      <c r="M645" t="str">
        <f>'(Raw) LensesGH'!G645</f>
        <v>Pentax Q</v>
      </c>
      <c r="N645" t="str">
        <f>'(Raw) LensesGH'!H645</f>
        <v>75g</v>
      </c>
      <c r="O645" s="5">
        <f t="shared" si="97"/>
        <v>75</v>
      </c>
      <c r="P645" t="str">
        <f>'(Raw) LensesGH'!I645</f>
        <v>54 x 38mm</v>
      </c>
      <c r="Q645" s="39">
        <f t="shared" si="98"/>
        <v>54</v>
      </c>
      <c r="R645" s="39">
        <f t="shared" si="90"/>
        <v>38</v>
      </c>
    </row>
    <row r="646" spans="1:18" x14ac:dyDescent="0.25">
      <c r="A646" t="str">
        <f>'(Raw) LensesGH'!A646</f>
        <v>Pentax smc DA 10-17mm 3.5-4.5 ED Fisheye-Zoom schwarz</v>
      </c>
      <c r="B646" t="str">
        <f>'(Raw) LensesGH'!B646</f>
        <v>10 - 17mm</v>
      </c>
      <c r="C646" s="5">
        <f t="shared" si="91"/>
        <v>10</v>
      </c>
      <c r="D646" s="5">
        <f t="shared" si="92"/>
        <v>17</v>
      </c>
      <c r="E646" t="str">
        <f>'(Raw) LensesGH'!C646</f>
        <v>1:3.5-1:4.5</v>
      </c>
      <c r="F646" s="9">
        <f t="shared" si="93"/>
        <v>3.5</v>
      </c>
      <c r="G646" s="9">
        <f t="shared" si="94"/>
        <v>3.5</v>
      </c>
      <c r="H646">
        <f>'(Raw) LensesGH'!D646</f>
        <v>0</v>
      </c>
      <c r="I646" s="2">
        <f t="shared" si="95"/>
        <v>0</v>
      </c>
      <c r="J646" s="2" t="str">
        <f>'(Raw) LensesGH'!E646</f>
        <v>1:2.63</v>
      </c>
      <c r="K646" s="40">
        <f t="shared" si="96"/>
        <v>2.63</v>
      </c>
      <c r="L646" t="str">
        <f>'(Raw) LensesGH'!F646</f>
        <v>Pentax K</v>
      </c>
      <c r="M646" t="str">
        <f>'(Raw) LensesGH'!G646</f>
        <v>APS-C</v>
      </c>
      <c r="N646" t="str">
        <f>'(Raw) LensesGH'!H646</f>
        <v>320g</v>
      </c>
      <c r="O646" s="5">
        <f t="shared" si="97"/>
        <v>320</v>
      </c>
      <c r="P646" t="str">
        <f>'(Raw) LensesGH'!I646</f>
        <v>71.5 x 68mm</v>
      </c>
      <c r="Q646" s="39">
        <f t="shared" si="98"/>
        <v>71.5</v>
      </c>
      <c r="R646" s="39">
        <f t="shared" si="90"/>
        <v>68</v>
      </c>
    </row>
    <row r="647" spans="1:18" x14ac:dyDescent="0.25">
      <c r="A647" t="str">
        <f>'(Raw) LensesGH'!A647</f>
        <v>Pentax smc DA 12-24mm 4.0 ED AL schwarz</v>
      </c>
      <c r="B647" t="str">
        <f>'(Raw) LensesGH'!B647</f>
        <v>12 - 24mm</v>
      </c>
      <c r="C647" s="5">
        <f t="shared" si="91"/>
        <v>12</v>
      </c>
      <c r="D647" s="5">
        <f t="shared" si="92"/>
        <v>24</v>
      </c>
      <c r="E647" t="str">
        <f>'(Raw) LensesGH'!C647</f>
        <v>1:4.0</v>
      </c>
      <c r="F647" s="9">
        <f t="shared" si="93"/>
        <v>4</v>
      </c>
      <c r="G647" s="9">
        <f t="shared" si="94"/>
        <v>4</v>
      </c>
      <c r="H647" t="str">
        <f>'(Raw) LensesGH'!D647</f>
        <v>77mm</v>
      </c>
      <c r="I647" s="2">
        <f t="shared" si="95"/>
        <v>77</v>
      </c>
      <c r="J647" s="2" t="str">
        <f>'(Raw) LensesGH'!E647</f>
        <v>1:8.33</v>
      </c>
      <c r="K647" s="40">
        <f t="shared" si="96"/>
        <v>8.33</v>
      </c>
      <c r="L647" t="str">
        <f>'(Raw) LensesGH'!F647</f>
        <v>Pentax K</v>
      </c>
      <c r="M647" t="str">
        <f>'(Raw) LensesGH'!G647</f>
        <v>APS-C</v>
      </c>
      <c r="N647" t="str">
        <f>'(Raw) LensesGH'!H647</f>
        <v>430g</v>
      </c>
      <c r="O647" s="5">
        <f t="shared" si="97"/>
        <v>430</v>
      </c>
      <c r="P647" t="str">
        <f>'(Raw) LensesGH'!I647</f>
        <v>84 x 87.5mm</v>
      </c>
      <c r="Q647" s="39">
        <f t="shared" si="98"/>
        <v>84</v>
      </c>
      <c r="R647" s="39">
        <f t="shared" si="90"/>
        <v>87.5</v>
      </c>
    </row>
    <row r="648" spans="1:18" x14ac:dyDescent="0.25">
      <c r="A648" t="str">
        <f>'(Raw) LensesGH'!A648</f>
        <v>Pentax smc DA 16-45mm 4.0 ED AL schwarz</v>
      </c>
      <c r="B648" t="str">
        <f>'(Raw) LensesGH'!B648</f>
        <v>16 - 45mm</v>
      </c>
      <c r="C648" s="5">
        <f t="shared" si="91"/>
        <v>16</v>
      </c>
      <c r="D648" s="5">
        <f t="shared" si="92"/>
        <v>45</v>
      </c>
      <c r="E648" t="str">
        <f>'(Raw) LensesGH'!C648</f>
        <v>1:4.0</v>
      </c>
      <c r="F648" s="9">
        <f t="shared" si="93"/>
        <v>4</v>
      </c>
      <c r="G648" s="9">
        <f t="shared" si="94"/>
        <v>4</v>
      </c>
      <c r="H648" t="str">
        <f>'(Raw) LensesGH'!D648</f>
        <v>67mm</v>
      </c>
      <c r="I648" s="2">
        <f t="shared" si="95"/>
        <v>67</v>
      </c>
      <c r="J648" s="2" t="str">
        <f>'(Raw) LensesGH'!E648</f>
        <v>1:3.85</v>
      </c>
      <c r="K648" s="40">
        <f t="shared" si="96"/>
        <v>3.85</v>
      </c>
      <c r="L648" t="str">
        <f>'(Raw) LensesGH'!F648</f>
        <v>Pentax K</v>
      </c>
      <c r="M648" t="str">
        <f>'(Raw) LensesGH'!G648</f>
        <v>APS-C</v>
      </c>
      <c r="N648" t="str">
        <f>'(Raw) LensesGH'!H648</f>
        <v>365g</v>
      </c>
      <c r="O648" s="5">
        <f t="shared" si="97"/>
        <v>365</v>
      </c>
      <c r="P648" t="str">
        <f>'(Raw) LensesGH'!I648</f>
        <v>72 x 92mm</v>
      </c>
      <c r="Q648" s="39">
        <f t="shared" si="98"/>
        <v>72</v>
      </c>
      <c r="R648" s="39">
        <f t="shared" si="90"/>
        <v>92</v>
      </c>
    </row>
    <row r="649" spans="1:18" x14ac:dyDescent="0.25">
      <c r="A649" t="str">
        <f>'(Raw) LensesGH'!A649</f>
        <v>Pentax smc DA 16-50mm 2.8 ED AL IF SDM schwarz</v>
      </c>
      <c r="B649" t="str">
        <f>'(Raw) LensesGH'!B649</f>
        <v>16 - 50mm</v>
      </c>
      <c r="C649" s="5">
        <f t="shared" si="91"/>
        <v>16</v>
      </c>
      <c r="D649" s="5">
        <f t="shared" si="92"/>
        <v>50</v>
      </c>
      <c r="E649" t="str">
        <f>'(Raw) LensesGH'!C649</f>
        <v>1:2.8</v>
      </c>
      <c r="F649" s="9">
        <f t="shared" si="93"/>
        <v>2.8</v>
      </c>
      <c r="G649" s="9">
        <f t="shared" si="94"/>
        <v>2.8</v>
      </c>
      <c r="H649" t="str">
        <f>'(Raw) LensesGH'!D649</f>
        <v>77mm</v>
      </c>
      <c r="I649" s="2">
        <f t="shared" si="95"/>
        <v>77</v>
      </c>
      <c r="J649" s="2" t="str">
        <f>'(Raw) LensesGH'!E649</f>
        <v>1:4.76</v>
      </c>
      <c r="K649" s="40">
        <f t="shared" si="96"/>
        <v>4.76</v>
      </c>
      <c r="L649" t="str">
        <f>'(Raw) LensesGH'!F649</f>
        <v>Pentax K</v>
      </c>
      <c r="M649" t="str">
        <f>'(Raw) LensesGH'!G649</f>
        <v>APS-C</v>
      </c>
      <c r="N649" t="str">
        <f>'(Raw) LensesGH'!H649</f>
        <v>565g</v>
      </c>
      <c r="O649" s="5">
        <f t="shared" si="97"/>
        <v>565</v>
      </c>
      <c r="P649" t="str">
        <f>'(Raw) LensesGH'!I649</f>
        <v>84 x 98.5mm</v>
      </c>
      <c r="Q649" s="39">
        <f t="shared" si="98"/>
        <v>84</v>
      </c>
      <c r="R649" s="39">
        <f t="shared" si="90"/>
        <v>98.5</v>
      </c>
    </row>
    <row r="650" spans="1:18" x14ac:dyDescent="0.25">
      <c r="A650" t="str">
        <f>'(Raw) LensesGH'!A650</f>
        <v>Pentax smc DA 17-70mm 4.0 AL IF SDM schwarz</v>
      </c>
      <c r="B650" t="str">
        <f>'(Raw) LensesGH'!B650</f>
        <v>17 - 70mm</v>
      </c>
      <c r="C650" s="5">
        <f t="shared" si="91"/>
        <v>17</v>
      </c>
      <c r="D650" s="5">
        <f t="shared" si="92"/>
        <v>70</v>
      </c>
      <c r="E650" t="str">
        <f>'(Raw) LensesGH'!C650</f>
        <v>1:4.0</v>
      </c>
      <c r="F650" s="9">
        <f t="shared" si="93"/>
        <v>4</v>
      </c>
      <c r="G650" s="9">
        <f t="shared" si="94"/>
        <v>4</v>
      </c>
      <c r="H650" t="str">
        <f>'(Raw) LensesGH'!D650</f>
        <v>67mm</v>
      </c>
      <c r="I650" s="2">
        <f t="shared" si="95"/>
        <v>67</v>
      </c>
      <c r="J650" s="2" t="str">
        <f>'(Raw) LensesGH'!E650</f>
        <v>1:3.23</v>
      </c>
      <c r="K650" s="40">
        <f t="shared" si="96"/>
        <v>3.23</v>
      </c>
      <c r="L650" t="str">
        <f>'(Raw) LensesGH'!F650</f>
        <v>Pentax K</v>
      </c>
      <c r="M650" t="str">
        <f>'(Raw) LensesGH'!G650</f>
        <v>APS-C</v>
      </c>
      <c r="N650" t="str">
        <f>'(Raw) LensesGH'!H650</f>
        <v>485g</v>
      </c>
      <c r="O650" s="5">
        <f t="shared" si="97"/>
        <v>485</v>
      </c>
      <c r="P650" t="str">
        <f>'(Raw) LensesGH'!I650</f>
        <v>75 x 93.5mm</v>
      </c>
      <c r="Q650" s="39">
        <f t="shared" si="98"/>
        <v>75</v>
      </c>
      <c r="R650" s="39">
        <f t="shared" si="90"/>
        <v>93.5</v>
      </c>
    </row>
    <row r="651" spans="1:18" x14ac:dyDescent="0.25">
      <c r="A651" t="str">
        <f>'(Raw) LensesGH'!A651</f>
        <v>Pentax smc DA 18-135mm 3.5-5.6 ED AL IF DC WR schwarz</v>
      </c>
      <c r="B651" t="str">
        <f>'(Raw) LensesGH'!B651</f>
        <v>18 - 135mm</v>
      </c>
      <c r="C651" s="5">
        <f t="shared" si="91"/>
        <v>18</v>
      </c>
      <c r="D651" s="5">
        <f t="shared" si="92"/>
        <v>135</v>
      </c>
      <c r="E651" t="str">
        <f>'(Raw) LensesGH'!C651</f>
        <v>1:3.5-1:5.6</v>
      </c>
      <c r="F651" s="9">
        <f t="shared" si="93"/>
        <v>3.5</v>
      </c>
      <c r="G651" s="9">
        <f t="shared" si="94"/>
        <v>3.5</v>
      </c>
      <c r="H651" t="str">
        <f>'(Raw) LensesGH'!D651</f>
        <v>62mm</v>
      </c>
      <c r="I651" s="2">
        <f t="shared" si="95"/>
        <v>62</v>
      </c>
      <c r="J651" s="2" t="str">
        <f>'(Raw) LensesGH'!E651</f>
        <v>1:4.17</v>
      </c>
      <c r="K651" s="40">
        <f t="shared" si="96"/>
        <v>4.17</v>
      </c>
      <c r="L651" t="str">
        <f>'(Raw) LensesGH'!F651</f>
        <v>Pentax K</v>
      </c>
      <c r="M651" t="str">
        <f>'(Raw) LensesGH'!G651</f>
        <v>APS-C</v>
      </c>
      <c r="N651" t="str">
        <f>'(Raw) LensesGH'!H651</f>
        <v>405g</v>
      </c>
      <c r="O651" s="5">
        <f t="shared" si="97"/>
        <v>405</v>
      </c>
      <c r="P651" t="str">
        <f>'(Raw) LensesGH'!I651</f>
        <v>76 x 73mm</v>
      </c>
      <c r="Q651" s="39">
        <f t="shared" si="98"/>
        <v>76</v>
      </c>
      <c r="R651" s="39">
        <f t="shared" si="90"/>
        <v>73</v>
      </c>
    </row>
    <row r="652" spans="1:18" x14ac:dyDescent="0.25">
      <c r="A652" t="str">
        <f>'(Raw) LensesGH'!A652</f>
        <v>Pentax smc DA 18-270mm 3.5-6.3 SDM schwarz</v>
      </c>
      <c r="B652" t="str">
        <f>'(Raw) LensesGH'!B652</f>
        <v>18 - 270mm</v>
      </c>
      <c r="C652" s="5">
        <f t="shared" si="91"/>
        <v>18</v>
      </c>
      <c r="D652" s="5">
        <f t="shared" si="92"/>
        <v>270</v>
      </c>
      <c r="E652" t="str">
        <f>'(Raw) LensesGH'!C652</f>
        <v>1:3.5-1:6.3</v>
      </c>
      <c r="F652" s="9">
        <f t="shared" si="93"/>
        <v>3.5</v>
      </c>
      <c r="G652" s="9">
        <f t="shared" si="94"/>
        <v>3.5</v>
      </c>
      <c r="H652" t="str">
        <f>'(Raw) LensesGH'!D652</f>
        <v>62mm</v>
      </c>
      <c r="I652" s="2">
        <f t="shared" si="95"/>
        <v>62</v>
      </c>
      <c r="J652" s="2" t="str">
        <f>'(Raw) LensesGH'!E652</f>
        <v>1:3.85</v>
      </c>
      <c r="K652" s="40">
        <f t="shared" si="96"/>
        <v>3.85</v>
      </c>
      <c r="L652" t="str">
        <f>'(Raw) LensesGH'!F652</f>
        <v>Pentax K</v>
      </c>
      <c r="M652" t="str">
        <f>'(Raw) LensesGH'!G652</f>
        <v>APS-C</v>
      </c>
      <c r="N652" t="str">
        <f>'(Raw) LensesGH'!H652</f>
        <v>453g</v>
      </c>
      <c r="O652" s="5">
        <f t="shared" si="97"/>
        <v>453</v>
      </c>
      <c r="P652" t="str">
        <f>'(Raw) LensesGH'!I652</f>
        <v>76 x 89mm</v>
      </c>
      <c r="Q652" s="39">
        <f t="shared" si="98"/>
        <v>76</v>
      </c>
      <c r="R652" s="39">
        <f t="shared" si="90"/>
        <v>89</v>
      </c>
    </row>
    <row r="653" spans="1:18" x14ac:dyDescent="0.25">
      <c r="A653" t="str">
        <f>'(Raw) LensesGH'!A653</f>
        <v>Pentax smc DA 18-55mm 3.5-5.6 AL WR schwarz</v>
      </c>
      <c r="B653" t="str">
        <f>'(Raw) LensesGH'!B653</f>
        <v>18 - 55mm</v>
      </c>
      <c r="C653" s="5">
        <f t="shared" si="91"/>
        <v>18</v>
      </c>
      <c r="D653" s="5">
        <f t="shared" si="92"/>
        <v>55</v>
      </c>
      <c r="E653" t="str">
        <f>'(Raw) LensesGH'!C653</f>
        <v>1:3.5-1:5.6</v>
      </c>
      <c r="F653" s="9">
        <f t="shared" si="93"/>
        <v>3.5</v>
      </c>
      <c r="G653" s="9">
        <f t="shared" si="94"/>
        <v>3.5</v>
      </c>
      <c r="H653" t="str">
        <f>'(Raw) LensesGH'!D653</f>
        <v>52mm</v>
      </c>
      <c r="I653" s="2">
        <f t="shared" si="95"/>
        <v>52</v>
      </c>
      <c r="J653" s="2" t="str">
        <f>'(Raw) LensesGH'!E653</f>
        <v>1:2.94</v>
      </c>
      <c r="K653" s="40">
        <f t="shared" si="96"/>
        <v>2.94</v>
      </c>
      <c r="L653" t="str">
        <f>'(Raw) LensesGH'!F653</f>
        <v>Pentax K</v>
      </c>
      <c r="M653" t="str">
        <f>'(Raw) LensesGH'!G653</f>
        <v>APS-C</v>
      </c>
      <c r="N653" t="str">
        <f>'(Raw) LensesGH'!H653</f>
        <v>230g</v>
      </c>
      <c r="O653" s="5">
        <f t="shared" si="97"/>
        <v>230</v>
      </c>
      <c r="P653" t="str">
        <f>'(Raw) LensesGH'!I653</f>
        <v>67.5 x 68.5mm</v>
      </c>
      <c r="Q653" s="39">
        <f t="shared" si="98"/>
        <v>67.5</v>
      </c>
      <c r="R653" s="39">
        <f t="shared" si="90"/>
        <v>68.5</v>
      </c>
    </row>
    <row r="654" spans="1:18" x14ac:dyDescent="0.25">
      <c r="A654" t="str">
        <f>'(Raw) LensesGH'!A654</f>
        <v>Pentax smc DA 200mm 2.8 ED IF SDM schwarz</v>
      </c>
      <c r="B654" t="str">
        <f>'(Raw) LensesGH'!B654</f>
        <v>200mm</v>
      </c>
      <c r="C654" s="5">
        <f t="shared" si="91"/>
        <v>200</v>
      </c>
      <c r="D654" s="5">
        <f t="shared" si="92"/>
        <v>200</v>
      </c>
      <c r="E654" t="str">
        <f>'(Raw) LensesGH'!C654</f>
        <v>1:2.8</v>
      </c>
      <c r="F654" s="9">
        <f t="shared" si="93"/>
        <v>2.8</v>
      </c>
      <c r="G654" s="9">
        <f t="shared" si="94"/>
        <v>2.8</v>
      </c>
      <c r="H654" t="str">
        <f>'(Raw) LensesGH'!D654</f>
        <v>77mm</v>
      </c>
      <c r="I654" s="2">
        <f t="shared" si="95"/>
        <v>77</v>
      </c>
      <c r="J654" s="2" t="str">
        <f>'(Raw) LensesGH'!E654</f>
        <v>1:5.00</v>
      </c>
      <c r="K654" s="40">
        <f t="shared" si="96"/>
        <v>5</v>
      </c>
      <c r="L654" t="str">
        <f>'(Raw) LensesGH'!F654</f>
        <v>Pentax K</v>
      </c>
      <c r="M654" t="str">
        <f>'(Raw) LensesGH'!G654</f>
        <v>APS-C</v>
      </c>
      <c r="N654" t="str">
        <f>'(Raw) LensesGH'!H654</f>
        <v>825g</v>
      </c>
      <c r="O654" s="5">
        <f t="shared" si="97"/>
        <v>825</v>
      </c>
      <c r="P654" t="str">
        <f>'(Raw) LensesGH'!I654</f>
        <v>83 x 134mm</v>
      </c>
      <c r="Q654" s="39">
        <f t="shared" si="98"/>
        <v>83</v>
      </c>
      <c r="R654" s="39">
        <f t="shared" si="90"/>
        <v>134</v>
      </c>
    </row>
    <row r="655" spans="1:18" x14ac:dyDescent="0.25">
      <c r="A655" t="str">
        <f>'(Raw) LensesGH'!A655</f>
        <v>Pentax smc DA 21mm 3.2 AL Limited schwarz</v>
      </c>
      <c r="B655" t="str">
        <f>'(Raw) LensesGH'!B655</f>
        <v>21mm</v>
      </c>
      <c r="C655" s="5">
        <f t="shared" si="91"/>
        <v>21</v>
      </c>
      <c r="D655" s="5">
        <f t="shared" si="92"/>
        <v>21</v>
      </c>
      <c r="E655" t="str">
        <f>'(Raw) LensesGH'!C655</f>
        <v>1:3.2</v>
      </c>
      <c r="F655" s="9">
        <f t="shared" si="93"/>
        <v>3.2</v>
      </c>
      <c r="G655" s="9">
        <f t="shared" si="94"/>
        <v>3.2</v>
      </c>
      <c r="H655" t="str">
        <f>'(Raw) LensesGH'!D655</f>
        <v>49mm</v>
      </c>
      <c r="I655" s="2">
        <f t="shared" si="95"/>
        <v>49</v>
      </c>
      <c r="J655" s="2" t="str">
        <f>'(Raw) LensesGH'!E655</f>
        <v>1:5.88</v>
      </c>
      <c r="K655" s="40">
        <f t="shared" si="96"/>
        <v>5.88</v>
      </c>
      <c r="L655" t="str">
        <f>'(Raw) LensesGH'!F655</f>
        <v>Pentax K</v>
      </c>
      <c r="M655" t="str">
        <f>'(Raw) LensesGH'!G655</f>
        <v>APS-C</v>
      </c>
      <c r="N655" t="str">
        <f>'(Raw) LensesGH'!H655</f>
        <v>140g</v>
      </c>
      <c r="O655" s="5">
        <f t="shared" si="97"/>
        <v>140</v>
      </c>
      <c r="P655" t="str">
        <f>'(Raw) LensesGH'!I655</f>
        <v>63 x 25mm</v>
      </c>
      <c r="Q655" s="39">
        <f t="shared" si="98"/>
        <v>63</v>
      </c>
      <c r="R655" s="39">
        <f t="shared" si="90"/>
        <v>25</v>
      </c>
    </row>
    <row r="656" spans="1:18" x14ac:dyDescent="0.25">
      <c r="A656" t="str">
        <f>'(Raw) LensesGH'!A656</f>
        <v>Pentax smc DA 300mm 4.0 ED IF SDM schwarz</v>
      </c>
      <c r="B656" t="str">
        <f>'(Raw) LensesGH'!B656</f>
        <v>300mm</v>
      </c>
      <c r="C656" s="5">
        <f t="shared" si="91"/>
        <v>300</v>
      </c>
      <c r="D656" s="5">
        <f t="shared" si="92"/>
        <v>300</v>
      </c>
      <c r="E656" t="str">
        <f>'(Raw) LensesGH'!C656</f>
        <v>1:4.0</v>
      </c>
      <c r="F656" s="9">
        <f t="shared" si="93"/>
        <v>4</v>
      </c>
      <c r="G656" s="9">
        <f t="shared" si="94"/>
        <v>4</v>
      </c>
      <c r="H656" t="str">
        <f>'(Raw) LensesGH'!D656</f>
        <v>77mm</v>
      </c>
      <c r="I656" s="2">
        <f t="shared" si="95"/>
        <v>77</v>
      </c>
      <c r="J656" s="2" t="str">
        <f>'(Raw) LensesGH'!E656</f>
        <v>1:4.17</v>
      </c>
      <c r="K656" s="40">
        <f t="shared" si="96"/>
        <v>4.17</v>
      </c>
      <c r="L656" t="str">
        <f>'(Raw) LensesGH'!F656</f>
        <v>Pentax K</v>
      </c>
      <c r="M656" t="str">
        <f>'(Raw) LensesGH'!G656</f>
        <v>APS-C</v>
      </c>
      <c r="N656" t="str">
        <f>'(Raw) LensesGH'!H656</f>
        <v>1070g</v>
      </c>
      <c r="O656" s="5">
        <f t="shared" si="97"/>
        <v>1070</v>
      </c>
      <c r="P656" t="str">
        <f>'(Raw) LensesGH'!I656</f>
        <v>83 x 184mm</v>
      </c>
      <c r="Q656" s="39">
        <f t="shared" si="98"/>
        <v>83</v>
      </c>
      <c r="R656" s="39">
        <f t="shared" si="90"/>
        <v>184</v>
      </c>
    </row>
    <row r="657" spans="1:18" x14ac:dyDescent="0.25">
      <c r="A657" t="str">
        <f>'(Raw) LensesGH'!A657</f>
        <v>Pentax smc DA 35mm 2.4 AL schwarz</v>
      </c>
      <c r="B657" t="str">
        <f>'(Raw) LensesGH'!B657</f>
        <v>35mm</v>
      </c>
      <c r="C657" s="5">
        <f t="shared" si="91"/>
        <v>35</v>
      </c>
      <c r="D657" s="5">
        <f t="shared" si="92"/>
        <v>35</v>
      </c>
      <c r="E657" t="str">
        <f>'(Raw) LensesGH'!C657</f>
        <v>1:2.4</v>
      </c>
      <c r="F657" s="9">
        <f t="shared" si="93"/>
        <v>2.4</v>
      </c>
      <c r="G657" s="9">
        <f t="shared" si="94"/>
        <v>2.4</v>
      </c>
      <c r="H657">
        <f>'(Raw) LensesGH'!D657</f>
        <v>0</v>
      </c>
      <c r="I657" s="2">
        <f t="shared" si="95"/>
        <v>0</v>
      </c>
      <c r="J657" s="2" t="str">
        <f>'(Raw) LensesGH'!E657</f>
        <v>1:5.88</v>
      </c>
      <c r="K657" s="40">
        <f t="shared" si="96"/>
        <v>5.88</v>
      </c>
      <c r="L657" t="str">
        <f>'(Raw) LensesGH'!F657</f>
        <v>Pentax K</v>
      </c>
      <c r="M657" t="str">
        <f>'(Raw) LensesGH'!G657</f>
        <v>APS-C</v>
      </c>
      <c r="N657" t="str">
        <f>'(Raw) LensesGH'!H657</f>
        <v>124g</v>
      </c>
      <c r="O657" s="5">
        <f t="shared" si="97"/>
        <v>124</v>
      </c>
      <c r="P657" t="str">
        <f>'(Raw) LensesGH'!I657</f>
        <v>45 x 63mm</v>
      </c>
      <c r="Q657" s="39">
        <f t="shared" si="98"/>
        <v>45</v>
      </c>
      <c r="R657" s="39">
        <f t="shared" si="90"/>
        <v>63</v>
      </c>
    </row>
    <row r="658" spans="1:18" x14ac:dyDescent="0.25">
      <c r="A658" t="str">
        <f>'(Raw) LensesGH'!A658</f>
        <v>Pentax smc DA 40mm 2.8 XS schwarz</v>
      </c>
      <c r="B658" t="str">
        <f>'(Raw) LensesGH'!B658</f>
        <v>40mm</v>
      </c>
      <c r="C658" s="5">
        <f t="shared" si="91"/>
        <v>40</v>
      </c>
      <c r="D658" s="5">
        <f t="shared" si="92"/>
        <v>40</v>
      </c>
      <c r="E658" t="str">
        <f>'(Raw) LensesGH'!C658</f>
        <v>1:2.8</v>
      </c>
      <c r="F658" s="9">
        <f t="shared" si="93"/>
        <v>2.8</v>
      </c>
      <c r="G658" s="9">
        <f t="shared" si="94"/>
        <v>2.8</v>
      </c>
      <c r="H658" t="str">
        <f>'(Raw) LensesGH'!D658</f>
        <v>27mm</v>
      </c>
      <c r="I658" s="2">
        <f t="shared" si="95"/>
        <v>27</v>
      </c>
      <c r="J658" s="2" t="str">
        <f>'(Raw) LensesGH'!E658</f>
        <v>1:7.69</v>
      </c>
      <c r="K658" s="40">
        <f t="shared" si="96"/>
        <v>7.69</v>
      </c>
      <c r="L658" t="str">
        <f>'(Raw) LensesGH'!F658</f>
        <v>Pentax K</v>
      </c>
      <c r="M658" t="str">
        <f>'(Raw) LensesGH'!G658</f>
        <v>APS-C</v>
      </c>
      <c r="N658" t="str">
        <f>'(Raw) LensesGH'!H658</f>
        <v>52g</v>
      </c>
      <c r="O658" s="5">
        <f t="shared" si="97"/>
        <v>52</v>
      </c>
      <c r="P658" t="str">
        <f>'(Raw) LensesGH'!I658</f>
        <v>63 x 9.2mm</v>
      </c>
      <c r="Q658" s="39">
        <f t="shared" si="98"/>
        <v>63</v>
      </c>
      <c r="R658" s="39">
        <f t="shared" si="90"/>
        <v>9.1999999999999993</v>
      </c>
    </row>
    <row r="659" spans="1:18" x14ac:dyDescent="0.25">
      <c r="A659" t="str">
        <f>'(Raw) LensesGH'!A659</f>
        <v>Pentax smc DA 50-135mm 2.8 ED IF SDM schwarz</v>
      </c>
      <c r="B659" t="str">
        <f>'(Raw) LensesGH'!B659</f>
        <v>50 - 135mm</v>
      </c>
      <c r="C659" s="5">
        <f t="shared" si="91"/>
        <v>50</v>
      </c>
      <c r="D659" s="5">
        <f t="shared" si="92"/>
        <v>135</v>
      </c>
      <c r="E659" t="str">
        <f>'(Raw) LensesGH'!C659</f>
        <v>1:2.8</v>
      </c>
      <c r="F659" s="9">
        <f t="shared" si="93"/>
        <v>2.8</v>
      </c>
      <c r="G659" s="9">
        <f t="shared" si="94"/>
        <v>2.8</v>
      </c>
      <c r="H659" t="str">
        <f>'(Raw) LensesGH'!D659</f>
        <v>67mm</v>
      </c>
      <c r="I659" s="2">
        <f t="shared" si="95"/>
        <v>67</v>
      </c>
      <c r="J659" s="2" t="str">
        <f>'(Raw) LensesGH'!E659</f>
        <v>1:5.88</v>
      </c>
      <c r="K659" s="40">
        <f t="shared" si="96"/>
        <v>5.88</v>
      </c>
      <c r="L659" t="str">
        <f>'(Raw) LensesGH'!F659</f>
        <v>Pentax K</v>
      </c>
      <c r="M659" t="str">
        <f>'(Raw) LensesGH'!G659</f>
        <v>APS-C</v>
      </c>
      <c r="N659" t="str">
        <f>'(Raw) LensesGH'!H659</f>
        <v>685g</v>
      </c>
      <c r="O659" s="5">
        <f t="shared" si="97"/>
        <v>685</v>
      </c>
      <c r="P659" t="str">
        <f>'(Raw) LensesGH'!I659</f>
        <v>76.5 x 136mm</v>
      </c>
      <c r="Q659" s="39">
        <f t="shared" si="98"/>
        <v>76.5</v>
      </c>
      <c r="R659" s="39">
        <f t="shared" si="90"/>
        <v>136</v>
      </c>
    </row>
    <row r="660" spans="1:18" x14ac:dyDescent="0.25">
      <c r="A660" t="str">
        <f>'(Raw) LensesGH'!A660</f>
        <v>Pentax smc DA 50-200mm 4.0-5.6 ED WR schwarz</v>
      </c>
      <c r="B660" t="str">
        <f>'(Raw) LensesGH'!B660</f>
        <v>50 - 200mm</v>
      </c>
      <c r="C660" s="5">
        <f t="shared" si="91"/>
        <v>50</v>
      </c>
      <c r="D660" s="5">
        <f t="shared" si="92"/>
        <v>200</v>
      </c>
      <c r="E660" t="str">
        <f>'(Raw) LensesGH'!C660</f>
        <v>1:4.0-1:5.6</v>
      </c>
      <c r="F660" s="9">
        <f t="shared" si="93"/>
        <v>4</v>
      </c>
      <c r="G660" s="9">
        <f t="shared" si="94"/>
        <v>4</v>
      </c>
      <c r="H660" t="str">
        <f>'(Raw) LensesGH'!D660</f>
        <v>49mm</v>
      </c>
      <c r="I660" s="2">
        <f t="shared" si="95"/>
        <v>49</v>
      </c>
      <c r="J660" s="2" t="str">
        <f>'(Raw) LensesGH'!E660</f>
        <v>1:4.17</v>
      </c>
      <c r="K660" s="40">
        <f t="shared" si="96"/>
        <v>4.17</v>
      </c>
      <c r="L660" t="str">
        <f>'(Raw) LensesGH'!F660</f>
        <v>Pentax K</v>
      </c>
      <c r="M660" t="str">
        <f>'(Raw) LensesGH'!G660</f>
        <v>APS-C</v>
      </c>
      <c r="N660" t="str">
        <f>'(Raw) LensesGH'!H660</f>
        <v>285g</v>
      </c>
      <c r="O660" s="5">
        <f t="shared" si="97"/>
        <v>285</v>
      </c>
      <c r="P660" t="str">
        <f>'(Raw) LensesGH'!I660</f>
        <v>79.5 x 69mm</v>
      </c>
      <c r="Q660" s="39">
        <f t="shared" si="98"/>
        <v>79.5</v>
      </c>
      <c r="R660" s="39">
        <f t="shared" si="90"/>
        <v>69</v>
      </c>
    </row>
    <row r="661" spans="1:18" x14ac:dyDescent="0.25">
      <c r="A661" t="str">
        <f>'(Raw) LensesGH'!A661</f>
        <v>Pentax smc DA 50mm 1.8 schwarz</v>
      </c>
      <c r="B661" t="str">
        <f>'(Raw) LensesGH'!B661</f>
        <v>50mm</v>
      </c>
      <c r="C661" s="5">
        <f t="shared" si="91"/>
        <v>50</v>
      </c>
      <c r="D661" s="5">
        <f t="shared" si="92"/>
        <v>50</v>
      </c>
      <c r="E661" t="str">
        <f>'(Raw) LensesGH'!C661</f>
        <v>1:1.8</v>
      </c>
      <c r="F661" s="9">
        <f t="shared" si="93"/>
        <v>1.8</v>
      </c>
      <c r="G661" s="9">
        <f t="shared" si="94"/>
        <v>1.8</v>
      </c>
      <c r="H661" t="str">
        <f>'(Raw) LensesGH'!D661</f>
        <v>52mm</v>
      </c>
      <c r="I661" s="2">
        <f t="shared" si="95"/>
        <v>52</v>
      </c>
      <c r="J661" s="2" t="str">
        <f>'(Raw) LensesGH'!E661</f>
        <v>1:6.67</v>
      </c>
      <c r="K661" s="40">
        <f t="shared" si="96"/>
        <v>6.67</v>
      </c>
      <c r="L661" t="str">
        <f>'(Raw) LensesGH'!F661</f>
        <v>Pentax K</v>
      </c>
      <c r="M661" t="str">
        <f>'(Raw) LensesGH'!G661</f>
        <v>APS-C</v>
      </c>
      <c r="N661" t="str">
        <f>'(Raw) LensesGH'!H661</f>
        <v>122g</v>
      </c>
      <c r="O661" s="5">
        <f t="shared" si="97"/>
        <v>122</v>
      </c>
      <c r="P661" t="str">
        <f>'(Raw) LensesGH'!I661</f>
        <v>63 x 38.5mm</v>
      </c>
      <c r="Q661" s="39">
        <f t="shared" si="98"/>
        <v>63</v>
      </c>
      <c r="R661" s="39">
        <f t="shared" si="90"/>
        <v>38.5</v>
      </c>
    </row>
    <row r="662" spans="1:18" x14ac:dyDescent="0.25">
      <c r="A662" t="str">
        <f>'(Raw) LensesGH'!A662</f>
        <v>Pentax smc DA 55-300mm 4.0-5.8 ED schwarz</v>
      </c>
      <c r="B662" t="str">
        <f>'(Raw) LensesGH'!B662</f>
        <v>55 - 300mm</v>
      </c>
      <c r="C662" s="5">
        <f t="shared" si="91"/>
        <v>55</v>
      </c>
      <c r="D662" s="5">
        <f t="shared" si="92"/>
        <v>300</v>
      </c>
      <c r="E662" t="str">
        <f>'(Raw) LensesGH'!C662</f>
        <v>1:4.0-1:5.8</v>
      </c>
      <c r="F662" s="9">
        <f t="shared" si="93"/>
        <v>4</v>
      </c>
      <c r="G662" s="9">
        <f t="shared" si="94"/>
        <v>4</v>
      </c>
      <c r="H662" t="str">
        <f>'(Raw) LensesGH'!D662</f>
        <v>58mm</v>
      </c>
      <c r="I662" s="2">
        <f t="shared" si="95"/>
        <v>58</v>
      </c>
      <c r="J662" s="2" t="str">
        <f>'(Raw) LensesGH'!E662</f>
        <v>1:3.57</v>
      </c>
      <c r="K662" s="40">
        <f t="shared" si="96"/>
        <v>3.57</v>
      </c>
      <c r="L662" t="str">
        <f>'(Raw) LensesGH'!F662</f>
        <v>Pentax K</v>
      </c>
      <c r="M662" t="str">
        <f>'(Raw) LensesGH'!G662</f>
        <v>APS-C</v>
      </c>
      <c r="N662" t="str">
        <f>'(Raw) LensesGH'!H662</f>
        <v>440g</v>
      </c>
      <c r="O662" s="5">
        <f t="shared" si="97"/>
        <v>440</v>
      </c>
      <c r="P662" t="str">
        <f>'(Raw) LensesGH'!I662</f>
        <v>71 x 111.5mm</v>
      </c>
      <c r="Q662" s="39">
        <f t="shared" si="98"/>
        <v>71</v>
      </c>
      <c r="R662" s="39">
        <f t="shared" si="90"/>
        <v>111.5</v>
      </c>
    </row>
    <row r="663" spans="1:18" x14ac:dyDescent="0.25">
      <c r="A663" t="str">
        <f>'(Raw) LensesGH'!A663</f>
        <v>Pentax smc DA 55mm 1.4 SDM schwarz</v>
      </c>
      <c r="B663" t="str">
        <f>'(Raw) LensesGH'!B663</f>
        <v>55mm</v>
      </c>
      <c r="C663" s="5">
        <f t="shared" si="91"/>
        <v>55</v>
      </c>
      <c r="D663" s="5">
        <f t="shared" si="92"/>
        <v>55</v>
      </c>
      <c r="E663" t="str">
        <f>'(Raw) LensesGH'!C663</f>
        <v>1:1.4</v>
      </c>
      <c r="F663" s="9">
        <f t="shared" si="93"/>
        <v>1.4</v>
      </c>
      <c r="G663" s="9">
        <f t="shared" si="94"/>
        <v>1.4</v>
      </c>
      <c r="H663" t="str">
        <f>'(Raw) LensesGH'!D663</f>
        <v>58mm</v>
      </c>
      <c r="I663" s="2">
        <f t="shared" si="95"/>
        <v>58</v>
      </c>
      <c r="J663" s="2" t="str">
        <f>'(Raw) LensesGH'!E663</f>
        <v>1:5.88</v>
      </c>
      <c r="K663" s="40">
        <f t="shared" si="96"/>
        <v>5.88</v>
      </c>
      <c r="L663" t="str">
        <f>'(Raw) LensesGH'!F663</f>
        <v>Pentax K</v>
      </c>
      <c r="M663" t="str">
        <f>'(Raw) LensesGH'!G663</f>
        <v>APS-C</v>
      </c>
      <c r="N663" t="str">
        <f>'(Raw) LensesGH'!H663</f>
        <v>375g</v>
      </c>
      <c r="O663" s="5">
        <f t="shared" si="97"/>
        <v>375</v>
      </c>
      <c r="P663" t="str">
        <f>'(Raw) LensesGH'!I663</f>
        <v>70.5 x 66mm</v>
      </c>
      <c r="Q663" s="39">
        <f t="shared" si="98"/>
        <v>70.5</v>
      </c>
      <c r="R663" s="39">
        <f t="shared" si="90"/>
        <v>66</v>
      </c>
    </row>
    <row r="664" spans="1:18" x14ac:dyDescent="0.25">
      <c r="A664" t="str">
        <f>'(Raw) LensesGH'!A664</f>
        <v>Pentax smc DA 560mm 5.6 ED AW weiß</v>
      </c>
      <c r="B664" t="str">
        <f>'(Raw) LensesGH'!B664</f>
        <v>560mm</v>
      </c>
      <c r="C664" s="5">
        <f t="shared" si="91"/>
        <v>560</v>
      </c>
      <c r="D664" s="5">
        <f t="shared" si="92"/>
        <v>560</v>
      </c>
      <c r="E664" t="str">
        <f>'(Raw) LensesGH'!C664</f>
        <v>1:5.6</v>
      </c>
      <c r="F664" s="9">
        <f t="shared" si="93"/>
        <v>5.6</v>
      </c>
      <c r="G664" s="9">
        <f t="shared" si="94"/>
        <v>5.6</v>
      </c>
      <c r="H664" t="str">
        <f>'(Raw) LensesGH'!D664</f>
        <v>112mm</v>
      </c>
      <c r="I664" s="2">
        <f t="shared" si="95"/>
        <v>112</v>
      </c>
      <c r="J664" s="2" t="str">
        <f>'(Raw) LensesGH'!E664</f>
        <v>1:10.00</v>
      </c>
      <c r="K664" s="40">
        <f t="shared" si="96"/>
        <v>10</v>
      </c>
      <c r="L664" t="str">
        <f>'(Raw) LensesGH'!F664</f>
        <v>Pentax K</v>
      </c>
      <c r="M664" t="str">
        <f>'(Raw) LensesGH'!G664</f>
        <v>APS-C</v>
      </c>
      <c r="N664" t="str">
        <f>'(Raw) LensesGH'!H664</f>
        <v>3040g</v>
      </c>
      <c r="O664" s="5">
        <f t="shared" si="97"/>
        <v>3040</v>
      </c>
      <c r="P664" t="str">
        <f>'(Raw) LensesGH'!I664</f>
        <v>130 x 522mm</v>
      </c>
      <c r="Q664" s="39">
        <f t="shared" si="98"/>
        <v>130</v>
      </c>
      <c r="R664" s="39">
        <f t="shared" si="90"/>
        <v>522</v>
      </c>
    </row>
    <row r="665" spans="1:18" x14ac:dyDescent="0.25">
      <c r="A665" t="str">
        <f>'(Raw) LensesGH'!A665</f>
        <v>Pentax smc DA 60-250mm 4.0 ED IF SDM schwarz</v>
      </c>
      <c r="B665" t="str">
        <f>'(Raw) LensesGH'!B665</f>
        <v>60 - 250mm</v>
      </c>
      <c r="C665" s="5">
        <f t="shared" si="91"/>
        <v>60</v>
      </c>
      <c r="D665" s="5">
        <f t="shared" si="92"/>
        <v>250</v>
      </c>
      <c r="E665" t="str">
        <f>'(Raw) LensesGH'!C665</f>
        <v>1:4.0</v>
      </c>
      <c r="F665" s="9">
        <f t="shared" si="93"/>
        <v>4</v>
      </c>
      <c r="G665" s="9">
        <f t="shared" si="94"/>
        <v>4</v>
      </c>
      <c r="H665" t="str">
        <f>'(Raw) LensesGH'!D665</f>
        <v>67mm</v>
      </c>
      <c r="I665" s="2">
        <f t="shared" si="95"/>
        <v>67</v>
      </c>
      <c r="J665" s="2" t="str">
        <f>'(Raw) LensesGH'!E665</f>
        <v>1:6.67</v>
      </c>
      <c r="K665" s="40">
        <f t="shared" si="96"/>
        <v>6.67</v>
      </c>
      <c r="L665" t="str">
        <f>'(Raw) LensesGH'!F665</f>
        <v>Pentax K</v>
      </c>
      <c r="M665" t="str">
        <f>'(Raw) LensesGH'!G665</f>
        <v>APS-C</v>
      </c>
      <c r="N665" t="str">
        <f>'(Raw) LensesGH'!H665</f>
        <v>1040g</v>
      </c>
      <c r="O665" s="5">
        <f t="shared" si="97"/>
        <v>1040</v>
      </c>
      <c r="P665" t="str">
        <f>'(Raw) LensesGH'!I665</f>
        <v>82 x 167.5mm</v>
      </c>
      <c r="Q665" s="39">
        <f t="shared" si="98"/>
        <v>82</v>
      </c>
      <c r="R665" s="39">
        <f t="shared" si="90"/>
        <v>167.5</v>
      </c>
    </row>
    <row r="666" spans="1:18" x14ac:dyDescent="0.25">
      <c r="A666" t="str">
        <f>'(Raw) LensesGH'!A666</f>
        <v>Pentax smc DA 645 25mm 4.0 AL IF SDM AW schwarz</v>
      </c>
      <c r="B666" t="str">
        <f>'(Raw) LensesGH'!B666</f>
        <v>25mm</v>
      </c>
      <c r="C666" s="5">
        <f t="shared" si="91"/>
        <v>25</v>
      </c>
      <c r="D666" s="5">
        <f t="shared" si="92"/>
        <v>25</v>
      </c>
      <c r="E666" t="str">
        <f>'(Raw) LensesGH'!C666</f>
        <v>1:4.0</v>
      </c>
      <c r="F666" s="9">
        <f t="shared" si="93"/>
        <v>4</v>
      </c>
      <c r="G666" s="9">
        <f t="shared" si="94"/>
        <v>4</v>
      </c>
      <c r="H666" t="str">
        <f>'(Raw) LensesGH'!D666</f>
        <v>40.5mm</v>
      </c>
      <c r="I666" s="2">
        <f t="shared" si="95"/>
        <v>40.5</v>
      </c>
      <c r="J666" s="2" t="str">
        <f>'(Raw) LensesGH'!E666</f>
        <v>1:9.09</v>
      </c>
      <c r="K666" s="40">
        <f t="shared" si="96"/>
        <v>9.09</v>
      </c>
      <c r="L666" t="str">
        <f>'(Raw) LensesGH'!F666</f>
        <v>Pentax 645</v>
      </c>
      <c r="M666" t="str">
        <f>'(Raw) LensesGH'!G666</f>
        <v>APS-C</v>
      </c>
      <c r="N666" t="str">
        <f>'(Raw) LensesGH'!H666</f>
        <v>1040g</v>
      </c>
      <c r="O666" s="5">
        <f t="shared" si="97"/>
        <v>1040</v>
      </c>
      <c r="P666" t="str">
        <f>'(Raw) LensesGH'!I666</f>
        <v>90 x 149mm</v>
      </c>
      <c r="Q666" s="39">
        <f t="shared" si="98"/>
        <v>90</v>
      </c>
      <c r="R666" s="39">
        <f t="shared" si="90"/>
        <v>149</v>
      </c>
    </row>
    <row r="667" spans="1:18" x14ac:dyDescent="0.25">
      <c r="A667" t="str">
        <f>'(Raw) LensesGH'!A667</f>
        <v>Pentax smc DA L 50-200mm 4.0-5.6 ED schwarz</v>
      </c>
      <c r="B667" t="str">
        <f>'(Raw) LensesGH'!B667</f>
        <v>50 - 200mm</v>
      </c>
      <c r="C667" s="5">
        <f t="shared" si="91"/>
        <v>50</v>
      </c>
      <c r="D667" s="5">
        <f t="shared" si="92"/>
        <v>200</v>
      </c>
      <c r="E667" t="str">
        <f>'(Raw) LensesGH'!C667</f>
        <v>1:4.0-1:5.6</v>
      </c>
      <c r="F667" s="9">
        <f t="shared" si="93"/>
        <v>4</v>
      </c>
      <c r="G667" s="9">
        <f t="shared" si="94"/>
        <v>4</v>
      </c>
      <c r="H667" t="str">
        <f>'(Raw) LensesGH'!D667</f>
        <v>52mm</v>
      </c>
      <c r="I667" s="2">
        <f t="shared" si="95"/>
        <v>52</v>
      </c>
      <c r="J667" s="2" t="str">
        <f>'(Raw) LensesGH'!E667</f>
        <v>1:4.17</v>
      </c>
      <c r="K667" s="40">
        <f t="shared" si="96"/>
        <v>4.17</v>
      </c>
      <c r="L667" t="str">
        <f>'(Raw) LensesGH'!F667</f>
        <v>Pentax K</v>
      </c>
      <c r="M667" t="str">
        <f>'(Raw) LensesGH'!G667</f>
        <v>APS-C</v>
      </c>
      <c r="N667" t="str">
        <f>'(Raw) LensesGH'!H667</f>
        <v>235g</v>
      </c>
      <c r="O667" s="5">
        <f t="shared" si="97"/>
        <v>235</v>
      </c>
      <c r="P667" t="str">
        <f>'(Raw) LensesGH'!I667</f>
        <v>78.5 x 66.5mm</v>
      </c>
      <c r="Q667" s="39">
        <f t="shared" si="98"/>
        <v>78.5</v>
      </c>
      <c r="R667" s="39">
        <f t="shared" si="90"/>
        <v>66.5</v>
      </c>
    </row>
    <row r="668" spans="1:18" x14ac:dyDescent="0.25">
      <c r="A668" t="str">
        <f>'(Raw) LensesGH'!A668</f>
        <v>Pentax smc DFA 100mm 2.8 Makro WR schwarz</v>
      </c>
      <c r="B668" t="str">
        <f>'(Raw) LensesGH'!B668</f>
        <v>100mm</v>
      </c>
      <c r="C668" s="5">
        <f t="shared" si="91"/>
        <v>100</v>
      </c>
      <c r="D668" s="5">
        <f t="shared" si="92"/>
        <v>100</v>
      </c>
      <c r="E668" t="str">
        <f>'(Raw) LensesGH'!C668</f>
        <v>1:2.8</v>
      </c>
      <c r="F668" s="9">
        <f t="shared" si="93"/>
        <v>2.8</v>
      </c>
      <c r="G668" s="9">
        <f t="shared" si="94"/>
        <v>2.8</v>
      </c>
      <c r="H668" t="str">
        <f>'(Raw) LensesGH'!D668</f>
        <v>49mm</v>
      </c>
      <c r="I668" s="2">
        <f t="shared" si="95"/>
        <v>49</v>
      </c>
      <c r="J668" s="2" t="str">
        <f>'(Raw) LensesGH'!E668</f>
        <v>1:1.00</v>
      </c>
      <c r="K668" s="40">
        <f t="shared" si="96"/>
        <v>1</v>
      </c>
      <c r="L668" t="str">
        <f>'(Raw) LensesGH'!F668</f>
        <v>Pentax K</v>
      </c>
      <c r="M668" t="str">
        <f>'(Raw) LensesGH'!G668</f>
        <v>APS-C/ Kleinbild</v>
      </c>
      <c r="N668" t="str">
        <f>'(Raw) LensesGH'!H668</f>
        <v>340g</v>
      </c>
      <c r="O668" s="5">
        <f t="shared" si="97"/>
        <v>340</v>
      </c>
      <c r="P668" t="str">
        <f>'(Raw) LensesGH'!I668</f>
        <v>65 x 80.5mm</v>
      </c>
      <c r="Q668" s="39">
        <f t="shared" si="98"/>
        <v>65</v>
      </c>
      <c r="R668" s="39">
        <f t="shared" si="90"/>
        <v>80.5</v>
      </c>
    </row>
    <row r="669" spans="1:18" x14ac:dyDescent="0.25">
      <c r="A669" t="str">
        <f>'(Raw) LensesGH'!A669</f>
        <v>Pentax smc DFA 50mm 2.8 Makro schwarz</v>
      </c>
      <c r="B669" t="str">
        <f>'(Raw) LensesGH'!B669</f>
        <v>50mm</v>
      </c>
      <c r="C669" s="5">
        <f t="shared" si="91"/>
        <v>50</v>
      </c>
      <c r="D669" s="5">
        <f t="shared" si="92"/>
        <v>50</v>
      </c>
      <c r="E669" t="str">
        <f>'(Raw) LensesGH'!C669</f>
        <v>1:2.8</v>
      </c>
      <c r="F669" s="9">
        <f t="shared" si="93"/>
        <v>2.8</v>
      </c>
      <c r="G669" s="9">
        <f t="shared" si="94"/>
        <v>2.8</v>
      </c>
      <c r="H669" t="str">
        <f>'(Raw) LensesGH'!D669</f>
        <v>49mm</v>
      </c>
      <c r="I669" s="2">
        <f t="shared" si="95"/>
        <v>49</v>
      </c>
      <c r="J669" s="2" t="str">
        <f>'(Raw) LensesGH'!E669</f>
        <v>1:1.00</v>
      </c>
      <c r="K669" s="40">
        <f t="shared" si="96"/>
        <v>1</v>
      </c>
      <c r="L669" t="str">
        <f>'(Raw) LensesGH'!F669</f>
        <v>Pentax K</v>
      </c>
      <c r="M669" t="str">
        <f>'(Raw) LensesGH'!G669</f>
        <v>APS-C/ Kleinbild</v>
      </c>
      <c r="N669" t="str">
        <f>'(Raw) LensesGH'!H669</f>
        <v>265g</v>
      </c>
      <c r="O669" s="5">
        <f t="shared" si="97"/>
        <v>265</v>
      </c>
      <c r="P669" t="str">
        <f>'(Raw) LensesGH'!I669</f>
        <v>67.5 x 60.5mm</v>
      </c>
      <c r="Q669" s="39">
        <f t="shared" si="98"/>
        <v>67.5</v>
      </c>
      <c r="R669" s="39">
        <f t="shared" si="90"/>
        <v>60.5</v>
      </c>
    </row>
    <row r="670" spans="1:18" x14ac:dyDescent="0.25">
      <c r="A670" t="str">
        <f>'(Raw) LensesGH'!A670</f>
        <v>Pentax smc DFA 645 35mm 3.5 AL IF schwarz</v>
      </c>
      <c r="B670" t="str">
        <f>'(Raw) LensesGH'!B670</f>
        <v>35mm</v>
      </c>
      <c r="C670" s="5">
        <f t="shared" si="91"/>
        <v>35</v>
      </c>
      <c r="D670" s="5">
        <f t="shared" si="92"/>
        <v>35</v>
      </c>
      <c r="E670" t="str">
        <f>'(Raw) LensesGH'!C670</f>
        <v>1:3.5</v>
      </c>
      <c r="F670" s="9">
        <f t="shared" si="93"/>
        <v>3.5</v>
      </c>
      <c r="G670" s="9">
        <f t="shared" si="94"/>
        <v>3.5</v>
      </c>
      <c r="H670" t="str">
        <f>'(Raw) LensesGH'!D670</f>
        <v>82mm</v>
      </c>
      <c r="I670" s="2">
        <f t="shared" si="95"/>
        <v>82</v>
      </c>
      <c r="J670" s="2" t="str">
        <f>'(Raw) LensesGH'!E670</f>
        <v>1:4.00</v>
      </c>
      <c r="K670" s="40">
        <f t="shared" si="96"/>
        <v>4</v>
      </c>
      <c r="L670" t="str">
        <f>'(Raw) LensesGH'!F670</f>
        <v>Pentax 645</v>
      </c>
      <c r="M670" t="str">
        <f>'(Raw) LensesGH'!G670</f>
        <v>APS-C/ Kleinbild</v>
      </c>
      <c r="N670" t="str">
        <f>'(Raw) LensesGH'!H670</f>
        <v>570g</v>
      </c>
      <c r="O670" s="5">
        <f t="shared" si="97"/>
        <v>570</v>
      </c>
      <c r="P670" t="str">
        <f>'(Raw) LensesGH'!I670</f>
        <v>88 x 90mm</v>
      </c>
      <c r="Q670" s="39">
        <f t="shared" si="98"/>
        <v>88</v>
      </c>
      <c r="R670" s="39">
        <f t="shared" si="90"/>
        <v>90</v>
      </c>
    </row>
    <row r="671" spans="1:18" x14ac:dyDescent="0.25">
      <c r="A671" t="str">
        <f>'(Raw) LensesGH'!A671</f>
        <v>Pentax smc DFA 645 55mm 2.8 AL IF SDM AW schwarz</v>
      </c>
      <c r="B671" t="str">
        <f>'(Raw) LensesGH'!B671</f>
        <v>55mm</v>
      </c>
      <c r="C671" s="5">
        <f t="shared" si="91"/>
        <v>55</v>
      </c>
      <c r="D671" s="5">
        <f t="shared" si="92"/>
        <v>55</v>
      </c>
      <c r="E671" t="str">
        <f>'(Raw) LensesGH'!C671</f>
        <v>1:2.8</v>
      </c>
      <c r="F671" s="9">
        <f t="shared" si="93"/>
        <v>2.8</v>
      </c>
      <c r="G671" s="9">
        <f t="shared" si="94"/>
        <v>2.8</v>
      </c>
      <c r="H671" t="str">
        <f>'(Raw) LensesGH'!D671</f>
        <v>67mm</v>
      </c>
      <c r="I671" s="2">
        <f t="shared" si="95"/>
        <v>67</v>
      </c>
      <c r="J671" s="2" t="str">
        <f>'(Raw) LensesGH'!E671</f>
        <v>1:5.88</v>
      </c>
      <c r="K671" s="40">
        <f t="shared" si="96"/>
        <v>5.88</v>
      </c>
      <c r="L671" t="str">
        <f>'(Raw) LensesGH'!F671</f>
        <v>Pentax 645</v>
      </c>
      <c r="M671" t="str">
        <f>'(Raw) LensesGH'!G671</f>
        <v>APS-C/ Kleinbild</v>
      </c>
      <c r="N671" t="str">
        <f>'(Raw) LensesGH'!H671</f>
        <v>416g</v>
      </c>
      <c r="O671" s="5">
        <f t="shared" si="97"/>
        <v>416</v>
      </c>
      <c r="P671" t="str">
        <f>'(Raw) LensesGH'!I671</f>
        <v>81.3 x 68.2mm</v>
      </c>
      <c r="Q671" s="39">
        <f t="shared" si="98"/>
        <v>81.3</v>
      </c>
      <c r="R671" s="39">
        <f t="shared" si="90"/>
        <v>68.2</v>
      </c>
    </row>
    <row r="672" spans="1:18" x14ac:dyDescent="0.25">
      <c r="A672" t="str">
        <f>'(Raw) LensesGH'!A672</f>
        <v>Pentax smc DFA 645 90mm 2.8 AW SR W/C Makro schwarz</v>
      </c>
      <c r="B672" t="str">
        <f>'(Raw) LensesGH'!B672</f>
        <v>90mm</v>
      </c>
      <c r="C672" s="5">
        <f t="shared" si="91"/>
        <v>90</v>
      </c>
      <c r="D672" s="5">
        <f t="shared" si="92"/>
        <v>90</v>
      </c>
      <c r="E672" t="str">
        <f>'(Raw) LensesGH'!C672</f>
        <v>1:2.8</v>
      </c>
      <c r="F672" s="9">
        <f t="shared" si="93"/>
        <v>2.8</v>
      </c>
      <c r="G672" s="9">
        <f t="shared" si="94"/>
        <v>2.8</v>
      </c>
      <c r="H672" t="str">
        <f>'(Raw) LensesGH'!D672</f>
        <v>67mm</v>
      </c>
      <c r="I672" s="2">
        <f t="shared" si="95"/>
        <v>67</v>
      </c>
      <c r="J672" s="2" t="str">
        <f>'(Raw) LensesGH'!E672</f>
        <v>1:2.00</v>
      </c>
      <c r="K672" s="40">
        <f t="shared" si="96"/>
        <v>2</v>
      </c>
      <c r="L672" t="str">
        <f>'(Raw) LensesGH'!F672</f>
        <v>Pentax 645</v>
      </c>
      <c r="M672" t="str">
        <f>'(Raw) LensesGH'!G672</f>
        <v>APS-C/ Kleinbild</v>
      </c>
      <c r="N672" t="str">
        <f>'(Raw) LensesGH'!H672</f>
        <v>1040g</v>
      </c>
      <c r="O672" s="5">
        <f t="shared" si="97"/>
        <v>1040</v>
      </c>
      <c r="P672" t="str">
        <f>'(Raw) LensesGH'!I672</f>
        <v>90.5 x 111.6mm</v>
      </c>
      <c r="Q672" s="39">
        <f t="shared" si="98"/>
        <v>90.5</v>
      </c>
      <c r="R672" s="39">
        <f t="shared" si="90"/>
        <v>111.6</v>
      </c>
    </row>
    <row r="673" spans="1:18" x14ac:dyDescent="0.25">
      <c r="A673" t="str">
        <f>'(Raw) LensesGH'!A673</f>
        <v>Pentax smc FA 31mm 1.8 AL Limited silber</v>
      </c>
      <c r="B673" t="str">
        <f>'(Raw) LensesGH'!B673</f>
        <v>31mm</v>
      </c>
      <c r="C673" s="5">
        <f t="shared" si="91"/>
        <v>31</v>
      </c>
      <c r="D673" s="5">
        <f t="shared" si="92"/>
        <v>31</v>
      </c>
      <c r="E673" t="str">
        <f>'(Raw) LensesGH'!C673</f>
        <v>1:1.8</v>
      </c>
      <c r="F673" s="9">
        <f t="shared" si="93"/>
        <v>1.8</v>
      </c>
      <c r="G673" s="9">
        <f t="shared" si="94"/>
        <v>1.8</v>
      </c>
      <c r="H673" t="str">
        <f>'(Raw) LensesGH'!D673</f>
        <v>58mm</v>
      </c>
      <c r="I673" s="2">
        <f t="shared" si="95"/>
        <v>58</v>
      </c>
      <c r="J673" s="2" t="str">
        <f>'(Raw) LensesGH'!E673</f>
        <v>1:6.25</v>
      </c>
      <c r="K673" s="40">
        <f t="shared" si="96"/>
        <v>6.25</v>
      </c>
      <c r="L673" t="str">
        <f>'(Raw) LensesGH'!F673</f>
        <v>Pentax K</v>
      </c>
      <c r="M673" t="str">
        <f>'(Raw) LensesGH'!G673</f>
        <v>APS-C/ Kleinbild</v>
      </c>
      <c r="N673" t="str">
        <f>'(Raw) LensesGH'!H673</f>
        <v>345g</v>
      </c>
      <c r="O673" s="5">
        <f t="shared" si="97"/>
        <v>345</v>
      </c>
      <c r="P673" t="str">
        <f>'(Raw) LensesGH'!I673</f>
        <v>65 x 68.5mm</v>
      </c>
      <c r="Q673" s="39">
        <f t="shared" si="98"/>
        <v>65</v>
      </c>
      <c r="R673" s="39">
        <f t="shared" si="90"/>
        <v>68.5</v>
      </c>
    </row>
    <row r="674" spans="1:18" x14ac:dyDescent="0.25">
      <c r="A674" t="str">
        <f>'(Raw) LensesGH'!A674</f>
        <v>Pentax smc FA 35mm 2.0 AL schwarz</v>
      </c>
      <c r="B674" t="str">
        <f>'(Raw) LensesGH'!B674</f>
        <v>35mm</v>
      </c>
      <c r="C674" s="5">
        <f t="shared" si="91"/>
        <v>35</v>
      </c>
      <c r="D674" s="5">
        <f t="shared" si="92"/>
        <v>35</v>
      </c>
      <c r="E674" t="str">
        <f>'(Raw) LensesGH'!C674</f>
        <v>1:2.0</v>
      </c>
      <c r="F674" s="9">
        <f t="shared" si="93"/>
        <v>2</v>
      </c>
      <c r="G674" s="9">
        <f t="shared" si="94"/>
        <v>2</v>
      </c>
      <c r="H674" t="str">
        <f>'(Raw) LensesGH'!D674</f>
        <v>49mm</v>
      </c>
      <c r="I674" s="2">
        <f t="shared" si="95"/>
        <v>49</v>
      </c>
      <c r="J674" s="2">
        <f>'(Raw) LensesGH'!E674</f>
        <v>0</v>
      </c>
      <c r="K674" s="40">
        <f t="shared" si="96"/>
        <v>0</v>
      </c>
      <c r="L674" t="str">
        <f>'(Raw) LensesGH'!F674</f>
        <v>Pentax K</v>
      </c>
      <c r="M674" t="str">
        <f>'(Raw) LensesGH'!G674</f>
        <v>APS-C/ Kleinbild</v>
      </c>
      <c r="N674" t="str">
        <f>'(Raw) LensesGH'!H674</f>
        <v>195g</v>
      </c>
      <c r="O674" s="5">
        <f t="shared" si="97"/>
        <v>195</v>
      </c>
      <c r="P674" t="str">
        <f>'(Raw) LensesGH'!I674</f>
        <v>64 x 44.5mm</v>
      </c>
      <c r="Q674" s="39">
        <f t="shared" si="98"/>
        <v>64</v>
      </c>
      <c r="R674" s="39">
        <f t="shared" si="90"/>
        <v>44.5</v>
      </c>
    </row>
    <row r="675" spans="1:18" x14ac:dyDescent="0.25">
      <c r="A675" t="str">
        <f>'(Raw) LensesGH'!A675</f>
        <v>Pentax smc FA 400mm 5.6 ED IF schwarz</v>
      </c>
      <c r="B675" t="str">
        <f>'(Raw) LensesGH'!B675</f>
        <v>400mm</v>
      </c>
      <c r="C675" s="5">
        <f t="shared" si="91"/>
        <v>400</v>
      </c>
      <c r="D675" s="5">
        <f t="shared" si="92"/>
        <v>400</v>
      </c>
      <c r="E675">
        <f>'(Raw) LensesGH'!C675</f>
        <v>0</v>
      </c>
      <c r="F675" s="9">
        <f t="shared" si="93"/>
        <v>0</v>
      </c>
      <c r="G675" s="9">
        <f t="shared" si="94"/>
        <v>0</v>
      </c>
      <c r="H675">
        <f>'(Raw) LensesGH'!D675</f>
        <v>0</v>
      </c>
      <c r="I675" s="2">
        <f t="shared" si="95"/>
        <v>0</v>
      </c>
      <c r="J675" s="2" t="str">
        <f>'(Raw) LensesGH'!E675</f>
        <v>1:4.3</v>
      </c>
      <c r="K675" s="40">
        <f>getMagnification(J675)</f>
        <v>4.3</v>
      </c>
      <c r="L675">
        <f>'(Raw) LensesGH'!F675</f>
        <v>0</v>
      </c>
      <c r="M675" t="str">
        <f>'(Raw) LensesGH'!G675</f>
        <v>APS-C/ Kleinbild</v>
      </c>
      <c r="N675" t="str">
        <f>'(Raw) LensesGH'!H675</f>
        <v>1140g</v>
      </c>
      <c r="O675" s="5">
        <f t="shared" si="97"/>
        <v>1140</v>
      </c>
      <c r="P675" t="str">
        <f>'(Raw) LensesGH'!I675</f>
        <v>199 x 83.5mm</v>
      </c>
      <c r="Q675" s="39">
        <f t="shared" si="98"/>
        <v>199</v>
      </c>
      <c r="R675" s="39">
        <f t="shared" si="90"/>
        <v>83.5</v>
      </c>
    </row>
    <row r="676" spans="1:18" x14ac:dyDescent="0.25">
      <c r="A676" t="str">
        <f>'(Raw) LensesGH'!A676</f>
        <v>Pentax smc FA 43mm 1.9 Limited silber</v>
      </c>
      <c r="B676" t="str">
        <f>'(Raw) LensesGH'!B676</f>
        <v>43mm</v>
      </c>
      <c r="C676" s="5">
        <f t="shared" si="91"/>
        <v>43</v>
      </c>
      <c r="D676" s="5">
        <f t="shared" si="92"/>
        <v>43</v>
      </c>
      <c r="E676" t="str">
        <f>'(Raw) LensesGH'!C676</f>
        <v>1:1.9</v>
      </c>
      <c r="F676" s="9">
        <f t="shared" si="93"/>
        <v>1.9</v>
      </c>
      <c r="G676" s="9">
        <f t="shared" si="94"/>
        <v>1.9</v>
      </c>
      <c r="H676" t="str">
        <f>'(Raw) LensesGH'!D676</f>
        <v>49mm</v>
      </c>
      <c r="I676" s="2">
        <f t="shared" si="95"/>
        <v>49</v>
      </c>
      <c r="J676" s="2" t="str">
        <f>'(Raw) LensesGH'!E676</f>
        <v>1:8.33</v>
      </c>
      <c r="K676" s="40">
        <f t="shared" si="96"/>
        <v>8.33</v>
      </c>
      <c r="L676" t="str">
        <f>'(Raw) LensesGH'!F676</f>
        <v>Pentax K</v>
      </c>
      <c r="M676" t="str">
        <f>'(Raw) LensesGH'!G676</f>
        <v>APS-C/ Kleinbild</v>
      </c>
      <c r="N676" t="str">
        <f>'(Raw) LensesGH'!H676</f>
        <v>155g</v>
      </c>
      <c r="O676" s="5">
        <f t="shared" si="97"/>
        <v>155</v>
      </c>
      <c r="P676" t="str">
        <f>'(Raw) LensesGH'!I676</f>
        <v>64 x 27mm</v>
      </c>
      <c r="Q676" s="39">
        <f t="shared" si="98"/>
        <v>64</v>
      </c>
      <c r="R676" s="39">
        <f t="shared" si="90"/>
        <v>27</v>
      </c>
    </row>
    <row r="677" spans="1:18" x14ac:dyDescent="0.25">
      <c r="A677" t="str">
        <f>'(Raw) LensesGH'!A677</f>
        <v>Pentax smc FA 50mm 1.4 schwarz</v>
      </c>
      <c r="B677" t="str">
        <f>'(Raw) LensesGH'!B677</f>
        <v>50mm</v>
      </c>
      <c r="C677" s="5">
        <f t="shared" si="91"/>
        <v>50</v>
      </c>
      <c r="D677" s="5">
        <f t="shared" si="92"/>
        <v>50</v>
      </c>
      <c r="E677" t="str">
        <f>'(Raw) LensesGH'!C677</f>
        <v>1:1.4</v>
      </c>
      <c r="F677" s="9">
        <f t="shared" si="93"/>
        <v>1.4</v>
      </c>
      <c r="G677" s="9">
        <f t="shared" si="94"/>
        <v>1.4</v>
      </c>
      <c r="H677" t="str">
        <f>'(Raw) LensesGH'!D677</f>
        <v>49mm</v>
      </c>
      <c r="I677" s="2">
        <f t="shared" si="95"/>
        <v>49</v>
      </c>
      <c r="J677" s="2">
        <f>'(Raw) LensesGH'!E677</f>
        <v>0</v>
      </c>
      <c r="K677" s="40">
        <f t="shared" si="96"/>
        <v>0</v>
      </c>
      <c r="L677" t="str">
        <f>'(Raw) LensesGH'!F677</f>
        <v>Pentax K</v>
      </c>
      <c r="M677" t="str">
        <f>'(Raw) LensesGH'!G677</f>
        <v>APS-C/ Kleinbild</v>
      </c>
      <c r="N677" t="str">
        <f>'(Raw) LensesGH'!H677</f>
        <v>220g</v>
      </c>
      <c r="O677" s="5">
        <f t="shared" si="97"/>
        <v>220</v>
      </c>
      <c r="P677" t="str">
        <f>'(Raw) LensesGH'!I677</f>
        <v>37 x 65mm</v>
      </c>
      <c r="Q677" s="39">
        <f t="shared" si="98"/>
        <v>37</v>
      </c>
      <c r="R677" s="39">
        <f t="shared" si="90"/>
        <v>65</v>
      </c>
    </row>
    <row r="678" spans="1:18" x14ac:dyDescent="0.25">
      <c r="A678" t="str">
        <f>'(Raw) LensesGH'!A678</f>
        <v>Pentax smc FA 645 120mm 4.0 Makro schwarz</v>
      </c>
      <c r="B678" t="str">
        <f>'(Raw) LensesGH'!B678</f>
        <v>120mm</v>
      </c>
      <c r="C678" s="5">
        <f t="shared" si="91"/>
        <v>120</v>
      </c>
      <c r="D678" s="5">
        <f t="shared" si="92"/>
        <v>120</v>
      </c>
      <c r="E678" t="str">
        <f>'(Raw) LensesGH'!C678</f>
        <v>1:4.0</v>
      </c>
      <c r="F678" s="9">
        <f t="shared" si="93"/>
        <v>4</v>
      </c>
      <c r="G678" s="9">
        <f t="shared" si="94"/>
        <v>4</v>
      </c>
      <c r="H678" t="str">
        <f>'(Raw) LensesGH'!D678</f>
        <v>67mm</v>
      </c>
      <c r="I678" s="2">
        <f t="shared" si="95"/>
        <v>67</v>
      </c>
      <c r="J678" s="2" t="str">
        <f>'(Raw) LensesGH'!E678</f>
        <v>1:1.00</v>
      </c>
      <c r="K678" s="40">
        <f t="shared" si="96"/>
        <v>1</v>
      </c>
      <c r="L678" t="str">
        <f>'(Raw) LensesGH'!F678</f>
        <v>Pentax 645</v>
      </c>
      <c r="M678" t="str">
        <f>'(Raw) LensesGH'!G678</f>
        <v>APS-C/ Kleinbild</v>
      </c>
      <c r="N678" t="str">
        <f>'(Raw) LensesGH'!H678</f>
        <v>735g</v>
      </c>
      <c r="O678" s="5">
        <f t="shared" si="97"/>
        <v>735</v>
      </c>
      <c r="P678" t="str">
        <f>'(Raw) LensesGH'!I678</f>
        <v>82.5 x 110mm</v>
      </c>
      <c r="Q678" s="39">
        <f t="shared" si="98"/>
        <v>82.5</v>
      </c>
      <c r="R678" s="39">
        <f t="shared" si="90"/>
        <v>110</v>
      </c>
    </row>
    <row r="679" spans="1:18" x14ac:dyDescent="0.25">
      <c r="A679" t="str">
        <f>'(Raw) LensesGH'!A679</f>
        <v>Pentax smc FA 645 150-300mm 5.6 schwarz</v>
      </c>
      <c r="B679" t="str">
        <f>'(Raw) LensesGH'!B679</f>
        <v>150 - 300mm</v>
      </c>
      <c r="C679" s="5">
        <f t="shared" si="91"/>
        <v>150</v>
      </c>
      <c r="D679" s="5">
        <f t="shared" si="92"/>
        <v>300</v>
      </c>
      <c r="E679" t="str">
        <f>'(Raw) LensesGH'!C679</f>
        <v>1:5.6</v>
      </c>
      <c r="F679" s="9">
        <f t="shared" si="93"/>
        <v>5.6</v>
      </c>
      <c r="G679" s="9">
        <f t="shared" si="94"/>
        <v>5.6</v>
      </c>
      <c r="H679" t="str">
        <f>'(Raw) LensesGH'!D679</f>
        <v>67mm</v>
      </c>
      <c r="I679" s="2">
        <f t="shared" si="95"/>
        <v>67</v>
      </c>
      <c r="J679" s="2" t="str">
        <f>'(Raw) LensesGH'!E679</f>
        <v>1:5.56</v>
      </c>
      <c r="K679" s="40">
        <f t="shared" si="96"/>
        <v>5.56</v>
      </c>
      <c r="L679" t="str">
        <f>'(Raw) LensesGH'!F679</f>
        <v>Pentax 645</v>
      </c>
      <c r="M679" t="str">
        <f>'(Raw) LensesGH'!G679</f>
        <v>APS-C/ Kleinbild</v>
      </c>
      <c r="N679" t="str">
        <f>'(Raw) LensesGH'!H679</f>
        <v>920g</v>
      </c>
      <c r="O679" s="5">
        <f t="shared" si="97"/>
        <v>920</v>
      </c>
      <c r="P679" t="str">
        <f>'(Raw) LensesGH'!I679</f>
        <v>80 x 201mm</v>
      </c>
      <c r="Q679" s="39">
        <f t="shared" si="98"/>
        <v>80</v>
      </c>
      <c r="R679" s="39">
        <f t="shared" si="90"/>
        <v>201</v>
      </c>
    </row>
    <row r="680" spans="1:18" x14ac:dyDescent="0.25">
      <c r="A680" t="str">
        <f>'(Raw) LensesGH'!A680</f>
        <v>Pentax smc FA 645 150mm 2.8 schwarz</v>
      </c>
      <c r="B680" t="str">
        <f>'(Raw) LensesGH'!B680</f>
        <v>150mm</v>
      </c>
      <c r="C680" s="5">
        <f t="shared" si="91"/>
        <v>150</v>
      </c>
      <c r="D680" s="5">
        <f t="shared" si="92"/>
        <v>150</v>
      </c>
      <c r="E680" t="str">
        <f>'(Raw) LensesGH'!C680</f>
        <v>1:2.8</v>
      </c>
      <c r="F680" s="9">
        <f t="shared" si="93"/>
        <v>2.8</v>
      </c>
      <c r="G680" s="9">
        <f t="shared" si="94"/>
        <v>2.8</v>
      </c>
      <c r="H680" t="str">
        <f>'(Raw) LensesGH'!D680</f>
        <v>67mm</v>
      </c>
      <c r="I680" s="2">
        <f t="shared" si="95"/>
        <v>67</v>
      </c>
      <c r="J680" s="2">
        <f>'(Raw) LensesGH'!E680</f>
        <v>0</v>
      </c>
      <c r="K680" s="40">
        <f t="shared" si="96"/>
        <v>0</v>
      </c>
      <c r="L680" t="str">
        <f>'(Raw) LensesGH'!F680</f>
        <v>Pentax 645</v>
      </c>
      <c r="M680" t="str">
        <f>'(Raw) LensesGH'!G680</f>
        <v>APS-C/ Kleinbild</v>
      </c>
      <c r="N680" t="str">
        <f>'(Raw) LensesGH'!H680</f>
        <v>500g</v>
      </c>
      <c r="O680" s="5">
        <f t="shared" si="97"/>
        <v>500</v>
      </c>
      <c r="P680" t="str">
        <f>'(Raw) LensesGH'!I680</f>
        <v>74.5 x 96mm</v>
      </c>
      <c r="Q680" s="39">
        <f t="shared" si="98"/>
        <v>74.5</v>
      </c>
      <c r="R680" s="39">
        <f t="shared" si="90"/>
        <v>96</v>
      </c>
    </row>
    <row r="681" spans="1:18" x14ac:dyDescent="0.25">
      <c r="A681" t="str">
        <f>'(Raw) LensesGH'!A681</f>
        <v>Pentax smc FA 645 200mm 4.0 schwarz</v>
      </c>
      <c r="B681" t="str">
        <f>'(Raw) LensesGH'!B681</f>
        <v>200mm</v>
      </c>
      <c r="C681" s="5">
        <f t="shared" si="91"/>
        <v>200</v>
      </c>
      <c r="D681" s="5">
        <f t="shared" si="92"/>
        <v>200</v>
      </c>
      <c r="E681" t="str">
        <f>'(Raw) LensesGH'!C681</f>
        <v>1:4.0</v>
      </c>
      <c r="F681" s="9">
        <f t="shared" si="93"/>
        <v>4</v>
      </c>
      <c r="G681" s="9">
        <f t="shared" si="94"/>
        <v>4</v>
      </c>
      <c r="H681" t="str">
        <f>'(Raw) LensesGH'!D681</f>
        <v>58mm</v>
      </c>
      <c r="I681" s="2">
        <f t="shared" si="95"/>
        <v>58</v>
      </c>
      <c r="J681" s="2" t="str">
        <f>'(Raw) LensesGH'!E681</f>
        <v>1:6.25</v>
      </c>
      <c r="K681" s="40">
        <f t="shared" si="96"/>
        <v>6.25</v>
      </c>
      <c r="L681" t="str">
        <f>'(Raw) LensesGH'!F681</f>
        <v>Pentax 645</v>
      </c>
      <c r="M681" t="str">
        <f>'(Raw) LensesGH'!G681</f>
        <v>APS-C/ Kleinbild</v>
      </c>
      <c r="N681" t="str">
        <f>'(Raw) LensesGH'!H681</f>
        <v>625g</v>
      </c>
      <c r="O681" s="5">
        <f t="shared" si="97"/>
        <v>625</v>
      </c>
      <c r="P681" t="str">
        <f>'(Raw) LensesGH'!I681</f>
        <v>74.5 x 119mm</v>
      </c>
      <c r="Q681" s="39">
        <f t="shared" si="98"/>
        <v>74.5</v>
      </c>
      <c r="R681" s="39">
        <f t="shared" si="90"/>
        <v>119</v>
      </c>
    </row>
    <row r="682" spans="1:18" x14ac:dyDescent="0.25">
      <c r="A682" t="str">
        <f>'(Raw) LensesGH'!A682</f>
        <v>Pentax smc FA 645 300mm 4.0 ED IF schwarz</v>
      </c>
      <c r="B682" t="str">
        <f>'(Raw) LensesGH'!B682</f>
        <v>300mm</v>
      </c>
      <c r="C682" s="5">
        <f t="shared" si="91"/>
        <v>300</v>
      </c>
      <c r="D682" s="5">
        <f t="shared" si="92"/>
        <v>300</v>
      </c>
      <c r="E682" t="str">
        <f>'(Raw) LensesGH'!C682</f>
        <v>1:4.0</v>
      </c>
      <c r="F682" s="9">
        <f t="shared" si="93"/>
        <v>4</v>
      </c>
      <c r="G682" s="9">
        <f t="shared" si="94"/>
        <v>4</v>
      </c>
      <c r="H682" t="str">
        <f>'(Raw) LensesGH'!D682</f>
        <v>77mm</v>
      </c>
      <c r="I682" s="2">
        <f t="shared" si="95"/>
        <v>77</v>
      </c>
      <c r="J682" s="2" t="str">
        <f>'(Raw) LensesGH'!E682</f>
        <v>1:9.09</v>
      </c>
      <c r="K682" s="40">
        <f t="shared" si="96"/>
        <v>9.09</v>
      </c>
      <c r="L682" t="str">
        <f>'(Raw) LensesGH'!F682</f>
        <v>Pentax 645</v>
      </c>
      <c r="M682" t="str">
        <f>'(Raw) LensesGH'!G682</f>
        <v>APS-C/ Kleinbild</v>
      </c>
      <c r="N682" t="str">
        <f>'(Raw) LensesGH'!H682</f>
        <v>1490g</v>
      </c>
      <c r="O682" s="5">
        <f t="shared" si="97"/>
        <v>1490</v>
      </c>
      <c r="P682" t="str">
        <f>'(Raw) LensesGH'!I682</f>
        <v>83 x 207.5mm</v>
      </c>
      <c r="Q682" s="39">
        <f t="shared" si="98"/>
        <v>83</v>
      </c>
      <c r="R682" s="39">
        <f t="shared" si="90"/>
        <v>207.5</v>
      </c>
    </row>
    <row r="683" spans="1:18" x14ac:dyDescent="0.25">
      <c r="A683" t="str">
        <f>'(Raw) LensesGH'!A683</f>
        <v>Pentax smc FA 645 33-55mm 4.5 schwarz</v>
      </c>
      <c r="B683" t="str">
        <f>'(Raw) LensesGH'!B683</f>
        <v>33 - 55mm</v>
      </c>
      <c r="C683" s="5">
        <f t="shared" si="91"/>
        <v>33</v>
      </c>
      <c r="D683" s="5">
        <f t="shared" si="92"/>
        <v>55</v>
      </c>
      <c r="E683" t="str">
        <f>'(Raw) LensesGH'!C683</f>
        <v>1:4.5</v>
      </c>
      <c r="F683" s="9">
        <f t="shared" si="93"/>
        <v>4.5</v>
      </c>
      <c r="G683" s="9">
        <f t="shared" si="94"/>
        <v>4.5</v>
      </c>
      <c r="H683" t="str">
        <f>'(Raw) LensesGH'!D683</f>
        <v>82mm</v>
      </c>
      <c r="I683" s="2">
        <f t="shared" si="95"/>
        <v>82</v>
      </c>
      <c r="J683" s="2" t="str">
        <f>'(Raw) LensesGH'!E683</f>
        <v>1:4.76</v>
      </c>
      <c r="K683" s="40">
        <f t="shared" si="96"/>
        <v>4.76</v>
      </c>
      <c r="L683" t="str">
        <f>'(Raw) LensesGH'!F683</f>
        <v>Pentax 645</v>
      </c>
      <c r="M683" t="str">
        <f>'(Raw) LensesGH'!G683</f>
        <v>APS-C/ Kleinbild</v>
      </c>
      <c r="N683" t="str">
        <f>'(Raw) LensesGH'!H683</f>
        <v>585g</v>
      </c>
      <c r="O683" s="5">
        <f t="shared" si="97"/>
        <v>585</v>
      </c>
      <c r="P683" t="str">
        <f>'(Raw) LensesGH'!I683</f>
        <v>80 x 104mm</v>
      </c>
      <c r="Q683" s="39">
        <f t="shared" si="98"/>
        <v>80</v>
      </c>
      <c r="R683" s="39">
        <f t="shared" si="90"/>
        <v>104</v>
      </c>
    </row>
    <row r="684" spans="1:18" x14ac:dyDescent="0.25">
      <c r="A684" t="str">
        <f>'(Raw) LensesGH'!A684</f>
        <v>Pentax smc FA 645 400mm 5.6 ED IF schwarz</v>
      </c>
      <c r="B684" t="str">
        <f>'(Raw) LensesGH'!B684</f>
        <v>400mm</v>
      </c>
      <c r="C684" s="5">
        <f t="shared" si="91"/>
        <v>400</v>
      </c>
      <c r="D684" s="5">
        <f t="shared" si="92"/>
        <v>400</v>
      </c>
      <c r="E684" t="str">
        <f>'(Raw) LensesGH'!C684</f>
        <v>1:5.6</v>
      </c>
      <c r="F684" s="9">
        <f t="shared" si="93"/>
        <v>5.6</v>
      </c>
      <c r="G684" s="9">
        <f t="shared" si="94"/>
        <v>5.6</v>
      </c>
      <c r="H684" t="str">
        <f>'(Raw) LensesGH'!D684</f>
        <v>77mm</v>
      </c>
      <c r="I684" s="2">
        <f t="shared" si="95"/>
        <v>77</v>
      </c>
      <c r="J684" s="2" t="str">
        <f>'(Raw) LensesGH'!E684</f>
        <v>1:6.67</v>
      </c>
      <c r="K684" s="40">
        <f t="shared" si="96"/>
        <v>6.67</v>
      </c>
      <c r="L684" t="str">
        <f>'(Raw) LensesGH'!F684</f>
        <v>Pentax 645</v>
      </c>
      <c r="M684" t="str">
        <f>'(Raw) LensesGH'!G684</f>
        <v>APS-C/ Kleinbild</v>
      </c>
      <c r="N684" t="str">
        <f>'(Raw) LensesGH'!H684</f>
        <v>1260g</v>
      </c>
      <c r="O684" s="5">
        <f t="shared" si="97"/>
        <v>1260</v>
      </c>
      <c r="P684" t="str">
        <f>'(Raw) LensesGH'!I684</f>
        <v>75 x 252mm</v>
      </c>
      <c r="Q684" s="39">
        <f t="shared" si="98"/>
        <v>75</v>
      </c>
      <c r="R684" s="39">
        <f t="shared" si="90"/>
        <v>252</v>
      </c>
    </row>
    <row r="685" spans="1:18" x14ac:dyDescent="0.25">
      <c r="A685" t="str">
        <f>'(Raw) LensesGH'!A685</f>
        <v>Pentax smc FA 645 45-85mm 4.5 schwarz</v>
      </c>
      <c r="B685" t="str">
        <f>'(Raw) LensesGH'!B685</f>
        <v>45 - 85mm</v>
      </c>
      <c r="C685" s="5">
        <f t="shared" si="91"/>
        <v>45</v>
      </c>
      <c r="D685" s="5">
        <f t="shared" si="92"/>
        <v>85</v>
      </c>
      <c r="E685" t="str">
        <f>'(Raw) LensesGH'!C685</f>
        <v>1:4.5</v>
      </c>
      <c r="F685" s="9">
        <f t="shared" si="93"/>
        <v>4.5</v>
      </c>
      <c r="G685" s="9">
        <f t="shared" si="94"/>
        <v>4.5</v>
      </c>
      <c r="H685" t="str">
        <f>'(Raw) LensesGH'!D685</f>
        <v>77mm</v>
      </c>
      <c r="I685" s="2">
        <f t="shared" si="95"/>
        <v>77</v>
      </c>
      <c r="J685" s="2" t="str">
        <f>'(Raw) LensesGH'!E685</f>
        <v>1:4.55</v>
      </c>
      <c r="K685" s="40">
        <f t="shared" si="96"/>
        <v>4.55</v>
      </c>
      <c r="L685" t="str">
        <f>'(Raw) LensesGH'!F685</f>
        <v>Pentax 645</v>
      </c>
      <c r="M685" t="str">
        <f>'(Raw) LensesGH'!G685</f>
        <v>APS-C/ Kleinbild</v>
      </c>
      <c r="N685" t="str">
        <f>'(Raw) LensesGH'!H685</f>
        <v>870g</v>
      </c>
      <c r="O685" s="5">
        <f t="shared" si="97"/>
        <v>870</v>
      </c>
      <c r="P685" t="str">
        <f>'(Raw) LensesGH'!I685</f>
        <v>85 x 99.5mm</v>
      </c>
      <c r="Q685" s="39">
        <f t="shared" si="98"/>
        <v>85</v>
      </c>
      <c r="R685" s="39">
        <f t="shared" si="90"/>
        <v>99.5</v>
      </c>
    </row>
    <row r="686" spans="1:18" x14ac:dyDescent="0.25">
      <c r="A686" t="str">
        <f>'(Raw) LensesGH'!A686</f>
        <v>Pentax smc FA 645 45mm 2.8 schwarz</v>
      </c>
      <c r="B686" t="str">
        <f>'(Raw) LensesGH'!B686</f>
        <v>45mm</v>
      </c>
      <c r="C686" s="5">
        <f t="shared" si="91"/>
        <v>45</v>
      </c>
      <c r="D686" s="5">
        <f t="shared" si="92"/>
        <v>45</v>
      </c>
      <c r="E686" t="str">
        <f>'(Raw) LensesGH'!C686</f>
        <v>1:2.8</v>
      </c>
      <c r="F686" s="9">
        <f t="shared" si="93"/>
        <v>2.8</v>
      </c>
      <c r="G686" s="9">
        <f t="shared" si="94"/>
        <v>2.8</v>
      </c>
      <c r="H686" t="str">
        <f>'(Raw) LensesGH'!D686</f>
        <v>67mm</v>
      </c>
      <c r="I686" s="2">
        <f t="shared" si="95"/>
        <v>67</v>
      </c>
      <c r="J686" s="2" t="str">
        <f>'(Raw) LensesGH'!E686</f>
        <v>1:6.67</v>
      </c>
      <c r="K686" s="40">
        <f t="shared" si="96"/>
        <v>6.67</v>
      </c>
      <c r="L686" t="str">
        <f>'(Raw) LensesGH'!F686</f>
        <v>Pentax 645</v>
      </c>
      <c r="M686" t="str">
        <f>'(Raw) LensesGH'!G686</f>
        <v>APS-C/ Kleinbild</v>
      </c>
      <c r="N686" t="str">
        <f>'(Raw) LensesGH'!H686</f>
        <v>475g</v>
      </c>
      <c r="O686" s="5">
        <f t="shared" si="97"/>
        <v>475</v>
      </c>
      <c r="P686" t="str">
        <f>'(Raw) LensesGH'!I686</f>
        <v>76.5 x 66.5mm</v>
      </c>
      <c r="Q686" s="39">
        <f t="shared" si="98"/>
        <v>76.5</v>
      </c>
      <c r="R686" s="39">
        <f t="shared" si="90"/>
        <v>66.5</v>
      </c>
    </row>
    <row r="687" spans="1:18" x14ac:dyDescent="0.25">
      <c r="A687" t="str">
        <f>'(Raw) LensesGH'!A687</f>
        <v>Pentax smc FA 645 55-110mm 5.6 schwarz</v>
      </c>
      <c r="B687" t="str">
        <f>'(Raw) LensesGH'!B687</f>
        <v>55 - 110mm</v>
      </c>
      <c r="C687" s="5">
        <f t="shared" si="91"/>
        <v>55</v>
      </c>
      <c r="D687" s="5">
        <f t="shared" si="92"/>
        <v>110</v>
      </c>
      <c r="E687" t="str">
        <f>'(Raw) LensesGH'!C687</f>
        <v>1:5.6</v>
      </c>
      <c r="F687" s="9">
        <f t="shared" si="93"/>
        <v>5.6</v>
      </c>
      <c r="G687" s="9">
        <f t="shared" si="94"/>
        <v>5.6</v>
      </c>
      <c r="H687" t="str">
        <f>'(Raw) LensesGH'!D687</f>
        <v>82mm</v>
      </c>
      <c r="I687" s="2">
        <f t="shared" si="95"/>
        <v>82</v>
      </c>
      <c r="J687" s="2" t="str">
        <f>'(Raw) LensesGH'!E687</f>
        <v>1:6.25</v>
      </c>
      <c r="K687" s="40">
        <f t="shared" si="96"/>
        <v>6.25</v>
      </c>
      <c r="L687" t="str">
        <f>'(Raw) LensesGH'!F687</f>
        <v>Pentax 645</v>
      </c>
      <c r="M687" t="str">
        <f>'(Raw) LensesGH'!G687</f>
        <v>APS-C/ Kleinbild</v>
      </c>
      <c r="N687" t="str">
        <f>'(Raw) LensesGH'!H687</f>
        <v>500g</v>
      </c>
      <c r="O687" s="5">
        <f t="shared" si="97"/>
        <v>500</v>
      </c>
      <c r="P687" t="str">
        <f>'(Raw) LensesGH'!I687</f>
        <v>88 x 104mm</v>
      </c>
      <c r="Q687" s="39">
        <f t="shared" si="98"/>
        <v>88</v>
      </c>
      <c r="R687" s="39">
        <f t="shared" si="90"/>
        <v>104</v>
      </c>
    </row>
    <row r="688" spans="1:18" x14ac:dyDescent="0.25">
      <c r="A688" t="str">
        <f>'(Raw) LensesGH'!A688</f>
        <v>Pentax smc FA 645 75mm 2.8 schwarz</v>
      </c>
      <c r="B688" t="str">
        <f>'(Raw) LensesGH'!B688</f>
        <v>75mm</v>
      </c>
      <c r="C688" s="5">
        <f t="shared" si="91"/>
        <v>75</v>
      </c>
      <c r="D688" s="5">
        <f t="shared" si="92"/>
        <v>75</v>
      </c>
      <c r="E688" t="str">
        <f>'(Raw) LensesGH'!C688</f>
        <v>1:2.8</v>
      </c>
      <c r="F688" s="9">
        <f t="shared" si="93"/>
        <v>2.8</v>
      </c>
      <c r="G688" s="9">
        <f t="shared" si="94"/>
        <v>2.8</v>
      </c>
      <c r="H688" t="str">
        <f>'(Raw) LensesGH'!D688</f>
        <v>58mm</v>
      </c>
      <c r="I688" s="2">
        <f t="shared" si="95"/>
        <v>58</v>
      </c>
      <c r="J688" s="2" t="str">
        <f>'(Raw) LensesGH'!E688</f>
        <v>1:5.56</v>
      </c>
      <c r="K688" s="40">
        <f t="shared" si="96"/>
        <v>5.56</v>
      </c>
      <c r="L688" t="str">
        <f>'(Raw) LensesGH'!F688</f>
        <v>Pentax 645</v>
      </c>
      <c r="M688" t="str">
        <f>'(Raw) LensesGH'!G688</f>
        <v>APS-C/ Kleinbild</v>
      </c>
      <c r="N688" t="str">
        <f>'(Raw) LensesGH'!H688</f>
        <v>215g</v>
      </c>
      <c r="O688" s="5">
        <f t="shared" si="97"/>
        <v>215</v>
      </c>
      <c r="P688" t="str">
        <f>'(Raw) LensesGH'!I688</f>
        <v>74.5 x 37.5mm</v>
      </c>
      <c r="Q688" s="39">
        <f t="shared" si="98"/>
        <v>74.5</v>
      </c>
      <c r="R688" s="39">
        <f t="shared" si="90"/>
        <v>37.5</v>
      </c>
    </row>
    <row r="689" spans="1:18" x14ac:dyDescent="0.25">
      <c r="A689" t="str">
        <f>'(Raw) LensesGH'!A689</f>
        <v>Pentax smc FA 645 80-160mm 4.5 schwarz</v>
      </c>
      <c r="B689" t="str">
        <f>'(Raw) LensesGH'!B689</f>
        <v>80 - 160mm</v>
      </c>
      <c r="C689" s="5">
        <f t="shared" si="91"/>
        <v>80</v>
      </c>
      <c r="D689" s="5">
        <f t="shared" si="92"/>
        <v>160</v>
      </c>
      <c r="E689" t="str">
        <f>'(Raw) LensesGH'!C689</f>
        <v>1:4.5</v>
      </c>
      <c r="F689" s="9">
        <f t="shared" si="93"/>
        <v>4.5</v>
      </c>
      <c r="G689" s="9">
        <f t="shared" si="94"/>
        <v>4.5</v>
      </c>
      <c r="H689" t="str">
        <f>'(Raw) LensesGH'!D689</f>
        <v>77mm</v>
      </c>
      <c r="I689" s="2">
        <f t="shared" si="95"/>
        <v>77</v>
      </c>
      <c r="J689" s="2" t="str">
        <f>'(Raw) LensesGH'!E689</f>
        <v>1:5.88</v>
      </c>
      <c r="K689" s="40">
        <f t="shared" si="96"/>
        <v>5.88</v>
      </c>
      <c r="L689" t="str">
        <f>'(Raw) LensesGH'!F689</f>
        <v>Pentax 645</v>
      </c>
      <c r="M689" t="str">
        <f>'(Raw) LensesGH'!G689</f>
        <v>APS-C/ Kleinbild</v>
      </c>
      <c r="N689" t="str">
        <f>'(Raw) LensesGH'!H689</f>
        <v>1010g</v>
      </c>
      <c r="O689" s="5">
        <f t="shared" si="97"/>
        <v>1010</v>
      </c>
      <c r="P689" t="str">
        <f>'(Raw) LensesGH'!I689</f>
        <v>85 x 130.5mm</v>
      </c>
      <c r="Q689" s="39">
        <f t="shared" si="98"/>
        <v>85</v>
      </c>
      <c r="R689" s="39">
        <f t="shared" si="90"/>
        <v>130.5</v>
      </c>
    </row>
    <row r="690" spans="1:18" x14ac:dyDescent="0.25">
      <c r="A690" t="str">
        <f>'(Raw) LensesGH'!A690</f>
        <v>Pentax smc FA 77mm 1.8 Limited silber</v>
      </c>
      <c r="B690" t="str">
        <f>'(Raw) LensesGH'!B690</f>
        <v>77mm</v>
      </c>
      <c r="C690" s="5">
        <f t="shared" si="91"/>
        <v>77</v>
      </c>
      <c r="D690" s="5">
        <f t="shared" si="92"/>
        <v>77</v>
      </c>
      <c r="E690" t="str">
        <f>'(Raw) LensesGH'!C690</f>
        <v>1:1.8</v>
      </c>
      <c r="F690" s="9">
        <f t="shared" si="93"/>
        <v>1.8</v>
      </c>
      <c r="G690" s="9">
        <f t="shared" si="94"/>
        <v>1.8</v>
      </c>
      <c r="H690" t="str">
        <f>'(Raw) LensesGH'!D690</f>
        <v>49mm</v>
      </c>
      <c r="I690" s="2">
        <f t="shared" si="95"/>
        <v>49</v>
      </c>
      <c r="J690" s="2" t="str">
        <f>'(Raw) LensesGH'!E690</f>
        <v>1:7.14</v>
      </c>
      <c r="K690" s="40">
        <f t="shared" si="96"/>
        <v>7.14</v>
      </c>
      <c r="L690" t="str">
        <f>'(Raw) LensesGH'!F690</f>
        <v>Pentax K</v>
      </c>
      <c r="M690" t="str">
        <f>'(Raw) LensesGH'!G690</f>
        <v>APS-C/ Kleinbild</v>
      </c>
      <c r="N690" t="str">
        <f>'(Raw) LensesGH'!H690</f>
        <v>270g</v>
      </c>
      <c r="O690" s="5">
        <f t="shared" si="97"/>
        <v>270</v>
      </c>
      <c r="P690" t="str">
        <f>'(Raw) LensesGH'!I690</f>
        <v>64 x 48mm</v>
      </c>
      <c r="Q690" s="39">
        <f t="shared" si="98"/>
        <v>64</v>
      </c>
      <c r="R690" s="39">
        <f t="shared" si="90"/>
        <v>48</v>
      </c>
    </row>
    <row r="691" spans="1:18" x14ac:dyDescent="0.25">
      <c r="A691" t="str">
        <f>'(Raw) LensesGH'!A691</f>
        <v>SainSonic Kamlan 8mm 3.0 für Sony E</v>
      </c>
      <c r="B691" t="str">
        <f>'(Raw) LensesGH'!B691</f>
        <v>8mm</v>
      </c>
      <c r="C691" s="5">
        <f t="shared" si="91"/>
        <v>8</v>
      </c>
      <c r="D691" s="5">
        <f t="shared" si="92"/>
        <v>8</v>
      </c>
      <c r="E691" t="str">
        <f>'(Raw) LensesGH'!C691</f>
        <v>1:3.0</v>
      </c>
      <c r="F691" s="9">
        <f t="shared" si="93"/>
        <v>3</v>
      </c>
      <c r="G691" s="9">
        <f t="shared" si="94"/>
        <v>3</v>
      </c>
      <c r="H691">
        <f>'(Raw) LensesGH'!D691</f>
        <v>0</v>
      </c>
      <c r="I691" s="2">
        <f t="shared" si="95"/>
        <v>0</v>
      </c>
      <c r="J691" s="2">
        <f>'(Raw) LensesGH'!E691</f>
        <v>0</v>
      </c>
      <c r="K691" s="40">
        <f t="shared" si="96"/>
        <v>0</v>
      </c>
      <c r="L691" t="str">
        <f>'(Raw) LensesGH'!F691</f>
        <v>Sony E</v>
      </c>
      <c r="M691" t="str">
        <f>'(Raw) LensesGH'!G691</f>
        <v>APS-C</v>
      </c>
      <c r="N691" t="str">
        <f>'(Raw) LensesGH'!H691</f>
        <v>245g</v>
      </c>
      <c r="O691" s="5">
        <f t="shared" si="97"/>
        <v>245</v>
      </c>
      <c r="P691" t="str">
        <f>'(Raw) LensesGH'!I691</f>
        <v>64 x 62mm</v>
      </c>
      <c r="Q691" s="39">
        <f t="shared" si="98"/>
        <v>64</v>
      </c>
      <c r="R691" s="39">
        <f t="shared" si="90"/>
        <v>62</v>
      </c>
    </row>
    <row r="692" spans="1:18" x14ac:dyDescent="0.25">
      <c r="A692" t="str">
        <f>'(Raw) LensesGH'!A692</f>
        <v>Samsung NX 16-50mm 2.0-2.8 S ED OIS i-Function schwarz</v>
      </c>
      <c r="B692" t="str">
        <f>'(Raw) LensesGH'!B692</f>
        <v>16 - 50mm</v>
      </c>
      <c r="C692" s="5">
        <f t="shared" si="91"/>
        <v>16</v>
      </c>
      <c r="D692" s="5">
        <f t="shared" si="92"/>
        <v>50</v>
      </c>
      <c r="E692" t="str">
        <f>'(Raw) LensesGH'!C692</f>
        <v>1:2.0-1:2.8</v>
      </c>
      <c r="F692" s="9">
        <f t="shared" si="93"/>
        <v>2</v>
      </c>
      <c r="G692" s="9">
        <f t="shared" si="94"/>
        <v>2</v>
      </c>
      <c r="H692">
        <f>'(Raw) LensesGH'!D692</f>
        <v>0</v>
      </c>
      <c r="I692" s="2">
        <f t="shared" si="95"/>
        <v>0</v>
      </c>
      <c r="J692" s="2" t="str">
        <f>'(Raw) LensesGH'!E692</f>
        <v>1:5.26</v>
      </c>
      <c r="K692" s="40">
        <f t="shared" si="96"/>
        <v>5.26</v>
      </c>
      <c r="L692" t="str">
        <f>'(Raw) LensesGH'!F692</f>
        <v>Samsung NX</v>
      </c>
      <c r="M692" t="str">
        <f>'(Raw) LensesGH'!G692</f>
        <v>APS-C</v>
      </c>
      <c r="N692" t="str">
        <f>'(Raw) LensesGH'!H692</f>
        <v>622g</v>
      </c>
      <c r="O692" s="5">
        <f t="shared" si="97"/>
        <v>622</v>
      </c>
      <c r="P692" t="str">
        <f>'(Raw) LensesGH'!I692</f>
        <v>81 x 97mm</v>
      </c>
      <c r="Q692" s="39">
        <f t="shared" si="98"/>
        <v>81</v>
      </c>
      <c r="R692" s="39">
        <f t="shared" si="90"/>
        <v>97</v>
      </c>
    </row>
    <row r="693" spans="1:18" x14ac:dyDescent="0.25">
      <c r="A693" t="str">
        <f>'(Raw) LensesGH'!A693</f>
        <v>Samsung NX 18-55mm 3.5-5.6 OIS III i-Function schwarz</v>
      </c>
      <c r="B693" t="str">
        <f>'(Raw) LensesGH'!B693</f>
        <v>18 - 55mm</v>
      </c>
      <c r="C693" s="5">
        <f t="shared" si="91"/>
        <v>18</v>
      </c>
      <c r="D693" s="5">
        <f t="shared" si="92"/>
        <v>55</v>
      </c>
      <c r="E693" t="str">
        <f>'(Raw) LensesGH'!C693</f>
        <v>1:3.5-1:5.6</v>
      </c>
      <c r="F693" s="9">
        <f t="shared" si="93"/>
        <v>3.5</v>
      </c>
      <c r="G693" s="9">
        <f t="shared" si="94"/>
        <v>3.5</v>
      </c>
      <c r="H693">
        <f>'(Raw) LensesGH'!D693</f>
        <v>0</v>
      </c>
      <c r="I693" s="2">
        <f t="shared" si="95"/>
        <v>0</v>
      </c>
      <c r="J693" s="2" t="str">
        <f>'(Raw) LensesGH'!E693</f>
        <v>1:4.54</v>
      </c>
      <c r="K693" s="40">
        <f t="shared" si="96"/>
        <v>4.54</v>
      </c>
      <c r="L693" t="str">
        <f>'(Raw) LensesGH'!F693</f>
        <v>Samsung NX</v>
      </c>
      <c r="M693" t="str">
        <f>'(Raw) LensesGH'!G693</f>
        <v>APS-C</v>
      </c>
      <c r="N693" t="str">
        <f>'(Raw) LensesGH'!H693</f>
        <v>198g</v>
      </c>
      <c r="O693" s="5">
        <f t="shared" si="97"/>
        <v>198</v>
      </c>
      <c r="P693" t="str">
        <f>'(Raw) LensesGH'!I693</f>
        <v>63 x 65.1mm</v>
      </c>
      <c r="Q693" s="39">
        <f t="shared" si="98"/>
        <v>63</v>
      </c>
      <c r="R693" s="39">
        <f t="shared" si="90"/>
        <v>65.099999999999994</v>
      </c>
    </row>
    <row r="694" spans="1:18" x14ac:dyDescent="0.25">
      <c r="A694" t="str">
        <f>'(Raw) LensesGH'!A694</f>
        <v>Samsung NX 20mm 2.8 i-Function schwarz</v>
      </c>
      <c r="B694" t="str">
        <f>'(Raw) LensesGH'!B694</f>
        <v>20mm</v>
      </c>
      <c r="C694" s="5">
        <f t="shared" si="91"/>
        <v>20</v>
      </c>
      <c r="D694" s="5">
        <f t="shared" si="92"/>
        <v>20</v>
      </c>
      <c r="E694" t="str">
        <f>'(Raw) LensesGH'!C694</f>
        <v>1:2.8</v>
      </c>
      <c r="F694" s="9">
        <f t="shared" si="93"/>
        <v>2.8</v>
      </c>
      <c r="G694" s="9">
        <f t="shared" si="94"/>
        <v>2.8</v>
      </c>
      <c r="H694">
        <f>'(Raw) LensesGH'!D694</f>
        <v>0</v>
      </c>
      <c r="I694" s="2">
        <f t="shared" si="95"/>
        <v>0</v>
      </c>
      <c r="J694" s="2" t="str">
        <f>'(Raw) LensesGH'!E694</f>
        <v>1:5.56</v>
      </c>
      <c r="K694" s="40">
        <f t="shared" si="96"/>
        <v>5.56</v>
      </c>
      <c r="L694" t="str">
        <f>'(Raw) LensesGH'!F694</f>
        <v>Samsung NX</v>
      </c>
      <c r="M694" t="str">
        <f>'(Raw) LensesGH'!G694</f>
        <v>APS-C</v>
      </c>
      <c r="N694" t="str">
        <f>'(Raw) LensesGH'!H694</f>
        <v>89g</v>
      </c>
      <c r="O694" s="5">
        <f t="shared" si="97"/>
        <v>89</v>
      </c>
      <c r="P694" t="str">
        <f>'(Raw) LensesGH'!I694</f>
        <v>62.2 x 24.5mm</v>
      </c>
      <c r="Q694" s="39">
        <f t="shared" si="98"/>
        <v>62.2</v>
      </c>
      <c r="R694" s="39">
        <f t="shared" si="90"/>
        <v>24.5</v>
      </c>
    </row>
    <row r="695" spans="1:18" x14ac:dyDescent="0.25">
      <c r="A695" t="str">
        <f>'(Raw) LensesGH'!A695</f>
        <v>Samsung NX 60mm 2.8 Makro ED OIS SSA i-Function schwarz</v>
      </c>
      <c r="B695" t="str">
        <f>'(Raw) LensesGH'!B695</f>
        <v>60mm</v>
      </c>
      <c r="C695" s="5">
        <f t="shared" si="91"/>
        <v>60</v>
      </c>
      <c r="D695" s="5">
        <f t="shared" si="92"/>
        <v>60</v>
      </c>
      <c r="E695" t="str">
        <f>'(Raw) LensesGH'!C695</f>
        <v>1:2.8</v>
      </c>
      <c r="F695" s="9">
        <f t="shared" si="93"/>
        <v>2.8</v>
      </c>
      <c r="G695" s="9">
        <f t="shared" si="94"/>
        <v>2.8</v>
      </c>
      <c r="H695">
        <f>'(Raw) LensesGH'!D695</f>
        <v>0</v>
      </c>
      <c r="I695" s="2">
        <f t="shared" si="95"/>
        <v>0</v>
      </c>
      <c r="J695" s="2" t="str">
        <f>'(Raw) LensesGH'!E695</f>
        <v>1:1.00</v>
      </c>
      <c r="K695" s="40">
        <f t="shared" si="96"/>
        <v>1</v>
      </c>
      <c r="L695" t="str">
        <f>'(Raw) LensesGH'!F695</f>
        <v>Samsung NX</v>
      </c>
      <c r="M695" t="str">
        <f>'(Raw) LensesGH'!G695</f>
        <v>APS-C</v>
      </c>
      <c r="N695" t="str">
        <f>'(Raw) LensesGH'!H695</f>
        <v>450g</v>
      </c>
      <c r="O695" s="5">
        <f t="shared" si="97"/>
        <v>450</v>
      </c>
      <c r="P695" t="str">
        <f>'(Raw) LensesGH'!I695</f>
        <v>73 x 84mm</v>
      </c>
      <c r="Q695" s="39">
        <f t="shared" si="98"/>
        <v>73</v>
      </c>
      <c r="R695" s="39">
        <f t="shared" si="90"/>
        <v>84</v>
      </c>
    </row>
    <row r="696" spans="1:18" x14ac:dyDescent="0.25">
      <c r="A696" t="str">
        <f>'(Raw) LensesGH'!A696</f>
        <v>Samsung NX-M 9mm 3.5 ED silber</v>
      </c>
      <c r="B696" t="str">
        <f>'(Raw) LensesGH'!B696</f>
        <v>9mm</v>
      </c>
      <c r="C696" s="5">
        <f t="shared" si="91"/>
        <v>9</v>
      </c>
      <c r="D696" s="5">
        <f t="shared" si="92"/>
        <v>9</v>
      </c>
      <c r="E696" t="str">
        <f>'(Raw) LensesGH'!C696</f>
        <v>1:3.5</v>
      </c>
      <c r="F696" s="9">
        <f t="shared" si="93"/>
        <v>3.5</v>
      </c>
      <c r="G696" s="9">
        <f t="shared" si="94"/>
        <v>3.5</v>
      </c>
      <c r="H696">
        <f>'(Raw) LensesGH'!D696</f>
        <v>0</v>
      </c>
      <c r="I696" s="2">
        <f t="shared" si="95"/>
        <v>0</v>
      </c>
      <c r="J696" s="2" t="str">
        <f>'(Raw) LensesGH'!E696</f>
        <v>1:9.09</v>
      </c>
      <c r="K696" s="40">
        <f t="shared" si="96"/>
        <v>9.09</v>
      </c>
      <c r="L696" t="str">
        <f>'(Raw) LensesGH'!F696</f>
        <v>Samsung NX-M</v>
      </c>
      <c r="M696" t="str">
        <f>'(Raw) LensesGH'!G696</f>
        <v>APS-C</v>
      </c>
      <c r="N696" t="str">
        <f>'(Raw) LensesGH'!H696</f>
        <v>31g</v>
      </c>
      <c r="O696" s="5">
        <f t="shared" si="97"/>
        <v>31</v>
      </c>
      <c r="P696" t="str">
        <f>'(Raw) LensesGH'!I696</f>
        <v>50 x 13mm</v>
      </c>
      <c r="Q696" s="39">
        <f t="shared" si="98"/>
        <v>50</v>
      </c>
      <c r="R696" s="39">
        <f t="shared" si="90"/>
        <v>13</v>
      </c>
    </row>
    <row r="697" spans="1:18" x14ac:dyDescent="0.25">
      <c r="A697" t="str">
        <f>'(Raw) LensesGH'!A697</f>
        <v>Samyang 100mm 2.8 ED UMC Makro für Canon EF schwarz</v>
      </c>
      <c r="B697" t="str">
        <f>'(Raw) LensesGH'!B697</f>
        <v>100mm</v>
      </c>
      <c r="C697" s="5">
        <f t="shared" si="91"/>
        <v>100</v>
      </c>
      <c r="D697" s="5">
        <f t="shared" si="92"/>
        <v>100</v>
      </c>
      <c r="E697" t="str">
        <f>'(Raw) LensesGH'!C697</f>
        <v>1:2.8</v>
      </c>
      <c r="F697" s="9">
        <f t="shared" si="93"/>
        <v>2.8</v>
      </c>
      <c r="G697" s="9">
        <f t="shared" si="94"/>
        <v>2.8</v>
      </c>
      <c r="H697" t="str">
        <f>'(Raw) LensesGH'!D697</f>
        <v>67mm</v>
      </c>
      <c r="I697" s="2">
        <f t="shared" si="95"/>
        <v>67</v>
      </c>
      <c r="J697" s="2" t="str">
        <f>'(Raw) LensesGH'!E697</f>
        <v>1:1.00</v>
      </c>
      <c r="K697" s="40">
        <f t="shared" si="96"/>
        <v>1</v>
      </c>
      <c r="L697" t="str">
        <f>'(Raw) LensesGH'!F697</f>
        <v>Canon EF</v>
      </c>
      <c r="M697" t="str">
        <f>'(Raw) LensesGH'!G697</f>
        <v>APS-C/ Kleinbild</v>
      </c>
      <c r="N697" t="str">
        <f>'(Raw) LensesGH'!H697</f>
        <v>720g</v>
      </c>
      <c r="O697" s="5">
        <f t="shared" si="97"/>
        <v>720</v>
      </c>
      <c r="P697" t="str">
        <f>'(Raw) LensesGH'!I697</f>
        <v>72.5 x 123.1mm</v>
      </c>
      <c r="Q697" s="39">
        <f t="shared" si="98"/>
        <v>72.5</v>
      </c>
      <c r="R697" s="39">
        <f t="shared" si="90"/>
        <v>123.1</v>
      </c>
    </row>
    <row r="698" spans="1:18" x14ac:dyDescent="0.25">
      <c r="A698" t="str">
        <f>'(Raw) LensesGH'!A698</f>
        <v>Samyang 100mm 2.8 ED UMC Makro für Canon EF-M schwarz</v>
      </c>
      <c r="B698" t="str">
        <f>'(Raw) LensesGH'!B698</f>
        <v>100mm</v>
      </c>
      <c r="C698" s="5">
        <f t="shared" si="91"/>
        <v>100</v>
      </c>
      <c r="D698" s="5">
        <f t="shared" si="92"/>
        <v>100</v>
      </c>
      <c r="E698" t="str">
        <f>'(Raw) LensesGH'!C698</f>
        <v>1:2.8</v>
      </c>
      <c r="F698" s="9">
        <f t="shared" si="93"/>
        <v>2.8</v>
      </c>
      <c r="G698" s="9">
        <f t="shared" si="94"/>
        <v>2.8</v>
      </c>
      <c r="H698" t="str">
        <f>'(Raw) LensesGH'!D698</f>
        <v>67mm</v>
      </c>
      <c r="I698" s="2">
        <f t="shared" si="95"/>
        <v>67</v>
      </c>
      <c r="J698" s="2" t="str">
        <f>'(Raw) LensesGH'!E698</f>
        <v>1:1.00</v>
      </c>
      <c r="K698" s="40">
        <f t="shared" si="96"/>
        <v>1</v>
      </c>
      <c r="L698" t="str">
        <f>'(Raw) LensesGH'!F698</f>
        <v>Canon EF-M</v>
      </c>
      <c r="M698" t="str">
        <f>'(Raw) LensesGH'!G698</f>
        <v>APS-C</v>
      </c>
      <c r="N698" t="str">
        <f>'(Raw) LensesGH'!H698</f>
        <v>730g</v>
      </c>
      <c r="O698" s="5">
        <f t="shared" si="97"/>
        <v>730</v>
      </c>
      <c r="P698" t="str">
        <f>'(Raw) LensesGH'!I698</f>
        <v>72.5 x 149mm</v>
      </c>
      <c r="Q698" s="39">
        <f t="shared" si="98"/>
        <v>72.5</v>
      </c>
      <c r="R698" s="39">
        <f t="shared" si="90"/>
        <v>149</v>
      </c>
    </row>
    <row r="699" spans="1:18" x14ac:dyDescent="0.25">
      <c r="A699" t="str">
        <f>'(Raw) LensesGH'!A699</f>
        <v>Samyang 100mm 2.8 ED UMC Makro für Four-Thirds schwarz</v>
      </c>
      <c r="B699" t="str">
        <f>'(Raw) LensesGH'!B699</f>
        <v>100mm</v>
      </c>
      <c r="C699" s="5">
        <f t="shared" si="91"/>
        <v>100</v>
      </c>
      <c r="D699" s="5">
        <f t="shared" si="92"/>
        <v>100</v>
      </c>
      <c r="E699" t="str">
        <f>'(Raw) LensesGH'!C699</f>
        <v>1:2.8</v>
      </c>
      <c r="F699" s="9">
        <f t="shared" si="93"/>
        <v>2.8</v>
      </c>
      <c r="G699" s="9">
        <f t="shared" si="94"/>
        <v>2.8</v>
      </c>
      <c r="H699" t="str">
        <f>'(Raw) LensesGH'!D699</f>
        <v>67mm</v>
      </c>
      <c r="I699" s="2">
        <f t="shared" si="95"/>
        <v>67</v>
      </c>
      <c r="J699" s="2" t="str">
        <f>'(Raw) LensesGH'!E699</f>
        <v>1:1.00</v>
      </c>
      <c r="K699" s="40">
        <f t="shared" si="96"/>
        <v>1</v>
      </c>
      <c r="L699" t="str">
        <f>'(Raw) LensesGH'!F699</f>
        <v>Four-Thirds</v>
      </c>
      <c r="M699" t="str">
        <f>'(Raw) LensesGH'!G699</f>
        <v>Four-Thirds</v>
      </c>
      <c r="N699" t="str">
        <f>'(Raw) LensesGH'!H699</f>
        <v>735g</v>
      </c>
      <c r="O699" s="5">
        <f t="shared" si="97"/>
        <v>735</v>
      </c>
      <c r="P699" t="str">
        <f>'(Raw) LensesGH'!I699</f>
        <v>72.5 x 128.4mm</v>
      </c>
      <c r="Q699" s="39">
        <f t="shared" si="98"/>
        <v>72.5</v>
      </c>
      <c r="R699" s="39">
        <f t="shared" si="90"/>
        <v>128.4</v>
      </c>
    </row>
    <row r="700" spans="1:18" x14ac:dyDescent="0.25">
      <c r="A700" t="str">
        <f>'(Raw) LensesGH'!A700</f>
        <v>Samyang 100mm 2.8 ED UMC Makro für Fujifilm X schwarz</v>
      </c>
      <c r="B700" t="str">
        <f>'(Raw) LensesGH'!B700</f>
        <v>100mm</v>
      </c>
      <c r="C700" s="5">
        <f t="shared" si="91"/>
        <v>100</v>
      </c>
      <c r="D700" s="5">
        <f t="shared" si="92"/>
        <v>100</v>
      </c>
      <c r="E700" t="str">
        <f>'(Raw) LensesGH'!C700</f>
        <v>1:2.8</v>
      </c>
      <c r="F700" s="9">
        <f t="shared" si="93"/>
        <v>2.8</v>
      </c>
      <c r="G700" s="9">
        <f t="shared" si="94"/>
        <v>2.8</v>
      </c>
      <c r="H700" t="str">
        <f>'(Raw) LensesGH'!D700</f>
        <v>67mm</v>
      </c>
      <c r="I700" s="2">
        <f t="shared" si="95"/>
        <v>67</v>
      </c>
      <c r="J700" s="2" t="str">
        <f>'(Raw) LensesGH'!E700</f>
        <v>1:1.00</v>
      </c>
      <c r="K700" s="40">
        <f t="shared" si="96"/>
        <v>1</v>
      </c>
      <c r="L700" t="str">
        <f>'(Raw) LensesGH'!F700</f>
        <v>Fujifilm X</v>
      </c>
      <c r="M700" t="str">
        <f>'(Raw) LensesGH'!G700</f>
        <v>APS-C</v>
      </c>
      <c r="N700" t="str">
        <f>'(Raw) LensesGH'!H700</f>
        <v>770g</v>
      </c>
      <c r="O700" s="5">
        <f t="shared" si="97"/>
        <v>770</v>
      </c>
      <c r="P700" t="str">
        <f>'(Raw) LensesGH'!I700</f>
        <v>72.5 x 149.4mm</v>
      </c>
      <c r="Q700" s="39">
        <f t="shared" si="98"/>
        <v>72.5</v>
      </c>
      <c r="R700" s="39">
        <f t="shared" si="90"/>
        <v>149.4</v>
      </c>
    </row>
    <row r="701" spans="1:18" x14ac:dyDescent="0.25">
      <c r="A701" t="str">
        <f>'(Raw) LensesGH'!A701</f>
        <v>Samyang 100mm 2.8 ED UMC Makro für Micro-Four-Thirds schwarz</v>
      </c>
      <c r="B701" t="str">
        <f>'(Raw) LensesGH'!B701</f>
        <v>100mm</v>
      </c>
      <c r="C701" s="5">
        <f t="shared" si="91"/>
        <v>100</v>
      </c>
      <c r="D701" s="5">
        <f t="shared" si="92"/>
        <v>100</v>
      </c>
      <c r="E701" t="str">
        <f>'(Raw) LensesGH'!C701</f>
        <v>1:2.8</v>
      </c>
      <c r="F701" s="9">
        <f t="shared" si="93"/>
        <v>2.8</v>
      </c>
      <c r="G701" s="9">
        <f t="shared" si="94"/>
        <v>2.8</v>
      </c>
      <c r="H701" t="str">
        <f>'(Raw) LensesGH'!D701</f>
        <v>67mm</v>
      </c>
      <c r="I701" s="2">
        <f t="shared" si="95"/>
        <v>67</v>
      </c>
      <c r="J701" s="2" t="str">
        <f>'(Raw) LensesGH'!E701</f>
        <v>1:1.00</v>
      </c>
      <c r="K701" s="40">
        <f t="shared" si="96"/>
        <v>1</v>
      </c>
      <c r="L701" t="str">
        <f>'(Raw) LensesGH'!F701</f>
        <v>Micro-Four-Thirds</v>
      </c>
      <c r="M701" t="str">
        <f>'(Raw) LensesGH'!G701</f>
        <v>Four-Thirds</v>
      </c>
      <c r="N701" t="str">
        <f>'(Raw) LensesGH'!H701</f>
        <v>725g</v>
      </c>
      <c r="O701" s="5">
        <f t="shared" si="97"/>
        <v>725</v>
      </c>
      <c r="P701" t="str">
        <f>'(Raw) LensesGH'!I701</f>
        <v>72.5 x 147.9mm</v>
      </c>
      <c r="Q701" s="39">
        <f t="shared" si="98"/>
        <v>72.5</v>
      </c>
      <c r="R701" s="39">
        <f t="shared" si="90"/>
        <v>147.9</v>
      </c>
    </row>
    <row r="702" spans="1:18" x14ac:dyDescent="0.25">
      <c r="A702" t="str">
        <f>'(Raw) LensesGH'!A702</f>
        <v>Samyang 100mm 2.8 ED UMC Makro für Nikon F schwarz</v>
      </c>
      <c r="B702" t="str">
        <f>'(Raw) LensesGH'!B702</f>
        <v>100mm</v>
      </c>
      <c r="C702" s="5">
        <f t="shared" si="91"/>
        <v>100</v>
      </c>
      <c r="D702" s="5">
        <f t="shared" si="92"/>
        <v>100</v>
      </c>
      <c r="E702" t="str">
        <f>'(Raw) LensesGH'!C702</f>
        <v>1:2.8</v>
      </c>
      <c r="F702" s="9">
        <f t="shared" si="93"/>
        <v>2.8</v>
      </c>
      <c r="G702" s="9">
        <f t="shared" si="94"/>
        <v>2.8</v>
      </c>
      <c r="H702" t="str">
        <f>'(Raw) LensesGH'!D702</f>
        <v>67mm</v>
      </c>
      <c r="I702" s="2">
        <f t="shared" si="95"/>
        <v>67</v>
      </c>
      <c r="J702" s="2" t="str">
        <f>'(Raw) LensesGH'!E702</f>
        <v>1:1.00</v>
      </c>
      <c r="K702" s="40">
        <f t="shared" si="96"/>
        <v>1</v>
      </c>
      <c r="L702" t="str">
        <f>'(Raw) LensesGH'!F702</f>
        <v>Nikon F</v>
      </c>
      <c r="M702" t="str">
        <f>'(Raw) LensesGH'!G702</f>
        <v>APS-C/ Kleinbild</v>
      </c>
      <c r="N702" t="str">
        <f>'(Raw) LensesGH'!H702</f>
        <v>705g</v>
      </c>
      <c r="O702" s="5">
        <f t="shared" si="97"/>
        <v>705</v>
      </c>
      <c r="P702" t="str">
        <f>'(Raw) LensesGH'!I702</f>
        <v>72.5 x 120.6mm</v>
      </c>
      <c r="Q702" s="39">
        <f t="shared" si="98"/>
        <v>72.5</v>
      </c>
      <c r="R702" s="39">
        <f t="shared" si="90"/>
        <v>120.6</v>
      </c>
    </row>
    <row r="703" spans="1:18" x14ac:dyDescent="0.25">
      <c r="A703" t="str">
        <f>'(Raw) LensesGH'!A703</f>
        <v>Samyang 100mm 2.8 ED UMC Makro für Pentax K schwarz</v>
      </c>
      <c r="B703" t="str">
        <f>'(Raw) LensesGH'!B703</f>
        <v>100mm</v>
      </c>
      <c r="C703" s="5">
        <f t="shared" si="91"/>
        <v>100</v>
      </c>
      <c r="D703" s="5">
        <f t="shared" si="92"/>
        <v>100</v>
      </c>
      <c r="E703" t="str">
        <f>'(Raw) LensesGH'!C703</f>
        <v>1:2.8</v>
      </c>
      <c r="F703" s="9">
        <f t="shared" si="93"/>
        <v>2.8</v>
      </c>
      <c r="G703" s="9">
        <f t="shared" si="94"/>
        <v>2.8</v>
      </c>
      <c r="H703" t="str">
        <f>'(Raw) LensesGH'!D703</f>
        <v>67mm</v>
      </c>
      <c r="I703" s="2">
        <f t="shared" si="95"/>
        <v>67</v>
      </c>
      <c r="J703" s="2" t="str">
        <f>'(Raw) LensesGH'!E703</f>
        <v>1:1.00</v>
      </c>
      <c r="K703" s="40">
        <f t="shared" si="96"/>
        <v>1</v>
      </c>
      <c r="L703" t="str">
        <f>'(Raw) LensesGH'!F703</f>
        <v>Pentax K</v>
      </c>
      <c r="M703" t="str">
        <f>'(Raw) LensesGH'!G703</f>
        <v>APS-C/ Kleinbild</v>
      </c>
      <c r="N703" t="str">
        <f>'(Raw) LensesGH'!H703</f>
        <v>710g</v>
      </c>
      <c r="O703" s="5">
        <f t="shared" si="97"/>
        <v>710</v>
      </c>
      <c r="P703" t="str">
        <f>'(Raw) LensesGH'!I703</f>
        <v>72.5 x 121.6mm</v>
      </c>
      <c r="Q703" s="39">
        <f t="shared" si="98"/>
        <v>72.5</v>
      </c>
      <c r="R703" s="39">
        <f t="shared" si="90"/>
        <v>121.6</v>
      </c>
    </row>
    <row r="704" spans="1:18" x14ac:dyDescent="0.25">
      <c r="A704" t="str">
        <f>'(Raw) LensesGH'!A704</f>
        <v>Samyang 100mm 2.8 ED UMC Makro für Samsung NX schwarz</v>
      </c>
      <c r="B704" t="str">
        <f>'(Raw) LensesGH'!B704</f>
        <v>100mm</v>
      </c>
      <c r="C704" s="5">
        <f t="shared" si="91"/>
        <v>100</v>
      </c>
      <c r="D704" s="5">
        <f t="shared" si="92"/>
        <v>100</v>
      </c>
      <c r="E704" t="str">
        <f>'(Raw) LensesGH'!C704</f>
        <v>1:2.8</v>
      </c>
      <c r="F704" s="9">
        <f t="shared" si="93"/>
        <v>2.8</v>
      </c>
      <c r="G704" s="9">
        <f t="shared" si="94"/>
        <v>2.8</v>
      </c>
      <c r="H704" t="str">
        <f>'(Raw) LensesGH'!D704</f>
        <v>67mm</v>
      </c>
      <c r="I704" s="2">
        <f t="shared" si="95"/>
        <v>67</v>
      </c>
      <c r="J704" s="2" t="str">
        <f>'(Raw) LensesGH'!E704</f>
        <v>1:1.00</v>
      </c>
      <c r="K704" s="40">
        <f t="shared" si="96"/>
        <v>1</v>
      </c>
      <c r="L704" t="str">
        <f>'(Raw) LensesGH'!F704</f>
        <v>Samsung NX</v>
      </c>
      <c r="M704" t="str">
        <f>'(Raw) LensesGH'!G704</f>
        <v>APS-C</v>
      </c>
      <c r="N704" t="str">
        <f>'(Raw) LensesGH'!H704</f>
        <v>720g</v>
      </c>
      <c r="O704" s="5">
        <f t="shared" si="97"/>
        <v>720</v>
      </c>
      <c r="P704" t="str">
        <f>'(Raw) LensesGH'!I704</f>
        <v>72.5 x 141.6mm</v>
      </c>
      <c r="Q704" s="39">
        <f t="shared" si="98"/>
        <v>72.5</v>
      </c>
      <c r="R704" s="39">
        <f t="shared" si="90"/>
        <v>141.6</v>
      </c>
    </row>
    <row r="705" spans="1:18" x14ac:dyDescent="0.25">
      <c r="A705" t="str">
        <f>'(Raw) LensesGH'!A705</f>
        <v>Samyang 100mm 2.8 ED UMC Makro für Sony A schwarz</v>
      </c>
      <c r="B705" t="str">
        <f>'(Raw) LensesGH'!B705</f>
        <v>100mm</v>
      </c>
      <c r="C705" s="5">
        <f t="shared" si="91"/>
        <v>100</v>
      </c>
      <c r="D705" s="5">
        <f t="shared" si="92"/>
        <v>100</v>
      </c>
      <c r="E705" t="str">
        <f>'(Raw) LensesGH'!C705</f>
        <v>1:2.8</v>
      </c>
      <c r="F705" s="9">
        <f t="shared" si="93"/>
        <v>2.8</v>
      </c>
      <c r="G705" s="9">
        <f t="shared" si="94"/>
        <v>2.8</v>
      </c>
      <c r="H705" t="str">
        <f>'(Raw) LensesGH'!D705</f>
        <v>67mm</v>
      </c>
      <c r="I705" s="2">
        <f t="shared" si="95"/>
        <v>67</v>
      </c>
      <c r="J705" s="2" t="str">
        <f>'(Raw) LensesGH'!E705</f>
        <v>1:1.00</v>
      </c>
      <c r="K705" s="40">
        <f t="shared" si="96"/>
        <v>1</v>
      </c>
      <c r="L705" t="str">
        <f>'(Raw) LensesGH'!F705</f>
        <v>Sony A</v>
      </c>
      <c r="M705" t="str">
        <f>'(Raw) LensesGH'!G705</f>
        <v>APS-C/ Kleinbild</v>
      </c>
      <c r="N705" t="str">
        <f>'(Raw) LensesGH'!H705</f>
        <v>715g</v>
      </c>
      <c r="O705" s="5">
        <f t="shared" si="97"/>
        <v>715</v>
      </c>
      <c r="P705" t="str">
        <f>'(Raw) LensesGH'!I705</f>
        <v>72.5 x 122.6mm</v>
      </c>
      <c r="Q705" s="39">
        <f t="shared" si="98"/>
        <v>72.5</v>
      </c>
      <c r="R705" s="39">
        <f t="shared" si="90"/>
        <v>122.6</v>
      </c>
    </row>
    <row r="706" spans="1:18" x14ac:dyDescent="0.25">
      <c r="A706" t="str">
        <f>'(Raw) LensesGH'!A706</f>
        <v>Samyang 100mm 2.8 ED UMC Makro für Sony E schwarz</v>
      </c>
      <c r="B706" t="str">
        <f>'(Raw) LensesGH'!B706</f>
        <v>100mm</v>
      </c>
      <c r="C706" s="5">
        <f t="shared" si="91"/>
        <v>100</v>
      </c>
      <c r="D706" s="5">
        <f t="shared" si="92"/>
        <v>100</v>
      </c>
      <c r="E706" t="str">
        <f>'(Raw) LensesGH'!C706</f>
        <v>1:2.8</v>
      </c>
      <c r="F706" s="9">
        <f t="shared" si="93"/>
        <v>2.8</v>
      </c>
      <c r="G706" s="9">
        <f t="shared" si="94"/>
        <v>2.8</v>
      </c>
      <c r="H706" t="str">
        <f>'(Raw) LensesGH'!D706</f>
        <v>67mm</v>
      </c>
      <c r="I706" s="2">
        <f t="shared" si="95"/>
        <v>67</v>
      </c>
      <c r="J706" s="2" t="str">
        <f>'(Raw) LensesGH'!E706</f>
        <v>1:1.00</v>
      </c>
      <c r="K706" s="40">
        <f t="shared" si="96"/>
        <v>1</v>
      </c>
      <c r="L706" t="str">
        <f>'(Raw) LensesGH'!F706</f>
        <v>Sony E</v>
      </c>
      <c r="M706" t="str">
        <f>'(Raw) LensesGH'!G706</f>
        <v>APS-C/ Kleinbild</v>
      </c>
      <c r="N706" t="str">
        <f>'(Raw) LensesGH'!H706</f>
        <v>730g</v>
      </c>
      <c r="O706" s="5">
        <f t="shared" si="97"/>
        <v>730</v>
      </c>
      <c r="P706" t="str">
        <f>'(Raw) LensesGH'!I706</f>
        <v>72.5 x 149.1mm</v>
      </c>
      <c r="Q706" s="39">
        <f t="shared" si="98"/>
        <v>72.5</v>
      </c>
      <c r="R706" s="39">
        <f t="shared" ref="R706:R769" si="99">getSizeLength(P706)</f>
        <v>149.1</v>
      </c>
    </row>
    <row r="707" spans="1:18" x14ac:dyDescent="0.25">
      <c r="A707" t="str">
        <f>'(Raw) LensesGH'!A707</f>
        <v>Samyang 100mm T3.1 VDSLR ED UMC Makro für Canon EF schwarz</v>
      </c>
      <c r="B707" t="str">
        <f>'(Raw) LensesGH'!B707</f>
        <v>100mm</v>
      </c>
      <c r="C707" s="5">
        <f t="shared" ref="C707:C770" si="100">getFocalLengthStart(B707)</f>
        <v>100</v>
      </c>
      <c r="D707" s="5">
        <f t="shared" ref="D707:D770" si="101">getFocalLengthEnd(B707)</f>
        <v>100</v>
      </c>
      <c r="E707" t="str">
        <f>'(Raw) LensesGH'!C707</f>
        <v>1:3.1</v>
      </c>
      <c r="F707" s="9">
        <f t="shared" ref="F707:F770" si="102">getApertureStart(E707)</f>
        <v>3.1</v>
      </c>
      <c r="G707" s="9">
        <f t="shared" ref="G707:G770" si="103">getApertureEnd(F707)</f>
        <v>3.1</v>
      </c>
      <c r="H707" t="str">
        <f>'(Raw) LensesGH'!D707</f>
        <v>67mm</v>
      </c>
      <c r="I707" s="2">
        <f t="shared" ref="I707:I770" si="104">getFiltersizeAsDouble(H707)</f>
        <v>67</v>
      </c>
      <c r="J707" s="2" t="str">
        <f>'(Raw) LensesGH'!E707</f>
        <v>1:1.00</v>
      </c>
      <c r="K707" s="40">
        <f t="shared" ref="K707:K770" si="105">getMagnification(J707)</f>
        <v>1</v>
      </c>
      <c r="L707" t="str">
        <f>'(Raw) LensesGH'!F707</f>
        <v>Canon EF</v>
      </c>
      <c r="M707" t="str">
        <f>'(Raw) LensesGH'!G707</f>
        <v>APS-C/ Kleinbild</v>
      </c>
      <c r="N707" t="str">
        <f>'(Raw) LensesGH'!H707</f>
        <v>726g</v>
      </c>
      <c r="O707" s="5">
        <f t="shared" ref="O707:O770" si="106">getWeightAsDouble(N707)</f>
        <v>726</v>
      </c>
      <c r="P707" t="str">
        <f>'(Raw) LensesGH'!I707</f>
        <v>81.6 x 123.1mm</v>
      </c>
      <c r="Q707" s="39">
        <f t="shared" ref="Q707:Q770" si="107">getSizeDiameter(P707)</f>
        <v>81.599999999999994</v>
      </c>
      <c r="R707" s="39">
        <f t="shared" si="99"/>
        <v>123.1</v>
      </c>
    </row>
    <row r="708" spans="1:18" x14ac:dyDescent="0.25">
      <c r="A708" t="str">
        <f>'(Raw) LensesGH'!A708</f>
        <v>Samyang 100mm T3.1 VDSLR ED UMC Makro für Canon EF-M schwarz</v>
      </c>
      <c r="B708" t="str">
        <f>'(Raw) LensesGH'!B708</f>
        <v>100mm</v>
      </c>
      <c r="C708" s="5">
        <f t="shared" si="100"/>
        <v>100</v>
      </c>
      <c r="D708" s="5">
        <f t="shared" si="101"/>
        <v>100</v>
      </c>
      <c r="E708" t="str">
        <f>'(Raw) LensesGH'!C708</f>
        <v>1:3.1</v>
      </c>
      <c r="F708" s="9">
        <f t="shared" si="102"/>
        <v>3.1</v>
      </c>
      <c r="G708" s="9">
        <f t="shared" si="103"/>
        <v>3.1</v>
      </c>
      <c r="H708" t="str">
        <f>'(Raw) LensesGH'!D708</f>
        <v>67mm</v>
      </c>
      <c r="I708" s="2">
        <f t="shared" si="104"/>
        <v>67</v>
      </c>
      <c r="J708" s="2" t="str">
        <f>'(Raw) LensesGH'!E708</f>
        <v>1:1.00</v>
      </c>
      <c r="K708" s="40">
        <f t="shared" si="105"/>
        <v>1</v>
      </c>
      <c r="L708" t="str">
        <f>'(Raw) LensesGH'!F708</f>
        <v>Canon EF-M</v>
      </c>
      <c r="M708" t="str">
        <f>'(Raw) LensesGH'!G708</f>
        <v>APS-C</v>
      </c>
      <c r="N708" t="str">
        <f>'(Raw) LensesGH'!H708</f>
        <v>735g</v>
      </c>
      <c r="O708" s="5">
        <f t="shared" si="106"/>
        <v>735</v>
      </c>
      <c r="P708" t="str">
        <f>'(Raw) LensesGH'!I708</f>
        <v>81.6 x 149mm</v>
      </c>
      <c r="Q708" s="39">
        <f t="shared" si="107"/>
        <v>81.599999999999994</v>
      </c>
      <c r="R708" s="39">
        <f t="shared" si="99"/>
        <v>149</v>
      </c>
    </row>
    <row r="709" spans="1:18" x14ac:dyDescent="0.25">
      <c r="A709" t="str">
        <f>'(Raw) LensesGH'!A709</f>
        <v>Samyang 100mm T3.1 VDSLR ED UMC Makro für Four-Thirds schwarz</v>
      </c>
      <c r="B709" t="str">
        <f>'(Raw) LensesGH'!B709</f>
        <v>100mm</v>
      </c>
      <c r="C709" s="5">
        <f t="shared" si="100"/>
        <v>100</v>
      </c>
      <c r="D709" s="5">
        <f t="shared" si="101"/>
        <v>100</v>
      </c>
      <c r="E709" t="str">
        <f>'(Raw) LensesGH'!C709</f>
        <v>1:3.1</v>
      </c>
      <c r="F709" s="9">
        <f t="shared" si="102"/>
        <v>3.1</v>
      </c>
      <c r="G709" s="9">
        <f t="shared" si="103"/>
        <v>3.1</v>
      </c>
      <c r="H709" t="str">
        <f>'(Raw) LensesGH'!D709</f>
        <v>67mm</v>
      </c>
      <c r="I709" s="2">
        <f t="shared" si="104"/>
        <v>67</v>
      </c>
      <c r="J709" s="2" t="str">
        <f>'(Raw) LensesGH'!E709</f>
        <v>1:1.00</v>
      </c>
      <c r="K709" s="40">
        <f t="shared" si="105"/>
        <v>1</v>
      </c>
      <c r="L709" t="str">
        <f>'(Raw) LensesGH'!F709</f>
        <v>Four-Thirds</v>
      </c>
      <c r="M709" t="str">
        <f>'(Raw) LensesGH'!G709</f>
        <v>Four-Thirds</v>
      </c>
      <c r="N709" t="str">
        <f>'(Raw) LensesGH'!H709</f>
        <v>740g</v>
      </c>
      <c r="O709" s="5">
        <f t="shared" si="106"/>
        <v>740</v>
      </c>
      <c r="P709" t="str">
        <f>'(Raw) LensesGH'!I709</f>
        <v>81.6 x 128.4mm</v>
      </c>
      <c r="Q709" s="39">
        <f t="shared" si="107"/>
        <v>81.599999999999994</v>
      </c>
      <c r="R709" s="39">
        <f t="shared" si="99"/>
        <v>128.4</v>
      </c>
    </row>
    <row r="710" spans="1:18" x14ac:dyDescent="0.25">
      <c r="A710" t="str">
        <f>'(Raw) LensesGH'!A710</f>
        <v>Samyang 100mm T3.1 VDSLR ED UMC Makro für Fujifilm X schwarz</v>
      </c>
      <c r="B710" t="str">
        <f>'(Raw) LensesGH'!B710</f>
        <v>100mm</v>
      </c>
      <c r="C710" s="5">
        <f t="shared" si="100"/>
        <v>100</v>
      </c>
      <c r="D710" s="5">
        <f t="shared" si="101"/>
        <v>100</v>
      </c>
      <c r="E710" t="str">
        <f>'(Raw) LensesGH'!C710</f>
        <v>1:3.1</v>
      </c>
      <c r="F710" s="9">
        <f t="shared" si="102"/>
        <v>3.1</v>
      </c>
      <c r="G710" s="9">
        <f t="shared" si="103"/>
        <v>3.1</v>
      </c>
      <c r="H710" t="str">
        <f>'(Raw) LensesGH'!D710</f>
        <v>67mm</v>
      </c>
      <c r="I710" s="2">
        <f t="shared" si="104"/>
        <v>67</v>
      </c>
      <c r="J710" s="2" t="str">
        <f>'(Raw) LensesGH'!E710</f>
        <v>1:1.00</v>
      </c>
      <c r="K710" s="40">
        <f t="shared" si="105"/>
        <v>1</v>
      </c>
      <c r="L710" t="str">
        <f>'(Raw) LensesGH'!F710</f>
        <v>Fujifilm X</v>
      </c>
      <c r="M710" t="str">
        <f>'(Raw) LensesGH'!G710</f>
        <v>APS-C</v>
      </c>
      <c r="N710" t="str">
        <f>'(Raw) LensesGH'!H710</f>
        <v>775g</v>
      </c>
      <c r="O710" s="5">
        <f t="shared" si="106"/>
        <v>775</v>
      </c>
      <c r="P710" t="str">
        <f>'(Raw) LensesGH'!I710</f>
        <v>81.6 x 149.4mm</v>
      </c>
      <c r="Q710" s="39">
        <f t="shared" si="107"/>
        <v>81.599999999999994</v>
      </c>
      <c r="R710" s="39">
        <f t="shared" si="99"/>
        <v>149.4</v>
      </c>
    </row>
    <row r="711" spans="1:18" x14ac:dyDescent="0.25">
      <c r="A711" t="str">
        <f>'(Raw) LensesGH'!A711</f>
        <v>Samyang 100mm T3.1 VDSLR ED UMC Makro für Micro-Four-Thirds schwarz</v>
      </c>
      <c r="B711" t="str">
        <f>'(Raw) LensesGH'!B711</f>
        <v>100mm</v>
      </c>
      <c r="C711" s="5">
        <f t="shared" si="100"/>
        <v>100</v>
      </c>
      <c r="D711" s="5">
        <f t="shared" si="101"/>
        <v>100</v>
      </c>
      <c r="E711" t="str">
        <f>'(Raw) LensesGH'!C711</f>
        <v>1:3.1</v>
      </c>
      <c r="F711" s="9">
        <f t="shared" si="102"/>
        <v>3.1</v>
      </c>
      <c r="G711" s="9">
        <f t="shared" si="103"/>
        <v>3.1</v>
      </c>
      <c r="H711" t="str">
        <f>'(Raw) LensesGH'!D711</f>
        <v>67mm</v>
      </c>
      <c r="I711" s="2">
        <f t="shared" si="104"/>
        <v>67</v>
      </c>
      <c r="J711" s="2" t="str">
        <f>'(Raw) LensesGH'!E711</f>
        <v>1:1.00</v>
      </c>
      <c r="K711" s="40">
        <f t="shared" si="105"/>
        <v>1</v>
      </c>
      <c r="L711" t="str">
        <f>'(Raw) LensesGH'!F711</f>
        <v>Micro-Four-Thirds</v>
      </c>
      <c r="M711" t="str">
        <f>'(Raw) LensesGH'!G711</f>
        <v>Four-Thirds</v>
      </c>
      <c r="N711" t="str">
        <f>'(Raw) LensesGH'!H711</f>
        <v>730g</v>
      </c>
      <c r="O711" s="5">
        <f t="shared" si="106"/>
        <v>730</v>
      </c>
      <c r="P711" t="str">
        <f>'(Raw) LensesGH'!I711</f>
        <v>81.6 x 147.9mm</v>
      </c>
      <c r="Q711" s="39">
        <f t="shared" si="107"/>
        <v>81.599999999999994</v>
      </c>
      <c r="R711" s="39">
        <f t="shared" si="99"/>
        <v>147.9</v>
      </c>
    </row>
    <row r="712" spans="1:18" x14ac:dyDescent="0.25">
      <c r="A712" t="str">
        <f>'(Raw) LensesGH'!A712</f>
        <v>Samyang 100mm T3.1 VDSLR ED UMC Makro für Nikon F schwarz</v>
      </c>
      <c r="B712" t="str">
        <f>'(Raw) LensesGH'!B712</f>
        <v>100mm</v>
      </c>
      <c r="C712" s="5">
        <f t="shared" si="100"/>
        <v>100</v>
      </c>
      <c r="D712" s="5">
        <f t="shared" si="101"/>
        <v>100</v>
      </c>
      <c r="E712" t="str">
        <f>'(Raw) LensesGH'!C712</f>
        <v>1:3.1</v>
      </c>
      <c r="F712" s="9">
        <f t="shared" si="102"/>
        <v>3.1</v>
      </c>
      <c r="G712" s="9">
        <f t="shared" si="103"/>
        <v>3.1</v>
      </c>
      <c r="H712" t="str">
        <f>'(Raw) LensesGH'!D712</f>
        <v>67mm</v>
      </c>
      <c r="I712" s="2">
        <f t="shared" si="104"/>
        <v>67</v>
      </c>
      <c r="J712" s="2" t="str">
        <f>'(Raw) LensesGH'!E712</f>
        <v>1:1.00</v>
      </c>
      <c r="K712" s="40">
        <f t="shared" si="105"/>
        <v>1</v>
      </c>
      <c r="L712" t="str">
        <f>'(Raw) LensesGH'!F712</f>
        <v>Nikon F</v>
      </c>
      <c r="M712" t="str">
        <f>'(Raw) LensesGH'!G712</f>
        <v>APS-C/ Kleinbild</v>
      </c>
      <c r="N712" t="str">
        <f>'(Raw) LensesGH'!H712</f>
        <v>710g</v>
      </c>
      <c r="O712" s="5">
        <f t="shared" si="106"/>
        <v>710</v>
      </c>
      <c r="P712" t="str">
        <f>'(Raw) LensesGH'!I712</f>
        <v>81.6 x 120.6mm</v>
      </c>
      <c r="Q712" s="39">
        <f t="shared" si="107"/>
        <v>81.599999999999994</v>
      </c>
      <c r="R712" s="39">
        <f t="shared" si="99"/>
        <v>120.6</v>
      </c>
    </row>
    <row r="713" spans="1:18" x14ac:dyDescent="0.25">
      <c r="A713" t="str">
        <f>'(Raw) LensesGH'!A713</f>
        <v>Samyang 100mm T3.1 VDSLR ED UMC Makro für Pentax K schwarz</v>
      </c>
      <c r="B713" t="str">
        <f>'(Raw) LensesGH'!B713</f>
        <v>100mm</v>
      </c>
      <c r="C713" s="5">
        <f t="shared" si="100"/>
        <v>100</v>
      </c>
      <c r="D713" s="5">
        <f t="shared" si="101"/>
        <v>100</v>
      </c>
      <c r="E713" t="str">
        <f>'(Raw) LensesGH'!C713</f>
        <v>1:3.1</v>
      </c>
      <c r="F713" s="9">
        <f t="shared" si="102"/>
        <v>3.1</v>
      </c>
      <c r="G713" s="9">
        <f t="shared" si="103"/>
        <v>3.1</v>
      </c>
      <c r="H713" t="str">
        <f>'(Raw) LensesGH'!D713</f>
        <v>67mm</v>
      </c>
      <c r="I713" s="2">
        <f t="shared" si="104"/>
        <v>67</v>
      </c>
      <c r="J713" s="2" t="str">
        <f>'(Raw) LensesGH'!E713</f>
        <v>1:1.00</v>
      </c>
      <c r="K713" s="40">
        <f t="shared" si="105"/>
        <v>1</v>
      </c>
      <c r="L713" t="str">
        <f>'(Raw) LensesGH'!F713</f>
        <v>Pentax K</v>
      </c>
      <c r="M713" t="str">
        <f>'(Raw) LensesGH'!G713</f>
        <v>APS-C/ Kleinbild</v>
      </c>
      <c r="N713" t="str">
        <f>'(Raw) LensesGH'!H713</f>
        <v>715g</v>
      </c>
      <c r="O713" s="5">
        <f t="shared" si="106"/>
        <v>715</v>
      </c>
      <c r="P713" t="str">
        <f>'(Raw) LensesGH'!I713</f>
        <v>81.6 x 121.6mm</v>
      </c>
      <c r="Q713" s="39">
        <f t="shared" si="107"/>
        <v>81.599999999999994</v>
      </c>
      <c r="R713" s="39">
        <f t="shared" si="99"/>
        <v>121.6</v>
      </c>
    </row>
    <row r="714" spans="1:18" x14ac:dyDescent="0.25">
      <c r="A714" t="str">
        <f>'(Raw) LensesGH'!A714</f>
        <v>Samyang 100mm T3.1 VDSLR ED UMC Makro für Samsung NX schwarz</v>
      </c>
      <c r="B714" t="str">
        <f>'(Raw) LensesGH'!B714</f>
        <v>100mm</v>
      </c>
      <c r="C714" s="5">
        <f t="shared" si="100"/>
        <v>100</v>
      </c>
      <c r="D714" s="5">
        <f t="shared" si="101"/>
        <v>100</v>
      </c>
      <c r="E714" t="str">
        <f>'(Raw) LensesGH'!C714</f>
        <v>1:3.1</v>
      </c>
      <c r="F714" s="9">
        <f t="shared" si="102"/>
        <v>3.1</v>
      </c>
      <c r="G714" s="9">
        <f t="shared" si="103"/>
        <v>3.1</v>
      </c>
      <c r="H714" t="str">
        <f>'(Raw) LensesGH'!D714</f>
        <v>67mm</v>
      </c>
      <c r="I714" s="2">
        <f t="shared" si="104"/>
        <v>67</v>
      </c>
      <c r="J714" s="2" t="str">
        <f>'(Raw) LensesGH'!E714</f>
        <v>1:1.00</v>
      </c>
      <c r="K714" s="40">
        <f t="shared" si="105"/>
        <v>1</v>
      </c>
      <c r="L714" t="str">
        <f>'(Raw) LensesGH'!F714</f>
        <v>Samsung NX</v>
      </c>
      <c r="M714" t="str">
        <f>'(Raw) LensesGH'!G714</f>
        <v>APS-C</v>
      </c>
      <c r="N714" t="str">
        <f>'(Raw) LensesGH'!H714</f>
        <v>725g</v>
      </c>
      <c r="O714" s="5">
        <f t="shared" si="106"/>
        <v>725</v>
      </c>
      <c r="P714" t="str">
        <f>'(Raw) LensesGH'!I714</f>
        <v>81.6 x 141.6mm</v>
      </c>
      <c r="Q714" s="39">
        <f t="shared" si="107"/>
        <v>81.599999999999994</v>
      </c>
      <c r="R714" s="39">
        <f t="shared" si="99"/>
        <v>141.6</v>
      </c>
    </row>
    <row r="715" spans="1:18" x14ac:dyDescent="0.25">
      <c r="A715" t="str">
        <f>'(Raw) LensesGH'!A715</f>
        <v>Samyang 100mm T3.1 VDSLR ED UMC Makro für Sony A schwarz</v>
      </c>
      <c r="B715" t="str">
        <f>'(Raw) LensesGH'!B715</f>
        <v>100mm</v>
      </c>
      <c r="C715" s="5">
        <f t="shared" si="100"/>
        <v>100</v>
      </c>
      <c r="D715" s="5">
        <f t="shared" si="101"/>
        <v>100</v>
      </c>
      <c r="E715" t="str">
        <f>'(Raw) LensesGH'!C715</f>
        <v>1:3.1</v>
      </c>
      <c r="F715" s="9">
        <f t="shared" si="102"/>
        <v>3.1</v>
      </c>
      <c r="G715" s="9">
        <f t="shared" si="103"/>
        <v>3.1</v>
      </c>
      <c r="H715" t="str">
        <f>'(Raw) LensesGH'!D715</f>
        <v>67mm</v>
      </c>
      <c r="I715" s="2">
        <f t="shared" si="104"/>
        <v>67</v>
      </c>
      <c r="J715" s="2" t="str">
        <f>'(Raw) LensesGH'!E715</f>
        <v>1:1.00</v>
      </c>
      <c r="K715" s="40">
        <f t="shared" si="105"/>
        <v>1</v>
      </c>
      <c r="L715" t="str">
        <f>'(Raw) LensesGH'!F715</f>
        <v>Sony A</v>
      </c>
      <c r="M715" t="str">
        <f>'(Raw) LensesGH'!G715</f>
        <v>APS-C/ Kleinbild</v>
      </c>
      <c r="N715" t="str">
        <f>'(Raw) LensesGH'!H715</f>
        <v>720g</v>
      </c>
      <c r="O715" s="5">
        <f t="shared" si="106"/>
        <v>720</v>
      </c>
      <c r="P715" t="str">
        <f>'(Raw) LensesGH'!I715</f>
        <v>81.6 x 122.6mm</v>
      </c>
      <c r="Q715" s="39">
        <f t="shared" si="107"/>
        <v>81.599999999999994</v>
      </c>
      <c r="R715" s="39">
        <f t="shared" si="99"/>
        <v>122.6</v>
      </c>
    </row>
    <row r="716" spans="1:18" x14ac:dyDescent="0.25">
      <c r="A716" t="str">
        <f>'(Raw) LensesGH'!A716</f>
        <v>Samyang 100mm T3.1 VDSLR ED UMC Makro für Sony E schwarz</v>
      </c>
      <c r="B716" t="str">
        <f>'(Raw) LensesGH'!B716</f>
        <v>100mm</v>
      </c>
      <c r="C716" s="5">
        <f t="shared" si="100"/>
        <v>100</v>
      </c>
      <c r="D716" s="5">
        <f t="shared" si="101"/>
        <v>100</v>
      </c>
      <c r="E716" t="str">
        <f>'(Raw) LensesGH'!C716</f>
        <v>1:3.1</v>
      </c>
      <c r="F716" s="9">
        <f t="shared" si="102"/>
        <v>3.1</v>
      </c>
      <c r="G716" s="9">
        <f t="shared" si="103"/>
        <v>3.1</v>
      </c>
      <c r="H716" t="str">
        <f>'(Raw) LensesGH'!D716</f>
        <v>67mm</v>
      </c>
      <c r="I716" s="2">
        <f t="shared" si="104"/>
        <v>67</v>
      </c>
      <c r="J716" s="2" t="str">
        <f>'(Raw) LensesGH'!E716</f>
        <v>1:1.00</v>
      </c>
      <c r="K716" s="40">
        <f t="shared" si="105"/>
        <v>1</v>
      </c>
      <c r="L716" t="str">
        <f>'(Raw) LensesGH'!F716</f>
        <v>Sony E</v>
      </c>
      <c r="M716" t="str">
        <f>'(Raw) LensesGH'!G716</f>
        <v>APS-C/ Kleinbild</v>
      </c>
      <c r="N716" t="str">
        <f>'(Raw) LensesGH'!H716</f>
        <v>735g</v>
      </c>
      <c r="O716" s="5">
        <f t="shared" si="106"/>
        <v>735</v>
      </c>
      <c r="P716" t="str">
        <f>'(Raw) LensesGH'!I716</f>
        <v>81.6 x 149.1mm</v>
      </c>
      <c r="Q716" s="39">
        <f t="shared" si="107"/>
        <v>81.599999999999994</v>
      </c>
      <c r="R716" s="39">
        <f t="shared" si="99"/>
        <v>149.1</v>
      </c>
    </row>
    <row r="717" spans="1:18" x14ac:dyDescent="0.25">
      <c r="A717" t="str">
        <f>'(Raw) LensesGH'!A717</f>
        <v>Samyang 10mm 2.8 ED AS NCS CS für Canon EF schwarz</v>
      </c>
      <c r="B717" t="str">
        <f>'(Raw) LensesGH'!B717</f>
        <v>10mm</v>
      </c>
      <c r="C717" s="5">
        <f t="shared" si="100"/>
        <v>10</v>
      </c>
      <c r="D717" s="5">
        <f t="shared" si="101"/>
        <v>10</v>
      </c>
      <c r="E717" t="str">
        <f>'(Raw) LensesGH'!C717</f>
        <v>1:2.8</v>
      </c>
      <c r="F717" s="9">
        <f t="shared" si="102"/>
        <v>2.8</v>
      </c>
      <c r="G717" s="9">
        <f t="shared" si="103"/>
        <v>2.8</v>
      </c>
      <c r="H717">
        <f>'(Raw) LensesGH'!D717</f>
        <v>0</v>
      </c>
      <c r="I717" s="2">
        <f t="shared" si="104"/>
        <v>0</v>
      </c>
      <c r="J717" s="2">
        <f>'(Raw) LensesGH'!E717</f>
        <v>0</v>
      </c>
      <c r="K717" s="40">
        <f t="shared" si="105"/>
        <v>0</v>
      </c>
      <c r="L717" t="str">
        <f>'(Raw) LensesGH'!F717</f>
        <v>Canon EF</v>
      </c>
      <c r="M717" t="str">
        <f>'(Raw) LensesGH'!G717</f>
        <v>APS-C</v>
      </c>
      <c r="N717" t="str">
        <f>'(Raw) LensesGH'!H717</f>
        <v>590g</v>
      </c>
      <c r="O717" s="5">
        <f t="shared" si="106"/>
        <v>590</v>
      </c>
      <c r="P717" t="str">
        <f>'(Raw) LensesGH'!I717</f>
        <v>86 x 79mm</v>
      </c>
      <c r="Q717" s="39">
        <f t="shared" si="107"/>
        <v>86</v>
      </c>
      <c r="R717" s="39">
        <f t="shared" si="99"/>
        <v>79</v>
      </c>
    </row>
    <row r="718" spans="1:18" x14ac:dyDescent="0.25">
      <c r="A718" t="str">
        <f>'(Raw) LensesGH'!A718</f>
        <v>Samyang 10mm 2.8 ED AS NCS CS für Canon EF-M schwarz</v>
      </c>
      <c r="B718" t="str">
        <f>'(Raw) LensesGH'!B718</f>
        <v>10mm</v>
      </c>
      <c r="C718" s="5">
        <f t="shared" si="100"/>
        <v>10</v>
      </c>
      <c r="D718" s="5">
        <f t="shared" si="101"/>
        <v>10</v>
      </c>
      <c r="E718" t="str">
        <f>'(Raw) LensesGH'!C718</f>
        <v>1:2.8</v>
      </c>
      <c r="F718" s="9">
        <f t="shared" si="102"/>
        <v>2.8</v>
      </c>
      <c r="G718" s="9">
        <f t="shared" si="103"/>
        <v>2.8</v>
      </c>
      <c r="H718">
        <f>'(Raw) LensesGH'!D718</f>
        <v>0</v>
      </c>
      <c r="I718" s="2">
        <f t="shared" si="104"/>
        <v>0</v>
      </c>
      <c r="J718" s="2">
        <f>'(Raw) LensesGH'!E718</f>
        <v>0</v>
      </c>
      <c r="K718" s="40">
        <f t="shared" si="105"/>
        <v>0</v>
      </c>
      <c r="L718" t="str">
        <f>'(Raw) LensesGH'!F718</f>
        <v>Canon EF-M</v>
      </c>
      <c r="M718" t="str">
        <f>'(Raw) LensesGH'!G718</f>
        <v>APS-C</v>
      </c>
      <c r="N718" t="str">
        <f>'(Raw) LensesGH'!H718</f>
        <v>620g</v>
      </c>
      <c r="O718" s="5">
        <f t="shared" si="106"/>
        <v>620</v>
      </c>
      <c r="P718" t="str">
        <f>'(Raw) LensesGH'!I718</f>
        <v>86 x 79mm</v>
      </c>
      <c r="Q718" s="39">
        <f t="shared" si="107"/>
        <v>86</v>
      </c>
      <c r="R718" s="39">
        <f t="shared" si="99"/>
        <v>79</v>
      </c>
    </row>
    <row r="719" spans="1:18" x14ac:dyDescent="0.25">
      <c r="A719" t="str">
        <f>'(Raw) LensesGH'!A719</f>
        <v>Samyang 10mm 2.8 ED AS NCS CS für Four-Thirds schwarz</v>
      </c>
      <c r="B719" t="str">
        <f>'(Raw) LensesGH'!B719</f>
        <v>10mm</v>
      </c>
      <c r="C719" s="5">
        <f t="shared" si="100"/>
        <v>10</v>
      </c>
      <c r="D719" s="5">
        <f t="shared" si="101"/>
        <v>10</v>
      </c>
      <c r="E719" t="str">
        <f>'(Raw) LensesGH'!C719</f>
        <v>1:2.8</v>
      </c>
      <c r="F719" s="9">
        <f t="shared" si="102"/>
        <v>2.8</v>
      </c>
      <c r="G719" s="9">
        <f t="shared" si="103"/>
        <v>2.8</v>
      </c>
      <c r="H719">
        <f>'(Raw) LensesGH'!D719</f>
        <v>0</v>
      </c>
      <c r="I719" s="2">
        <f t="shared" si="104"/>
        <v>0</v>
      </c>
      <c r="J719" s="2">
        <f>'(Raw) LensesGH'!E719</f>
        <v>0</v>
      </c>
      <c r="K719" s="40">
        <f t="shared" si="105"/>
        <v>0</v>
      </c>
      <c r="L719" t="str">
        <f>'(Raw) LensesGH'!F719</f>
        <v>Four-Thirds</v>
      </c>
      <c r="M719" t="str">
        <f>'(Raw) LensesGH'!G719</f>
        <v>Four-Thirds</v>
      </c>
      <c r="N719" t="str">
        <f>'(Raw) LensesGH'!H719</f>
        <v>610g</v>
      </c>
      <c r="O719" s="5">
        <f t="shared" si="106"/>
        <v>610</v>
      </c>
      <c r="P719" t="str">
        <f>'(Raw) LensesGH'!I719</f>
        <v>86 x 85mm</v>
      </c>
      <c r="Q719" s="39">
        <f t="shared" si="107"/>
        <v>86</v>
      </c>
      <c r="R719" s="39">
        <f t="shared" si="99"/>
        <v>85</v>
      </c>
    </row>
    <row r="720" spans="1:18" x14ac:dyDescent="0.25">
      <c r="A720" t="str">
        <f>'(Raw) LensesGH'!A720</f>
        <v>Samyang 10mm 2.8 ED AS NCS CS für Fujifilm X schwarz</v>
      </c>
      <c r="B720" t="str">
        <f>'(Raw) LensesGH'!B720</f>
        <v>10mm</v>
      </c>
      <c r="C720" s="5">
        <f t="shared" si="100"/>
        <v>10</v>
      </c>
      <c r="D720" s="5">
        <f t="shared" si="101"/>
        <v>10</v>
      </c>
      <c r="E720" t="str">
        <f>'(Raw) LensesGH'!C720</f>
        <v>1:2.8</v>
      </c>
      <c r="F720" s="9">
        <f t="shared" si="102"/>
        <v>2.8</v>
      </c>
      <c r="G720" s="9">
        <f t="shared" si="103"/>
        <v>2.8</v>
      </c>
      <c r="H720">
        <f>'(Raw) LensesGH'!D720</f>
        <v>0</v>
      </c>
      <c r="I720" s="2">
        <f t="shared" si="104"/>
        <v>0</v>
      </c>
      <c r="J720" s="2">
        <f>'(Raw) LensesGH'!E720</f>
        <v>0</v>
      </c>
      <c r="K720" s="40">
        <f t="shared" si="105"/>
        <v>0</v>
      </c>
      <c r="L720" t="str">
        <f>'(Raw) LensesGH'!F720</f>
        <v>Fujifilm X</v>
      </c>
      <c r="M720" t="str">
        <f>'(Raw) LensesGH'!G720</f>
        <v>APS-C</v>
      </c>
      <c r="N720" t="str">
        <f>'(Raw) LensesGH'!H720</f>
        <v>625g</v>
      </c>
      <c r="O720" s="5">
        <f t="shared" si="106"/>
        <v>625</v>
      </c>
      <c r="P720" t="str">
        <f>'(Raw) LensesGH'!I720</f>
        <v>86 x 106mm</v>
      </c>
      <c r="Q720" s="39">
        <f t="shared" si="107"/>
        <v>86</v>
      </c>
      <c r="R720" s="39">
        <f t="shared" si="99"/>
        <v>106</v>
      </c>
    </row>
    <row r="721" spans="1:18" x14ac:dyDescent="0.25">
      <c r="A721" t="str">
        <f>'(Raw) LensesGH'!A721</f>
        <v>Samyang 10mm 2.8 ED AS NCS CS für Micro-Four-Thirds schwarz</v>
      </c>
      <c r="B721" t="str">
        <f>'(Raw) LensesGH'!B721</f>
        <v>10mm</v>
      </c>
      <c r="C721" s="5">
        <f t="shared" si="100"/>
        <v>10</v>
      </c>
      <c r="D721" s="5">
        <f t="shared" si="101"/>
        <v>10</v>
      </c>
      <c r="E721" t="str">
        <f>'(Raw) LensesGH'!C721</f>
        <v>1:2.8</v>
      </c>
      <c r="F721" s="9">
        <f t="shared" si="102"/>
        <v>2.8</v>
      </c>
      <c r="G721" s="9">
        <f t="shared" si="103"/>
        <v>2.8</v>
      </c>
      <c r="H721">
        <f>'(Raw) LensesGH'!D721</f>
        <v>0</v>
      </c>
      <c r="I721" s="2">
        <f t="shared" si="104"/>
        <v>0</v>
      </c>
      <c r="J721" s="2">
        <f>'(Raw) LensesGH'!E721</f>
        <v>0</v>
      </c>
      <c r="K721" s="40">
        <f t="shared" si="105"/>
        <v>0</v>
      </c>
      <c r="L721" t="str">
        <f>'(Raw) LensesGH'!F721</f>
        <v>Micro-Four-Thirds</v>
      </c>
      <c r="M721" t="str">
        <f>'(Raw) LensesGH'!G721</f>
        <v>Four-Thirds</v>
      </c>
      <c r="N721" t="str">
        <f>'(Raw) LensesGH'!H721</f>
        <v>620g</v>
      </c>
      <c r="O721" s="5">
        <f t="shared" si="106"/>
        <v>620</v>
      </c>
      <c r="P721" t="str">
        <f>'(Raw) LensesGH'!I721</f>
        <v>86 x 104mm</v>
      </c>
      <c r="Q721" s="39">
        <f t="shared" si="107"/>
        <v>86</v>
      </c>
      <c r="R721" s="39">
        <f t="shared" si="99"/>
        <v>104</v>
      </c>
    </row>
    <row r="722" spans="1:18" x14ac:dyDescent="0.25">
      <c r="A722" t="str">
        <f>'(Raw) LensesGH'!A722</f>
        <v>Samyang 10mm 2.8 ED AS NCS CS für Nikon F schwarz</v>
      </c>
      <c r="B722" t="str">
        <f>'(Raw) LensesGH'!B722</f>
        <v>10mm</v>
      </c>
      <c r="C722" s="5">
        <f t="shared" si="100"/>
        <v>10</v>
      </c>
      <c r="D722" s="5">
        <f t="shared" si="101"/>
        <v>10</v>
      </c>
      <c r="E722" t="str">
        <f>'(Raw) LensesGH'!C722</f>
        <v>1:2.8</v>
      </c>
      <c r="F722" s="9">
        <f t="shared" si="102"/>
        <v>2.8</v>
      </c>
      <c r="G722" s="9">
        <f t="shared" si="103"/>
        <v>2.8</v>
      </c>
      <c r="H722">
        <f>'(Raw) LensesGH'!D722</f>
        <v>0</v>
      </c>
      <c r="I722" s="2">
        <f t="shared" si="104"/>
        <v>0</v>
      </c>
      <c r="J722" s="2">
        <f>'(Raw) LensesGH'!E722</f>
        <v>0</v>
      </c>
      <c r="K722" s="40">
        <f t="shared" si="105"/>
        <v>0</v>
      </c>
      <c r="L722" t="str">
        <f>'(Raw) LensesGH'!F722</f>
        <v>Nikon F</v>
      </c>
      <c r="M722" t="str">
        <f>'(Raw) LensesGH'!G722</f>
        <v>APS-C</v>
      </c>
      <c r="N722" t="str">
        <f>'(Raw) LensesGH'!H722</f>
        <v>580g</v>
      </c>
      <c r="O722" s="5">
        <f t="shared" si="106"/>
        <v>580</v>
      </c>
      <c r="P722" t="str">
        <f>'(Raw) LensesGH'!I722</f>
        <v>86 x 77mm</v>
      </c>
      <c r="Q722" s="39">
        <f t="shared" si="107"/>
        <v>86</v>
      </c>
      <c r="R722" s="39">
        <f t="shared" si="99"/>
        <v>77</v>
      </c>
    </row>
    <row r="723" spans="1:18" x14ac:dyDescent="0.25">
      <c r="A723" t="str">
        <f>'(Raw) LensesGH'!A723</f>
        <v>Samyang 10mm 2.8 ED AS NCS CS für Pentax K schwarz</v>
      </c>
      <c r="B723" t="str">
        <f>'(Raw) LensesGH'!B723</f>
        <v>10mm</v>
      </c>
      <c r="C723" s="5">
        <f t="shared" si="100"/>
        <v>10</v>
      </c>
      <c r="D723" s="5">
        <f t="shared" si="101"/>
        <v>10</v>
      </c>
      <c r="E723" t="str">
        <f>'(Raw) LensesGH'!C723</f>
        <v>1:2.8</v>
      </c>
      <c r="F723" s="9">
        <f t="shared" si="102"/>
        <v>2.8</v>
      </c>
      <c r="G723" s="9">
        <f t="shared" si="103"/>
        <v>2.8</v>
      </c>
      <c r="H723">
        <f>'(Raw) LensesGH'!D723</f>
        <v>0</v>
      </c>
      <c r="I723" s="2">
        <f t="shared" si="104"/>
        <v>0</v>
      </c>
      <c r="J723" s="2">
        <f>'(Raw) LensesGH'!E723</f>
        <v>0</v>
      </c>
      <c r="K723" s="40">
        <f t="shared" si="105"/>
        <v>0</v>
      </c>
      <c r="L723" t="str">
        <f>'(Raw) LensesGH'!F723</f>
        <v>Pentax K</v>
      </c>
      <c r="M723" t="str">
        <f>'(Raw) LensesGH'!G723</f>
        <v>APS-C</v>
      </c>
      <c r="N723" t="str">
        <f>'(Raw) LensesGH'!H723</f>
        <v>580g</v>
      </c>
      <c r="O723" s="5">
        <f t="shared" si="106"/>
        <v>580</v>
      </c>
      <c r="P723" t="str">
        <f>'(Raw) LensesGH'!I723</f>
        <v>86 x 78mm</v>
      </c>
      <c r="Q723" s="39">
        <f t="shared" si="107"/>
        <v>86</v>
      </c>
      <c r="R723" s="39">
        <f t="shared" si="99"/>
        <v>78</v>
      </c>
    </row>
    <row r="724" spans="1:18" x14ac:dyDescent="0.25">
      <c r="A724" t="str">
        <f>'(Raw) LensesGH'!A724</f>
        <v>Samyang 10mm 2.8 ED AS NCS CS für Samsung NX schwarz</v>
      </c>
      <c r="B724" t="str">
        <f>'(Raw) LensesGH'!B724</f>
        <v>10mm</v>
      </c>
      <c r="C724" s="5">
        <f t="shared" si="100"/>
        <v>10</v>
      </c>
      <c r="D724" s="5">
        <f t="shared" si="101"/>
        <v>10</v>
      </c>
      <c r="E724" t="str">
        <f>'(Raw) LensesGH'!C724</f>
        <v>1:2.8</v>
      </c>
      <c r="F724" s="9">
        <f t="shared" si="102"/>
        <v>2.8</v>
      </c>
      <c r="G724" s="9">
        <f t="shared" si="103"/>
        <v>2.8</v>
      </c>
      <c r="H724">
        <f>'(Raw) LensesGH'!D724</f>
        <v>0</v>
      </c>
      <c r="I724" s="2">
        <f t="shared" si="104"/>
        <v>0</v>
      </c>
      <c r="J724" s="2">
        <f>'(Raw) LensesGH'!E724</f>
        <v>0</v>
      </c>
      <c r="K724" s="40">
        <f t="shared" si="105"/>
        <v>0</v>
      </c>
      <c r="L724" t="str">
        <f>'(Raw) LensesGH'!F724</f>
        <v>Samsung NX</v>
      </c>
      <c r="M724" t="str">
        <f>'(Raw) LensesGH'!G724</f>
        <v>APS-C</v>
      </c>
      <c r="N724" t="str">
        <f>'(Raw) LensesGH'!H724</f>
        <v>615g</v>
      </c>
      <c r="O724" s="5">
        <f t="shared" si="106"/>
        <v>615</v>
      </c>
      <c r="P724" t="str">
        <f>'(Raw) LensesGH'!I724</f>
        <v>86 x 98mm</v>
      </c>
      <c r="Q724" s="39">
        <f t="shared" si="107"/>
        <v>86</v>
      </c>
      <c r="R724" s="39">
        <f t="shared" si="99"/>
        <v>98</v>
      </c>
    </row>
    <row r="725" spans="1:18" x14ac:dyDescent="0.25">
      <c r="A725" t="str">
        <f>'(Raw) LensesGH'!A725</f>
        <v>Samyang 10mm 2.8 ED AS NCS CS für Sony A schwarz</v>
      </c>
      <c r="B725" t="str">
        <f>'(Raw) LensesGH'!B725</f>
        <v>10mm</v>
      </c>
      <c r="C725" s="5">
        <f t="shared" si="100"/>
        <v>10</v>
      </c>
      <c r="D725" s="5">
        <f t="shared" si="101"/>
        <v>10</v>
      </c>
      <c r="E725" t="str">
        <f>'(Raw) LensesGH'!C725</f>
        <v>1:2.8</v>
      </c>
      <c r="F725" s="9">
        <f t="shared" si="102"/>
        <v>2.8</v>
      </c>
      <c r="G725" s="9">
        <f t="shared" si="103"/>
        <v>2.8</v>
      </c>
      <c r="H725">
        <f>'(Raw) LensesGH'!D725</f>
        <v>0</v>
      </c>
      <c r="I725" s="2">
        <f t="shared" si="104"/>
        <v>0</v>
      </c>
      <c r="J725" s="2">
        <f>'(Raw) LensesGH'!E725</f>
        <v>0</v>
      </c>
      <c r="K725" s="40">
        <f t="shared" si="105"/>
        <v>0</v>
      </c>
      <c r="L725" t="str">
        <f>'(Raw) LensesGH'!F725</f>
        <v>Sony A</v>
      </c>
      <c r="M725" t="str">
        <f>'(Raw) LensesGH'!G725</f>
        <v>APS-C</v>
      </c>
      <c r="N725" t="str">
        <f>'(Raw) LensesGH'!H725</f>
        <v>585g</v>
      </c>
      <c r="O725" s="5">
        <f t="shared" si="106"/>
        <v>585</v>
      </c>
      <c r="P725" t="str">
        <f>'(Raw) LensesGH'!I725</f>
        <v>86 x 79mm</v>
      </c>
      <c r="Q725" s="39">
        <f t="shared" si="107"/>
        <v>86</v>
      </c>
      <c r="R725" s="39">
        <f t="shared" si="99"/>
        <v>79</v>
      </c>
    </row>
    <row r="726" spans="1:18" x14ac:dyDescent="0.25">
      <c r="A726" t="str">
        <f>'(Raw) LensesGH'!A726</f>
        <v>Samyang 10mm 2.8 ED AS NCS CS für Sony E schwarz</v>
      </c>
      <c r="B726" t="str">
        <f>'(Raw) LensesGH'!B726</f>
        <v>10mm</v>
      </c>
      <c r="C726" s="5">
        <f t="shared" si="100"/>
        <v>10</v>
      </c>
      <c r="D726" s="5">
        <f t="shared" si="101"/>
        <v>10</v>
      </c>
      <c r="E726" t="str">
        <f>'(Raw) LensesGH'!C726</f>
        <v>1:2.8</v>
      </c>
      <c r="F726" s="9">
        <f t="shared" si="102"/>
        <v>2.8</v>
      </c>
      <c r="G726" s="9">
        <f t="shared" si="103"/>
        <v>2.8</v>
      </c>
      <c r="H726">
        <f>'(Raw) LensesGH'!D726</f>
        <v>0</v>
      </c>
      <c r="I726" s="2">
        <f t="shared" si="104"/>
        <v>0</v>
      </c>
      <c r="J726" s="2">
        <f>'(Raw) LensesGH'!E726</f>
        <v>0</v>
      </c>
      <c r="K726" s="40">
        <f t="shared" si="105"/>
        <v>0</v>
      </c>
      <c r="L726" t="str">
        <f>'(Raw) LensesGH'!F726</f>
        <v>Sony E</v>
      </c>
      <c r="M726" t="str">
        <f>'(Raw) LensesGH'!G726</f>
        <v>APS-C</v>
      </c>
      <c r="N726" t="str">
        <f>'(Raw) LensesGH'!H726</f>
        <v>620g</v>
      </c>
      <c r="O726" s="5">
        <f t="shared" si="106"/>
        <v>620</v>
      </c>
      <c r="P726" t="str">
        <f>'(Raw) LensesGH'!I726</f>
        <v>86 x 105mm</v>
      </c>
      <c r="Q726" s="39">
        <f t="shared" si="107"/>
        <v>86</v>
      </c>
      <c r="R726" s="39">
        <f t="shared" si="99"/>
        <v>105</v>
      </c>
    </row>
    <row r="727" spans="1:18" x14ac:dyDescent="0.25">
      <c r="A727" t="str">
        <f>'(Raw) LensesGH'!A727</f>
        <v>Samyang 10mm T3.1 ED AS NCS CS für Canon EF-M schwarz</v>
      </c>
      <c r="B727" t="str">
        <f>'(Raw) LensesGH'!B727</f>
        <v>10mm</v>
      </c>
      <c r="C727" s="5">
        <f t="shared" si="100"/>
        <v>10</v>
      </c>
      <c r="D727" s="5">
        <f t="shared" si="101"/>
        <v>10</v>
      </c>
      <c r="E727" t="str">
        <f>'(Raw) LensesGH'!C727</f>
        <v>1:3.1</v>
      </c>
      <c r="F727" s="9">
        <f t="shared" si="102"/>
        <v>3.1</v>
      </c>
      <c r="G727" s="9">
        <f t="shared" si="103"/>
        <v>3.1</v>
      </c>
      <c r="H727">
        <f>'(Raw) LensesGH'!D727</f>
        <v>0</v>
      </c>
      <c r="I727" s="2">
        <f t="shared" si="104"/>
        <v>0</v>
      </c>
      <c r="J727" s="2">
        <f>'(Raw) LensesGH'!E727</f>
        <v>0</v>
      </c>
      <c r="K727" s="40">
        <f t="shared" si="105"/>
        <v>0</v>
      </c>
      <c r="L727" t="str">
        <f>'(Raw) LensesGH'!F727</f>
        <v>Canon EF-M</v>
      </c>
      <c r="M727" t="str">
        <f>'(Raw) LensesGH'!G727</f>
        <v>APS-C/ Kleinbild</v>
      </c>
      <c r="N727" t="str">
        <f>'(Raw) LensesGH'!H727</f>
        <v>630g</v>
      </c>
      <c r="O727" s="5">
        <f t="shared" si="106"/>
        <v>630</v>
      </c>
      <c r="P727" t="str">
        <f>'(Raw) LensesGH'!I727</f>
        <v>87 x 132mm</v>
      </c>
      <c r="Q727" s="39">
        <f t="shared" si="107"/>
        <v>87</v>
      </c>
      <c r="R727" s="39">
        <f t="shared" si="99"/>
        <v>132</v>
      </c>
    </row>
    <row r="728" spans="1:18" x14ac:dyDescent="0.25">
      <c r="A728" t="str">
        <f>'(Raw) LensesGH'!A728</f>
        <v>Samyang 10mm T3.1 ED AS NCS CS für Four-Thirds schwarz</v>
      </c>
      <c r="B728" t="str">
        <f>'(Raw) LensesGH'!B728</f>
        <v>10mm</v>
      </c>
      <c r="C728" s="5">
        <f t="shared" si="100"/>
        <v>10</v>
      </c>
      <c r="D728" s="5">
        <f t="shared" si="101"/>
        <v>10</v>
      </c>
      <c r="E728" t="str">
        <f>'(Raw) LensesGH'!C728</f>
        <v>1:3.1</v>
      </c>
      <c r="F728" s="9">
        <f t="shared" si="102"/>
        <v>3.1</v>
      </c>
      <c r="G728" s="9">
        <f t="shared" si="103"/>
        <v>3.1</v>
      </c>
      <c r="H728">
        <f>'(Raw) LensesGH'!D728</f>
        <v>0</v>
      </c>
      <c r="I728" s="2">
        <f t="shared" si="104"/>
        <v>0</v>
      </c>
      <c r="J728" s="2">
        <f>'(Raw) LensesGH'!E728</f>
        <v>0</v>
      </c>
      <c r="K728" s="40">
        <f t="shared" si="105"/>
        <v>0</v>
      </c>
      <c r="L728" t="str">
        <f>'(Raw) LensesGH'!F728</f>
        <v>Four-Thirds</v>
      </c>
      <c r="M728" t="str">
        <f>'(Raw) LensesGH'!G728</f>
        <v>Four-Thirds</v>
      </c>
      <c r="N728" t="str">
        <f>'(Raw) LensesGH'!H728</f>
        <v>620g</v>
      </c>
      <c r="O728" s="5">
        <f t="shared" si="106"/>
        <v>620</v>
      </c>
      <c r="P728" t="str">
        <f>'(Raw) LensesGH'!I728</f>
        <v>87 x 111.4mm</v>
      </c>
      <c r="Q728" s="39">
        <f t="shared" si="107"/>
        <v>87</v>
      </c>
      <c r="R728" s="39">
        <f t="shared" si="99"/>
        <v>111.4</v>
      </c>
    </row>
    <row r="729" spans="1:18" x14ac:dyDescent="0.25">
      <c r="A729" t="str">
        <f>'(Raw) LensesGH'!A729</f>
        <v>Samyang 10mm T3.1 ED AS NCS CS für Pentax K schwarz</v>
      </c>
      <c r="B729" t="str">
        <f>'(Raw) LensesGH'!B729</f>
        <v>10mm</v>
      </c>
      <c r="C729" s="5">
        <f t="shared" si="100"/>
        <v>10</v>
      </c>
      <c r="D729" s="5">
        <f t="shared" si="101"/>
        <v>10</v>
      </c>
      <c r="E729" t="str">
        <f>'(Raw) LensesGH'!C729</f>
        <v>1:3.1</v>
      </c>
      <c r="F729" s="9">
        <f t="shared" si="102"/>
        <v>3.1</v>
      </c>
      <c r="G729" s="9">
        <f t="shared" si="103"/>
        <v>3.1</v>
      </c>
      <c r="H729">
        <f>'(Raw) LensesGH'!D729</f>
        <v>0</v>
      </c>
      <c r="I729" s="2">
        <f t="shared" si="104"/>
        <v>0</v>
      </c>
      <c r="J729" s="2">
        <f>'(Raw) LensesGH'!E729</f>
        <v>0</v>
      </c>
      <c r="K729" s="40">
        <f t="shared" si="105"/>
        <v>0</v>
      </c>
      <c r="L729" t="str">
        <f>'(Raw) LensesGH'!F729</f>
        <v>Pentax K</v>
      </c>
      <c r="M729" t="str">
        <f>'(Raw) LensesGH'!G729</f>
        <v>APS-C</v>
      </c>
      <c r="N729" t="str">
        <f>'(Raw) LensesGH'!H729</f>
        <v>590g</v>
      </c>
      <c r="O729" s="5">
        <f t="shared" si="106"/>
        <v>590</v>
      </c>
      <c r="P729" t="str">
        <f>'(Raw) LensesGH'!I729</f>
        <v>87 x 104.6mm</v>
      </c>
      <c r="Q729" s="39">
        <f t="shared" si="107"/>
        <v>87</v>
      </c>
      <c r="R729" s="39">
        <f t="shared" si="99"/>
        <v>104.6</v>
      </c>
    </row>
    <row r="730" spans="1:18" x14ac:dyDescent="0.25">
      <c r="A730" t="str">
        <f>'(Raw) LensesGH'!A730</f>
        <v>Samyang 10mm T3.1 ED AS NCS CS II VDSLR für Canon EF schwarz</v>
      </c>
      <c r="B730" t="str">
        <f>'(Raw) LensesGH'!B730</f>
        <v>10mm</v>
      </c>
      <c r="C730" s="5">
        <f t="shared" si="100"/>
        <v>10</v>
      </c>
      <c r="D730" s="5">
        <f t="shared" si="101"/>
        <v>10</v>
      </c>
      <c r="E730" t="str">
        <f>'(Raw) LensesGH'!C730</f>
        <v>1:3.1</v>
      </c>
      <c r="F730" s="9">
        <f t="shared" si="102"/>
        <v>3.1</v>
      </c>
      <c r="G730" s="9">
        <f t="shared" si="103"/>
        <v>3.1</v>
      </c>
      <c r="H730">
        <f>'(Raw) LensesGH'!D730</f>
        <v>0</v>
      </c>
      <c r="I730" s="2">
        <f t="shared" si="104"/>
        <v>0</v>
      </c>
      <c r="J730" s="2">
        <f>'(Raw) LensesGH'!E730</f>
        <v>0</v>
      </c>
      <c r="K730" s="40">
        <f t="shared" si="105"/>
        <v>0</v>
      </c>
      <c r="L730" t="str">
        <f>'(Raw) LensesGH'!F730</f>
        <v>Canon EF</v>
      </c>
      <c r="M730" t="str">
        <f>'(Raw) LensesGH'!G730</f>
        <v>APS-C/ Kleinbild</v>
      </c>
      <c r="N730" t="str">
        <f>'(Raw) LensesGH'!H730</f>
        <v>600g</v>
      </c>
      <c r="O730" s="5">
        <f t="shared" si="106"/>
        <v>600</v>
      </c>
      <c r="P730" t="str">
        <f>'(Raw) LensesGH'!I730</f>
        <v>87 x 106.1mm</v>
      </c>
      <c r="Q730" s="39">
        <f t="shared" si="107"/>
        <v>87</v>
      </c>
      <c r="R730" s="39">
        <f t="shared" si="99"/>
        <v>106.1</v>
      </c>
    </row>
    <row r="731" spans="1:18" x14ac:dyDescent="0.25">
      <c r="A731" t="str">
        <f>'(Raw) LensesGH'!A731</f>
        <v>Samyang 10mm T3.1 ED AS NCS CS II VDSLR für Canon EF-M schwarz</v>
      </c>
      <c r="B731" t="str">
        <f>'(Raw) LensesGH'!B731</f>
        <v>10mm</v>
      </c>
      <c r="C731" s="5">
        <f t="shared" si="100"/>
        <v>10</v>
      </c>
      <c r="D731" s="5">
        <f t="shared" si="101"/>
        <v>10</v>
      </c>
      <c r="E731" t="str">
        <f>'(Raw) LensesGH'!C731</f>
        <v>1:3.1</v>
      </c>
      <c r="F731" s="9">
        <f t="shared" si="102"/>
        <v>3.1</v>
      </c>
      <c r="G731" s="9">
        <f t="shared" si="103"/>
        <v>3.1</v>
      </c>
      <c r="H731">
        <f>'(Raw) LensesGH'!D731</f>
        <v>0</v>
      </c>
      <c r="I731" s="2">
        <f t="shared" si="104"/>
        <v>0</v>
      </c>
      <c r="J731" s="2">
        <f>'(Raw) LensesGH'!E731</f>
        <v>0</v>
      </c>
      <c r="K731" s="40">
        <f t="shared" si="105"/>
        <v>0</v>
      </c>
      <c r="L731" t="str">
        <f>'(Raw) LensesGH'!F731</f>
        <v>Canon EF-M</v>
      </c>
      <c r="M731" t="str">
        <f>'(Raw) LensesGH'!G731</f>
        <v>APS-C</v>
      </c>
      <c r="N731" t="str">
        <f>'(Raw) LensesGH'!H731</f>
        <v>630g</v>
      </c>
      <c r="O731" s="5">
        <f t="shared" si="106"/>
        <v>630</v>
      </c>
      <c r="P731" t="str">
        <f>'(Raw) LensesGH'!I731</f>
        <v>87 x 132mm</v>
      </c>
      <c r="Q731" s="39">
        <f t="shared" si="107"/>
        <v>87</v>
      </c>
      <c r="R731" s="39">
        <f t="shared" si="99"/>
        <v>132</v>
      </c>
    </row>
    <row r="732" spans="1:18" x14ac:dyDescent="0.25">
      <c r="A732" t="str">
        <f>'(Raw) LensesGH'!A732</f>
        <v>Samyang 10mm T3.1 ED AS NCS CS II VDSLR für Four-Thirds schwarz</v>
      </c>
      <c r="B732" t="str">
        <f>'(Raw) LensesGH'!B732</f>
        <v>10mm</v>
      </c>
      <c r="C732" s="5">
        <f t="shared" si="100"/>
        <v>10</v>
      </c>
      <c r="D732" s="5">
        <f t="shared" si="101"/>
        <v>10</v>
      </c>
      <c r="E732" t="str">
        <f>'(Raw) LensesGH'!C732</f>
        <v>1:3.1</v>
      </c>
      <c r="F732" s="9">
        <f t="shared" si="102"/>
        <v>3.1</v>
      </c>
      <c r="G732" s="9">
        <f t="shared" si="103"/>
        <v>3.1</v>
      </c>
      <c r="H732">
        <f>'(Raw) LensesGH'!D732</f>
        <v>0</v>
      </c>
      <c r="I732" s="2">
        <f t="shared" si="104"/>
        <v>0</v>
      </c>
      <c r="J732" s="2">
        <f>'(Raw) LensesGH'!E732</f>
        <v>0</v>
      </c>
      <c r="K732" s="40">
        <f t="shared" si="105"/>
        <v>0</v>
      </c>
      <c r="L732" t="str">
        <f>'(Raw) LensesGH'!F732</f>
        <v>Four-Thirds</v>
      </c>
      <c r="M732" t="str">
        <f>'(Raw) LensesGH'!G732</f>
        <v>Four-Thirds</v>
      </c>
      <c r="N732" t="str">
        <f>'(Raw) LensesGH'!H732</f>
        <v>620g</v>
      </c>
      <c r="O732" s="5">
        <f t="shared" si="106"/>
        <v>620</v>
      </c>
      <c r="P732" t="str">
        <f>'(Raw) LensesGH'!I732</f>
        <v>87 x 111.4mm</v>
      </c>
      <c r="Q732" s="39">
        <f t="shared" si="107"/>
        <v>87</v>
      </c>
      <c r="R732" s="39">
        <f t="shared" si="99"/>
        <v>111.4</v>
      </c>
    </row>
    <row r="733" spans="1:18" x14ac:dyDescent="0.25">
      <c r="A733" t="str">
        <f>'(Raw) LensesGH'!A733</f>
        <v>Samyang 10mm T3.1 ED AS NCS CS II VDSLR für Fujifilm X schwarz</v>
      </c>
      <c r="B733" t="str">
        <f>'(Raw) LensesGH'!B733</f>
        <v>10mm</v>
      </c>
      <c r="C733" s="5">
        <f t="shared" si="100"/>
        <v>10</v>
      </c>
      <c r="D733" s="5">
        <f t="shared" si="101"/>
        <v>10</v>
      </c>
      <c r="E733" t="str">
        <f>'(Raw) LensesGH'!C733</f>
        <v>1:3.1</v>
      </c>
      <c r="F733" s="9">
        <f t="shared" si="102"/>
        <v>3.1</v>
      </c>
      <c r="G733" s="9">
        <f t="shared" si="103"/>
        <v>3.1</v>
      </c>
      <c r="H733">
        <f>'(Raw) LensesGH'!D733</f>
        <v>0</v>
      </c>
      <c r="I733" s="2">
        <f t="shared" si="104"/>
        <v>0</v>
      </c>
      <c r="J733" s="2">
        <f>'(Raw) LensesGH'!E733</f>
        <v>0</v>
      </c>
      <c r="K733" s="40">
        <f t="shared" si="105"/>
        <v>0</v>
      </c>
      <c r="L733" t="str">
        <f>'(Raw) LensesGH'!F733</f>
        <v>Fujifilm X</v>
      </c>
      <c r="M733" t="str">
        <f>'(Raw) LensesGH'!G733</f>
        <v>APS-C</v>
      </c>
      <c r="N733" t="str">
        <f>'(Raw) LensesGH'!H733</f>
        <v>635g</v>
      </c>
      <c r="O733" s="5">
        <f t="shared" si="106"/>
        <v>635</v>
      </c>
      <c r="P733" t="str">
        <f>'(Raw) LensesGH'!I733</f>
        <v>87 x 132.4mm</v>
      </c>
      <c r="Q733" s="39">
        <f t="shared" si="107"/>
        <v>87</v>
      </c>
      <c r="R733" s="39">
        <f t="shared" si="99"/>
        <v>132.4</v>
      </c>
    </row>
    <row r="734" spans="1:18" x14ac:dyDescent="0.25">
      <c r="A734" t="str">
        <f>'(Raw) LensesGH'!A734</f>
        <v>Samyang 10mm T3.1 ED AS NCS CS II VDSLR für Micro-Four-Thirds schwarz</v>
      </c>
      <c r="B734" t="str">
        <f>'(Raw) LensesGH'!B734</f>
        <v>10mm</v>
      </c>
      <c r="C734" s="5">
        <f t="shared" si="100"/>
        <v>10</v>
      </c>
      <c r="D734" s="5">
        <f t="shared" si="101"/>
        <v>10</v>
      </c>
      <c r="E734" t="str">
        <f>'(Raw) LensesGH'!C734</f>
        <v>1:3.1</v>
      </c>
      <c r="F734" s="9">
        <f t="shared" si="102"/>
        <v>3.1</v>
      </c>
      <c r="G734" s="9">
        <f t="shared" si="103"/>
        <v>3.1</v>
      </c>
      <c r="H734">
        <f>'(Raw) LensesGH'!D734</f>
        <v>0</v>
      </c>
      <c r="I734" s="2">
        <f t="shared" si="104"/>
        <v>0</v>
      </c>
      <c r="J734" s="2">
        <f>'(Raw) LensesGH'!E734</f>
        <v>0</v>
      </c>
      <c r="K734" s="40">
        <f t="shared" si="105"/>
        <v>0</v>
      </c>
      <c r="L734" t="str">
        <f>'(Raw) LensesGH'!F734</f>
        <v>Micro-Four-Thirds</v>
      </c>
      <c r="M734" t="str">
        <f>'(Raw) LensesGH'!G734</f>
        <v>Four-Thirds</v>
      </c>
      <c r="N734" t="str">
        <f>'(Raw) LensesGH'!H734</f>
        <v>620g</v>
      </c>
      <c r="O734" s="5">
        <f t="shared" si="106"/>
        <v>620</v>
      </c>
      <c r="P734" t="str">
        <f>'(Raw) LensesGH'!I734</f>
        <v>87 x 111.4mm</v>
      </c>
      <c r="Q734" s="39">
        <f t="shared" si="107"/>
        <v>87</v>
      </c>
      <c r="R734" s="39">
        <f t="shared" si="99"/>
        <v>111.4</v>
      </c>
    </row>
    <row r="735" spans="1:18" x14ac:dyDescent="0.25">
      <c r="A735" t="str">
        <f>'(Raw) LensesGH'!A735</f>
        <v>Samyang 10mm T3.1 ED AS NCS CS II VDSLR für Nikon F schwarz</v>
      </c>
      <c r="B735" t="str">
        <f>'(Raw) LensesGH'!B735</f>
        <v>10mm</v>
      </c>
      <c r="C735" s="5">
        <f t="shared" si="100"/>
        <v>10</v>
      </c>
      <c r="D735" s="5">
        <f t="shared" si="101"/>
        <v>10</v>
      </c>
      <c r="E735" t="str">
        <f>'(Raw) LensesGH'!C735</f>
        <v>1:3.1</v>
      </c>
      <c r="F735" s="9">
        <f t="shared" si="102"/>
        <v>3.1</v>
      </c>
      <c r="G735" s="9">
        <f t="shared" si="103"/>
        <v>3.1</v>
      </c>
      <c r="H735">
        <f>'(Raw) LensesGH'!D735</f>
        <v>0</v>
      </c>
      <c r="I735" s="2">
        <f t="shared" si="104"/>
        <v>0</v>
      </c>
      <c r="J735" s="2">
        <f>'(Raw) LensesGH'!E735</f>
        <v>0</v>
      </c>
      <c r="K735" s="40">
        <f t="shared" si="105"/>
        <v>0</v>
      </c>
      <c r="L735" t="str">
        <f>'(Raw) LensesGH'!F735</f>
        <v>Nikon F</v>
      </c>
      <c r="M735" t="str">
        <f>'(Raw) LensesGH'!G735</f>
        <v>APS-C/ Kleinbild</v>
      </c>
      <c r="N735" t="str">
        <f>'(Raw) LensesGH'!H735</f>
        <v>590g</v>
      </c>
      <c r="O735" s="5">
        <f t="shared" si="106"/>
        <v>590</v>
      </c>
      <c r="P735" t="str">
        <f>'(Raw) LensesGH'!I735</f>
        <v>87 x 103.6mm</v>
      </c>
      <c r="Q735" s="39">
        <f t="shared" si="107"/>
        <v>87</v>
      </c>
      <c r="R735" s="39">
        <f t="shared" si="99"/>
        <v>103.6</v>
      </c>
    </row>
    <row r="736" spans="1:18" x14ac:dyDescent="0.25">
      <c r="A736" t="str">
        <f>'(Raw) LensesGH'!A736</f>
        <v>Samyang 10mm T3.1 ED AS NCS CS II VDSLR für Samsung NX schwarz</v>
      </c>
      <c r="B736" t="str">
        <f>'(Raw) LensesGH'!B736</f>
        <v>10mm</v>
      </c>
      <c r="C736" s="5">
        <f t="shared" si="100"/>
        <v>10</v>
      </c>
      <c r="D736" s="5">
        <f t="shared" si="101"/>
        <v>10</v>
      </c>
      <c r="E736" t="str">
        <f>'(Raw) LensesGH'!C736</f>
        <v>1:3.1</v>
      </c>
      <c r="F736" s="9">
        <f t="shared" si="102"/>
        <v>3.1</v>
      </c>
      <c r="G736" s="9">
        <f t="shared" si="103"/>
        <v>3.1</v>
      </c>
      <c r="H736">
        <f>'(Raw) LensesGH'!D736</f>
        <v>0</v>
      </c>
      <c r="I736" s="2">
        <f t="shared" si="104"/>
        <v>0</v>
      </c>
      <c r="J736" s="2">
        <f>'(Raw) LensesGH'!E736</f>
        <v>0</v>
      </c>
      <c r="K736" s="40">
        <f t="shared" si="105"/>
        <v>0</v>
      </c>
      <c r="L736" t="str">
        <f>'(Raw) LensesGH'!F736</f>
        <v>Samsung NX</v>
      </c>
      <c r="M736" t="str">
        <f>'(Raw) LensesGH'!G736</f>
        <v>APS-C</v>
      </c>
      <c r="N736" t="str">
        <f>'(Raw) LensesGH'!H736</f>
        <v>625g</v>
      </c>
      <c r="O736" s="5">
        <f t="shared" si="106"/>
        <v>625</v>
      </c>
      <c r="P736" t="str">
        <f>'(Raw) LensesGH'!I736</f>
        <v>87 x 124.6mm</v>
      </c>
      <c r="Q736" s="39">
        <f t="shared" si="107"/>
        <v>87</v>
      </c>
      <c r="R736" s="39">
        <f t="shared" si="99"/>
        <v>124.6</v>
      </c>
    </row>
    <row r="737" spans="1:18" x14ac:dyDescent="0.25">
      <c r="A737" t="str">
        <f>'(Raw) LensesGH'!A737</f>
        <v>Samyang 10mm T3.1 ED AS NCS CS II VDSLR für Sony A schwarz</v>
      </c>
      <c r="B737" t="str">
        <f>'(Raw) LensesGH'!B737</f>
        <v>10mm</v>
      </c>
      <c r="C737" s="5">
        <f t="shared" si="100"/>
        <v>10</v>
      </c>
      <c r="D737" s="5">
        <f t="shared" si="101"/>
        <v>10</v>
      </c>
      <c r="E737" t="str">
        <f>'(Raw) LensesGH'!C737</f>
        <v>1:3.1</v>
      </c>
      <c r="F737" s="9">
        <f t="shared" si="102"/>
        <v>3.1</v>
      </c>
      <c r="G737" s="9">
        <f t="shared" si="103"/>
        <v>3.1</v>
      </c>
      <c r="H737">
        <f>'(Raw) LensesGH'!D737</f>
        <v>0</v>
      </c>
      <c r="I737" s="2">
        <f t="shared" si="104"/>
        <v>0</v>
      </c>
      <c r="J737" s="2">
        <f>'(Raw) LensesGH'!E737</f>
        <v>0</v>
      </c>
      <c r="K737" s="40">
        <f t="shared" si="105"/>
        <v>0</v>
      </c>
      <c r="L737" t="str">
        <f>'(Raw) LensesGH'!F737</f>
        <v>Sony A</v>
      </c>
      <c r="M737" t="str">
        <f>'(Raw) LensesGH'!G737</f>
        <v>APS-C/ Kleinbild</v>
      </c>
      <c r="N737" t="str">
        <f>'(Raw) LensesGH'!H737</f>
        <v>595g</v>
      </c>
      <c r="O737" s="5">
        <f t="shared" si="106"/>
        <v>595</v>
      </c>
      <c r="P737" t="str">
        <f>'(Raw) LensesGH'!I737</f>
        <v>87 x 105.6mm</v>
      </c>
      <c r="Q737" s="39">
        <f t="shared" si="107"/>
        <v>87</v>
      </c>
      <c r="R737" s="39">
        <f t="shared" si="99"/>
        <v>105.6</v>
      </c>
    </row>
    <row r="738" spans="1:18" x14ac:dyDescent="0.25">
      <c r="A738" t="str">
        <f>'(Raw) LensesGH'!A738</f>
        <v>Samyang 10mm T3.1 ED AS NCS CS II VDSLR für Sony E schwarz</v>
      </c>
      <c r="B738" t="str">
        <f>'(Raw) LensesGH'!B738</f>
        <v>10mm</v>
      </c>
      <c r="C738" s="5">
        <f t="shared" si="100"/>
        <v>10</v>
      </c>
      <c r="D738" s="5">
        <f t="shared" si="101"/>
        <v>10</v>
      </c>
      <c r="E738" t="str">
        <f>'(Raw) LensesGH'!C738</f>
        <v>1:3.1</v>
      </c>
      <c r="F738" s="9">
        <f t="shared" si="102"/>
        <v>3.1</v>
      </c>
      <c r="G738" s="9">
        <f t="shared" si="103"/>
        <v>3.1</v>
      </c>
      <c r="H738">
        <f>'(Raw) LensesGH'!D738</f>
        <v>0</v>
      </c>
      <c r="I738" s="2">
        <f t="shared" si="104"/>
        <v>0</v>
      </c>
      <c r="J738" s="2">
        <f>'(Raw) LensesGH'!E738</f>
        <v>0</v>
      </c>
      <c r="K738" s="40">
        <f t="shared" si="105"/>
        <v>0</v>
      </c>
      <c r="L738" t="str">
        <f>'(Raw) LensesGH'!F738</f>
        <v>Sony E</v>
      </c>
      <c r="M738" t="str">
        <f>'(Raw) LensesGH'!G738</f>
        <v>APS-C/ Kleinbild</v>
      </c>
      <c r="N738" t="str">
        <f>'(Raw) LensesGH'!H738</f>
        <v>630g</v>
      </c>
      <c r="O738" s="5">
        <f t="shared" si="106"/>
        <v>630</v>
      </c>
      <c r="P738" t="str">
        <f>'(Raw) LensesGH'!I738</f>
        <v>87 x 132.1mm</v>
      </c>
      <c r="Q738" s="39">
        <f t="shared" si="107"/>
        <v>87</v>
      </c>
      <c r="R738" s="39">
        <f t="shared" si="99"/>
        <v>132.1</v>
      </c>
    </row>
    <row r="739" spans="1:18" x14ac:dyDescent="0.25">
      <c r="A739" t="str">
        <f>'(Raw) LensesGH'!A739</f>
        <v>Samyang 12mm 2.0 NCS CS für Canon EF-M schwarz</v>
      </c>
      <c r="B739" t="str">
        <f>'(Raw) LensesGH'!B739</f>
        <v>12mm</v>
      </c>
      <c r="C739" s="5">
        <f t="shared" si="100"/>
        <v>12</v>
      </c>
      <c r="D739" s="5">
        <f t="shared" si="101"/>
        <v>12</v>
      </c>
      <c r="E739" t="str">
        <f>'(Raw) LensesGH'!C739</f>
        <v>1:2.0</v>
      </c>
      <c r="F739" s="9">
        <f t="shared" si="102"/>
        <v>2</v>
      </c>
      <c r="G739" s="9">
        <f t="shared" si="103"/>
        <v>2</v>
      </c>
      <c r="H739" t="str">
        <f>'(Raw) LensesGH'!D739</f>
        <v>67mm</v>
      </c>
      <c r="I739" s="2">
        <f t="shared" si="104"/>
        <v>67</v>
      </c>
      <c r="J739" s="2">
        <f>'(Raw) LensesGH'!E739</f>
        <v>0</v>
      </c>
      <c r="K739" s="40">
        <f t="shared" si="105"/>
        <v>0</v>
      </c>
      <c r="L739" t="str">
        <f>'(Raw) LensesGH'!F739</f>
        <v>Canon EF-M</v>
      </c>
      <c r="M739" t="str">
        <f>'(Raw) LensesGH'!G739</f>
        <v>APS-C</v>
      </c>
      <c r="N739" t="str">
        <f>'(Raw) LensesGH'!H739</f>
        <v>245g</v>
      </c>
      <c r="O739" s="5">
        <f t="shared" si="106"/>
        <v>245</v>
      </c>
      <c r="P739" t="str">
        <f>'(Raw) LensesGH'!I739</f>
        <v>73 x 59mm</v>
      </c>
      <c r="Q739" s="39">
        <f t="shared" si="107"/>
        <v>73</v>
      </c>
      <c r="R739" s="39">
        <f t="shared" si="99"/>
        <v>59</v>
      </c>
    </row>
    <row r="740" spans="1:18" x14ac:dyDescent="0.25">
      <c r="A740" t="str">
        <f>'(Raw) LensesGH'!A740</f>
        <v>Samyang 12mm 2.0 NCS CS für Canon EF-M silber</v>
      </c>
      <c r="B740" t="str">
        <f>'(Raw) LensesGH'!B740</f>
        <v>12mm</v>
      </c>
      <c r="C740" s="5">
        <f t="shared" si="100"/>
        <v>12</v>
      </c>
      <c r="D740" s="5">
        <f t="shared" si="101"/>
        <v>12</v>
      </c>
      <c r="E740" t="str">
        <f>'(Raw) LensesGH'!C740</f>
        <v>1:2.0</v>
      </c>
      <c r="F740" s="9">
        <f t="shared" si="102"/>
        <v>2</v>
      </c>
      <c r="G740" s="9">
        <f t="shared" si="103"/>
        <v>2</v>
      </c>
      <c r="H740" t="str">
        <f>'(Raw) LensesGH'!D740</f>
        <v>67mm</v>
      </c>
      <c r="I740" s="2">
        <f t="shared" si="104"/>
        <v>67</v>
      </c>
      <c r="J740" s="2">
        <f>'(Raw) LensesGH'!E740</f>
        <v>0</v>
      </c>
      <c r="K740" s="40">
        <f t="shared" si="105"/>
        <v>0</v>
      </c>
      <c r="L740" t="str">
        <f>'(Raw) LensesGH'!F740</f>
        <v>Canon EF-M</v>
      </c>
      <c r="M740" t="str">
        <f>'(Raw) LensesGH'!G740</f>
        <v>APS-C</v>
      </c>
      <c r="N740" t="str">
        <f>'(Raw) LensesGH'!H740</f>
        <v>245g</v>
      </c>
      <c r="O740" s="5">
        <f t="shared" si="106"/>
        <v>245</v>
      </c>
      <c r="P740" t="str">
        <f>'(Raw) LensesGH'!I740</f>
        <v>73 x 59mm</v>
      </c>
      <c r="Q740" s="39">
        <f t="shared" si="107"/>
        <v>73</v>
      </c>
      <c r="R740" s="39">
        <f t="shared" si="99"/>
        <v>59</v>
      </c>
    </row>
    <row r="741" spans="1:18" x14ac:dyDescent="0.25">
      <c r="A741" t="str">
        <f>'(Raw) LensesGH'!A741</f>
        <v>Samyang 12mm 2.0 NCS CS für Fujifilm X schwarz</v>
      </c>
      <c r="B741" t="str">
        <f>'(Raw) LensesGH'!B741</f>
        <v>12mm</v>
      </c>
      <c r="C741" s="5">
        <f t="shared" si="100"/>
        <v>12</v>
      </c>
      <c r="D741" s="5">
        <f t="shared" si="101"/>
        <v>12</v>
      </c>
      <c r="E741" t="str">
        <f>'(Raw) LensesGH'!C741</f>
        <v>1:2.0</v>
      </c>
      <c r="F741" s="9">
        <f t="shared" si="102"/>
        <v>2</v>
      </c>
      <c r="G741" s="9">
        <f t="shared" si="103"/>
        <v>2</v>
      </c>
      <c r="H741" t="str">
        <f>'(Raw) LensesGH'!D741</f>
        <v>67mm</v>
      </c>
      <c r="I741" s="2">
        <f t="shared" si="104"/>
        <v>67</v>
      </c>
      <c r="J741" s="2">
        <f>'(Raw) LensesGH'!E741</f>
        <v>0</v>
      </c>
      <c r="K741" s="40">
        <f t="shared" si="105"/>
        <v>0</v>
      </c>
      <c r="L741" t="str">
        <f>'(Raw) LensesGH'!F741</f>
        <v>Fujifilm X</v>
      </c>
      <c r="M741" t="str">
        <f>'(Raw) LensesGH'!G741</f>
        <v>APS-C</v>
      </c>
      <c r="N741" t="str">
        <f>'(Raw) LensesGH'!H741</f>
        <v>260g</v>
      </c>
      <c r="O741" s="5">
        <f t="shared" si="106"/>
        <v>260</v>
      </c>
      <c r="P741" t="str">
        <f>'(Raw) LensesGH'!I741</f>
        <v>73 x 59mm</v>
      </c>
      <c r="Q741" s="39">
        <f t="shared" si="107"/>
        <v>73</v>
      </c>
      <c r="R741" s="39">
        <f t="shared" si="99"/>
        <v>59</v>
      </c>
    </row>
    <row r="742" spans="1:18" x14ac:dyDescent="0.25">
      <c r="A742" t="str">
        <f>'(Raw) LensesGH'!A742</f>
        <v>Samyang 12mm 2.0 NCS CS für Fujifilm X silber</v>
      </c>
      <c r="B742" t="str">
        <f>'(Raw) LensesGH'!B742</f>
        <v>12mm</v>
      </c>
      <c r="C742" s="5">
        <f t="shared" si="100"/>
        <v>12</v>
      </c>
      <c r="D742" s="5">
        <f t="shared" si="101"/>
        <v>12</v>
      </c>
      <c r="E742" t="str">
        <f>'(Raw) LensesGH'!C742</f>
        <v>1:2.0</v>
      </c>
      <c r="F742" s="9">
        <f t="shared" si="102"/>
        <v>2</v>
      </c>
      <c r="G742" s="9">
        <f t="shared" si="103"/>
        <v>2</v>
      </c>
      <c r="H742" t="str">
        <f>'(Raw) LensesGH'!D742</f>
        <v>67mm</v>
      </c>
      <c r="I742" s="2">
        <f t="shared" si="104"/>
        <v>67</v>
      </c>
      <c r="J742" s="2">
        <f>'(Raw) LensesGH'!E742</f>
        <v>0</v>
      </c>
      <c r="K742" s="40">
        <f t="shared" si="105"/>
        <v>0</v>
      </c>
      <c r="L742" t="str">
        <f>'(Raw) LensesGH'!F742</f>
        <v>Fujifilm X</v>
      </c>
      <c r="M742" t="str">
        <f>'(Raw) LensesGH'!G742</f>
        <v>APS-C</v>
      </c>
      <c r="N742" t="str">
        <f>'(Raw) LensesGH'!H742</f>
        <v>260g</v>
      </c>
      <c r="O742" s="5">
        <f t="shared" si="106"/>
        <v>260</v>
      </c>
      <c r="P742" t="str">
        <f>'(Raw) LensesGH'!I742</f>
        <v>73 x 59mm</v>
      </c>
      <c r="Q742" s="39">
        <f t="shared" si="107"/>
        <v>73</v>
      </c>
      <c r="R742" s="39">
        <f t="shared" si="99"/>
        <v>59</v>
      </c>
    </row>
    <row r="743" spans="1:18" x14ac:dyDescent="0.25">
      <c r="A743" t="str">
        <f>'(Raw) LensesGH'!A743</f>
        <v>Samyang 12mm 2.0 NCS CS für Micro-Four-Thirds schwarz</v>
      </c>
      <c r="B743" t="str">
        <f>'(Raw) LensesGH'!B743</f>
        <v>12mm</v>
      </c>
      <c r="C743" s="5">
        <f t="shared" si="100"/>
        <v>12</v>
      </c>
      <c r="D743" s="5">
        <f t="shared" si="101"/>
        <v>12</v>
      </c>
      <c r="E743" t="str">
        <f>'(Raw) LensesGH'!C743</f>
        <v>1:2.0</v>
      </c>
      <c r="F743" s="9">
        <f t="shared" si="102"/>
        <v>2</v>
      </c>
      <c r="G743" s="9">
        <f t="shared" si="103"/>
        <v>2</v>
      </c>
      <c r="H743" t="str">
        <f>'(Raw) LensesGH'!D743</f>
        <v>67mm</v>
      </c>
      <c r="I743" s="2">
        <f t="shared" si="104"/>
        <v>67</v>
      </c>
      <c r="J743" s="2">
        <f>'(Raw) LensesGH'!E743</f>
        <v>0</v>
      </c>
      <c r="K743" s="40">
        <f t="shared" si="105"/>
        <v>0</v>
      </c>
      <c r="L743" t="str">
        <f>'(Raw) LensesGH'!F743</f>
        <v>Micro-Four-Thirds</v>
      </c>
      <c r="M743" t="str">
        <f>'(Raw) LensesGH'!G743</f>
        <v>Four-Thirds</v>
      </c>
      <c r="N743" t="str">
        <f>'(Raw) LensesGH'!H743</f>
        <v>255g</v>
      </c>
      <c r="O743" s="5">
        <f t="shared" si="106"/>
        <v>255</v>
      </c>
      <c r="P743" t="str">
        <f>'(Raw) LensesGH'!I743</f>
        <v>73 x 58mm</v>
      </c>
      <c r="Q743" s="39">
        <f t="shared" si="107"/>
        <v>73</v>
      </c>
      <c r="R743" s="39">
        <f t="shared" si="99"/>
        <v>58</v>
      </c>
    </row>
    <row r="744" spans="1:18" x14ac:dyDescent="0.25">
      <c r="A744" t="str">
        <f>'(Raw) LensesGH'!A744</f>
        <v>Samyang 12mm 2.0 NCS CS für Micro-Four-Thirds silber</v>
      </c>
      <c r="B744" t="str">
        <f>'(Raw) LensesGH'!B744</f>
        <v>12mm</v>
      </c>
      <c r="C744" s="5">
        <f t="shared" si="100"/>
        <v>12</v>
      </c>
      <c r="D744" s="5">
        <f t="shared" si="101"/>
        <v>12</v>
      </c>
      <c r="E744" t="str">
        <f>'(Raw) LensesGH'!C744</f>
        <v>1:2.0</v>
      </c>
      <c r="F744" s="9">
        <f t="shared" si="102"/>
        <v>2</v>
      </c>
      <c r="G744" s="9">
        <f t="shared" si="103"/>
        <v>2</v>
      </c>
      <c r="H744" t="str">
        <f>'(Raw) LensesGH'!D744</f>
        <v>67mm</v>
      </c>
      <c r="I744" s="2">
        <f t="shared" si="104"/>
        <v>67</v>
      </c>
      <c r="J744" s="2">
        <f>'(Raw) LensesGH'!E744</f>
        <v>0</v>
      </c>
      <c r="K744" s="40">
        <f t="shared" si="105"/>
        <v>0</v>
      </c>
      <c r="L744" t="str">
        <f>'(Raw) LensesGH'!F744</f>
        <v>Micro-Four-Thirds</v>
      </c>
      <c r="M744" t="str">
        <f>'(Raw) LensesGH'!G744</f>
        <v>Four-Thirds</v>
      </c>
      <c r="N744" t="str">
        <f>'(Raw) LensesGH'!H744</f>
        <v>255g</v>
      </c>
      <c r="O744" s="5">
        <f t="shared" si="106"/>
        <v>255</v>
      </c>
      <c r="P744" t="str">
        <f>'(Raw) LensesGH'!I744</f>
        <v>73 x 58mm</v>
      </c>
      <c r="Q744" s="39">
        <f t="shared" si="107"/>
        <v>73</v>
      </c>
      <c r="R744" s="39">
        <f t="shared" si="99"/>
        <v>58</v>
      </c>
    </row>
    <row r="745" spans="1:18" x14ac:dyDescent="0.25">
      <c r="A745" t="str">
        <f>'(Raw) LensesGH'!A745</f>
        <v>Samyang 12mm 2.0 NCS CS für Samsung NX schwarz</v>
      </c>
      <c r="B745" t="str">
        <f>'(Raw) LensesGH'!B745</f>
        <v>12mm</v>
      </c>
      <c r="C745" s="5">
        <f t="shared" si="100"/>
        <v>12</v>
      </c>
      <c r="D745" s="5">
        <f t="shared" si="101"/>
        <v>12</v>
      </c>
      <c r="E745" t="str">
        <f>'(Raw) LensesGH'!C745</f>
        <v>1:2.0</v>
      </c>
      <c r="F745" s="9">
        <f t="shared" si="102"/>
        <v>2</v>
      </c>
      <c r="G745" s="9">
        <f t="shared" si="103"/>
        <v>2</v>
      </c>
      <c r="H745" t="str">
        <f>'(Raw) LensesGH'!D745</f>
        <v>67mm</v>
      </c>
      <c r="I745" s="2">
        <f t="shared" si="104"/>
        <v>67</v>
      </c>
      <c r="J745" s="2">
        <f>'(Raw) LensesGH'!E745</f>
        <v>0</v>
      </c>
      <c r="K745" s="40">
        <f t="shared" si="105"/>
        <v>0</v>
      </c>
      <c r="L745" t="str">
        <f>'(Raw) LensesGH'!F745</f>
        <v>Samsung NX</v>
      </c>
      <c r="M745" t="str">
        <f>'(Raw) LensesGH'!G745</f>
        <v>APS-C</v>
      </c>
      <c r="N745" t="str">
        <f>'(Raw) LensesGH'!H745</f>
        <v>235g</v>
      </c>
      <c r="O745" s="5">
        <f t="shared" si="106"/>
        <v>235</v>
      </c>
      <c r="P745" t="str">
        <f>'(Raw) LensesGH'!I745</f>
        <v>73 x 52mm</v>
      </c>
      <c r="Q745" s="39">
        <f t="shared" si="107"/>
        <v>73</v>
      </c>
      <c r="R745" s="39">
        <f t="shared" si="99"/>
        <v>52</v>
      </c>
    </row>
    <row r="746" spans="1:18" x14ac:dyDescent="0.25">
      <c r="A746" t="str">
        <f>'(Raw) LensesGH'!A746</f>
        <v>Samyang 12mm 2.0 NCS CS für Samsung NX silber</v>
      </c>
      <c r="B746" t="str">
        <f>'(Raw) LensesGH'!B746</f>
        <v>12mm</v>
      </c>
      <c r="C746" s="5">
        <f t="shared" si="100"/>
        <v>12</v>
      </c>
      <c r="D746" s="5">
        <f t="shared" si="101"/>
        <v>12</v>
      </c>
      <c r="E746" t="str">
        <f>'(Raw) LensesGH'!C746</f>
        <v>1:2.0</v>
      </c>
      <c r="F746" s="9">
        <f t="shared" si="102"/>
        <v>2</v>
      </c>
      <c r="G746" s="9">
        <f t="shared" si="103"/>
        <v>2</v>
      </c>
      <c r="H746" t="str">
        <f>'(Raw) LensesGH'!D746</f>
        <v>67mm</v>
      </c>
      <c r="I746" s="2">
        <f t="shared" si="104"/>
        <v>67</v>
      </c>
      <c r="J746" s="2">
        <f>'(Raw) LensesGH'!E746</f>
        <v>0</v>
      </c>
      <c r="K746" s="40">
        <f t="shared" si="105"/>
        <v>0</v>
      </c>
      <c r="L746" t="str">
        <f>'(Raw) LensesGH'!F746</f>
        <v>Samsung NX</v>
      </c>
      <c r="M746" t="str">
        <f>'(Raw) LensesGH'!G746</f>
        <v>APS-C</v>
      </c>
      <c r="N746" t="str">
        <f>'(Raw) LensesGH'!H746</f>
        <v>235g</v>
      </c>
      <c r="O746" s="5">
        <f t="shared" si="106"/>
        <v>235</v>
      </c>
      <c r="P746" t="str">
        <f>'(Raw) LensesGH'!I746</f>
        <v>73 x 52mm</v>
      </c>
      <c r="Q746" s="39">
        <f t="shared" si="107"/>
        <v>73</v>
      </c>
      <c r="R746" s="39">
        <f t="shared" si="99"/>
        <v>52</v>
      </c>
    </row>
    <row r="747" spans="1:18" x14ac:dyDescent="0.25">
      <c r="A747" t="str">
        <f>'(Raw) LensesGH'!A747</f>
        <v>Samyang 12mm 2.0 NCS CS für Sony E schwarz</v>
      </c>
      <c r="B747" t="str">
        <f>'(Raw) LensesGH'!B747</f>
        <v>12mm</v>
      </c>
      <c r="C747" s="5">
        <f t="shared" si="100"/>
        <v>12</v>
      </c>
      <c r="D747" s="5">
        <f t="shared" si="101"/>
        <v>12</v>
      </c>
      <c r="E747" t="str">
        <f>'(Raw) LensesGH'!C747</f>
        <v>1:2.0</v>
      </c>
      <c r="F747" s="9">
        <f t="shared" si="102"/>
        <v>2</v>
      </c>
      <c r="G747" s="9">
        <f t="shared" si="103"/>
        <v>2</v>
      </c>
      <c r="H747" t="str">
        <f>'(Raw) LensesGH'!D747</f>
        <v>67mm</v>
      </c>
      <c r="I747" s="2">
        <f t="shared" si="104"/>
        <v>67</v>
      </c>
      <c r="J747" s="2">
        <f>'(Raw) LensesGH'!E747</f>
        <v>0</v>
      </c>
      <c r="K747" s="40">
        <f t="shared" si="105"/>
        <v>0</v>
      </c>
      <c r="L747" t="str">
        <f>'(Raw) LensesGH'!F747</f>
        <v>Sony E</v>
      </c>
      <c r="M747" t="str">
        <f>'(Raw) LensesGH'!G747</f>
        <v>APS-C</v>
      </c>
      <c r="N747" t="str">
        <f>'(Raw) LensesGH'!H747</f>
        <v>245g</v>
      </c>
      <c r="O747" s="5">
        <f t="shared" si="106"/>
        <v>245</v>
      </c>
      <c r="P747" t="str">
        <f>'(Raw) LensesGH'!I747</f>
        <v>73 x 59mm</v>
      </c>
      <c r="Q747" s="39">
        <f t="shared" si="107"/>
        <v>73</v>
      </c>
      <c r="R747" s="39">
        <f t="shared" si="99"/>
        <v>59</v>
      </c>
    </row>
    <row r="748" spans="1:18" x14ac:dyDescent="0.25">
      <c r="A748" t="str">
        <f>'(Raw) LensesGH'!A748</f>
        <v>Samyang 12mm 2.0 NCS CS für Sony E silber</v>
      </c>
      <c r="B748" t="str">
        <f>'(Raw) LensesGH'!B748</f>
        <v>12mm</v>
      </c>
      <c r="C748" s="5">
        <f t="shared" si="100"/>
        <v>12</v>
      </c>
      <c r="D748" s="5">
        <f t="shared" si="101"/>
        <v>12</v>
      </c>
      <c r="E748" t="str">
        <f>'(Raw) LensesGH'!C748</f>
        <v>1:2.0</v>
      </c>
      <c r="F748" s="9">
        <f t="shared" si="102"/>
        <v>2</v>
      </c>
      <c r="G748" s="9">
        <f t="shared" si="103"/>
        <v>2</v>
      </c>
      <c r="H748" t="str">
        <f>'(Raw) LensesGH'!D748</f>
        <v>67mm</v>
      </c>
      <c r="I748" s="2">
        <f t="shared" si="104"/>
        <v>67</v>
      </c>
      <c r="J748" s="2">
        <f>'(Raw) LensesGH'!E748</f>
        <v>0</v>
      </c>
      <c r="K748" s="40">
        <f t="shared" si="105"/>
        <v>0</v>
      </c>
      <c r="L748" t="str">
        <f>'(Raw) LensesGH'!F748</f>
        <v>Sony E</v>
      </c>
      <c r="M748" t="str">
        <f>'(Raw) LensesGH'!G748</f>
        <v>APS-C</v>
      </c>
      <c r="N748" t="str">
        <f>'(Raw) LensesGH'!H748</f>
        <v>245g</v>
      </c>
      <c r="O748" s="5">
        <f t="shared" si="106"/>
        <v>245</v>
      </c>
      <c r="P748" t="str">
        <f>'(Raw) LensesGH'!I748</f>
        <v>73 x 59mm</v>
      </c>
      <c r="Q748" s="39">
        <f t="shared" si="107"/>
        <v>73</v>
      </c>
      <c r="R748" s="39">
        <f t="shared" si="99"/>
        <v>59</v>
      </c>
    </row>
    <row r="749" spans="1:18" x14ac:dyDescent="0.25">
      <c r="A749" t="str">
        <f>'(Raw) LensesGH'!A749</f>
        <v>Samyang 12mm 2.2 NCS CS für Canon EF-M schwarz</v>
      </c>
      <c r="B749" t="str">
        <f>'(Raw) LensesGH'!B749</f>
        <v>12mm</v>
      </c>
      <c r="C749" s="5">
        <f t="shared" si="100"/>
        <v>12</v>
      </c>
      <c r="D749" s="5">
        <f t="shared" si="101"/>
        <v>12</v>
      </c>
      <c r="E749" t="str">
        <f>'(Raw) LensesGH'!C749</f>
        <v>1:2.2</v>
      </c>
      <c r="F749" s="9">
        <f t="shared" si="102"/>
        <v>2.2000000000000002</v>
      </c>
      <c r="G749" s="9">
        <f t="shared" si="103"/>
        <v>2.2000000000000002</v>
      </c>
      <c r="H749" t="str">
        <f>'(Raw) LensesGH'!D749</f>
        <v>67mm</v>
      </c>
      <c r="I749" s="2">
        <f t="shared" si="104"/>
        <v>67</v>
      </c>
      <c r="J749" s="2">
        <f>'(Raw) LensesGH'!E749</f>
        <v>0</v>
      </c>
      <c r="K749" s="40">
        <f t="shared" si="105"/>
        <v>0</v>
      </c>
      <c r="L749" t="str">
        <f>'(Raw) LensesGH'!F749</f>
        <v>Canon EF-M</v>
      </c>
      <c r="M749" t="str">
        <f>'(Raw) LensesGH'!G749</f>
        <v>APS-C</v>
      </c>
      <c r="N749" t="str">
        <f>'(Raw) LensesGH'!H749</f>
        <v>250g</v>
      </c>
      <c r="O749" s="5">
        <f t="shared" si="106"/>
        <v>250</v>
      </c>
      <c r="P749" t="str">
        <f>'(Raw) LensesGH'!I749</f>
        <v>73.6 x 59mm</v>
      </c>
      <c r="Q749" s="39">
        <f t="shared" si="107"/>
        <v>73.599999999999994</v>
      </c>
      <c r="R749" s="39">
        <f t="shared" si="99"/>
        <v>59</v>
      </c>
    </row>
    <row r="750" spans="1:18" x14ac:dyDescent="0.25">
      <c r="A750" t="str">
        <f>'(Raw) LensesGH'!A750</f>
        <v>Samyang 12mm 2.2 NCS CS für Fujifilm X schwarz</v>
      </c>
      <c r="B750" t="str">
        <f>'(Raw) LensesGH'!B750</f>
        <v>12mm</v>
      </c>
      <c r="C750" s="5">
        <f t="shared" si="100"/>
        <v>12</v>
      </c>
      <c r="D750" s="5">
        <f t="shared" si="101"/>
        <v>12</v>
      </c>
      <c r="E750" t="str">
        <f>'(Raw) LensesGH'!C750</f>
        <v>1:2.2</v>
      </c>
      <c r="F750" s="9">
        <f t="shared" si="102"/>
        <v>2.2000000000000002</v>
      </c>
      <c r="G750" s="9">
        <f t="shared" si="103"/>
        <v>2.2000000000000002</v>
      </c>
      <c r="H750" t="str">
        <f>'(Raw) LensesGH'!D750</f>
        <v>67mm</v>
      </c>
      <c r="I750" s="2">
        <f t="shared" si="104"/>
        <v>67</v>
      </c>
      <c r="J750" s="2">
        <f>'(Raw) LensesGH'!E750</f>
        <v>0</v>
      </c>
      <c r="K750" s="40">
        <f t="shared" si="105"/>
        <v>0</v>
      </c>
      <c r="L750" t="str">
        <f>'(Raw) LensesGH'!F750</f>
        <v>Fujifilm X</v>
      </c>
      <c r="M750" t="str">
        <f>'(Raw) LensesGH'!G750</f>
        <v>APS-C</v>
      </c>
      <c r="N750" t="str">
        <f>'(Raw) LensesGH'!H750</f>
        <v>265g</v>
      </c>
      <c r="O750" s="5">
        <f t="shared" si="106"/>
        <v>265</v>
      </c>
      <c r="P750" t="str">
        <f>'(Raw) LensesGH'!I750</f>
        <v>73.6 x 59.4mm</v>
      </c>
      <c r="Q750" s="39">
        <f t="shared" si="107"/>
        <v>73.599999999999994</v>
      </c>
      <c r="R750" s="39">
        <f t="shared" si="99"/>
        <v>59.4</v>
      </c>
    </row>
    <row r="751" spans="1:18" x14ac:dyDescent="0.25">
      <c r="A751" t="str">
        <f>'(Raw) LensesGH'!A751</f>
        <v>Samyang 12mm 2.2 NCS CS für Micro-Four-Thirds schwarz</v>
      </c>
      <c r="B751" t="str">
        <f>'(Raw) LensesGH'!B751</f>
        <v>12mm</v>
      </c>
      <c r="C751" s="5">
        <f t="shared" si="100"/>
        <v>12</v>
      </c>
      <c r="D751" s="5">
        <f t="shared" si="101"/>
        <v>12</v>
      </c>
      <c r="E751" t="str">
        <f>'(Raw) LensesGH'!C751</f>
        <v>1:2.2</v>
      </c>
      <c r="F751" s="9">
        <f t="shared" si="102"/>
        <v>2.2000000000000002</v>
      </c>
      <c r="G751" s="9">
        <f t="shared" si="103"/>
        <v>2.2000000000000002</v>
      </c>
      <c r="H751" t="str">
        <f>'(Raw) LensesGH'!D751</f>
        <v>67mm</v>
      </c>
      <c r="I751" s="2">
        <f t="shared" si="104"/>
        <v>67</v>
      </c>
      <c r="J751" s="2">
        <f>'(Raw) LensesGH'!E751</f>
        <v>0</v>
      </c>
      <c r="K751" s="40">
        <f t="shared" si="105"/>
        <v>0</v>
      </c>
      <c r="L751" t="str">
        <f>'(Raw) LensesGH'!F751</f>
        <v>Micro-Four-Thirds</v>
      </c>
      <c r="M751" t="str">
        <f>'(Raw) LensesGH'!G751</f>
        <v>Four-Thirds</v>
      </c>
      <c r="N751" t="str">
        <f>'(Raw) LensesGH'!H751</f>
        <v>260g</v>
      </c>
      <c r="O751" s="5">
        <f t="shared" si="106"/>
        <v>260</v>
      </c>
      <c r="P751" t="str">
        <f>'(Raw) LensesGH'!I751</f>
        <v>73.6 x 57.9mm</v>
      </c>
      <c r="Q751" s="39">
        <f t="shared" si="107"/>
        <v>73.599999999999994</v>
      </c>
      <c r="R751" s="39">
        <f t="shared" si="99"/>
        <v>57.9</v>
      </c>
    </row>
    <row r="752" spans="1:18" x14ac:dyDescent="0.25">
      <c r="A752" t="str">
        <f>'(Raw) LensesGH'!A752</f>
        <v>Samyang 12mm 2.2 NCS CS für Samsung NX schwarz</v>
      </c>
      <c r="B752" t="str">
        <f>'(Raw) LensesGH'!B752</f>
        <v>12mm</v>
      </c>
      <c r="C752" s="5">
        <f t="shared" si="100"/>
        <v>12</v>
      </c>
      <c r="D752" s="5">
        <f t="shared" si="101"/>
        <v>12</v>
      </c>
      <c r="E752" t="str">
        <f>'(Raw) LensesGH'!C752</f>
        <v>1:2.2</v>
      </c>
      <c r="F752" s="9">
        <f t="shared" si="102"/>
        <v>2.2000000000000002</v>
      </c>
      <c r="G752" s="9">
        <f t="shared" si="103"/>
        <v>2.2000000000000002</v>
      </c>
      <c r="H752" t="str">
        <f>'(Raw) LensesGH'!D752</f>
        <v>67mm</v>
      </c>
      <c r="I752" s="2">
        <f t="shared" si="104"/>
        <v>67</v>
      </c>
      <c r="J752" s="2">
        <f>'(Raw) LensesGH'!E752</f>
        <v>0</v>
      </c>
      <c r="K752" s="40">
        <f t="shared" si="105"/>
        <v>0</v>
      </c>
      <c r="L752" t="str">
        <f>'(Raw) LensesGH'!F752</f>
        <v>Samsung NX</v>
      </c>
      <c r="M752" t="str">
        <f>'(Raw) LensesGH'!G752</f>
        <v>APS-C</v>
      </c>
      <c r="N752" t="str">
        <f>'(Raw) LensesGH'!H752</f>
        <v>240g</v>
      </c>
      <c r="O752" s="5">
        <f t="shared" si="106"/>
        <v>240</v>
      </c>
      <c r="P752" t="str">
        <f>'(Raw) LensesGH'!I752</f>
        <v>73.6 x 51.6mm</v>
      </c>
      <c r="Q752" s="39">
        <f t="shared" si="107"/>
        <v>73.599999999999994</v>
      </c>
      <c r="R752" s="39">
        <f t="shared" si="99"/>
        <v>51.6</v>
      </c>
    </row>
    <row r="753" spans="1:18" x14ac:dyDescent="0.25">
      <c r="A753" t="str">
        <f>'(Raw) LensesGH'!A753</f>
        <v>Samyang 12mm 2.2 NCS CS für Sony E schwarz</v>
      </c>
      <c r="B753" t="str">
        <f>'(Raw) LensesGH'!B753</f>
        <v>12mm</v>
      </c>
      <c r="C753" s="5">
        <f t="shared" si="100"/>
        <v>12</v>
      </c>
      <c r="D753" s="5">
        <f t="shared" si="101"/>
        <v>12</v>
      </c>
      <c r="E753" t="str">
        <f>'(Raw) LensesGH'!C753</f>
        <v>1:2.2</v>
      </c>
      <c r="F753" s="9">
        <f t="shared" si="102"/>
        <v>2.2000000000000002</v>
      </c>
      <c r="G753" s="9">
        <f t="shared" si="103"/>
        <v>2.2000000000000002</v>
      </c>
      <c r="H753" t="str">
        <f>'(Raw) LensesGH'!D753</f>
        <v>67mm</v>
      </c>
      <c r="I753" s="2">
        <f t="shared" si="104"/>
        <v>67</v>
      </c>
      <c r="J753" s="2">
        <f>'(Raw) LensesGH'!E753</f>
        <v>0</v>
      </c>
      <c r="K753" s="40">
        <f t="shared" si="105"/>
        <v>0</v>
      </c>
      <c r="L753" t="str">
        <f>'(Raw) LensesGH'!F753</f>
        <v>Sony E</v>
      </c>
      <c r="M753" t="str">
        <f>'(Raw) LensesGH'!G753</f>
        <v>APS-C</v>
      </c>
      <c r="N753" t="str">
        <f>'(Raw) LensesGH'!H753</f>
        <v>250g</v>
      </c>
      <c r="O753" s="5">
        <f t="shared" si="106"/>
        <v>250</v>
      </c>
      <c r="P753" t="str">
        <f>'(Raw) LensesGH'!I753</f>
        <v>73.6 x 59.1mm</v>
      </c>
      <c r="Q753" s="39">
        <f t="shared" si="107"/>
        <v>73.599999999999994</v>
      </c>
      <c r="R753" s="39">
        <f t="shared" si="99"/>
        <v>59.1</v>
      </c>
    </row>
    <row r="754" spans="1:18" x14ac:dyDescent="0.25">
      <c r="A754" t="str">
        <f>'(Raw) LensesGH'!A754</f>
        <v>Samyang 12mm 2.8 ED AS NCS Fisheye für Canon EF schwarz</v>
      </c>
      <c r="B754" t="str">
        <f>'(Raw) LensesGH'!B754</f>
        <v>12mm</v>
      </c>
      <c r="C754" s="5">
        <f t="shared" si="100"/>
        <v>12</v>
      </c>
      <c r="D754" s="5">
        <f t="shared" si="101"/>
        <v>12</v>
      </c>
      <c r="E754" t="str">
        <f>'(Raw) LensesGH'!C754</f>
        <v>1:2.8</v>
      </c>
      <c r="F754" s="9">
        <f t="shared" si="102"/>
        <v>2.8</v>
      </c>
      <c r="G754" s="9">
        <f t="shared" si="103"/>
        <v>2.8</v>
      </c>
      <c r="H754">
        <f>'(Raw) LensesGH'!D754</f>
        <v>0</v>
      </c>
      <c r="I754" s="2">
        <f t="shared" si="104"/>
        <v>0</v>
      </c>
      <c r="J754" s="2">
        <f>'(Raw) LensesGH'!E754</f>
        <v>0</v>
      </c>
      <c r="K754" s="40">
        <f t="shared" si="105"/>
        <v>0</v>
      </c>
      <c r="L754" t="str">
        <f>'(Raw) LensesGH'!F754</f>
        <v>Canon EF</v>
      </c>
      <c r="M754" t="str">
        <f>'(Raw) LensesGH'!G754</f>
        <v>APS-C/ Kleinbild</v>
      </c>
      <c r="N754" t="str">
        <f>'(Raw) LensesGH'!H754</f>
        <v>515g</v>
      </c>
      <c r="O754" s="5">
        <f t="shared" si="106"/>
        <v>515</v>
      </c>
      <c r="P754" t="str">
        <f>'(Raw) LensesGH'!I754</f>
        <v>77.3 x 72.7mm</v>
      </c>
      <c r="Q754" s="39">
        <f t="shared" si="107"/>
        <v>77.3</v>
      </c>
      <c r="R754" s="39">
        <f t="shared" si="99"/>
        <v>72.7</v>
      </c>
    </row>
    <row r="755" spans="1:18" x14ac:dyDescent="0.25">
      <c r="A755" t="str">
        <f>'(Raw) LensesGH'!A755</f>
        <v>Samyang 12mm 2.8 ED AS NCS Fisheye für Canon EF-M schwarz</v>
      </c>
      <c r="B755" t="str">
        <f>'(Raw) LensesGH'!B755</f>
        <v>12mm</v>
      </c>
      <c r="C755" s="5">
        <f t="shared" si="100"/>
        <v>12</v>
      </c>
      <c r="D755" s="5">
        <f t="shared" si="101"/>
        <v>12</v>
      </c>
      <c r="E755" t="str">
        <f>'(Raw) LensesGH'!C755</f>
        <v>1:2.8</v>
      </c>
      <c r="F755" s="9">
        <f t="shared" si="102"/>
        <v>2.8</v>
      </c>
      <c r="G755" s="9">
        <f t="shared" si="103"/>
        <v>2.8</v>
      </c>
      <c r="H755">
        <f>'(Raw) LensesGH'!D755</f>
        <v>0</v>
      </c>
      <c r="I755" s="2">
        <f t="shared" si="104"/>
        <v>0</v>
      </c>
      <c r="J755" s="2">
        <f>'(Raw) LensesGH'!E755</f>
        <v>0</v>
      </c>
      <c r="K755" s="40">
        <f t="shared" si="105"/>
        <v>0</v>
      </c>
      <c r="L755" t="str">
        <f>'(Raw) LensesGH'!F755</f>
        <v>Canon EF-M</v>
      </c>
      <c r="M755" t="str">
        <f>'(Raw) LensesGH'!G755</f>
        <v>APS-C</v>
      </c>
      <c r="N755" t="str">
        <f>'(Raw) LensesGH'!H755</f>
        <v>525g</v>
      </c>
      <c r="O755" s="5">
        <f t="shared" si="106"/>
        <v>525</v>
      </c>
      <c r="P755" t="str">
        <f>'(Raw) LensesGH'!I755</f>
        <v>77.3 x 98.6mm</v>
      </c>
      <c r="Q755" s="39">
        <f t="shared" si="107"/>
        <v>77.3</v>
      </c>
      <c r="R755" s="39">
        <f t="shared" si="99"/>
        <v>98.6</v>
      </c>
    </row>
    <row r="756" spans="1:18" x14ac:dyDescent="0.25">
      <c r="A756" t="str">
        <f>'(Raw) LensesGH'!A756</f>
        <v>Samyang 12mm 2.8 ED AS NCS Fisheye für Four-Thirds schwarz</v>
      </c>
      <c r="B756" t="str">
        <f>'(Raw) LensesGH'!B756</f>
        <v>12mm</v>
      </c>
      <c r="C756" s="5">
        <f t="shared" si="100"/>
        <v>12</v>
      </c>
      <c r="D756" s="5">
        <f t="shared" si="101"/>
        <v>12</v>
      </c>
      <c r="E756" t="str">
        <f>'(Raw) LensesGH'!C756</f>
        <v>1:2.8</v>
      </c>
      <c r="F756" s="9">
        <f t="shared" si="102"/>
        <v>2.8</v>
      </c>
      <c r="G756" s="9">
        <f t="shared" si="103"/>
        <v>2.8</v>
      </c>
      <c r="H756">
        <f>'(Raw) LensesGH'!D756</f>
        <v>0</v>
      </c>
      <c r="I756" s="2">
        <f t="shared" si="104"/>
        <v>0</v>
      </c>
      <c r="J756" s="2">
        <f>'(Raw) LensesGH'!E756</f>
        <v>0</v>
      </c>
      <c r="K756" s="40">
        <f t="shared" si="105"/>
        <v>0</v>
      </c>
      <c r="L756" t="str">
        <f>'(Raw) LensesGH'!F756</f>
        <v>Four-Thirds</v>
      </c>
      <c r="M756" t="str">
        <f>'(Raw) LensesGH'!G756</f>
        <v>Four-Thirds</v>
      </c>
      <c r="N756" t="str">
        <f>'(Raw) LensesGH'!H756</f>
        <v>530g</v>
      </c>
      <c r="O756" s="5">
        <f t="shared" si="106"/>
        <v>530</v>
      </c>
      <c r="P756" t="str">
        <f>'(Raw) LensesGH'!I756</f>
        <v>77.3 x 78mm</v>
      </c>
      <c r="Q756" s="39">
        <f t="shared" si="107"/>
        <v>77.3</v>
      </c>
      <c r="R756" s="39">
        <f t="shared" si="99"/>
        <v>78</v>
      </c>
    </row>
    <row r="757" spans="1:18" x14ac:dyDescent="0.25">
      <c r="A757" t="str">
        <f>'(Raw) LensesGH'!A757</f>
        <v>Samyang 12mm 2.8 ED AS NCS Fisheye für Fujifilm X schwarz</v>
      </c>
      <c r="B757" t="str">
        <f>'(Raw) LensesGH'!B757</f>
        <v>12mm</v>
      </c>
      <c r="C757" s="5">
        <f t="shared" si="100"/>
        <v>12</v>
      </c>
      <c r="D757" s="5">
        <f t="shared" si="101"/>
        <v>12</v>
      </c>
      <c r="E757" t="str">
        <f>'(Raw) LensesGH'!C757</f>
        <v>1:2.8</v>
      </c>
      <c r="F757" s="9">
        <f t="shared" si="102"/>
        <v>2.8</v>
      </c>
      <c r="G757" s="9">
        <f t="shared" si="103"/>
        <v>2.8</v>
      </c>
      <c r="H757">
        <f>'(Raw) LensesGH'!D757</f>
        <v>0</v>
      </c>
      <c r="I757" s="2">
        <f t="shared" si="104"/>
        <v>0</v>
      </c>
      <c r="J757" s="2">
        <f>'(Raw) LensesGH'!E757</f>
        <v>0</v>
      </c>
      <c r="K757" s="40">
        <f t="shared" si="105"/>
        <v>0</v>
      </c>
      <c r="L757" t="str">
        <f>'(Raw) LensesGH'!F757</f>
        <v>Fujifilm X</v>
      </c>
      <c r="M757" t="str">
        <f>'(Raw) LensesGH'!G757</f>
        <v>APS-C</v>
      </c>
      <c r="N757" t="str">
        <f>'(Raw) LensesGH'!H757</f>
        <v>565g</v>
      </c>
      <c r="O757" s="5">
        <f t="shared" si="106"/>
        <v>565</v>
      </c>
      <c r="P757" t="str">
        <f>'(Raw) LensesGH'!I757</f>
        <v>77.3 x 99mm</v>
      </c>
      <c r="Q757" s="39">
        <f t="shared" si="107"/>
        <v>77.3</v>
      </c>
      <c r="R757" s="39">
        <f t="shared" si="99"/>
        <v>99</v>
      </c>
    </row>
    <row r="758" spans="1:18" x14ac:dyDescent="0.25">
      <c r="A758" t="str">
        <f>'(Raw) LensesGH'!A758</f>
        <v>Samyang 12mm 2.8 ED AS NCS Fisheye für Micro-Four-Thirds schwarz</v>
      </c>
      <c r="B758" t="str">
        <f>'(Raw) LensesGH'!B758</f>
        <v>12mm</v>
      </c>
      <c r="C758" s="5">
        <f t="shared" si="100"/>
        <v>12</v>
      </c>
      <c r="D758" s="5">
        <f t="shared" si="101"/>
        <v>12</v>
      </c>
      <c r="E758" t="str">
        <f>'(Raw) LensesGH'!C758</f>
        <v>1:2.8</v>
      </c>
      <c r="F758" s="9">
        <f t="shared" si="102"/>
        <v>2.8</v>
      </c>
      <c r="G758" s="9">
        <f t="shared" si="103"/>
        <v>2.8</v>
      </c>
      <c r="H758">
        <f>'(Raw) LensesGH'!D758</f>
        <v>0</v>
      </c>
      <c r="I758" s="2">
        <f t="shared" si="104"/>
        <v>0</v>
      </c>
      <c r="J758" s="2">
        <f>'(Raw) LensesGH'!E758</f>
        <v>0</v>
      </c>
      <c r="K758" s="40">
        <f t="shared" si="105"/>
        <v>0</v>
      </c>
      <c r="L758" t="str">
        <f>'(Raw) LensesGH'!F758</f>
        <v>Micro-Four-Thirds</v>
      </c>
      <c r="M758" t="str">
        <f>'(Raw) LensesGH'!G758</f>
        <v>Four-Thirds</v>
      </c>
      <c r="N758" t="str">
        <f>'(Raw) LensesGH'!H758</f>
        <v>520g</v>
      </c>
      <c r="O758" s="5">
        <f t="shared" si="106"/>
        <v>520</v>
      </c>
      <c r="P758" t="str">
        <f>'(Raw) LensesGH'!I758</f>
        <v>77.3 x 97.5mm</v>
      </c>
      <c r="Q758" s="39">
        <f t="shared" si="107"/>
        <v>77.3</v>
      </c>
      <c r="R758" s="39">
        <f t="shared" si="99"/>
        <v>97.5</v>
      </c>
    </row>
    <row r="759" spans="1:18" x14ac:dyDescent="0.25">
      <c r="A759" t="str">
        <f>'(Raw) LensesGH'!A759</f>
        <v>Samyang 12mm 2.8 ED AS NCS Fisheye für Nikon F schwarz</v>
      </c>
      <c r="B759" t="str">
        <f>'(Raw) LensesGH'!B759</f>
        <v>12mm</v>
      </c>
      <c r="C759" s="5">
        <f t="shared" si="100"/>
        <v>12</v>
      </c>
      <c r="D759" s="5">
        <f t="shared" si="101"/>
        <v>12</v>
      </c>
      <c r="E759" t="str">
        <f>'(Raw) LensesGH'!C759</f>
        <v>1:2.8</v>
      </c>
      <c r="F759" s="9">
        <f t="shared" si="102"/>
        <v>2.8</v>
      </c>
      <c r="G759" s="9">
        <f t="shared" si="103"/>
        <v>2.8</v>
      </c>
      <c r="H759">
        <f>'(Raw) LensesGH'!D759</f>
        <v>0</v>
      </c>
      <c r="I759" s="2">
        <f t="shared" si="104"/>
        <v>0</v>
      </c>
      <c r="J759" s="2">
        <f>'(Raw) LensesGH'!E759</f>
        <v>0</v>
      </c>
      <c r="K759" s="40">
        <f t="shared" si="105"/>
        <v>0</v>
      </c>
      <c r="L759" t="str">
        <f>'(Raw) LensesGH'!F759</f>
        <v>Nikon F</v>
      </c>
      <c r="M759" t="str">
        <f>'(Raw) LensesGH'!G759</f>
        <v>APS-C/ Kleinbild</v>
      </c>
      <c r="N759" t="str">
        <f>'(Raw) LensesGH'!H759</f>
        <v>500g</v>
      </c>
      <c r="O759" s="5">
        <f t="shared" si="106"/>
        <v>500</v>
      </c>
      <c r="P759" t="str">
        <f>'(Raw) LensesGH'!I759</f>
        <v>77.3 x 70.2mm</v>
      </c>
      <c r="Q759" s="39">
        <f t="shared" si="107"/>
        <v>77.3</v>
      </c>
      <c r="R759" s="39">
        <f t="shared" si="99"/>
        <v>70.2</v>
      </c>
    </row>
    <row r="760" spans="1:18" x14ac:dyDescent="0.25">
      <c r="A760" t="str">
        <f>'(Raw) LensesGH'!A760</f>
        <v>Samyang 12mm 2.8 ED AS NCS Fisheye für Pentax K schwarz</v>
      </c>
      <c r="B760" t="str">
        <f>'(Raw) LensesGH'!B760</f>
        <v>12mm</v>
      </c>
      <c r="C760" s="5">
        <f t="shared" si="100"/>
        <v>12</v>
      </c>
      <c r="D760" s="5">
        <f t="shared" si="101"/>
        <v>12</v>
      </c>
      <c r="E760" t="str">
        <f>'(Raw) LensesGH'!C760</f>
        <v>1:2.8</v>
      </c>
      <c r="F760" s="9">
        <f t="shared" si="102"/>
        <v>2.8</v>
      </c>
      <c r="G760" s="9">
        <f t="shared" si="103"/>
        <v>2.8</v>
      </c>
      <c r="H760">
        <f>'(Raw) LensesGH'!D760</f>
        <v>0</v>
      </c>
      <c r="I760" s="2">
        <f t="shared" si="104"/>
        <v>0</v>
      </c>
      <c r="J760" s="2">
        <f>'(Raw) LensesGH'!E760</f>
        <v>0</v>
      </c>
      <c r="K760" s="40">
        <f t="shared" si="105"/>
        <v>0</v>
      </c>
      <c r="L760" t="str">
        <f>'(Raw) LensesGH'!F760</f>
        <v>Pentax K</v>
      </c>
      <c r="M760" t="str">
        <f>'(Raw) LensesGH'!G760</f>
        <v>APS-C/ Kleinbild</v>
      </c>
      <c r="N760" t="str">
        <f>'(Raw) LensesGH'!H760</f>
        <v>505g</v>
      </c>
      <c r="O760" s="5">
        <f t="shared" si="106"/>
        <v>505</v>
      </c>
      <c r="P760" t="str">
        <f>'(Raw) LensesGH'!I760</f>
        <v>77.3 x 71.2mm</v>
      </c>
      <c r="Q760" s="39">
        <f t="shared" si="107"/>
        <v>77.3</v>
      </c>
      <c r="R760" s="39">
        <f t="shared" si="99"/>
        <v>71.2</v>
      </c>
    </row>
    <row r="761" spans="1:18" x14ac:dyDescent="0.25">
      <c r="A761" t="str">
        <f>'(Raw) LensesGH'!A761</f>
        <v>Samyang 12mm 2.8 ED AS NCS Fisheye für Samsung NX schwarz</v>
      </c>
      <c r="B761" t="str">
        <f>'(Raw) LensesGH'!B761</f>
        <v>12mm</v>
      </c>
      <c r="C761" s="5">
        <f t="shared" si="100"/>
        <v>12</v>
      </c>
      <c r="D761" s="5">
        <f t="shared" si="101"/>
        <v>12</v>
      </c>
      <c r="E761" t="str">
        <f>'(Raw) LensesGH'!C761</f>
        <v>1:2.8</v>
      </c>
      <c r="F761" s="9">
        <f t="shared" si="102"/>
        <v>2.8</v>
      </c>
      <c r="G761" s="9">
        <f t="shared" si="103"/>
        <v>2.8</v>
      </c>
      <c r="H761">
        <f>'(Raw) LensesGH'!D761</f>
        <v>0</v>
      </c>
      <c r="I761" s="2">
        <f t="shared" si="104"/>
        <v>0</v>
      </c>
      <c r="J761" s="2">
        <f>'(Raw) LensesGH'!E761</f>
        <v>0</v>
      </c>
      <c r="K761" s="40">
        <f t="shared" si="105"/>
        <v>0</v>
      </c>
      <c r="L761" t="str">
        <f>'(Raw) LensesGH'!F761</f>
        <v>Samsung NX</v>
      </c>
      <c r="M761" t="str">
        <f>'(Raw) LensesGH'!G761</f>
        <v>APS-C</v>
      </c>
      <c r="N761" t="str">
        <f>'(Raw) LensesGH'!H761</f>
        <v>515g</v>
      </c>
      <c r="O761" s="5">
        <f t="shared" si="106"/>
        <v>515</v>
      </c>
      <c r="P761" t="str">
        <f>'(Raw) LensesGH'!I761</f>
        <v>77.3 x 91.2mm</v>
      </c>
      <c r="Q761" s="39">
        <f t="shared" si="107"/>
        <v>77.3</v>
      </c>
      <c r="R761" s="39">
        <f t="shared" si="99"/>
        <v>91.2</v>
      </c>
    </row>
    <row r="762" spans="1:18" x14ac:dyDescent="0.25">
      <c r="A762" t="str">
        <f>'(Raw) LensesGH'!A762</f>
        <v>Samyang 12mm 2.8 ED AS NCS Fisheye für Sony A schwarz</v>
      </c>
      <c r="B762" t="str">
        <f>'(Raw) LensesGH'!B762</f>
        <v>12mm</v>
      </c>
      <c r="C762" s="5">
        <f t="shared" si="100"/>
        <v>12</v>
      </c>
      <c r="D762" s="5">
        <f t="shared" si="101"/>
        <v>12</v>
      </c>
      <c r="E762" t="str">
        <f>'(Raw) LensesGH'!C762</f>
        <v>1:2.8</v>
      </c>
      <c r="F762" s="9">
        <f t="shared" si="102"/>
        <v>2.8</v>
      </c>
      <c r="G762" s="9">
        <f t="shared" si="103"/>
        <v>2.8</v>
      </c>
      <c r="H762">
        <f>'(Raw) LensesGH'!D762</f>
        <v>0</v>
      </c>
      <c r="I762" s="2">
        <f t="shared" si="104"/>
        <v>0</v>
      </c>
      <c r="J762" s="2">
        <f>'(Raw) LensesGH'!E762</f>
        <v>0</v>
      </c>
      <c r="K762" s="40">
        <f t="shared" si="105"/>
        <v>0</v>
      </c>
      <c r="L762" t="str">
        <f>'(Raw) LensesGH'!F762</f>
        <v>Sony A</v>
      </c>
      <c r="M762" t="str">
        <f>'(Raw) LensesGH'!G762</f>
        <v>APS-C/ Kleinbild</v>
      </c>
      <c r="N762" t="str">
        <f>'(Raw) LensesGH'!H762</f>
        <v>510g</v>
      </c>
      <c r="O762" s="5">
        <f t="shared" si="106"/>
        <v>510</v>
      </c>
      <c r="P762" t="str">
        <f>'(Raw) LensesGH'!I762</f>
        <v>77.3 x 72.2mm</v>
      </c>
      <c r="Q762" s="39">
        <f t="shared" si="107"/>
        <v>77.3</v>
      </c>
      <c r="R762" s="39">
        <f t="shared" si="99"/>
        <v>72.2</v>
      </c>
    </row>
    <row r="763" spans="1:18" x14ac:dyDescent="0.25">
      <c r="A763" t="str">
        <f>'(Raw) LensesGH'!A763</f>
        <v>Samyang 12mm 2.8 ED AS NCS Fisheye für Sony E schwarz</v>
      </c>
      <c r="B763" t="str">
        <f>'(Raw) LensesGH'!B763</f>
        <v>12mm</v>
      </c>
      <c r="C763" s="5">
        <f t="shared" si="100"/>
        <v>12</v>
      </c>
      <c r="D763" s="5">
        <f t="shared" si="101"/>
        <v>12</v>
      </c>
      <c r="E763" t="str">
        <f>'(Raw) LensesGH'!C763</f>
        <v>1:2.8</v>
      </c>
      <c r="F763" s="9">
        <f t="shared" si="102"/>
        <v>2.8</v>
      </c>
      <c r="G763" s="9">
        <f t="shared" si="103"/>
        <v>2.8</v>
      </c>
      <c r="H763">
        <f>'(Raw) LensesGH'!D763</f>
        <v>0</v>
      </c>
      <c r="I763" s="2">
        <f t="shared" si="104"/>
        <v>0</v>
      </c>
      <c r="J763" s="2">
        <f>'(Raw) LensesGH'!E763</f>
        <v>0</v>
      </c>
      <c r="K763" s="40">
        <f t="shared" si="105"/>
        <v>0</v>
      </c>
      <c r="L763" t="str">
        <f>'(Raw) LensesGH'!F763</f>
        <v>Sony E</v>
      </c>
      <c r="M763" t="str">
        <f>'(Raw) LensesGH'!G763</f>
        <v>APS-C/ Kleinbild</v>
      </c>
      <c r="N763" t="str">
        <f>'(Raw) LensesGH'!H763</f>
        <v>525g</v>
      </c>
      <c r="O763" s="5">
        <f t="shared" si="106"/>
        <v>525</v>
      </c>
      <c r="P763" t="str">
        <f>'(Raw) LensesGH'!I763</f>
        <v>77.3 x 98.7mm</v>
      </c>
      <c r="Q763" s="39">
        <f t="shared" si="107"/>
        <v>77.3</v>
      </c>
      <c r="R763" s="39">
        <f t="shared" si="99"/>
        <v>98.7</v>
      </c>
    </row>
    <row r="764" spans="1:18" x14ac:dyDescent="0.25">
      <c r="A764" t="str">
        <f>'(Raw) LensesGH'!A764</f>
        <v>Samyang 12mm T3.1 VDSLR ED AS NCS Fisheye für Canon EF schwarz</v>
      </c>
      <c r="B764" t="str">
        <f>'(Raw) LensesGH'!B764</f>
        <v>12mm</v>
      </c>
      <c r="C764" s="5">
        <f t="shared" si="100"/>
        <v>12</v>
      </c>
      <c r="D764" s="5">
        <f t="shared" si="101"/>
        <v>12</v>
      </c>
      <c r="E764" t="str">
        <f>'(Raw) LensesGH'!C764</f>
        <v>1:3.1</v>
      </c>
      <c r="F764" s="9">
        <f t="shared" si="102"/>
        <v>3.1</v>
      </c>
      <c r="G764" s="9">
        <f t="shared" si="103"/>
        <v>3.1</v>
      </c>
      <c r="H764">
        <f>'(Raw) LensesGH'!D764</f>
        <v>0</v>
      </c>
      <c r="I764" s="2">
        <f t="shared" si="104"/>
        <v>0</v>
      </c>
      <c r="J764" s="2">
        <f>'(Raw) LensesGH'!E764</f>
        <v>0</v>
      </c>
      <c r="K764" s="40">
        <f t="shared" si="105"/>
        <v>0</v>
      </c>
      <c r="L764" t="str">
        <f>'(Raw) LensesGH'!F764</f>
        <v>Canon EF</v>
      </c>
      <c r="M764" t="str">
        <f>'(Raw) LensesGH'!G764</f>
        <v>APS-C/ Kleinbild</v>
      </c>
      <c r="N764" t="str">
        <f>'(Raw) LensesGH'!H764</f>
        <v>525g</v>
      </c>
      <c r="O764" s="5">
        <f t="shared" si="106"/>
        <v>525</v>
      </c>
      <c r="P764" t="str">
        <f>'(Raw) LensesGH'!I764</f>
        <v>81.6 x 72.7mm</v>
      </c>
      <c r="Q764" s="39">
        <f t="shared" si="107"/>
        <v>81.599999999999994</v>
      </c>
      <c r="R764" s="39">
        <f t="shared" si="99"/>
        <v>72.7</v>
      </c>
    </row>
    <row r="765" spans="1:18" x14ac:dyDescent="0.25">
      <c r="A765" t="str">
        <f>'(Raw) LensesGH'!A765</f>
        <v>Samyang 12mm T3.1 VDSLR ED AS NCS Fisheye für Canon EF-M schwarz</v>
      </c>
      <c r="B765" t="str">
        <f>'(Raw) LensesGH'!B765</f>
        <v>12mm</v>
      </c>
      <c r="C765" s="5">
        <f t="shared" si="100"/>
        <v>12</v>
      </c>
      <c r="D765" s="5">
        <f t="shared" si="101"/>
        <v>12</v>
      </c>
      <c r="E765" t="str">
        <f>'(Raw) LensesGH'!C765</f>
        <v>1:3.1</v>
      </c>
      <c r="F765" s="9">
        <f t="shared" si="102"/>
        <v>3.1</v>
      </c>
      <c r="G765" s="9">
        <f t="shared" si="103"/>
        <v>3.1</v>
      </c>
      <c r="H765">
        <f>'(Raw) LensesGH'!D765</f>
        <v>0</v>
      </c>
      <c r="I765" s="2">
        <f t="shared" si="104"/>
        <v>0</v>
      </c>
      <c r="J765" s="2">
        <f>'(Raw) LensesGH'!E765</f>
        <v>0</v>
      </c>
      <c r="K765" s="40">
        <f t="shared" si="105"/>
        <v>0</v>
      </c>
      <c r="L765" t="str">
        <f>'(Raw) LensesGH'!F765</f>
        <v>Canon EF-M</v>
      </c>
      <c r="M765" t="str">
        <f>'(Raw) LensesGH'!G765</f>
        <v>APS-C</v>
      </c>
      <c r="N765" t="str">
        <f>'(Raw) LensesGH'!H765</f>
        <v>535g</v>
      </c>
      <c r="O765" s="5">
        <f t="shared" si="106"/>
        <v>535</v>
      </c>
      <c r="P765" t="str">
        <f>'(Raw) LensesGH'!I765</f>
        <v>81.6 x 98.6mm</v>
      </c>
      <c r="Q765" s="39">
        <f t="shared" si="107"/>
        <v>81.599999999999994</v>
      </c>
      <c r="R765" s="39">
        <f t="shared" si="99"/>
        <v>98.6</v>
      </c>
    </row>
    <row r="766" spans="1:18" x14ac:dyDescent="0.25">
      <c r="A766" t="str">
        <f>'(Raw) LensesGH'!A766</f>
        <v>Samyang 12mm T3.1 VDSLR ED AS NCS Fisheye für Four-Thirds schwarz</v>
      </c>
      <c r="B766" t="str">
        <f>'(Raw) LensesGH'!B766</f>
        <v>12mm</v>
      </c>
      <c r="C766" s="5">
        <f t="shared" si="100"/>
        <v>12</v>
      </c>
      <c r="D766" s="5">
        <f t="shared" si="101"/>
        <v>12</v>
      </c>
      <c r="E766" t="str">
        <f>'(Raw) LensesGH'!C766</f>
        <v>1:3.1</v>
      </c>
      <c r="F766" s="9">
        <f t="shared" si="102"/>
        <v>3.1</v>
      </c>
      <c r="G766" s="9">
        <f t="shared" si="103"/>
        <v>3.1</v>
      </c>
      <c r="H766">
        <f>'(Raw) LensesGH'!D766</f>
        <v>0</v>
      </c>
      <c r="I766" s="2">
        <f t="shared" si="104"/>
        <v>0</v>
      </c>
      <c r="J766" s="2">
        <f>'(Raw) LensesGH'!E766</f>
        <v>0</v>
      </c>
      <c r="K766" s="40">
        <f t="shared" si="105"/>
        <v>0</v>
      </c>
      <c r="L766" t="str">
        <f>'(Raw) LensesGH'!F766</f>
        <v>Four-Thirds</v>
      </c>
      <c r="M766" t="str">
        <f>'(Raw) LensesGH'!G766</f>
        <v>Four-Thirds</v>
      </c>
      <c r="N766" t="str">
        <f>'(Raw) LensesGH'!H766</f>
        <v>540g</v>
      </c>
      <c r="O766" s="5">
        <f t="shared" si="106"/>
        <v>540</v>
      </c>
      <c r="P766" t="str">
        <f>'(Raw) LensesGH'!I766</f>
        <v>81.6 x 78mm</v>
      </c>
      <c r="Q766" s="39">
        <f t="shared" si="107"/>
        <v>81.599999999999994</v>
      </c>
      <c r="R766" s="39">
        <f t="shared" si="99"/>
        <v>78</v>
      </c>
    </row>
    <row r="767" spans="1:18" x14ac:dyDescent="0.25">
      <c r="A767" t="str">
        <f>'(Raw) LensesGH'!A767</f>
        <v>Samyang 12mm T3.1 VDSLR ED AS NCS Fisheye für Fujifilm X schwarz</v>
      </c>
      <c r="B767" t="str">
        <f>'(Raw) LensesGH'!B767</f>
        <v>12mm</v>
      </c>
      <c r="C767" s="5">
        <f t="shared" si="100"/>
        <v>12</v>
      </c>
      <c r="D767" s="5">
        <f t="shared" si="101"/>
        <v>12</v>
      </c>
      <c r="E767" t="str">
        <f>'(Raw) LensesGH'!C767</f>
        <v>1:3.1</v>
      </c>
      <c r="F767" s="9">
        <f t="shared" si="102"/>
        <v>3.1</v>
      </c>
      <c r="G767" s="9">
        <f t="shared" si="103"/>
        <v>3.1</v>
      </c>
      <c r="H767">
        <f>'(Raw) LensesGH'!D767</f>
        <v>0</v>
      </c>
      <c r="I767" s="2">
        <f t="shared" si="104"/>
        <v>0</v>
      </c>
      <c r="J767" s="2">
        <f>'(Raw) LensesGH'!E767</f>
        <v>0</v>
      </c>
      <c r="K767" s="40">
        <f t="shared" si="105"/>
        <v>0</v>
      </c>
      <c r="L767" t="str">
        <f>'(Raw) LensesGH'!F767</f>
        <v>Fujifilm X</v>
      </c>
      <c r="M767" t="str">
        <f>'(Raw) LensesGH'!G767</f>
        <v>APS-C</v>
      </c>
      <c r="N767" t="str">
        <f>'(Raw) LensesGH'!H767</f>
        <v>575g</v>
      </c>
      <c r="O767" s="5">
        <f t="shared" si="106"/>
        <v>575</v>
      </c>
      <c r="P767" t="str">
        <f>'(Raw) LensesGH'!I767</f>
        <v>81.6 x 99mm</v>
      </c>
      <c r="Q767" s="39">
        <f t="shared" si="107"/>
        <v>81.599999999999994</v>
      </c>
      <c r="R767" s="39">
        <f t="shared" si="99"/>
        <v>99</v>
      </c>
    </row>
    <row r="768" spans="1:18" x14ac:dyDescent="0.25">
      <c r="A768" t="str">
        <f>'(Raw) LensesGH'!A768</f>
        <v>Samyang 12mm T3.1 VDSLR ED AS NCS Fisheye für Micro-Four-Thirds schwarz</v>
      </c>
      <c r="B768" t="str">
        <f>'(Raw) LensesGH'!B768</f>
        <v>12mm</v>
      </c>
      <c r="C768" s="5">
        <f t="shared" si="100"/>
        <v>12</v>
      </c>
      <c r="D768" s="5">
        <f t="shared" si="101"/>
        <v>12</v>
      </c>
      <c r="E768" t="str">
        <f>'(Raw) LensesGH'!C768</f>
        <v>1:3.1</v>
      </c>
      <c r="F768" s="9">
        <f t="shared" si="102"/>
        <v>3.1</v>
      </c>
      <c r="G768" s="9">
        <f t="shared" si="103"/>
        <v>3.1</v>
      </c>
      <c r="H768">
        <f>'(Raw) LensesGH'!D768</f>
        <v>0</v>
      </c>
      <c r="I768" s="2">
        <f t="shared" si="104"/>
        <v>0</v>
      </c>
      <c r="J768" s="2">
        <f>'(Raw) LensesGH'!E768</f>
        <v>0</v>
      </c>
      <c r="K768" s="40">
        <f t="shared" si="105"/>
        <v>0</v>
      </c>
      <c r="L768" t="str">
        <f>'(Raw) LensesGH'!F768</f>
        <v>Micro-Four-Thirds</v>
      </c>
      <c r="M768" t="str">
        <f>'(Raw) LensesGH'!G768</f>
        <v>Four-Thirds</v>
      </c>
      <c r="N768" t="str">
        <f>'(Raw) LensesGH'!H768</f>
        <v>530g</v>
      </c>
      <c r="O768" s="5">
        <f t="shared" si="106"/>
        <v>530</v>
      </c>
      <c r="P768" t="str">
        <f>'(Raw) LensesGH'!I768</f>
        <v>81.6 x 97.5mm</v>
      </c>
      <c r="Q768" s="39">
        <f t="shared" si="107"/>
        <v>81.599999999999994</v>
      </c>
      <c r="R768" s="39">
        <f t="shared" si="99"/>
        <v>97.5</v>
      </c>
    </row>
    <row r="769" spans="1:18" x14ac:dyDescent="0.25">
      <c r="A769" t="str">
        <f>'(Raw) LensesGH'!A769</f>
        <v>Samyang 12mm T3.1 VDSLR ED AS NCS Fisheye für Nikon F schwarz</v>
      </c>
      <c r="B769" t="str">
        <f>'(Raw) LensesGH'!B769</f>
        <v>12mm</v>
      </c>
      <c r="C769" s="5">
        <f t="shared" si="100"/>
        <v>12</v>
      </c>
      <c r="D769" s="5">
        <f t="shared" si="101"/>
        <v>12</v>
      </c>
      <c r="E769" t="str">
        <f>'(Raw) LensesGH'!C769</f>
        <v>1:3.1</v>
      </c>
      <c r="F769" s="9">
        <f t="shared" si="102"/>
        <v>3.1</v>
      </c>
      <c r="G769" s="9">
        <f t="shared" si="103"/>
        <v>3.1</v>
      </c>
      <c r="H769">
        <f>'(Raw) LensesGH'!D769</f>
        <v>0</v>
      </c>
      <c r="I769" s="2">
        <f t="shared" si="104"/>
        <v>0</v>
      </c>
      <c r="J769" s="2">
        <f>'(Raw) LensesGH'!E769</f>
        <v>0</v>
      </c>
      <c r="K769" s="40">
        <f t="shared" si="105"/>
        <v>0</v>
      </c>
      <c r="L769" t="str">
        <f>'(Raw) LensesGH'!F769</f>
        <v>Nikon F</v>
      </c>
      <c r="M769" t="str">
        <f>'(Raw) LensesGH'!G769</f>
        <v>APS-C/ Kleinbild</v>
      </c>
      <c r="N769" t="str">
        <f>'(Raw) LensesGH'!H769</f>
        <v>510g</v>
      </c>
      <c r="O769" s="5">
        <f t="shared" si="106"/>
        <v>510</v>
      </c>
      <c r="P769" t="str">
        <f>'(Raw) LensesGH'!I769</f>
        <v>81.6 x 70.2mm</v>
      </c>
      <c r="Q769" s="39">
        <f t="shared" si="107"/>
        <v>81.599999999999994</v>
      </c>
      <c r="R769" s="39">
        <f t="shared" si="99"/>
        <v>70.2</v>
      </c>
    </row>
    <row r="770" spans="1:18" x14ac:dyDescent="0.25">
      <c r="A770" t="str">
        <f>'(Raw) LensesGH'!A770</f>
        <v>Samyang 12mm T3.1 VDSLR ED AS NCS Fisheye für Pentax K schwarz</v>
      </c>
      <c r="B770" t="str">
        <f>'(Raw) LensesGH'!B770</f>
        <v>12mm</v>
      </c>
      <c r="C770" s="5">
        <f t="shared" si="100"/>
        <v>12</v>
      </c>
      <c r="D770" s="5">
        <f t="shared" si="101"/>
        <v>12</v>
      </c>
      <c r="E770" t="str">
        <f>'(Raw) LensesGH'!C770</f>
        <v>1:3.1</v>
      </c>
      <c r="F770" s="9">
        <f t="shared" si="102"/>
        <v>3.1</v>
      </c>
      <c r="G770" s="9">
        <f t="shared" si="103"/>
        <v>3.1</v>
      </c>
      <c r="H770">
        <f>'(Raw) LensesGH'!D770</f>
        <v>0</v>
      </c>
      <c r="I770" s="2">
        <f t="shared" si="104"/>
        <v>0</v>
      </c>
      <c r="J770" s="2">
        <f>'(Raw) LensesGH'!E770</f>
        <v>0</v>
      </c>
      <c r="K770" s="40">
        <f t="shared" si="105"/>
        <v>0</v>
      </c>
      <c r="L770" t="str">
        <f>'(Raw) LensesGH'!F770</f>
        <v>Pentax K</v>
      </c>
      <c r="M770" t="str">
        <f>'(Raw) LensesGH'!G770</f>
        <v>APS-C/ Kleinbild</v>
      </c>
      <c r="N770" t="str">
        <f>'(Raw) LensesGH'!H770</f>
        <v>515g</v>
      </c>
      <c r="O770" s="5">
        <f t="shared" si="106"/>
        <v>515</v>
      </c>
      <c r="P770" t="str">
        <f>'(Raw) LensesGH'!I770</f>
        <v>81.6 x 71.2mm</v>
      </c>
      <c r="Q770" s="39">
        <f t="shared" si="107"/>
        <v>81.599999999999994</v>
      </c>
      <c r="R770" s="39">
        <f t="shared" ref="R770:R833" si="108">getSizeLength(P770)</f>
        <v>71.2</v>
      </c>
    </row>
    <row r="771" spans="1:18" x14ac:dyDescent="0.25">
      <c r="A771" t="str">
        <f>'(Raw) LensesGH'!A771</f>
        <v>Samyang 12mm T3.1 VDSLR ED AS NCS Fisheye für Samsung NX schwarz</v>
      </c>
      <c r="B771" t="str">
        <f>'(Raw) LensesGH'!B771</f>
        <v>12mm</v>
      </c>
      <c r="C771" s="5">
        <f t="shared" ref="C771:C834" si="109">getFocalLengthStart(B771)</f>
        <v>12</v>
      </c>
      <c r="D771" s="5">
        <f t="shared" ref="D771:D834" si="110">getFocalLengthEnd(B771)</f>
        <v>12</v>
      </c>
      <c r="E771" t="str">
        <f>'(Raw) LensesGH'!C771</f>
        <v>1:3.1</v>
      </c>
      <c r="F771" s="9">
        <f t="shared" ref="F771:F834" si="111">getApertureStart(E771)</f>
        <v>3.1</v>
      </c>
      <c r="G771" s="9">
        <f t="shared" ref="G771:G834" si="112">getApertureEnd(F771)</f>
        <v>3.1</v>
      </c>
      <c r="H771">
        <f>'(Raw) LensesGH'!D771</f>
        <v>0</v>
      </c>
      <c r="I771" s="2">
        <f t="shared" ref="I771:I834" si="113">getFiltersizeAsDouble(H771)</f>
        <v>0</v>
      </c>
      <c r="J771" s="2">
        <f>'(Raw) LensesGH'!E771</f>
        <v>0</v>
      </c>
      <c r="K771" s="40">
        <f t="shared" ref="K771:K834" si="114">getMagnification(J771)</f>
        <v>0</v>
      </c>
      <c r="L771" t="str">
        <f>'(Raw) LensesGH'!F771</f>
        <v>Samsung NX</v>
      </c>
      <c r="M771" t="str">
        <f>'(Raw) LensesGH'!G771</f>
        <v>APS-C</v>
      </c>
      <c r="N771" t="str">
        <f>'(Raw) LensesGH'!H771</f>
        <v>525g</v>
      </c>
      <c r="O771" s="5">
        <f t="shared" ref="O771:O834" si="115">getWeightAsDouble(N771)</f>
        <v>525</v>
      </c>
      <c r="P771" t="str">
        <f>'(Raw) LensesGH'!I771</f>
        <v>81.6 x 91.2mm</v>
      </c>
      <c r="Q771" s="39">
        <f t="shared" ref="Q771:Q834" si="116">getSizeDiameter(P771)</f>
        <v>81.599999999999994</v>
      </c>
      <c r="R771" s="39">
        <f t="shared" si="108"/>
        <v>91.2</v>
      </c>
    </row>
    <row r="772" spans="1:18" x14ac:dyDescent="0.25">
      <c r="A772" t="str">
        <f>'(Raw) LensesGH'!A772</f>
        <v>Samyang 12mm T3.1 VDSLR ED AS NCS Fisheye für Sony A schwarz</v>
      </c>
      <c r="B772" t="str">
        <f>'(Raw) LensesGH'!B772</f>
        <v>12mm</v>
      </c>
      <c r="C772" s="5">
        <f t="shared" si="109"/>
        <v>12</v>
      </c>
      <c r="D772" s="5">
        <f t="shared" si="110"/>
        <v>12</v>
      </c>
      <c r="E772" t="str">
        <f>'(Raw) LensesGH'!C772</f>
        <v>1:3.1</v>
      </c>
      <c r="F772" s="9">
        <f t="shared" si="111"/>
        <v>3.1</v>
      </c>
      <c r="G772" s="9">
        <f t="shared" si="112"/>
        <v>3.1</v>
      </c>
      <c r="H772">
        <f>'(Raw) LensesGH'!D772</f>
        <v>0</v>
      </c>
      <c r="I772" s="2">
        <f t="shared" si="113"/>
        <v>0</v>
      </c>
      <c r="J772" s="2">
        <f>'(Raw) LensesGH'!E772</f>
        <v>0</v>
      </c>
      <c r="K772" s="40">
        <f t="shared" si="114"/>
        <v>0</v>
      </c>
      <c r="L772" t="str">
        <f>'(Raw) LensesGH'!F772</f>
        <v>Sony A</v>
      </c>
      <c r="M772" t="str">
        <f>'(Raw) LensesGH'!G772</f>
        <v>APS-C/ Kleinbild</v>
      </c>
      <c r="N772" t="str">
        <f>'(Raw) LensesGH'!H772</f>
        <v>520g</v>
      </c>
      <c r="O772" s="5">
        <f t="shared" si="115"/>
        <v>520</v>
      </c>
      <c r="P772" t="str">
        <f>'(Raw) LensesGH'!I772</f>
        <v>81.6 x 72.2mm</v>
      </c>
      <c r="Q772" s="39">
        <f t="shared" si="116"/>
        <v>81.599999999999994</v>
      </c>
      <c r="R772" s="39">
        <f t="shared" si="108"/>
        <v>72.2</v>
      </c>
    </row>
    <row r="773" spans="1:18" x14ac:dyDescent="0.25">
      <c r="A773" t="str">
        <f>'(Raw) LensesGH'!A773</f>
        <v>Samyang 12mm T3.1 VDSLR ED AS NCS Fisheye für Sony E schwarz</v>
      </c>
      <c r="B773" t="str">
        <f>'(Raw) LensesGH'!B773</f>
        <v>12mm</v>
      </c>
      <c r="C773" s="5">
        <f t="shared" si="109"/>
        <v>12</v>
      </c>
      <c r="D773" s="5">
        <f t="shared" si="110"/>
        <v>12</v>
      </c>
      <c r="E773" t="str">
        <f>'(Raw) LensesGH'!C773</f>
        <v>1:3.1</v>
      </c>
      <c r="F773" s="9">
        <f t="shared" si="111"/>
        <v>3.1</v>
      </c>
      <c r="G773" s="9">
        <f t="shared" si="112"/>
        <v>3.1</v>
      </c>
      <c r="H773">
        <f>'(Raw) LensesGH'!D773</f>
        <v>0</v>
      </c>
      <c r="I773" s="2">
        <f t="shared" si="113"/>
        <v>0</v>
      </c>
      <c r="J773" s="2">
        <f>'(Raw) LensesGH'!E773</f>
        <v>0</v>
      </c>
      <c r="K773" s="40">
        <f t="shared" si="114"/>
        <v>0</v>
      </c>
      <c r="L773" t="str">
        <f>'(Raw) LensesGH'!F773</f>
        <v>Sony E</v>
      </c>
      <c r="M773" t="str">
        <f>'(Raw) LensesGH'!G773</f>
        <v>APS-C/ Kleinbild</v>
      </c>
      <c r="N773" t="str">
        <f>'(Raw) LensesGH'!H773</f>
        <v>535g</v>
      </c>
      <c r="O773" s="5">
        <f t="shared" si="115"/>
        <v>535</v>
      </c>
      <c r="P773" t="str">
        <f>'(Raw) LensesGH'!I773</f>
        <v>81.6 x 98.7mm</v>
      </c>
      <c r="Q773" s="39">
        <f t="shared" si="116"/>
        <v>81.599999999999994</v>
      </c>
      <c r="R773" s="39">
        <f t="shared" si="108"/>
        <v>98.7</v>
      </c>
    </row>
    <row r="774" spans="1:18" x14ac:dyDescent="0.25">
      <c r="A774" t="str">
        <f>'(Raw) LensesGH'!A774</f>
        <v>Samyang 135mm 2.0 ED UMC für Canon EF schwarz</v>
      </c>
      <c r="B774" t="str">
        <f>'(Raw) LensesGH'!B774</f>
        <v>135mm</v>
      </c>
      <c r="C774" s="5">
        <f t="shared" si="109"/>
        <v>135</v>
      </c>
      <c r="D774" s="5">
        <f t="shared" si="110"/>
        <v>135</v>
      </c>
      <c r="E774" t="str">
        <f>'(Raw) LensesGH'!C774</f>
        <v>1:2.0</v>
      </c>
      <c r="F774" s="9">
        <f t="shared" si="111"/>
        <v>2</v>
      </c>
      <c r="G774" s="9">
        <f t="shared" si="112"/>
        <v>2</v>
      </c>
      <c r="H774" t="str">
        <f>'(Raw) LensesGH'!D774</f>
        <v>77mm</v>
      </c>
      <c r="I774" s="2">
        <f t="shared" si="113"/>
        <v>77</v>
      </c>
      <c r="J774" s="2">
        <f>'(Raw) LensesGH'!E774</f>
        <v>0</v>
      </c>
      <c r="K774" s="40">
        <f t="shared" si="114"/>
        <v>0</v>
      </c>
      <c r="L774" t="str">
        <f>'(Raw) LensesGH'!F774</f>
        <v>Canon EF</v>
      </c>
      <c r="M774" t="str">
        <f>'(Raw) LensesGH'!G774</f>
        <v>APS-C/ Kleinbild</v>
      </c>
      <c r="N774" t="str">
        <f>'(Raw) LensesGH'!H774</f>
        <v>830g</v>
      </c>
      <c r="O774" s="5">
        <f t="shared" si="115"/>
        <v>830</v>
      </c>
      <c r="P774" t="str">
        <f>'(Raw) LensesGH'!I774</f>
        <v>82 x 122mm</v>
      </c>
      <c r="Q774" s="39">
        <f t="shared" si="116"/>
        <v>82</v>
      </c>
      <c r="R774" s="39">
        <f t="shared" si="108"/>
        <v>122</v>
      </c>
    </row>
    <row r="775" spans="1:18" x14ac:dyDescent="0.25">
      <c r="A775" t="str">
        <f>'(Raw) LensesGH'!A775</f>
        <v>Samyang 135mm 2.0 ED UMC für Canon EF-M schwarz</v>
      </c>
      <c r="B775" t="str">
        <f>'(Raw) LensesGH'!B775</f>
        <v>135mm</v>
      </c>
      <c r="C775" s="5">
        <f t="shared" si="109"/>
        <v>135</v>
      </c>
      <c r="D775" s="5">
        <f t="shared" si="110"/>
        <v>135</v>
      </c>
      <c r="E775" t="str">
        <f>'(Raw) LensesGH'!C775</f>
        <v>1:2.0</v>
      </c>
      <c r="F775" s="9">
        <f t="shared" si="111"/>
        <v>2</v>
      </c>
      <c r="G775" s="9">
        <f t="shared" si="112"/>
        <v>2</v>
      </c>
      <c r="H775" t="str">
        <f>'(Raw) LensesGH'!D775</f>
        <v>77mm</v>
      </c>
      <c r="I775" s="2">
        <f t="shared" si="113"/>
        <v>77</v>
      </c>
      <c r="J775" s="2">
        <f>'(Raw) LensesGH'!E775</f>
        <v>0</v>
      </c>
      <c r="K775" s="40">
        <f t="shared" si="114"/>
        <v>0</v>
      </c>
      <c r="L775" t="str">
        <f>'(Raw) LensesGH'!F775</f>
        <v>Canon EF-M</v>
      </c>
      <c r="M775" t="str">
        <f>'(Raw) LensesGH'!G775</f>
        <v>APS-C</v>
      </c>
      <c r="N775" t="str">
        <f>'(Raw) LensesGH'!H775</f>
        <v>840g</v>
      </c>
      <c r="O775" s="5">
        <f t="shared" si="115"/>
        <v>840</v>
      </c>
      <c r="P775" t="str">
        <f>'(Raw) LensesGH'!I775</f>
        <v>82 x 148mm</v>
      </c>
      <c r="Q775" s="39">
        <f t="shared" si="116"/>
        <v>82</v>
      </c>
      <c r="R775" s="39">
        <f t="shared" si="108"/>
        <v>148</v>
      </c>
    </row>
    <row r="776" spans="1:18" x14ac:dyDescent="0.25">
      <c r="A776" t="str">
        <f>'(Raw) LensesGH'!A776</f>
        <v>Samyang 135mm 2.0 ED UMC für Four-Thirds schwarz</v>
      </c>
      <c r="B776" t="str">
        <f>'(Raw) LensesGH'!B776</f>
        <v>135mm</v>
      </c>
      <c r="C776" s="5">
        <f t="shared" si="109"/>
        <v>135</v>
      </c>
      <c r="D776" s="5">
        <f t="shared" si="110"/>
        <v>135</v>
      </c>
      <c r="E776" t="str">
        <f>'(Raw) LensesGH'!C776</f>
        <v>1:2.0</v>
      </c>
      <c r="F776" s="9">
        <f t="shared" si="111"/>
        <v>2</v>
      </c>
      <c r="G776" s="9">
        <f t="shared" si="112"/>
        <v>2</v>
      </c>
      <c r="H776" t="str">
        <f>'(Raw) LensesGH'!D776</f>
        <v>77mm</v>
      </c>
      <c r="I776" s="2">
        <f t="shared" si="113"/>
        <v>77</v>
      </c>
      <c r="J776" s="2">
        <f>'(Raw) LensesGH'!E776</f>
        <v>0</v>
      </c>
      <c r="K776" s="40">
        <f t="shared" si="114"/>
        <v>0</v>
      </c>
      <c r="L776" t="str">
        <f>'(Raw) LensesGH'!F776</f>
        <v>Four-Thirds</v>
      </c>
      <c r="M776" t="str">
        <f>'(Raw) LensesGH'!G776</f>
        <v>Four-Thirds</v>
      </c>
      <c r="N776" t="str">
        <f>'(Raw) LensesGH'!H776</f>
        <v>845g</v>
      </c>
      <c r="O776" s="5">
        <f t="shared" si="115"/>
        <v>845</v>
      </c>
      <c r="P776" t="str">
        <f>'(Raw) LensesGH'!I776</f>
        <v>82 x 127mm</v>
      </c>
      <c r="Q776" s="39">
        <f t="shared" si="116"/>
        <v>82</v>
      </c>
      <c r="R776" s="39">
        <f t="shared" si="108"/>
        <v>127</v>
      </c>
    </row>
    <row r="777" spans="1:18" x14ac:dyDescent="0.25">
      <c r="A777" t="str">
        <f>'(Raw) LensesGH'!A777</f>
        <v>Samyang 135mm 2.0 ED UMC für Fujifilm X schwarz</v>
      </c>
      <c r="B777" t="str">
        <f>'(Raw) LensesGH'!B777</f>
        <v>135mm</v>
      </c>
      <c r="C777" s="5">
        <f t="shared" si="109"/>
        <v>135</v>
      </c>
      <c r="D777" s="5">
        <f t="shared" si="110"/>
        <v>135</v>
      </c>
      <c r="E777" t="str">
        <f>'(Raw) LensesGH'!C777</f>
        <v>1:2.0</v>
      </c>
      <c r="F777" s="9">
        <f t="shared" si="111"/>
        <v>2</v>
      </c>
      <c r="G777" s="9">
        <f t="shared" si="112"/>
        <v>2</v>
      </c>
      <c r="H777" t="str">
        <f>'(Raw) LensesGH'!D777</f>
        <v>77mm</v>
      </c>
      <c r="I777" s="2">
        <f t="shared" si="113"/>
        <v>77</v>
      </c>
      <c r="J777" s="2">
        <f>'(Raw) LensesGH'!E777</f>
        <v>0</v>
      </c>
      <c r="K777" s="40">
        <f t="shared" si="114"/>
        <v>0</v>
      </c>
      <c r="L777" t="str">
        <f>'(Raw) LensesGH'!F777</f>
        <v>Fujifilm X</v>
      </c>
      <c r="M777" t="str">
        <f>'(Raw) LensesGH'!G777</f>
        <v>APS-C</v>
      </c>
      <c r="N777" t="str">
        <f>'(Raw) LensesGH'!H777</f>
        <v>880g</v>
      </c>
      <c r="O777" s="5">
        <f t="shared" si="115"/>
        <v>880</v>
      </c>
      <c r="P777" t="str">
        <f>'(Raw) LensesGH'!I777</f>
        <v>82 x 148mm</v>
      </c>
      <c r="Q777" s="39">
        <f t="shared" si="116"/>
        <v>82</v>
      </c>
      <c r="R777" s="39">
        <f t="shared" si="108"/>
        <v>148</v>
      </c>
    </row>
    <row r="778" spans="1:18" x14ac:dyDescent="0.25">
      <c r="A778" t="str">
        <f>'(Raw) LensesGH'!A778</f>
        <v>Samyang 135mm 2.0 ED UMC für Micro-Four-Thirds schwarz</v>
      </c>
      <c r="B778" t="str">
        <f>'(Raw) LensesGH'!B778</f>
        <v>135mm</v>
      </c>
      <c r="C778" s="5">
        <f t="shared" si="109"/>
        <v>135</v>
      </c>
      <c r="D778" s="5">
        <f t="shared" si="110"/>
        <v>135</v>
      </c>
      <c r="E778" t="str">
        <f>'(Raw) LensesGH'!C778</f>
        <v>1:2.0</v>
      </c>
      <c r="F778" s="9">
        <f t="shared" si="111"/>
        <v>2</v>
      </c>
      <c r="G778" s="9">
        <f t="shared" si="112"/>
        <v>2</v>
      </c>
      <c r="H778" t="str">
        <f>'(Raw) LensesGH'!D778</f>
        <v>77mm</v>
      </c>
      <c r="I778" s="2">
        <f t="shared" si="113"/>
        <v>77</v>
      </c>
      <c r="J778" s="2">
        <f>'(Raw) LensesGH'!E778</f>
        <v>0</v>
      </c>
      <c r="K778" s="40">
        <f t="shared" si="114"/>
        <v>0</v>
      </c>
      <c r="L778" t="str">
        <f>'(Raw) LensesGH'!F778</f>
        <v>Micro-Four-Thirds</v>
      </c>
      <c r="M778" t="str">
        <f>'(Raw) LensesGH'!G778</f>
        <v>Four-Thirds</v>
      </c>
      <c r="N778" t="str">
        <f>'(Raw) LensesGH'!H778</f>
        <v>835g</v>
      </c>
      <c r="O778" s="5">
        <f t="shared" si="115"/>
        <v>835</v>
      </c>
      <c r="P778" t="str">
        <f>'(Raw) LensesGH'!I778</f>
        <v>82 x 147mm</v>
      </c>
      <c r="Q778" s="39">
        <f t="shared" si="116"/>
        <v>82</v>
      </c>
      <c r="R778" s="39">
        <f t="shared" si="108"/>
        <v>147</v>
      </c>
    </row>
    <row r="779" spans="1:18" x14ac:dyDescent="0.25">
      <c r="A779" t="str">
        <f>'(Raw) LensesGH'!A779</f>
        <v>Samyang 135mm 2.0 ED UMC für Nikon F schwarz</v>
      </c>
      <c r="B779" t="str">
        <f>'(Raw) LensesGH'!B779</f>
        <v>135mm</v>
      </c>
      <c r="C779" s="5">
        <f t="shared" si="109"/>
        <v>135</v>
      </c>
      <c r="D779" s="5">
        <f t="shared" si="110"/>
        <v>135</v>
      </c>
      <c r="E779" t="str">
        <f>'(Raw) LensesGH'!C779</f>
        <v>1:2.0</v>
      </c>
      <c r="F779" s="9">
        <f t="shared" si="111"/>
        <v>2</v>
      </c>
      <c r="G779" s="9">
        <f t="shared" si="112"/>
        <v>2</v>
      </c>
      <c r="H779" t="str">
        <f>'(Raw) LensesGH'!D779</f>
        <v>77mm</v>
      </c>
      <c r="I779" s="2">
        <f t="shared" si="113"/>
        <v>77</v>
      </c>
      <c r="J779" s="2">
        <f>'(Raw) LensesGH'!E779</f>
        <v>0</v>
      </c>
      <c r="K779" s="40">
        <f t="shared" si="114"/>
        <v>0</v>
      </c>
      <c r="L779" t="str">
        <f>'(Raw) LensesGH'!F779</f>
        <v>Nikon F</v>
      </c>
      <c r="M779" t="str">
        <f>'(Raw) LensesGH'!G779</f>
        <v>APS-C/ Kleinbild</v>
      </c>
      <c r="N779" t="str">
        <f>'(Raw) LensesGH'!H779</f>
        <v>815g</v>
      </c>
      <c r="O779" s="5">
        <f t="shared" si="115"/>
        <v>815</v>
      </c>
      <c r="P779" t="str">
        <f>'(Raw) LensesGH'!I779</f>
        <v>82 x 120mm</v>
      </c>
      <c r="Q779" s="39">
        <f t="shared" si="116"/>
        <v>82</v>
      </c>
      <c r="R779" s="39">
        <f t="shared" si="108"/>
        <v>120</v>
      </c>
    </row>
    <row r="780" spans="1:18" x14ac:dyDescent="0.25">
      <c r="A780" t="str">
        <f>'(Raw) LensesGH'!A780</f>
        <v>Samyang 135mm 2.0 ED UMC für Pentax K schwarz</v>
      </c>
      <c r="B780" t="str">
        <f>'(Raw) LensesGH'!B780</f>
        <v>135mm</v>
      </c>
      <c r="C780" s="5">
        <f t="shared" si="109"/>
        <v>135</v>
      </c>
      <c r="D780" s="5">
        <f t="shared" si="110"/>
        <v>135</v>
      </c>
      <c r="E780" t="str">
        <f>'(Raw) LensesGH'!C780</f>
        <v>1:2.0</v>
      </c>
      <c r="F780" s="9">
        <f t="shared" si="111"/>
        <v>2</v>
      </c>
      <c r="G780" s="9">
        <f t="shared" si="112"/>
        <v>2</v>
      </c>
      <c r="H780" t="str">
        <f>'(Raw) LensesGH'!D780</f>
        <v>77mm</v>
      </c>
      <c r="I780" s="2">
        <f t="shared" si="113"/>
        <v>77</v>
      </c>
      <c r="J780" s="2">
        <f>'(Raw) LensesGH'!E780</f>
        <v>0</v>
      </c>
      <c r="K780" s="40">
        <f t="shared" si="114"/>
        <v>0</v>
      </c>
      <c r="L780" t="str">
        <f>'(Raw) LensesGH'!F780</f>
        <v>Pentax K</v>
      </c>
      <c r="M780" t="str">
        <f>'(Raw) LensesGH'!G780</f>
        <v>APS-C/ Kleinbild</v>
      </c>
      <c r="N780" t="str">
        <f>'(Raw) LensesGH'!H780</f>
        <v>820g</v>
      </c>
      <c r="O780" s="5">
        <f t="shared" si="115"/>
        <v>820</v>
      </c>
      <c r="P780" t="str">
        <f>'(Raw) LensesGH'!I780</f>
        <v>82 x 121mm</v>
      </c>
      <c r="Q780" s="39">
        <f t="shared" si="116"/>
        <v>82</v>
      </c>
      <c r="R780" s="39">
        <f t="shared" si="108"/>
        <v>121</v>
      </c>
    </row>
    <row r="781" spans="1:18" x14ac:dyDescent="0.25">
      <c r="A781" t="str">
        <f>'(Raw) LensesGH'!A781</f>
        <v>Samyang 135mm 2.0 ED UMC für Sony A schwarz</v>
      </c>
      <c r="B781" t="str">
        <f>'(Raw) LensesGH'!B781</f>
        <v>135mm</v>
      </c>
      <c r="C781" s="5">
        <f t="shared" si="109"/>
        <v>135</v>
      </c>
      <c r="D781" s="5">
        <f t="shared" si="110"/>
        <v>135</v>
      </c>
      <c r="E781" t="str">
        <f>'(Raw) LensesGH'!C781</f>
        <v>1:2.0</v>
      </c>
      <c r="F781" s="9">
        <f t="shared" si="111"/>
        <v>2</v>
      </c>
      <c r="G781" s="9">
        <f t="shared" si="112"/>
        <v>2</v>
      </c>
      <c r="H781" t="str">
        <f>'(Raw) LensesGH'!D781</f>
        <v>77mm</v>
      </c>
      <c r="I781" s="2">
        <f t="shared" si="113"/>
        <v>77</v>
      </c>
      <c r="J781" s="2">
        <f>'(Raw) LensesGH'!E781</f>
        <v>0</v>
      </c>
      <c r="K781" s="40">
        <f t="shared" si="114"/>
        <v>0</v>
      </c>
      <c r="L781" t="str">
        <f>'(Raw) LensesGH'!F781</f>
        <v>Sony A</v>
      </c>
      <c r="M781" t="str">
        <f>'(Raw) LensesGH'!G781</f>
        <v>APS-C/ Kleinbild</v>
      </c>
      <c r="N781" t="str">
        <f>'(Raw) LensesGH'!H781</f>
        <v>825g</v>
      </c>
      <c r="O781" s="5">
        <f t="shared" si="115"/>
        <v>825</v>
      </c>
      <c r="P781" t="str">
        <f>'(Raw) LensesGH'!I781</f>
        <v>82 x 122mm</v>
      </c>
      <c r="Q781" s="39">
        <f t="shared" si="116"/>
        <v>82</v>
      </c>
      <c r="R781" s="39">
        <f t="shared" si="108"/>
        <v>122</v>
      </c>
    </row>
    <row r="782" spans="1:18" x14ac:dyDescent="0.25">
      <c r="A782" t="str">
        <f>'(Raw) LensesGH'!A782</f>
        <v>Samyang 135mm 2.0 ED UMC für Sony E schwarz</v>
      </c>
      <c r="B782" t="str">
        <f>'(Raw) LensesGH'!B782</f>
        <v>135mm</v>
      </c>
      <c r="C782" s="5">
        <f t="shared" si="109"/>
        <v>135</v>
      </c>
      <c r="D782" s="5">
        <f t="shared" si="110"/>
        <v>135</v>
      </c>
      <c r="E782" t="str">
        <f>'(Raw) LensesGH'!C782</f>
        <v>1:2.0</v>
      </c>
      <c r="F782" s="9">
        <f t="shared" si="111"/>
        <v>2</v>
      </c>
      <c r="G782" s="9">
        <f t="shared" si="112"/>
        <v>2</v>
      </c>
      <c r="H782" t="str">
        <f>'(Raw) LensesGH'!D782</f>
        <v>77mm</v>
      </c>
      <c r="I782" s="2">
        <f t="shared" si="113"/>
        <v>77</v>
      </c>
      <c r="J782" s="2">
        <f>'(Raw) LensesGH'!E782</f>
        <v>0</v>
      </c>
      <c r="K782" s="40">
        <f t="shared" si="114"/>
        <v>0</v>
      </c>
      <c r="L782" t="str">
        <f>'(Raw) LensesGH'!F782</f>
        <v>Sony E</v>
      </c>
      <c r="M782" t="str">
        <f>'(Raw) LensesGH'!G782</f>
        <v>APS-C/ Kleinbild</v>
      </c>
      <c r="N782" t="str">
        <f>'(Raw) LensesGH'!H782</f>
        <v>840g</v>
      </c>
      <c r="O782" s="5">
        <f t="shared" si="115"/>
        <v>840</v>
      </c>
      <c r="P782" t="str">
        <f>'(Raw) LensesGH'!I782</f>
        <v>82 x 148mm</v>
      </c>
      <c r="Q782" s="39">
        <f t="shared" si="116"/>
        <v>82</v>
      </c>
      <c r="R782" s="39">
        <f t="shared" si="108"/>
        <v>148</v>
      </c>
    </row>
    <row r="783" spans="1:18" x14ac:dyDescent="0.25">
      <c r="A783" t="str">
        <f>'(Raw) LensesGH'!A783</f>
        <v>Samyang 135mm T2.2 VDSLR ED UMC für Canon EF schwarz</v>
      </c>
      <c r="B783" t="str">
        <f>'(Raw) LensesGH'!B783</f>
        <v>135mm</v>
      </c>
      <c r="C783" s="5">
        <f t="shared" si="109"/>
        <v>135</v>
      </c>
      <c r="D783" s="5">
        <f t="shared" si="110"/>
        <v>135</v>
      </c>
      <c r="E783" t="str">
        <f>'(Raw) LensesGH'!C783</f>
        <v>1:2.2</v>
      </c>
      <c r="F783" s="9">
        <f t="shared" si="111"/>
        <v>2.2000000000000002</v>
      </c>
      <c r="G783" s="9">
        <f t="shared" si="112"/>
        <v>2.2000000000000002</v>
      </c>
      <c r="H783" t="str">
        <f>'(Raw) LensesGH'!D783</f>
        <v>77mm</v>
      </c>
      <c r="I783" s="2">
        <f t="shared" si="113"/>
        <v>77</v>
      </c>
      <c r="J783" s="2">
        <f>'(Raw) LensesGH'!E783</f>
        <v>0</v>
      </c>
      <c r="K783" s="40">
        <f t="shared" si="114"/>
        <v>0</v>
      </c>
      <c r="L783" t="str">
        <f>'(Raw) LensesGH'!F783</f>
        <v>Canon EF</v>
      </c>
      <c r="M783" t="str">
        <f>'(Raw) LensesGH'!G783</f>
        <v>APS-C/ Kleinbild</v>
      </c>
      <c r="N783" t="str">
        <f>'(Raw) LensesGH'!H783</f>
        <v>835g</v>
      </c>
      <c r="O783" s="5">
        <f t="shared" si="115"/>
        <v>835</v>
      </c>
      <c r="P783" t="str">
        <f>'(Raw) LensesGH'!I783</f>
        <v>82 x 122mm</v>
      </c>
      <c r="Q783" s="39">
        <f t="shared" si="116"/>
        <v>82</v>
      </c>
      <c r="R783" s="39">
        <f t="shared" si="108"/>
        <v>122</v>
      </c>
    </row>
    <row r="784" spans="1:18" x14ac:dyDescent="0.25">
      <c r="A784" t="str">
        <f>'(Raw) LensesGH'!A784</f>
        <v>Samyang 135mm T2.2 VDSLR ED UMC für Four-Thirds schwarz</v>
      </c>
      <c r="B784" t="str">
        <f>'(Raw) LensesGH'!B784</f>
        <v>135mm</v>
      </c>
      <c r="C784" s="5">
        <f t="shared" si="109"/>
        <v>135</v>
      </c>
      <c r="D784" s="5">
        <f t="shared" si="110"/>
        <v>135</v>
      </c>
      <c r="E784" t="str">
        <f>'(Raw) LensesGH'!C784</f>
        <v>1:2.2</v>
      </c>
      <c r="F784" s="9">
        <f t="shared" si="111"/>
        <v>2.2000000000000002</v>
      </c>
      <c r="G784" s="9">
        <f t="shared" si="112"/>
        <v>2.2000000000000002</v>
      </c>
      <c r="H784" t="str">
        <f>'(Raw) LensesGH'!D784</f>
        <v>77mm</v>
      </c>
      <c r="I784" s="2">
        <f t="shared" si="113"/>
        <v>77</v>
      </c>
      <c r="J784" s="2">
        <f>'(Raw) LensesGH'!E784</f>
        <v>0</v>
      </c>
      <c r="K784" s="40">
        <f t="shared" si="114"/>
        <v>0</v>
      </c>
      <c r="L784" t="str">
        <f>'(Raw) LensesGH'!F784</f>
        <v>Four-Thirds</v>
      </c>
      <c r="M784" t="str">
        <f>'(Raw) LensesGH'!G784</f>
        <v>Four-Thirds</v>
      </c>
      <c r="N784" t="str">
        <f>'(Raw) LensesGH'!H784</f>
        <v>850g</v>
      </c>
      <c r="O784" s="5">
        <f t="shared" si="115"/>
        <v>850</v>
      </c>
      <c r="P784" t="str">
        <f>'(Raw) LensesGH'!I784</f>
        <v>82 x 127mm</v>
      </c>
      <c r="Q784" s="39">
        <f t="shared" si="116"/>
        <v>82</v>
      </c>
      <c r="R784" s="39">
        <f t="shared" si="108"/>
        <v>127</v>
      </c>
    </row>
    <row r="785" spans="1:18" x14ac:dyDescent="0.25">
      <c r="A785" t="str">
        <f>'(Raw) LensesGH'!A785</f>
        <v>Samyang 135mm T2.2 VDSLR ED UMC für Fujifilm X schwarz</v>
      </c>
      <c r="B785" t="str">
        <f>'(Raw) LensesGH'!B785</f>
        <v>135mm</v>
      </c>
      <c r="C785" s="5">
        <f t="shared" si="109"/>
        <v>135</v>
      </c>
      <c r="D785" s="5">
        <f t="shared" si="110"/>
        <v>135</v>
      </c>
      <c r="E785" t="str">
        <f>'(Raw) LensesGH'!C785</f>
        <v>1:2.2</v>
      </c>
      <c r="F785" s="9">
        <f t="shared" si="111"/>
        <v>2.2000000000000002</v>
      </c>
      <c r="G785" s="9">
        <f t="shared" si="112"/>
        <v>2.2000000000000002</v>
      </c>
      <c r="H785" t="str">
        <f>'(Raw) LensesGH'!D785</f>
        <v>77mm</v>
      </c>
      <c r="I785" s="2">
        <f t="shared" si="113"/>
        <v>77</v>
      </c>
      <c r="J785" s="2">
        <f>'(Raw) LensesGH'!E785</f>
        <v>0</v>
      </c>
      <c r="K785" s="40">
        <f t="shared" si="114"/>
        <v>0</v>
      </c>
      <c r="L785" t="str">
        <f>'(Raw) LensesGH'!F785</f>
        <v>Fujifilm X</v>
      </c>
      <c r="M785" t="str">
        <f>'(Raw) LensesGH'!G785</f>
        <v>APS-C</v>
      </c>
      <c r="N785" t="str">
        <f>'(Raw) LensesGH'!H785</f>
        <v>885g</v>
      </c>
      <c r="O785" s="5">
        <f t="shared" si="115"/>
        <v>885</v>
      </c>
      <c r="P785" t="str">
        <f>'(Raw) LensesGH'!I785</f>
        <v>82 x 148mm</v>
      </c>
      <c r="Q785" s="39">
        <f t="shared" si="116"/>
        <v>82</v>
      </c>
      <c r="R785" s="39">
        <f t="shared" si="108"/>
        <v>148</v>
      </c>
    </row>
    <row r="786" spans="1:18" x14ac:dyDescent="0.25">
      <c r="A786" t="str">
        <f>'(Raw) LensesGH'!A786</f>
        <v>Samyang 135mm T2.2 VDSLR ED UMC für Micro-Four-Thirds schwarz</v>
      </c>
      <c r="B786" t="str">
        <f>'(Raw) LensesGH'!B786</f>
        <v>135mm</v>
      </c>
      <c r="C786" s="5">
        <f t="shared" si="109"/>
        <v>135</v>
      </c>
      <c r="D786" s="5">
        <f t="shared" si="110"/>
        <v>135</v>
      </c>
      <c r="E786" t="str">
        <f>'(Raw) LensesGH'!C786</f>
        <v>1:2.2</v>
      </c>
      <c r="F786" s="9">
        <f t="shared" si="111"/>
        <v>2.2000000000000002</v>
      </c>
      <c r="G786" s="9">
        <f t="shared" si="112"/>
        <v>2.2000000000000002</v>
      </c>
      <c r="H786" t="str">
        <f>'(Raw) LensesGH'!D786</f>
        <v>77mm</v>
      </c>
      <c r="I786" s="2">
        <f t="shared" si="113"/>
        <v>77</v>
      </c>
      <c r="J786" s="2">
        <f>'(Raw) LensesGH'!E786</f>
        <v>0</v>
      </c>
      <c r="K786" s="40">
        <f t="shared" si="114"/>
        <v>0</v>
      </c>
      <c r="L786" t="str">
        <f>'(Raw) LensesGH'!F786</f>
        <v>Micro-Four-Thirds</v>
      </c>
      <c r="M786" t="str">
        <f>'(Raw) LensesGH'!G786</f>
        <v>Four-Thirds</v>
      </c>
      <c r="N786" t="str">
        <f>'(Raw) LensesGH'!H786</f>
        <v>840g</v>
      </c>
      <c r="O786" s="5">
        <f t="shared" si="115"/>
        <v>840</v>
      </c>
      <c r="P786" t="str">
        <f>'(Raw) LensesGH'!I786</f>
        <v>82 x 147mm</v>
      </c>
      <c r="Q786" s="39">
        <f t="shared" si="116"/>
        <v>82</v>
      </c>
      <c r="R786" s="39">
        <f t="shared" si="108"/>
        <v>147</v>
      </c>
    </row>
    <row r="787" spans="1:18" x14ac:dyDescent="0.25">
      <c r="A787" t="str">
        <f>'(Raw) LensesGH'!A787</f>
        <v>Samyang 135mm T2.2 VDSLR ED UMC für Nikon F schwarz</v>
      </c>
      <c r="B787" t="str">
        <f>'(Raw) LensesGH'!B787</f>
        <v>135mm</v>
      </c>
      <c r="C787" s="5">
        <f t="shared" si="109"/>
        <v>135</v>
      </c>
      <c r="D787" s="5">
        <f t="shared" si="110"/>
        <v>135</v>
      </c>
      <c r="E787" t="str">
        <f>'(Raw) LensesGH'!C787</f>
        <v>1:2.2</v>
      </c>
      <c r="F787" s="9">
        <f t="shared" si="111"/>
        <v>2.2000000000000002</v>
      </c>
      <c r="G787" s="9">
        <f t="shared" si="112"/>
        <v>2.2000000000000002</v>
      </c>
      <c r="H787" t="str">
        <f>'(Raw) LensesGH'!D787</f>
        <v>77mm</v>
      </c>
      <c r="I787" s="2">
        <f t="shared" si="113"/>
        <v>77</v>
      </c>
      <c r="J787" s="2">
        <f>'(Raw) LensesGH'!E787</f>
        <v>0</v>
      </c>
      <c r="K787" s="40">
        <f t="shared" si="114"/>
        <v>0</v>
      </c>
      <c r="L787" t="str">
        <f>'(Raw) LensesGH'!F787</f>
        <v>Nikon F</v>
      </c>
      <c r="M787" t="str">
        <f>'(Raw) LensesGH'!G787</f>
        <v>APS-C/ Kleinbild</v>
      </c>
      <c r="N787" t="str">
        <f>'(Raw) LensesGH'!H787</f>
        <v>820g</v>
      </c>
      <c r="O787" s="5">
        <f t="shared" si="115"/>
        <v>820</v>
      </c>
      <c r="P787" t="str">
        <f>'(Raw) LensesGH'!I787</f>
        <v>82 x 120mm</v>
      </c>
      <c r="Q787" s="39">
        <f t="shared" si="116"/>
        <v>82</v>
      </c>
      <c r="R787" s="39">
        <f t="shared" si="108"/>
        <v>120</v>
      </c>
    </row>
    <row r="788" spans="1:18" x14ac:dyDescent="0.25">
      <c r="A788" t="str">
        <f>'(Raw) LensesGH'!A788</f>
        <v>Samyang 135mm T2.2 VDSLR ED UMC für Pentax K schwarz</v>
      </c>
      <c r="B788" t="str">
        <f>'(Raw) LensesGH'!B788</f>
        <v>135mm</v>
      </c>
      <c r="C788" s="5">
        <f t="shared" si="109"/>
        <v>135</v>
      </c>
      <c r="D788" s="5">
        <f t="shared" si="110"/>
        <v>135</v>
      </c>
      <c r="E788" t="str">
        <f>'(Raw) LensesGH'!C788</f>
        <v>1:2.2</v>
      </c>
      <c r="F788" s="9">
        <f t="shared" si="111"/>
        <v>2.2000000000000002</v>
      </c>
      <c r="G788" s="9">
        <f t="shared" si="112"/>
        <v>2.2000000000000002</v>
      </c>
      <c r="H788" t="str">
        <f>'(Raw) LensesGH'!D788</f>
        <v>77mm</v>
      </c>
      <c r="I788" s="2">
        <f t="shared" si="113"/>
        <v>77</v>
      </c>
      <c r="J788" s="2">
        <f>'(Raw) LensesGH'!E788</f>
        <v>0</v>
      </c>
      <c r="K788" s="40">
        <f t="shared" si="114"/>
        <v>0</v>
      </c>
      <c r="L788" t="str">
        <f>'(Raw) LensesGH'!F788</f>
        <v>Pentax K</v>
      </c>
      <c r="M788" t="str">
        <f>'(Raw) LensesGH'!G788</f>
        <v>APS-C/ Kleinbild</v>
      </c>
      <c r="N788" t="str">
        <f>'(Raw) LensesGH'!H788</f>
        <v>825g</v>
      </c>
      <c r="O788" s="5">
        <f t="shared" si="115"/>
        <v>825</v>
      </c>
      <c r="P788" t="str">
        <f>'(Raw) LensesGH'!I788</f>
        <v>82 x 121mm</v>
      </c>
      <c r="Q788" s="39">
        <f t="shared" si="116"/>
        <v>82</v>
      </c>
      <c r="R788" s="39">
        <f t="shared" si="108"/>
        <v>121</v>
      </c>
    </row>
    <row r="789" spans="1:18" x14ac:dyDescent="0.25">
      <c r="A789" t="str">
        <f>'(Raw) LensesGH'!A789</f>
        <v>Samyang 135mm T2.2 VDSLR ED UMC für Sony A schwarz</v>
      </c>
      <c r="B789" t="str">
        <f>'(Raw) LensesGH'!B789</f>
        <v>135mm</v>
      </c>
      <c r="C789" s="5">
        <f t="shared" si="109"/>
        <v>135</v>
      </c>
      <c r="D789" s="5">
        <f t="shared" si="110"/>
        <v>135</v>
      </c>
      <c r="E789" t="str">
        <f>'(Raw) LensesGH'!C789</f>
        <v>1:2.2</v>
      </c>
      <c r="F789" s="9">
        <f t="shared" si="111"/>
        <v>2.2000000000000002</v>
      </c>
      <c r="G789" s="9">
        <f t="shared" si="112"/>
        <v>2.2000000000000002</v>
      </c>
      <c r="H789" t="str">
        <f>'(Raw) LensesGH'!D789</f>
        <v>77mm</v>
      </c>
      <c r="I789" s="2">
        <f t="shared" si="113"/>
        <v>77</v>
      </c>
      <c r="J789" s="2">
        <f>'(Raw) LensesGH'!E789</f>
        <v>0</v>
      </c>
      <c r="K789" s="40">
        <f t="shared" si="114"/>
        <v>0</v>
      </c>
      <c r="L789" t="str">
        <f>'(Raw) LensesGH'!F789</f>
        <v>Sony A</v>
      </c>
      <c r="M789" t="str">
        <f>'(Raw) LensesGH'!G789</f>
        <v>APS-C/ Kleinbild</v>
      </c>
      <c r="N789" t="str">
        <f>'(Raw) LensesGH'!H789</f>
        <v>830g</v>
      </c>
      <c r="O789" s="5">
        <f t="shared" si="115"/>
        <v>830</v>
      </c>
      <c r="P789" t="str">
        <f>'(Raw) LensesGH'!I789</f>
        <v>82 x 122mm</v>
      </c>
      <c r="Q789" s="39">
        <f t="shared" si="116"/>
        <v>82</v>
      </c>
      <c r="R789" s="39">
        <f t="shared" si="108"/>
        <v>122</v>
      </c>
    </row>
    <row r="790" spans="1:18" x14ac:dyDescent="0.25">
      <c r="A790" t="str">
        <f>'(Raw) LensesGH'!A790</f>
        <v>Samyang 135mm T2.2 VDSLR ED UMC für Sony E schwarz</v>
      </c>
      <c r="B790" t="str">
        <f>'(Raw) LensesGH'!B790</f>
        <v>135mm</v>
      </c>
      <c r="C790" s="5">
        <f t="shared" si="109"/>
        <v>135</v>
      </c>
      <c r="D790" s="5">
        <f t="shared" si="110"/>
        <v>135</v>
      </c>
      <c r="E790" t="str">
        <f>'(Raw) LensesGH'!C790</f>
        <v>1:2.2</v>
      </c>
      <c r="F790" s="9">
        <f t="shared" si="111"/>
        <v>2.2000000000000002</v>
      </c>
      <c r="G790" s="9">
        <f t="shared" si="112"/>
        <v>2.2000000000000002</v>
      </c>
      <c r="H790" t="str">
        <f>'(Raw) LensesGH'!D790</f>
        <v>77mm</v>
      </c>
      <c r="I790" s="2">
        <f t="shared" si="113"/>
        <v>77</v>
      </c>
      <c r="J790" s="2">
        <f>'(Raw) LensesGH'!E790</f>
        <v>0</v>
      </c>
      <c r="K790" s="40">
        <f t="shared" si="114"/>
        <v>0</v>
      </c>
      <c r="L790" t="str">
        <f>'(Raw) LensesGH'!F790</f>
        <v>Sony E</v>
      </c>
      <c r="M790" t="str">
        <f>'(Raw) LensesGH'!G790</f>
        <v>APS-C/ Kleinbild</v>
      </c>
      <c r="N790" t="str">
        <f>'(Raw) LensesGH'!H790</f>
        <v>845g</v>
      </c>
      <c r="O790" s="5">
        <f t="shared" si="115"/>
        <v>845</v>
      </c>
      <c r="P790" t="str">
        <f>'(Raw) LensesGH'!I790</f>
        <v>82 x 148mm</v>
      </c>
      <c r="Q790" s="39">
        <f t="shared" si="116"/>
        <v>82</v>
      </c>
      <c r="R790" s="39">
        <f t="shared" si="108"/>
        <v>148</v>
      </c>
    </row>
    <row r="791" spans="1:18" x14ac:dyDescent="0.25">
      <c r="A791" t="str">
        <f>'(Raw) LensesGH'!A791</f>
        <v>Samyang 14mm 2.8 Asph IF ED MC für Canon EF schwarz</v>
      </c>
      <c r="B791" t="str">
        <f>'(Raw) LensesGH'!B791</f>
        <v>14mm</v>
      </c>
      <c r="C791" s="5">
        <f t="shared" si="109"/>
        <v>14</v>
      </c>
      <c r="D791" s="5">
        <f t="shared" si="110"/>
        <v>14</v>
      </c>
      <c r="E791" t="str">
        <f>'(Raw) LensesGH'!C791</f>
        <v>1:2.8</v>
      </c>
      <c r="F791" s="9">
        <f t="shared" si="111"/>
        <v>2.8</v>
      </c>
      <c r="G791" s="9">
        <f t="shared" si="112"/>
        <v>2.8</v>
      </c>
      <c r="H791">
        <f>'(Raw) LensesGH'!D791</f>
        <v>0</v>
      </c>
      <c r="I791" s="2">
        <f t="shared" si="113"/>
        <v>0</v>
      </c>
      <c r="J791" s="2">
        <f>'(Raw) LensesGH'!E791</f>
        <v>0</v>
      </c>
      <c r="K791" s="40">
        <f t="shared" si="114"/>
        <v>0</v>
      </c>
      <c r="L791" t="str">
        <f>'(Raw) LensesGH'!F791</f>
        <v>Canon EF</v>
      </c>
      <c r="M791" t="str">
        <f>'(Raw) LensesGH'!G791</f>
        <v>APS-C/ Kleinbild</v>
      </c>
      <c r="N791">
        <f>'(Raw) LensesGH'!H791</f>
        <v>0</v>
      </c>
      <c r="O791" s="5">
        <f t="shared" si="115"/>
        <v>0</v>
      </c>
      <c r="P791">
        <f>'(Raw) LensesGH'!I791</f>
        <v>0</v>
      </c>
      <c r="Q791" s="39">
        <f t="shared" si="116"/>
        <v>0</v>
      </c>
      <c r="R791" s="39">
        <f t="shared" si="108"/>
        <v>0</v>
      </c>
    </row>
    <row r="792" spans="1:18" x14ac:dyDescent="0.25">
      <c r="A792" t="str">
        <f>'(Raw) LensesGH'!A792</f>
        <v>Samyang 14mm 2.8 Asph IF ED MC für Pentax K schwarz</v>
      </c>
      <c r="B792" t="str">
        <f>'(Raw) LensesGH'!B792</f>
        <v>14mm</v>
      </c>
      <c r="C792" s="5">
        <f t="shared" si="109"/>
        <v>14</v>
      </c>
      <c r="D792" s="5">
        <f t="shared" si="110"/>
        <v>14</v>
      </c>
      <c r="E792" t="str">
        <f>'(Raw) LensesGH'!C792</f>
        <v>1:2.8</v>
      </c>
      <c r="F792" s="9">
        <f t="shared" si="111"/>
        <v>2.8</v>
      </c>
      <c r="G792" s="9">
        <f t="shared" si="112"/>
        <v>2.8</v>
      </c>
      <c r="H792">
        <f>'(Raw) LensesGH'!D792</f>
        <v>0</v>
      </c>
      <c r="I792" s="2">
        <f t="shared" si="113"/>
        <v>0</v>
      </c>
      <c r="J792" s="2">
        <f>'(Raw) LensesGH'!E792</f>
        <v>0</v>
      </c>
      <c r="K792" s="40">
        <f t="shared" si="114"/>
        <v>0</v>
      </c>
      <c r="L792" t="str">
        <f>'(Raw) LensesGH'!F792</f>
        <v>Pentax K</v>
      </c>
      <c r="M792" t="str">
        <f>'(Raw) LensesGH'!G792</f>
        <v>APS-C/ Kleinbild</v>
      </c>
      <c r="N792">
        <f>'(Raw) LensesGH'!H792</f>
        <v>0</v>
      </c>
      <c r="O792" s="5">
        <f t="shared" si="115"/>
        <v>0</v>
      </c>
      <c r="P792">
        <f>'(Raw) LensesGH'!I792</f>
        <v>0</v>
      </c>
      <c r="Q792" s="39">
        <f t="shared" si="116"/>
        <v>0</v>
      </c>
      <c r="R792" s="39">
        <f t="shared" si="108"/>
        <v>0</v>
      </c>
    </row>
    <row r="793" spans="1:18" x14ac:dyDescent="0.25">
      <c r="A793" t="str">
        <f>'(Raw) LensesGH'!A793</f>
        <v>Samyang 14mm 2.8 Asph IF ED UMC für Canon EF schwarz</v>
      </c>
      <c r="B793" t="str">
        <f>'(Raw) LensesGH'!B793</f>
        <v>14mm</v>
      </c>
      <c r="C793" s="5">
        <f t="shared" si="109"/>
        <v>14</v>
      </c>
      <c r="D793" s="5">
        <f t="shared" si="110"/>
        <v>14</v>
      </c>
      <c r="E793" t="str">
        <f>'(Raw) LensesGH'!C793</f>
        <v>1:2.8</v>
      </c>
      <c r="F793" s="9">
        <f t="shared" si="111"/>
        <v>2.8</v>
      </c>
      <c r="G793" s="9">
        <f t="shared" si="112"/>
        <v>2.8</v>
      </c>
      <c r="H793">
        <f>'(Raw) LensesGH'!D793</f>
        <v>0</v>
      </c>
      <c r="I793" s="2">
        <f t="shared" si="113"/>
        <v>0</v>
      </c>
      <c r="J793" s="2">
        <f>'(Raw) LensesGH'!E793</f>
        <v>0</v>
      </c>
      <c r="K793" s="40">
        <f t="shared" si="114"/>
        <v>0</v>
      </c>
      <c r="L793" t="str">
        <f>'(Raw) LensesGH'!F793</f>
        <v>Canon EF</v>
      </c>
      <c r="M793" t="str">
        <f>'(Raw) LensesGH'!G793</f>
        <v>APS-C/ Kleinbild</v>
      </c>
      <c r="N793" t="str">
        <f>'(Raw) LensesGH'!H793</f>
        <v>555g</v>
      </c>
      <c r="O793" s="5">
        <f t="shared" si="115"/>
        <v>555</v>
      </c>
      <c r="P793" t="str">
        <f>'(Raw) LensesGH'!I793</f>
        <v>92 x 86mm</v>
      </c>
      <c r="Q793" s="39">
        <f t="shared" si="116"/>
        <v>92</v>
      </c>
      <c r="R793" s="39">
        <f t="shared" si="108"/>
        <v>86</v>
      </c>
    </row>
    <row r="794" spans="1:18" x14ac:dyDescent="0.25">
      <c r="A794" t="str">
        <f>'(Raw) LensesGH'!A794</f>
        <v>Samyang 14mm 2.8 Asph IF ED UMC für Four-Thirds schwarz</v>
      </c>
      <c r="B794" t="str">
        <f>'(Raw) LensesGH'!B794</f>
        <v>14mm</v>
      </c>
      <c r="C794" s="5">
        <f t="shared" si="109"/>
        <v>14</v>
      </c>
      <c r="D794" s="5">
        <f t="shared" si="110"/>
        <v>14</v>
      </c>
      <c r="E794" t="str">
        <f>'(Raw) LensesGH'!C794</f>
        <v>1:2.8</v>
      </c>
      <c r="F794" s="9">
        <f t="shared" si="111"/>
        <v>2.8</v>
      </c>
      <c r="G794" s="9">
        <f t="shared" si="112"/>
        <v>2.8</v>
      </c>
      <c r="H794">
        <f>'(Raw) LensesGH'!D794</f>
        <v>0</v>
      </c>
      <c r="I794" s="2">
        <f t="shared" si="113"/>
        <v>0</v>
      </c>
      <c r="J794" s="2">
        <f>'(Raw) LensesGH'!E794</f>
        <v>0</v>
      </c>
      <c r="K794" s="40">
        <f t="shared" si="114"/>
        <v>0</v>
      </c>
      <c r="L794" t="str">
        <f>'(Raw) LensesGH'!F794</f>
        <v>Four-Thirds</v>
      </c>
      <c r="M794" t="str">
        <f>'(Raw) LensesGH'!G794</f>
        <v>Four-Thirds</v>
      </c>
      <c r="N794" t="str">
        <f>'(Raw) LensesGH'!H794</f>
        <v>555g</v>
      </c>
      <c r="O794" s="5">
        <f t="shared" si="115"/>
        <v>555</v>
      </c>
      <c r="P794" t="str">
        <f>'(Raw) LensesGH'!I794</f>
        <v>92 x 86mm</v>
      </c>
      <c r="Q794" s="39">
        <f t="shared" si="116"/>
        <v>92</v>
      </c>
      <c r="R794" s="39">
        <f t="shared" si="108"/>
        <v>86</v>
      </c>
    </row>
    <row r="795" spans="1:18" x14ac:dyDescent="0.25">
      <c r="A795" t="str">
        <f>'(Raw) LensesGH'!A795</f>
        <v>Samyang 14mm 2.8 Asph IF ED UMC für Fujifilm X schwarz</v>
      </c>
      <c r="B795" t="str">
        <f>'(Raw) LensesGH'!B795</f>
        <v>14mm</v>
      </c>
      <c r="C795" s="5">
        <f t="shared" si="109"/>
        <v>14</v>
      </c>
      <c r="D795" s="5">
        <f t="shared" si="110"/>
        <v>14</v>
      </c>
      <c r="E795" t="str">
        <f>'(Raw) LensesGH'!C795</f>
        <v>1:2.8</v>
      </c>
      <c r="F795" s="9">
        <f t="shared" si="111"/>
        <v>2.8</v>
      </c>
      <c r="G795" s="9">
        <f t="shared" si="112"/>
        <v>2.8</v>
      </c>
      <c r="H795">
        <f>'(Raw) LensesGH'!D795</f>
        <v>0</v>
      </c>
      <c r="I795" s="2">
        <f t="shared" si="113"/>
        <v>0</v>
      </c>
      <c r="J795" s="2">
        <f>'(Raw) LensesGH'!E795</f>
        <v>0</v>
      </c>
      <c r="K795" s="40">
        <f t="shared" si="114"/>
        <v>0</v>
      </c>
      <c r="L795" t="str">
        <f>'(Raw) LensesGH'!F795</f>
        <v>Fujifilm X</v>
      </c>
      <c r="M795" t="str">
        <f>'(Raw) LensesGH'!G795</f>
        <v>APS-C</v>
      </c>
      <c r="N795" t="str">
        <f>'(Raw) LensesGH'!H795</f>
        <v>575g</v>
      </c>
      <c r="O795" s="5">
        <f t="shared" si="115"/>
        <v>575</v>
      </c>
      <c r="P795" t="str">
        <f>'(Raw) LensesGH'!I795</f>
        <v>92 x 122.4mm</v>
      </c>
      <c r="Q795" s="39">
        <f t="shared" si="116"/>
        <v>92</v>
      </c>
      <c r="R795" s="39">
        <f t="shared" si="108"/>
        <v>122.4</v>
      </c>
    </row>
    <row r="796" spans="1:18" x14ac:dyDescent="0.25">
      <c r="A796" t="str">
        <f>'(Raw) LensesGH'!A796</f>
        <v>Samyang 14mm 2.8 Asph IF ED UMC für Micro-Four-Thirds schwarz</v>
      </c>
      <c r="B796" t="str">
        <f>'(Raw) LensesGH'!B796</f>
        <v>14mm</v>
      </c>
      <c r="C796" s="5">
        <f t="shared" si="109"/>
        <v>14</v>
      </c>
      <c r="D796" s="5">
        <f t="shared" si="110"/>
        <v>14</v>
      </c>
      <c r="E796" t="str">
        <f>'(Raw) LensesGH'!C796</f>
        <v>1:2.8</v>
      </c>
      <c r="F796" s="9">
        <f t="shared" si="111"/>
        <v>2.8</v>
      </c>
      <c r="G796" s="9">
        <f t="shared" si="112"/>
        <v>2.8</v>
      </c>
      <c r="H796">
        <f>'(Raw) LensesGH'!D796</f>
        <v>0</v>
      </c>
      <c r="I796" s="2">
        <f t="shared" si="113"/>
        <v>0</v>
      </c>
      <c r="J796" s="2">
        <f>'(Raw) LensesGH'!E796</f>
        <v>0</v>
      </c>
      <c r="K796" s="40">
        <f t="shared" si="114"/>
        <v>0</v>
      </c>
      <c r="L796" t="str">
        <f>'(Raw) LensesGH'!F796</f>
        <v>Micro-Four-Thirds</v>
      </c>
      <c r="M796" t="str">
        <f>'(Raw) LensesGH'!G796</f>
        <v>Four-Thirds</v>
      </c>
      <c r="N796" t="str">
        <f>'(Raw) LensesGH'!H796</f>
        <v>570g</v>
      </c>
      <c r="O796" s="5">
        <f t="shared" si="115"/>
        <v>570</v>
      </c>
      <c r="P796" t="str">
        <f>'(Raw) LensesGH'!I796</f>
        <v>92 x 120.9mm</v>
      </c>
      <c r="Q796" s="39">
        <f t="shared" si="116"/>
        <v>92</v>
      </c>
      <c r="R796" s="39">
        <f t="shared" si="108"/>
        <v>120.9</v>
      </c>
    </row>
    <row r="797" spans="1:18" x14ac:dyDescent="0.25">
      <c r="A797" t="str">
        <f>'(Raw) LensesGH'!A797</f>
        <v>Samyang 14mm 2.8 Asph IF ED UMC für Nikon F schwarz</v>
      </c>
      <c r="B797" t="str">
        <f>'(Raw) LensesGH'!B797</f>
        <v>14mm</v>
      </c>
      <c r="C797" s="5">
        <f t="shared" si="109"/>
        <v>14</v>
      </c>
      <c r="D797" s="5">
        <f t="shared" si="110"/>
        <v>14</v>
      </c>
      <c r="E797" t="str">
        <f>'(Raw) LensesGH'!C797</f>
        <v>1:2.8</v>
      </c>
      <c r="F797" s="9">
        <f t="shared" si="111"/>
        <v>2.8</v>
      </c>
      <c r="G797" s="9">
        <f t="shared" si="112"/>
        <v>2.8</v>
      </c>
      <c r="H797">
        <f>'(Raw) LensesGH'!D797</f>
        <v>0</v>
      </c>
      <c r="I797" s="2">
        <f t="shared" si="113"/>
        <v>0</v>
      </c>
      <c r="J797" s="2">
        <f>'(Raw) LensesGH'!E797</f>
        <v>0</v>
      </c>
      <c r="K797" s="40">
        <f t="shared" si="114"/>
        <v>0</v>
      </c>
      <c r="L797" t="str">
        <f>'(Raw) LensesGH'!F797</f>
        <v>Nikon F</v>
      </c>
      <c r="M797" t="str">
        <f>'(Raw) LensesGH'!G797</f>
        <v>APS-C/ Kleinbild</v>
      </c>
      <c r="N797" t="str">
        <f>'(Raw) LensesGH'!H797</f>
        <v>555g</v>
      </c>
      <c r="O797" s="5">
        <f t="shared" si="115"/>
        <v>555</v>
      </c>
      <c r="P797" t="str">
        <f>'(Raw) LensesGH'!I797</f>
        <v>92 x 86mm</v>
      </c>
      <c r="Q797" s="39">
        <f t="shared" si="116"/>
        <v>92</v>
      </c>
      <c r="R797" s="39">
        <f t="shared" si="108"/>
        <v>86</v>
      </c>
    </row>
    <row r="798" spans="1:18" x14ac:dyDescent="0.25">
      <c r="A798" t="str">
        <f>'(Raw) LensesGH'!A798</f>
        <v>Samyang 14mm 2.8 Asph IF ED UMC für Pentax K schwarz</v>
      </c>
      <c r="B798" t="str">
        <f>'(Raw) LensesGH'!B798</f>
        <v>14mm</v>
      </c>
      <c r="C798" s="5">
        <f t="shared" si="109"/>
        <v>14</v>
      </c>
      <c r="D798" s="5">
        <f t="shared" si="110"/>
        <v>14</v>
      </c>
      <c r="E798" t="str">
        <f>'(Raw) LensesGH'!C798</f>
        <v>1:2.8</v>
      </c>
      <c r="F798" s="9">
        <f t="shared" si="111"/>
        <v>2.8</v>
      </c>
      <c r="G798" s="9">
        <f t="shared" si="112"/>
        <v>2.8</v>
      </c>
      <c r="H798">
        <f>'(Raw) LensesGH'!D798</f>
        <v>0</v>
      </c>
      <c r="I798" s="2">
        <f t="shared" si="113"/>
        <v>0</v>
      </c>
      <c r="J798" s="2">
        <f>'(Raw) LensesGH'!E798</f>
        <v>0</v>
      </c>
      <c r="K798" s="40">
        <f t="shared" si="114"/>
        <v>0</v>
      </c>
      <c r="L798" t="str">
        <f>'(Raw) LensesGH'!F798</f>
        <v>Pentax K</v>
      </c>
      <c r="M798" t="str">
        <f>'(Raw) LensesGH'!G798</f>
        <v>APS-C/ Kleinbild</v>
      </c>
      <c r="N798" t="str">
        <f>'(Raw) LensesGH'!H798</f>
        <v>555g</v>
      </c>
      <c r="O798" s="5">
        <f t="shared" si="115"/>
        <v>555</v>
      </c>
      <c r="P798" t="str">
        <f>'(Raw) LensesGH'!I798</f>
        <v>92 x 86mm</v>
      </c>
      <c r="Q798" s="39">
        <f t="shared" si="116"/>
        <v>92</v>
      </c>
      <c r="R798" s="39">
        <f t="shared" si="108"/>
        <v>86</v>
      </c>
    </row>
    <row r="799" spans="1:18" x14ac:dyDescent="0.25">
      <c r="A799" t="str">
        <f>'(Raw) LensesGH'!A799</f>
        <v>Samyang 14mm 2.8 Asph IF ED UMC für Samsung NX schwarz</v>
      </c>
      <c r="B799" t="str">
        <f>'(Raw) LensesGH'!B799</f>
        <v>14mm</v>
      </c>
      <c r="C799" s="5">
        <f t="shared" si="109"/>
        <v>14</v>
      </c>
      <c r="D799" s="5">
        <f t="shared" si="110"/>
        <v>14</v>
      </c>
      <c r="E799" t="str">
        <f>'(Raw) LensesGH'!C799</f>
        <v>1:2.8</v>
      </c>
      <c r="F799" s="9">
        <f t="shared" si="111"/>
        <v>2.8</v>
      </c>
      <c r="G799" s="9">
        <f t="shared" si="112"/>
        <v>2.8</v>
      </c>
      <c r="H799">
        <f>'(Raw) LensesGH'!D799</f>
        <v>0</v>
      </c>
      <c r="I799" s="2">
        <f t="shared" si="113"/>
        <v>0</v>
      </c>
      <c r="J799" s="2">
        <f>'(Raw) LensesGH'!E799</f>
        <v>0</v>
      </c>
      <c r="K799" s="40">
        <f t="shared" si="114"/>
        <v>0</v>
      </c>
      <c r="L799" t="str">
        <f>'(Raw) LensesGH'!F799</f>
        <v>Samsung NX</v>
      </c>
      <c r="M799" t="str">
        <f>'(Raw) LensesGH'!G799</f>
        <v>APS-C</v>
      </c>
      <c r="N799" t="str">
        <f>'(Raw) LensesGH'!H799</f>
        <v>570g</v>
      </c>
      <c r="O799" s="5">
        <f t="shared" si="115"/>
        <v>570</v>
      </c>
      <c r="P799" t="str">
        <f>'(Raw) LensesGH'!I799</f>
        <v>92 x 122mm</v>
      </c>
      <c r="Q799" s="39">
        <f t="shared" si="116"/>
        <v>92</v>
      </c>
      <c r="R799" s="39">
        <f t="shared" si="108"/>
        <v>122</v>
      </c>
    </row>
    <row r="800" spans="1:18" x14ac:dyDescent="0.25">
      <c r="A800" t="str">
        <f>'(Raw) LensesGH'!A800</f>
        <v>Samyang 14mm 2.8 Asph IF ED UMC für Sony A schwarz</v>
      </c>
      <c r="B800" t="str">
        <f>'(Raw) LensesGH'!B800</f>
        <v>14mm</v>
      </c>
      <c r="C800" s="5">
        <f t="shared" si="109"/>
        <v>14</v>
      </c>
      <c r="D800" s="5">
        <f t="shared" si="110"/>
        <v>14</v>
      </c>
      <c r="E800" t="str">
        <f>'(Raw) LensesGH'!C800</f>
        <v>1:2.8</v>
      </c>
      <c r="F800" s="9">
        <f t="shared" si="111"/>
        <v>2.8</v>
      </c>
      <c r="G800" s="9">
        <f t="shared" si="112"/>
        <v>2.8</v>
      </c>
      <c r="H800">
        <f>'(Raw) LensesGH'!D800</f>
        <v>0</v>
      </c>
      <c r="I800" s="2">
        <f t="shared" si="113"/>
        <v>0</v>
      </c>
      <c r="J800" s="2">
        <f>'(Raw) LensesGH'!E800</f>
        <v>0</v>
      </c>
      <c r="K800" s="40">
        <f t="shared" si="114"/>
        <v>0</v>
      </c>
      <c r="L800" t="str">
        <f>'(Raw) LensesGH'!F800</f>
        <v>Sony A</v>
      </c>
      <c r="M800" t="str">
        <f>'(Raw) LensesGH'!G800</f>
        <v>APS-C/ Kleinbild</v>
      </c>
      <c r="N800" t="str">
        <f>'(Raw) LensesGH'!H800</f>
        <v>555g</v>
      </c>
      <c r="O800" s="5">
        <f t="shared" si="115"/>
        <v>555</v>
      </c>
      <c r="P800" t="str">
        <f>'(Raw) LensesGH'!I800</f>
        <v>92 x 86mm</v>
      </c>
      <c r="Q800" s="39">
        <f t="shared" si="116"/>
        <v>92</v>
      </c>
      <c r="R800" s="39">
        <f t="shared" si="108"/>
        <v>86</v>
      </c>
    </row>
    <row r="801" spans="1:18" x14ac:dyDescent="0.25">
      <c r="A801" t="str">
        <f>'(Raw) LensesGH'!A801</f>
        <v>Samyang 14mm 2.8 Asph IF ED UMC für Sony E schwarz</v>
      </c>
      <c r="B801" t="str">
        <f>'(Raw) LensesGH'!B801</f>
        <v>14mm</v>
      </c>
      <c r="C801" s="5">
        <f t="shared" si="109"/>
        <v>14</v>
      </c>
      <c r="D801" s="5">
        <f t="shared" si="110"/>
        <v>14</v>
      </c>
      <c r="E801" t="str">
        <f>'(Raw) LensesGH'!C801</f>
        <v>1:2.8</v>
      </c>
      <c r="F801" s="9">
        <f t="shared" si="111"/>
        <v>2.8</v>
      </c>
      <c r="G801" s="9">
        <f t="shared" si="112"/>
        <v>2.8</v>
      </c>
      <c r="H801">
        <f>'(Raw) LensesGH'!D801</f>
        <v>0</v>
      </c>
      <c r="I801" s="2">
        <f t="shared" si="113"/>
        <v>0</v>
      </c>
      <c r="J801" s="2">
        <f>'(Raw) LensesGH'!E801</f>
        <v>0</v>
      </c>
      <c r="K801" s="40">
        <f t="shared" si="114"/>
        <v>0</v>
      </c>
      <c r="L801" t="str">
        <f>'(Raw) LensesGH'!F801</f>
        <v>Sony E</v>
      </c>
      <c r="M801" t="str">
        <f>'(Raw) LensesGH'!G801</f>
        <v>APS-C/ Kleinbild</v>
      </c>
      <c r="N801" t="str">
        <f>'(Raw) LensesGH'!H801</f>
        <v>555g</v>
      </c>
      <c r="O801" s="5">
        <f t="shared" si="115"/>
        <v>555</v>
      </c>
      <c r="P801" t="str">
        <f>'(Raw) LensesGH'!I801</f>
        <v>92 x 86mm</v>
      </c>
      <c r="Q801" s="39">
        <f t="shared" si="116"/>
        <v>92</v>
      </c>
      <c r="R801" s="39">
        <f t="shared" si="108"/>
        <v>86</v>
      </c>
    </row>
    <row r="802" spans="1:18" x14ac:dyDescent="0.25">
      <c r="A802" t="str">
        <f>'(Raw) LensesGH'!A802</f>
        <v>Samyang 14mm 3.1 AS IF UMC VDSLR für Canon EF schwarz</v>
      </c>
      <c r="B802" t="str">
        <f>'(Raw) LensesGH'!B802</f>
        <v>14mm</v>
      </c>
      <c r="C802" s="5">
        <f t="shared" si="109"/>
        <v>14</v>
      </c>
      <c r="D802" s="5">
        <f t="shared" si="110"/>
        <v>14</v>
      </c>
      <c r="E802" t="str">
        <f>'(Raw) LensesGH'!C802</f>
        <v>1:3.1</v>
      </c>
      <c r="F802" s="9">
        <f t="shared" si="111"/>
        <v>3.1</v>
      </c>
      <c r="G802" s="9">
        <f t="shared" si="112"/>
        <v>3.1</v>
      </c>
      <c r="H802">
        <f>'(Raw) LensesGH'!D802</f>
        <v>0</v>
      </c>
      <c r="I802" s="2">
        <f t="shared" si="113"/>
        <v>0</v>
      </c>
      <c r="J802" s="2">
        <f>'(Raw) LensesGH'!E802</f>
        <v>0</v>
      </c>
      <c r="K802" s="40">
        <f t="shared" si="114"/>
        <v>0</v>
      </c>
      <c r="L802" t="str">
        <f>'(Raw) LensesGH'!F802</f>
        <v>Canon EF</v>
      </c>
      <c r="M802" t="str">
        <f>'(Raw) LensesGH'!G802</f>
        <v>APS-C/ Kleinbild</v>
      </c>
      <c r="N802" t="str">
        <f>'(Raw) LensesGH'!H802</f>
        <v>552g</v>
      </c>
      <c r="O802" s="5">
        <f t="shared" si="115"/>
        <v>552</v>
      </c>
      <c r="P802" t="str">
        <f>'(Raw) LensesGH'!I802</f>
        <v>94 x 87mm</v>
      </c>
      <c r="Q802" s="39">
        <f t="shared" si="116"/>
        <v>94</v>
      </c>
      <c r="R802" s="39">
        <f t="shared" si="108"/>
        <v>87</v>
      </c>
    </row>
    <row r="803" spans="1:18" x14ac:dyDescent="0.25">
      <c r="A803" t="str">
        <f>'(Raw) LensesGH'!A803</f>
        <v>Samyang 14mm 3.1 AS IF UMC VDSLR für Nikon F schwarz</v>
      </c>
      <c r="B803" t="str">
        <f>'(Raw) LensesGH'!B803</f>
        <v>14mm</v>
      </c>
      <c r="C803" s="5">
        <f t="shared" si="109"/>
        <v>14</v>
      </c>
      <c r="D803" s="5">
        <f t="shared" si="110"/>
        <v>14</v>
      </c>
      <c r="E803" t="str">
        <f>'(Raw) LensesGH'!C803</f>
        <v>1:3.1</v>
      </c>
      <c r="F803" s="9">
        <f t="shared" si="111"/>
        <v>3.1</v>
      </c>
      <c r="G803" s="9">
        <f t="shared" si="112"/>
        <v>3.1</v>
      </c>
      <c r="H803">
        <f>'(Raw) LensesGH'!D803</f>
        <v>0</v>
      </c>
      <c r="I803" s="2">
        <f t="shared" si="113"/>
        <v>0</v>
      </c>
      <c r="J803" s="2">
        <f>'(Raw) LensesGH'!E803</f>
        <v>0</v>
      </c>
      <c r="K803" s="40">
        <f t="shared" si="114"/>
        <v>0</v>
      </c>
      <c r="L803" t="str">
        <f>'(Raw) LensesGH'!F803</f>
        <v>Nikon F</v>
      </c>
      <c r="M803" t="str">
        <f>'(Raw) LensesGH'!G803</f>
        <v>APS-C/ Kleinbild</v>
      </c>
      <c r="N803" t="str">
        <f>'(Raw) LensesGH'!H803</f>
        <v>552g</v>
      </c>
      <c r="O803" s="5">
        <f t="shared" si="115"/>
        <v>552</v>
      </c>
      <c r="P803" t="str">
        <f>'(Raw) LensesGH'!I803</f>
        <v>94 x 87mm</v>
      </c>
      <c r="Q803" s="39">
        <f t="shared" si="116"/>
        <v>94</v>
      </c>
      <c r="R803" s="39">
        <f t="shared" si="108"/>
        <v>87</v>
      </c>
    </row>
    <row r="804" spans="1:18" x14ac:dyDescent="0.25">
      <c r="A804" t="str">
        <f>'(Raw) LensesGH'!A804</f>
        <v>Samyang 14mm 3.1 AS IF UMC VDSLR für Pentax K schwarz</v>
      </c>
      <c r="B804" t="str">
        <f>'(Raw) LensesGH'!B804</f>
        <v>14mm</v>
      </c>
      <c r="C804" s="5">
        <f t="shared" si="109"/>
        <v>14</v>
      </c>
      <c r="D804" s="5">
        <f t="shared" si="110"/>
        <v>14</v>
      </c>
      <c r="E804" t="str">
        <f>'(Raw) LensesGH'!C804</f>
        <v>1:3.1</v>
      </c>
      <c r="F804" s="9">
        <f t="shared" si="111"/>
        <v>3.1</v>
      </c>
      <c r="G804" s="9">
        <f t="shared" si="112"/>
        <v>3.1</v>
      </c>
      <c r="H804">
        <f>'(Raw) LensesGH'!D804</f>
        <v>0</v>
      </c>
      <c r="I804" s="2">
        <f t="shared" si="113"/>
        <v>0</v>
      </c>
      <c r="J804" s="2">
        <f>'(Raw) LensesGH'!E804</f>
        <v>0</v>
      </c>
      <c r="K804" s="40">
        <f t="shared" si="114"/>
        <v>0</v>
      </c>
      <c r="L804" t="str">
        <f>'(Raw) LensesGH'!F804</f>
        <v>Pentax K</v>
      </c>
      <c r="M804" t="str">
        <f>'(Raw) LensesGH'!G804</f>
        <v>APS-C/ Kleinbild</v>
      </c>
      <c r="N804" t="str">
        <f>'(Raw) LensesGH'!H804</f>
        <v>552g</v>
      </c>
      <c r="O804" s="5">
        <f t="shared" si="115"/>
        <v>552</v>
      </c>
      <c r="P804" t="str">
        <f>'(Raw) LensesGH'!I804</f>
        <v>94 x 87mm</v>
      </c>
      <c r="Q804" s="39">
        <f t="shared" si="116"/>
        <v>94</v>
      </c>
      <c r="R804" s="39">
        <f t="shared" si="108"/>
        <v>87</v>
      </c>
    </row>
    <row r="805" spans="1:18" x14ac:dyDescent="0.25">
      <c r="A805" t="str">
        <f>'(Raw) LensesGH'!A805</f>
        <v>Samyang 14mm T3.1 AS IF UMC II VDSLR für Canon EF schwarz</v>
      </c>
      <c r="B805" t="str">
        <f>'(Raw) LensesGH'!B805</f>
        <v>14mm</v>
      </c>
      <c r="C805" s="5">
        <f t="shared" si="109"/>
        <v>14</v>
      </c>
      <c r="D805" s="5">
        <f t="shared" si="110"/>
        <v>14</v>
      </c>
      <c r="E805" t="str">
        <f>'(Raw) LensesGH'!C805</f>
        <v>1:3.1</v>
      </c>
      <c r="F805" s="9">
        <f t="shared" si="111"/>
        <v>3.1</v>
      </c>
      <c r="G805" s="9">
        <f t="shared" si="112"/>
        <v>3.1</v>
      </c>
      <c r="H805">
        <f>'(Raw) LensesGH'!D805</f>
        <v>0</v>
      </c>
      <c r="I805" s="2">
        <f t="shared" si="113"/>
        <v>0</v>
      </c>
      <c r="J805" s="2">
        <f>'(Raw) LensesGH'!E805</f>
        <v>0</v>
      </c>
      <c r="K805" s="40">
        <f t="shared" si="114"/>
        <v>0</v>
      </c>
      <c r="L805" t="str">
        <f>'(Raw) LensesGH'!F805</f>
        <v>Canon EF</v>
      </c>
      <c r="M805" t="str">
        <f>'(Raw) LensesGH'!G805</f>
        <v>APS-C/ Kleinbild</v>
      </c>
      <c r="N805" t="str">
        <f>'(Raw) LensesGH'!H805</f>
        <v>620g</v>
      </c>
      <c r="O805" s="5">
        <f t="shared" si="115"/>
        <v>620</v>
      </c>
      <c r="P805" t="str">
        <f>'(Raw) LensesGH'!I805</f>
        <v>87 x 96.1mm</v>
      </c>
      <c r="Q805" s="39">
        <f t="shared" si="116"/>
        <v>87</v>
      </c>
      <c r="R805" s="39">
        <f t="shared" si="108"/>
        <v>96.1</v>
      </c>
    </row>
    <row r="806" spans="1:18" x14ac:dyDescent="0.25">
      <c r="A806" t="str">
        <f>'(Raw) LensesGH'!A806</f>
        <v>Samyang 14mm T3.1 AS IF UMC II VDSLR für Canon EF-M schwarz</v>
      </c>
      <c r="B806" t="str">
        <f>'(Raw) LensesGH'!B806</f>
        <v>14mm</v>
      </c>
      <c r="C806" s="5">
        <f t="shared" si="109"/>
        <v>14</v>
      </c>
      <c r="D806" s="5">
        <f t="shared" si="110"/>
        <v>14</v>
      </c>
      <c r="E806" t="str">
        <f>'(Raw) LensesGH'!C806</f>
        <v>1:3.1</v>
      </c>
      <c r="F806" s="9">
        <f t="shared" si="111"/>
        <v>3.1</v>
      </c>
      <c r="G806" s="9">
        <f t="shared" si="112"/>
        <v>3.1</v>
      </c>
      <c r="H806">
        <f>'(Raw) LensesGH'!D806</f>
        <v>0</v>
      </c>
      <c r="I806" s="2">
        <f t="shared" si="113"/>
        <v>0</v>
      </c>
      <c r="J806" s="2">
        <f>'(Raw) LensesGH'!E806</f>
        <v>0</v>
      </c>
      <c r="K806" s="40">
        <f t="shared" si="114"/>
        <v>0</v>
      </c>
      <c r="L806" t="str">
        <f>'(Raw) LensesGH'!F806</f>
        <v>Canon EF-M</v>
      </c>
      <c r="M806" t="str">
        <f>'(Raw) LensesGH'!G806</f>
        <v>APS-C</v>
      </c>
      <c r="N806" t="str">
        <f>'(Raw) LensesGH'!H806</f>
        <v>690g</v>
      </c>
      <c r="O806" s="5">
        <f t="shared" si="115"/>
        <v>690</v>
      </c>
      <c r="P806" t="str">
        <f>'(Raw) LensesGH'!I806</f>
        <v>87 x 122mm</v>
      </c>
      <c r="Q806" s="39">
        <f t="shared" si="116"/>
        <v>87</v>
      </c>
      <c r="R806" s="39">
        <f t="shared" si="108"/>
        <v>122</v>
      </c>
    </row>
    <row r="807" spans="1:18" x14ac:dyDescent="0.25">
      <c r="A807" t="str">
        <f>'(Raw) LensesGH'!A807</f>
        <v>Samyang 14mm T3.1 AS IF UMC II VDSLR für Four-Thirds schwarz</v>
      </c>
      <c r="B807" t="str">
        <f>'(Raw) LensesGH'!B807</f>
        <v>14mm</v>
      </c>
      <c r="C807" s="5">
        <f t="shared" si="109"/>
        <v>14</v>
      </c>
      <c r="D807" s="5">
        <f t="shared" si="110"/>
        <v>14</v>
      </c>
      <c r="E807" t="str">
        <f>'(Raw) LensesGH'!C807</f>
        <v>1:3.1</v>
      </c>
      <c r="F807" s="9">
        <f t="shared" si="111"/>
        <v>3.1</v>
      </c>
      <c r="G807" s="9">
        <f t="shared" si="112"/>
        <v>3.1</v>
      </c>
      <c r="H807">
        <f>'(Raw) LensesGH'!D807</f>
        <v>0</v>
      </c>
      <c r="I807" s="2">
        <f t="shared" si="113"/>
        <v>0</v>
      </c>
      <c r="J807" s="2">
        <f>'(Raw) LensesGH'!E807</f>
        <v>0</v>
      </c>
      <c r="K807" s="40">
        <f t="shared" si="114"/>
        <v>0</v>
      </c>
      <c r="L807" t="str">
        <f>'(Raw) LensesGH'!F807</f>
        <v>Four-Thirds</v>
      </c>
      <c r="M807" t="str">
        <f>'(Raw) LensesGH'!G807</f>
        <v>Four-Thirds</v>
      </c>
      <c r="N807" t="str">
        <f>'(Raw) LensesGH'!H807</f>
        <v>640g</v>
      </c>
      <c r="O807" s="5">
        <f t="shared" si="115"/>
        <v>640</v>
      </c>
      <c r="P807" t="str">
        <f>'(Raw) LensesGH'!I807</f>
        <v>87 x 101.4mm</v>
      </c>
      <c r="Q807" s="39">
        <f t="shared" si="116"/>
        <v>87</v>
      </c>
      <c r="R807" s="39">
        <f t="shared" si="108"/>
        <v>101.4</v>
      </c>
    </row>
    <row r="808" spans="1:18" x14ac:dyDescent="0.25">
      <c r="A808" t="str">
        <f>'(Raw) LensesGH'!A808</f>
        <v>Samyang 14mm T3.1 AS IF UMC II VDSLR für Fujifilm X schwarz</v>
      </c>
      <c r="B808" t="str">
        <f>'(Raw) LensesGH'!B808</f>
        <v>14mm</v>
      </c>
      <c r="C808" s="5">
        <f t="shared" si="109"/>
        <v>14</v>
      </c>
      <c r="D808" s="5">
        <f t="shared" si="110"/>
        <v>14</v>
      </c>
      <c r="E808" t="str">
        <f>'(Raw) LensesGH'!C808</f>
        <v>1:3.1</v>
      </c>
      <c r="F808" s="9">
        <f t="shared" si="111"/>
        <v>3.1</v>
      </c>
      <c r="G808" s="9">
        <f t="shared" si="112"/>
        <v>3.1</v>
      </c>
      <c r="H808">
        <f>'(Raw) LensesGH'!D808</f>
        <v>0</v>
      </c>
      <c r="I808" s="2">
        <f t="shared" si="113"/>
        <v>0</v>
      </c>
      <c r="J808" s="2">
        <f>'(Raw) LensesGH'!E808</f>
        <v>0</v>
      </c>
      <c r="K808" s="40">
        <f t="shared" si="114"/>
        <v>0</v>
      </c>
      <c r="L808" t="str">
        <f>'(Raw) LensesGH'!F808</f>
        <v>Fujifilm X</v>
      </c>
      <c r="M808" t="str">
        <f>'(Raw) LensesGH'!G808</f>
        <v>APS-C</v>
      </c>
      <c r="N808" t="str">
        <f>'(Raw) LensesGH'!H808</f>
        <v>695g</v>
      </c>
      <c r="O808" s="5">
        <f t="shared" si="115"/>
        <v>695</v>
      </c>
      <c r="P808" t="str">
        <f>'(Raw) LensesGH'!I808</f>
        <v>87 x 122.2mm</v>
      </c>
      <c r="Q808" s="39">
        <f t="shared" si="116"/>
        <v>87</v>
      </c>
      <c r="R808" s="39">
        <f t="shared" si="108"/>
        <v>122.2</v>
      </c>
    </row>
    <row r="809" spans="1:18" x14ac:dyDescent="0.25">
      <c r="A809" t="str">
        <f>'(Raw) LensesGH'!A809</f>
        <v>Samyang 14mm T3.1 AS IF UMC II VDSLR für Micro-Four-Thirds schwarz</v>
      </c>
      <c r="B809" t="str">
        <f>'(Raw) LensesGH'!B809</f>
        <v>14mm</v>
      </c>
      <c r="C809" s="5">
        <f t="shared" si="109"/>
        <v>14</v>
      </c>
      <c r="D809" s="5">
        <f t="shared" si="110"/>
        <v>14</v>
      </c>
      <c r="E809" t="str">
        <f>'(Raw) LensesGH'!C809</f>
        <v>1:3.1</v>
      </c>
      <c r="F809" s="9">
        <f t="shared" si="111"/>
        <v>3.1</v>
      </c>
      <c r="G809" s="9">
        <f t="shared" si="112"/>
        <v>3.1</v>
      </c>
      <c r="H809">
        <f>'(Raw) LensesGH'!D809</f>
        <v>0</v>
      </c>
      <c r="I809" s="2">
        <f t="shared" si="113"/>
        <v>0</v>
      </c>
      <c r="J809" s="2">
        <f>'(Raw) LensesGH'!E809</f>
        <v>0</v>
      </c>
      <c r="K809" s="40">
        <f t="shared" si="114"/>
        <v>0</v>
      </c>
      <c r="L809" t="str">
        <f>'(Raw) LensesGH'!F809</f>
        <v>Micro-Four-Thirds</v>
      </c>
      <c r="M809" t="str">
        <f>'(Raw) LensesGH'!G809</f>
        <v>Four-Thirds</v>
      </c>
      <c r="N809" t="str">
        <f>'(Raw) LensesGH'!H809</f>
        <v>650g</v>
      </c>
      <c r="O809" s="5">
        <f t="shared" si="115"/>
        <v>650</v>
      </c>
      <c r="P809" t="str">
        <f>'(Raw) LensesGH'!I809</f>
        <v>87 x 120.9mm</v>
      </c>
      <c r="Q809" s="39">
        <f t="shared" si="116"/>
        <v>87</v>
      </c>
      <c r="R809" s="39">
        <f t="shared" si="108"/>
        <v>120.9</v>
      </c>
    </row>
    <row r="810" spans="1:18" x14ac:dyDescent="0.25">
      <c r="A810" t="str">
        <f>'(Raw) LensesGH'!A810</f>
        <v>Samyang 14mm T3.1 AS IF UMC II VDSLR für Nikon F schwarz</v>
      </c>
      <c r="B810" t="str">
        <f>'(Raw) LensesGH'!B810</f>
        <v>14mm</v>
      </c>
      <c r="C810" s="5">
        <f t="shared" si="109"/>
        <v>14</v>
      </c>
      <c r="D810" s="5">
        <f t="shared" si="110"/>
        <v>14</v>
      </c>
      <c r="E810" t="str">
        <f>'(Raw) LensesGH'!C810</f>
        <v>1:3.1</v>
      </c>
      <c r="F810" s="9">
        <f t="shared" si="111"/>
        <v>3.1</v>
      </c>
      <c r="G810" s="9">
        <f t="shared" si="112"/>
        <v>3.1</v>
      </c>
      <c r="H810">
        <f>'(Raw) LensesGH'!D810</f>
        <v>0</v>
      </c>
      <c r="I810" s="2">
        <f t="shared" si="113"/>
        <v>0</v>
      </c>
      <c r="J810" s="2">
        <f>'(Raw) LensesGH'!E810</f>
        <v>0</v>
      </c>
      <c r="K810" s="40">
        <f t="shared" si="114"/>
        <v>0</v>
      </c>
      <c r="L810" t="str">
        <f>'(Raw) LensesGH'!F810</f>
        <v>Nikon F</v>
      </c>
      <c r="M810" t="str">
        <f>'(Raw) LensesGH'!G810</f>
        <v>APS-C/ Kleinbild</v>
      </c>
      <c r="N810" t="str">
        <f>'(Raw) LensesGH'!H810</f>
        <v>605g</v>
      </c>
      <c r="O810" s="5">
        <f t="shared" si="115"/>
        <v>605</v>
      </c>
      <c r="P810" t="str">
        <f>'(Raw) LensesGH'!I810</f>
        <v>87 x 93.6mm</v>
      </c>
      <c r="Q810" s="39">
        <f t="shared" si="116"/>
        <v>87</v>
      </c>
      <c r="R810" s="39">
        <f t="shared" si="108"/>
        <v>93.6</v>
      </c>
    </row>
    <row r="811" spans="1:18" x14ac:dyDescent="0.25">
      <c r="A811" t="str">
        <f>'(Raw) LensesGH'!A811</f>
        <v>Samyang 14mm T3.1 AS IF UMC II VDSLR für Pentax K schwarz</v>
      </c>
      <c r="B811" t="str">
        <f>'(Raw) LensesGH'!B811</f>
        <v>14mm</v>
      </c>
      <c r="C811" s="5">
        <f t="shared" si="109"/>
        <v>14</v>
      </c>
      <c r="D811" s="5">
        <f t="shared" si="110"/>
        <v>14</v>
      </c>
      <c r="E811" t="str">
        <f>'(Raw) LensesGH'!C811</f>
        <v>1:3.1</v>
      </c>
      <c r="F811" s="9">
        <f t="shared" si="111"/>
        <v>3.1</v>
      </c>
      <c r="G811" s="9">
        <f t="shared" si="112"/>
        <v>3.1</v>
      </c>
      <c r="H811">
        <f>'(Raw) LensesGH'!D811</f>
        <v>0</v>
      </c>
      <c r="I811" s="2">
        <f t="shared" si="113"/>
        <v>0</v>
      </c>
      <c r="J811" s="2">
        <f>'(Raw) LensesGH'!E811</f>
        <v>0</v>
      </c>
      <c r="K811" s="40">
        <f t="shared" si="114"/>
        <v>0</v>
      </c>
      <c r="L811" t="str">
        <f>'(Raw) LensesGH'!F811</f>
        <v>Pentax K</v>
      </c>
      <c r="M811" t="str">
        <f>'(Raw) LensesGH'!G811</f>
        <v>APS-C/ Kleinbild</v>
      </c>
      <c r="N811" t="str">
        <f>'(Raw) LensesGH'!H811</f>
        <v>595g</v>
      </c>
      <c r="O811" s="5">
        <f t="shared" si="115"/>
        <v>595</v>
      </c>
      <c r="P811" t="str">
        <f>'(Raw) LensesGH'!I811</f>
        <v>87 x 94.6mm</v>
      </c>
      <c r="Q811" s="39">
        <f t="shared" si="116"/>
        <v>87</v>
      </c>
      <c r="R811" s="39">
        <f t="shared" si="108"/>
        <v>94.6</v>
      </c>
    </row>
    <row r="812" spans="1:18" x14ac:dyDescent="0.25">
      <c r="A812" t="str">
        <f>'(Raw) LensesGH'!A812</f>
        <v>Samyang 14mm T3.1 AS IF UMC II VDSLR für Sony A schwarz</v>
      </c>
      <c r="B812" t="str">
        <f>'(Raw) LensesGH'!B812</f>
        <v>14mm</v>
      </c>
      <c r="C812" s="5">
        <f t="shared" si="109"/>
        <v>14</v>
      </c>
      <c r="D812" s="5">
        <f t="shared" si="110"/>
        <v>14</v>
      </c>
      <c r="E812" t="str">
        <f>'(Raw) LensesGH'!C812</f>
        <v>1:3.1</v>
      </c>
      <c r="F812" s="9">
        <f t="shared" si="111"/>
        <v>3.1</v>
      </c>
      <c r="G812" s="9">
        <f t="shared" si="112"/>
        <v>3.1</v>
      </c>
      <c r="H812">
        <f>'(Raw) LensesGH'!D812</f>
        <v>0</v>
      </c>
      <c r="I812" s="2">
        <f t="shared" si="113"/>
        <v>0</v>
      </c>
      <c r="J812" s="2">
        <f>'(Raw) LensesGH'!E812</f>
        <v>0</v>
      </c>
      <c r="K812" s="40">
        <f t="shared" si="114"/>
        <v>0</v>
      </c>
      <c r="L812" t="str">
        <f>'(Raw) LensesGH'!F812</f>
        <v>Sony A</v>
      </c>
      <c r="M812" t="str">
        <f>'(Raw) LensesGH'!G812</f>
        <v>APS-C/ Kleinbild</v>
      </c>
      <c r="N812" t="str">
        <f>'(Raw) LensesGH'!H812</f>
        <v>615g</v>
      </c>
      <c r="O812" s="5">
        <f t="shared" si="115"/>
        <v>615</v>
      </c>
      <c r="P812" t="str">
        <f>'(Raw) LensesGH'!I812</f>
        <v>87 x 95.6mm</v>
      </c>
      <c r="Q812" s="39">
        <f t="shared" si="116"/>
        <v>87</v>
      </c>
      <c r="R812" s="39">
        <f t="shared" si="108"/>
        <v>95.6</v>
      </c>
    </row>
    <row r="813" spans="1:18" x14ac:dyDescent="0.25">
      <c r="A813" t="str">
        <f>'(Raw) LensesGH'!A813</f>
        <v>Samyang 14mm T3.1 AS IF UMC II VDSLR für Sony E schwarz</v>
      </c>
      <c r="B813" t="str">
        <f>'(Raw) LensesGH'!B813</f>
        <v>14mm</v>
      </c>
      <c r="C813" s="5">
        <f t="shared" si="109"/>
        <v>14</v>
      </c>
      <c r="D813" s="5">
        <f t="shared" si="110"/>
        <v>14</v>
      </c>
      <c r="E813" t="str">
        <f>'(Raw) LensesGH'!C813</f>
        <v>1:3.1</v>
      </c>
      <c r="F813" s="9">
        <f t="shared" si="111"/>
        <v>3.1</v>
      </c>
      <c r="G813" s="9">
        <f t="shared" si="112"/>
        <v>3.1</v>
      </c>
      <c r="H813">
        <f>'(Raw) LensesGH'!D813</f>
        <v>0</v>
      </c>
      <c r="I813" s="2">
        <f t="shared" si="113"/>
        <v>0</v>
      </c>
      <c r="J813" s="2">
        <f>'(Raw) LensesGH'!E813</f>
        <v>0</v>
      </c>
      <c r="K813" s="40">
        <f t="shared" si="114"/>
        <v>0</v>
      </c>
      <c r="L813" t="str">
        <f>'(Raw) LensesGH'!F813</f>
        <v>Sony E</v>
      </c>
      <c r="M813" t="str">
        <f>'(Raw) LensesGH'!G813</f>
        <v>APS-C/ Kleinbild</v>
      </c>
      <c r="N813" t="str">
        <f>'(Raw) LensesGH'!H813</f>
        <v>640g</v>
      </c>
      <c r="O813" s="5">
        <f t="shared" si="115"/>
        <v>640</v>
      </c>
      <c r="P813" t="str">
        <f>'(Raw) LensesGH'!I813</f>
        <v>87 x 122.1mm</v>
      </c>
      <c r="Q813" s="39">
        <f t="shared" si="116"/>
        <v>87</v>
      </c>
      <c r="R813" s="39">
        <f t="shared" si="108"/>
        <v>122.1</v>
      </c>
    </row>
    <row r="814" spans="1:18" x14ac:dyDescent="0.25">
      <c r="A814" t="str">
        <f>'(Raw) LensesGH'!A814</f>
        <v>Samyang 16mm 2.0 ED AS UMC CS für Canon EF schwarz</v>
      </c>
      <c r="B814" t="str">
        <f>'(Raw) LensesGH'!B814</f>
        <v>16mm</v>
      </c>
      <c r="C814" s="5">
        <f t="shared" si="109"/>
        <v>16</v>
      </c>
      <c r="D814" s="5">
        <f t="shared" si="110"/>
        <v>16</v>
      </c>
      <c r="E814" t="str">
        <f>'(Raw) LensesGH'!C814</f>
        <v>1:2.0</v>
      </c>
      <c r="F814" s="9">
        <f t="shared" si="111"/>
        <v>2</v>
      </c>
      <c r="G814" s="9">
        <f t="shared" si="112"/>
        <v>2</v>
      </c>
      <c r="H814" t="str">
        <f>'(Raw) LensesGH'!D814</f>
        <v>77mm</v>
      </c>
      <c r="I814" s="2">
        <f t="shared" si="113"/>
        <v>77</v>
      </c>
      <c r="J814" s="2">
        <f>'(Raw) LensesGH'!E814</f>
        <v>0</v>
      </c>
      <c r="K814" s="40">
        <f t="shared" si="114"/>
        <v>0</v>
      </c>
      <c r="L814" t="str">
        <f>'(Raw) LensesGH'!F814</f>
        <v>Canon EF</v>
      </c>
      <c r="M814" t="str">
        <f>'(Raw) LensesGH'!G814</f>
        <v>APS-C</v>
      </c>
      <c r="N814" t="str">
        <f>'(Raw) LensesGH'!H814</f>
        <v>583g</v>
      </c>
      <c r="O814" s="5">
        <f t="shared" si="115"/>
        <v>583</v>
      </c>
      <c r="P814" t="str">
        <f>'(Raw) LensesGH'!I814</f>
        <v>83 x 89.4mm</v>
      </c>
      <c r="Q814" s="39">
        <f t="shared" si="116"/>
        <v>83</v>
      </c>
      <c r="R814" s="39">
        <f t="shared" si="108"/>
        <v>89.4</v>
      </c>
    </row>
    <row r="815" spans="1:18" x14ac:dyDescent="0.25">
      <c r="A815" t="str">
        <f>'(Raw) LensesGH'!A815</f>
        <v>Samyang 16mm 2.0 ED AS UMC CS für Canon EF-M schwarz</v>
      </c>
      <c r="B815" t="str">
        <f>'(Raw) LensesGH'!B815</f>
        <v>16mm</v>
      </c>
      <c r="C815" s="5">
        <f t="shared" si="109"/>
        <v>16</v>
      </c>
      <c r="D815" s="5">
        <f t="shared" si="110"/>
        <v>16</v>
      </c>
      <c r="E815" t="str">
        <f>'(Raw) LensesGH'!C815</f>
        <v>1:2.0</v>
      </c>
      <c r="F815" s="9">
        <f t="shared" si="111"/>
        <v>2</v>
      </c>
      <c r="G815" s="9">
        <f t="shared" si="112"/>
        <v>2</v>
      </c>
      <c r="H815" t="str">
        <f>'(Raw) LensesGH'!D815</f>
        <v>77mm</v>
      </c>
      <c r="I815" s="2">
        <f t="shared" si="113"/>
        <v>77</v>
      </c>
      <c r="J815" s="2">
        <f>'(Raw) LensesGH'!E815</f>
        <v>0</v>
      </c>
      <c r="K815" s="40">
        <f t="shared" si="114"/>
        <v>0</v>
      </c>
      <c r="L815" t="str">
        <f>'(Raw) LensesGH'!F815</f>
        <v>Canon EF-M</v>
      </c>
      <c r="M815" t="str">
        <f>'(Raw) LensesGH'!G815</f>
        <v>APS-C</v>
      </c>
      <c r="N815" t="str">
        <f>'(Raw) LensesGH'!H815</f>
        <v>583g</v>
      </c>
      <c r="O815" s="5">
        <f t="shared" si="115"/>
        <v>583</v>
      </c>
      <c r="P815" t="str">
        <f>'(Raw) LensesGH'!I815</f>
        <v>83 x 89.4mm</v>
      </c>
      <c r="Q815" s="39">
        <f t="shared" si="116"/>
        <v>83</v>
      </c>
      <c r="R815" s="39">
        <f t="shared" si="108"/>
        <v>89.4</v>
      </c>
    </row>
    <row r="816" spans="1:18" x14ac:dyDescent="0.25">
      <c r="A816" t="str">
        <f>'(Raw) LensesGH'!A816</f>
        <v>Samyang 16mm 2.0 ED AS UMC CS für Four-Thirds schwarz</v>
      </c>
      <c r="B816" t="str">
        <f>'(Raw) LensesGH'!B816</f>
        <v>16mm</v>
      </c>
      <c r="C816" s="5">
        <f t="shared" si="109"/>
        <v>16</v>
      </c>
      <c r="D816" s="5">
        <f t="shared" si="110"/>
        <v>16</v>
      </c>
      <c r="E816" t="str">
        <f>'(Raw) LensesGH'!C816</f>
        <v>1:2.0</v>
      </c>
      <c r="F816" s="9">
        <f t="shared" si="111"/>
        <v>2</v>
      </c>
      <c r="G816" s="9">
        <f t="shared" si="112"/>
        <v>2</v>
      </c>
      <c r="H816" t="str">
        <f>'(Raw) LensesGH'!D816</f>
        <v>77mm</v>
      </c>
      <c r="I816" s="2">
        <f t="shared" si="113"/>
        <v>77</v>
      </c>
      <c r="J816" s="2">
        <f>'(Raw) LensesGH'!E816</f>
        <v>0</v>
      </c>
      <c r="K816" s="40">
        <f t="shared" si="114"/>
        <v>0</v>
      </c>
      <c r="L816" t="str">
        <f>'(Raw) LensesGH'!F816</f>
        <v>Four-Thirds</v>
      </c>
      <c r="M816" t="str">
        <f>'(Raw) LensesGH'!G816</f>
        <v>Four-Thirds</v>
      </c>
      <c r="N816" t="str">
        <f>'(Raw) LensesGH'!H816</f>
        <v>583g</v>
      </c>
      <c r="O816" s="5">
        <f t="shared" si="115"/>
        <v>583</v>
      </c>
      <c r="P816" t="str">
        <f>'(Raw) LensesGH'!I816</f>
        <v>83 x 89.4mm</v>
      </c>
      <c r="Q816" s="39">
        <f t="shared" si="116"/>
        <v>83</v>
      </c>
      <c r="R816" s="39">
        <f t="shared" si="108"/>
        <v>89.4</v>
      </c>
    </row>
    <row r="817" spans="1:18" x14ac:dyDescent="0.25">
      <c r="A817" t="str">
        <f>'(Raw) LensesGH'!A817</f>
        <v>Samyang 16mm 2.0 ED AS UMC CS für Fujifilm X schwarz</v>
      </c>
      <c r="B817" t="str">
        <f>'(Raw) LensesGH'!B817</f>
        <v>16mm</v>
      </c>
      <c r="C817" s="5">
        <f t="shared" si="109"/>
        <v>16</v>
      </c>
      <c r="D817" s="5">
        <f t="shared" si="110"/>
        <v>16</v>
      </c>
      <c r="E817" t="str">
        <f>'(Raw) LensesGH'!C817</f>
        <v>1:2.0</v>
      </c>
      <c r="F817" s="9">
        <f t="shared" si="111"/>
        <v>2</v>
      </c>
      <c r="G817" s="9">
        <f t="shared" si="112"/>
        <v>2</v>
      </c>
      <c r="H817" t="str">
        <f>'(Raw) LensesGH'!D817</f>
        <v>77mm</v>
      </c>
      <c r="I817" s="2">
        <f t="shared" si="113"/>
        <v>77</v>
      </c>
      <c r="J817" s="2">
        <f>'(Raw) LensesGH'!E817</f>
        <v>0</v>
      </c>
      <c r="K817" s="40">
        <f t="shared" si="114"/>
        <v>0</v>
      </c>
      <c r="L817" t="str">
        <f>'(Raw) LensesGH'!F817</f>
        <v>Fujifilm X</v>
      </c>
      <c r="M817" t="str">
        <f>'(Raw) LensesGH'!G817</f>
        <v>APS-C</v>
      </c>
      <c r="N817" t="str">
        <f>'(Raw) LensesGH'!H817</f>
        <v>583g</v>
      </c>
      <c r="O817" s="5">
        <f t="shared" si="115"/>
        <v>583</v>
      </c>
      <c r="P817" t="str">
        <f>'(Raw) LensesGH'!I817</f>
        <v>83 x 89.4mm</v>
      </c>
      <c r="Q817" s="39">
        <f t="shared" si="116"/>
        <v>83</v>
      </c>
      <c r="R817" s="39">
        <f t="shared" si="108"/>
        <v>89.4</v>
      </c>
    </row>
    <row r="818" spans="1:18" x14ac:dyDescent="0.25">
      <c r="A818" t="str">
        <f>'(Raw) LensesGH'!A818</f>
        <v>Samyang 16mm 2.0 ED AS UMC CS für Micro-Four-Thirds schwarz</v>
      </c>
      <c r="B818" t="str">
        <f>'(Raw) LensesGH'!B818</f>
        <v>16mm</v>
      </c>
      <c r="C818" s="5">
        <f t="shared" si="109"/>
        <v>16</v>
      </c>
      <c r="D818" s="5">
        <f t="shared" si="110"/>
        <v>16</v>
      </c>
      <c r="E818" t="str">
        <f>'(Raw) LensesGH'!C818</f>
        <v>1:2.0</v>
      </c>
      <c r="F818" s="9">
        <f t="shared" si="111"/>
        <v>2</v>
      </c>
      <c r="G818" s="9">
        <f t="shared" si="112"/>
        <v>2</v>
      </c>
      <c r="H818" t="str">
        <f>'(Raw) LensesGH'!D818</f>
        <v>77mm</v>
      </c>
      <c r="I818" s="2">
        <f t="shared" si="113"/>
        <v>77</v>
      </c>
      <c r="J818" s="2">
        <f>'(Raw) LensesGH'!E818</f>
        <v>0</v>
      </c>
      <c r="K818" s="40">
        <f t="shared" si="114"/>
        <v>0</v>
      </c>
      <c r="L818" t="str">
        <f>'(Raw) LensesGH'!F818</f>
        <v>Micro-Four-Thirds</v>
      </c>
      <c r="M818" t="str">
        <f>'(Raw) LensesGH'!G818</f>
        <v>Four-Thirds</v>
      </c>
      <c r="N818" t="str">
        <f>'(Raw) LensesGH'!H818</f>
        <v>583g</v>
      </c>
      <c r="O818" s="5">
        <f t="shared" si="115"/>
        <v>583</v>
      </c>
      <c r="P818" t="str">
        <f>'(Raw) LensesGH'!I818</f>
        <v>83 x 89.4mm</v>
      </c>
      <c r="Q818" s="39">
        <f t="shared" si="116"/>
        <v>83</v>
      </c>
      <c r="R818" s="39">
        <f t="shared" si="108"/>
        <v>89.4</v>
      </c>
    </row>
    <row r="819" spans="1:18" x14ac:dyDescent="0.25">
      <c r="A819" t="str">
        <f>'(Raw) LensesGH'!A819</f>
        <v>Samyang 16mm 2.0 ED AS UMC CS für Pentax K schwarz</v>
      </c>
      <c r="B819" t="str">
        <f>'(Raw) LensesGH'!B819</f>
        <v>16mm</v>
      </c>
      <c r="C819" s="5">
        <f t="shared" si="109"/>
        <v>16</v>
      </c>
      <c r="D819" s="5">
        <f t="shared" si="110"/>
        <v>16</v>
      </c>
      <c r="E819" t="str">
        <f>'(Raw) LensesGH'!C819</f>
        <v>1:2.0</v>
      </c>
      <c r="F819" s="9">
        <f t="shared" si="111"/>
        <v>2</v>
      </c>
      <c r="G819" s="9">
        <f t="shared" si="112"/>
        <v>2</v>
      </c>
      <c r="H819" t="str">
        <f>'(Raw) LensesGH'!D819</f>
        <v>77mm</v>
      </c>
      <c r="I819" s="2">
        <f t="shared" si="113"/>
        <v>77</v>
      </c>
      <c r="J819" s="2">
        <f>'(Raw) LensesGH'!E819</f>
        <v>0</v>
      </c>
      <c r="K819" s="40">
        <f t="shared" si="114"/>
        <v>0</v>
      </c>
      <c r="L819" t="str">
        <f>'(Raw) LensesGH'!F819</f>
        <v>Pentax K</v>
      </c>
      <c r="M819" t="str">
        <f>'(Raw) LensesGH'!G819</f>
        <v>APS-C</v>
      </c>
      <c r="N819" t="str">
        <f>'(Raw) LensesGH'!H819</f>
        <v>583g</v>
      </c>
      <c r="O819" s="5">
        <f t="shared" si="115"/>
        <v>583</v>
      </c>
      <c r="P819" t="str">
        <f>'(Raw) LensesGH'!I819</f>
        <v>83 x 89.4mm</v>
      </c>
      <c r="Q819" s="39">
        <f t="shared" si="116"/>
        <v>83</v>
      </c>
      <c r="R819" s="39">
        <f t="shared" si="108"/>
        <v>89.4</v>
      </c>
    </row>
    <row r="820" spans="1:18" x14ac:dyDescent="0.25">
      <c r="A820" t="str">
        <f>'(Raw) LensesGH'!A820</f>
        <v>Samyang 16mm 2.0 ED AS UMC CS für Samsung NX schwarz</v>
      </c>
      <c r="B820" t="str">
        <f>'(Raw) LensesGH'!B820</f>
        <v>16mm</v>
      </c>
      <c r="C820" s="5">
        <f t="shared" si="109"/>
        <v>16</v>
      </c>
      <c r="D820" s="5">
        <f t="shared" si="110"/>
        <v>16</v>
      </c>
      <c r="E820" t="str">
        <f>'(Raw) LensesGH'!C820</f>
        <v>1:2.0</v>
      </c>
      <c r="F820" s="9">
        <f t="shared" si="111"/>
        <v>2</v>
      </c>
      <c r="G820" s="9">
        <f t="shared" si="112"/>
        <v>2</v>
      </c>
      <c r="H820" t="str">
        <f>'(Raw) LensesGH'!D820</f>
        <v>77mm</v>
      </c>
      <c r="I820" s="2">
        <f t="shared" si="113"/>
        <v>77</v>
      </c>
      <c r="J820" s="2">
        <f>'(Raw) LensesGH'!E820</f>
        <v>0</v>
      </c>
      <c r="K820" s="40">
        <f t="shared" si="114"/>
        <v>0</v>
      </c>
      <c r="L820" t="str">
        <f>'(Raw) LensesGH'!F820</f>
        <v>Samsung NX</v>
      </c>
      <c r="M820" t="str">
        <f>'(Raw) LensesGH'!G820</f>
        <v>APS-C</v>
      </c>
      <c r="N820" t="str">
        <f>'(Raw) LensesGH'!H820</f>
        <v>583g</v>
      </c>
      <c r="O820" s="5">
        <f t="shared" si="115"/>
        <v>583</v>
      </c>
      <c r="P820" t="str">
        <f>'(Raw) LensesGH'!I820</f>
        <v>83 x 89.4mm</v>
      </c>
      <c r="Q820" s="39">
        <f t="shared" si="116"/>
        <v>83</v>
      </c>
      <c r="R820" s="39">
        <f t="shared" si="108"/>
        <v>89.4</v>
      </c>
    </row>
    <row r="821" spans="1:18" x14ac:dyDescent="0.25">
      <c r="A821" t="str">
        <f>'(Raw) LensesGH'!A821</f>
        <v>Samyang 16mm 2.0 ED AS UMC CS für Sony A schwarz</v>
      </c>
      <c r="B821" t="str">
        <f>'(Raw) LensesGH'!B821</f>
        <v>16mm</v>
      </c>
      <c r="C821" s="5">
        <f t="shared" si="109"/>
        <v>16</v>
      </c>
      <c r="D821" s="5">
        <f t="shared" si="110"/>
        <v>16</v>
      </c>
      <c r="E821" t="str">
        <f>'(Raw) LensesGH'!C821</f>
        <v>1:2.0</v>
      </c>
      <c r="F821" s="9">
        <f t="shared" si="111"/>
        <v>2</v>
      </c>
      <c r="G821" s="9">
        <f t="shared" si="112"/>
        <v>2</v>
      </c>
      <c r="H821" t="str">
        <f>'(Raw) LensesGH'!D821</f>
        <v>77mm</v>
      </c>
      <c r="I821" s="2">
        <f t="shared" si="113"/>
        <v>77</v>
      </c>
      <c r="J821" s="2">
        <f>'(Raw) LensesGH'!E821</f>
        <v>0</v>
      </c>
      <c r="K821" s="40">
        <f t="shared" si="114"/>
        <v>0</v>
      </c>
      <c r="L821" t="str">
        <f>'(Raw) LensesGH'!F821</f>
        <v>Sony A</v>
      </c>
      <c r="M821" t="str">
        <f>'(Raw) LensesGH'!G821</f>
        <v>APS-C</v>
      </c>
      <c r="N821" t="str">
        <f>'(Raw) LensesGH'!H821</f>
        <v>583g</v>
      </c>
      <c r="O821" s="5">
        <f t="shared" si="115"/>
        <v>583</v>
      </c>
      <c r="P821" t="str">
        <f>'(Raw) LensesGH'!I821</f>
        <v>83 x 89.4mm</v>
      </c>
      <c r="Q821" s="39">
        <f t="shared" si="116"/>
        <v>83</v>
      </c>
      <c r="R821" s="39">
        <f t="shared" si="108"/>
        <v>89.4</v>
      </c>
    </row>
    <row r="822" spans="1:18" x14ac:dyDescent="0.25">
      <c r="A822" t="str">
        <f>'(Raw) LensesGH'!A822</f>
        <v>Samyang 16mm 2.0 ED AS UMC CS für Sony E schwarz</v>
      </c>
      <c r="B822" t="str">
        <f>'(Raw) LensesGH'!B822</f>
        <v>16mm</v>
      </c>
      <c r="C822" s="5">
        <f t="shared" si="109"/>
        <v>16</v>
      </c>
      <c r="D822" s="5">
        <f t="shared" si="110"/>
        <v>16</v>
      </c>
      <c r="E822" t="str">
        <f>'(Raw) LensesGH'!C822</f>
        <v>1:2.0</v>
      </c>
      <c r="F822" s="9">
        <f t="shared" si="111"/>
        <v>2</v>
      </c>
      <c r="G822" s="9">
        <f t="shared" si="112"/>
        <v>2</v>
      </c>
      <c r="H822" t="str">
        <f>'(Raw) LensesGH'!D822</f>
        <v>77mm</v>
      </c>
      <c r="I822" s="2">
        <f t="shared" si="113"/>
        <v>77</v>
      </c>
      <c r="J822" s="2">
        <f>'(Raw) LensesGH'!E822</f>
        <v>0</v>
      </c>
      <c r="K822" s="40">
        <f t="shared" si="114"/>
        <v>0</v>
      </c>
      <c r="L822" t="str">
        <f>'(Raw) LensesGH'!F822</f>
        <v>Sony E</v>
      </c>
      <c r="M822" t="str">
        <f>'(Raw) LensesGH'!G822</f>
        <v>APS-C</v>
      </c>
      <c r="N822" t="str">
        <f>'(Raw) LensesGH'!H822</f>
        <v>583g</v>
      </c>
      <c r="O822" s="5">
        <f t="shared" si="115"/>
        <v>583</v>
      </c>
      <c r="P822" t="str">
        <f>'(Raw) LensesGH'!I822</f>
        <v>83 x 89.4mm</v>
      </c>
      <c r="Q822" s="39">
        <f t="shared" si="116"/>
        <v>83</v>
      </c>
      <c r="R822" s="39">
        <f t="shared" si="108"/>
        <v>89.4</v>
      </c>
    </row>
    <row r="823" spans="1:18" x14ac:dyDescent="0.25">
      <c r="A823" t="str">
        <f>'(Raw) LensesGH'!A823</f>
        <v>Samyang 16mm T2.2 VDSLR ED AS UMC CS II für Canon EF schwarz</v>
      </c>
      <c r="B823" t="str">
        <f>'(Raw) LensesGH'!B823</f>
        <v>16mm</v>
      </c>
      <c r="C823" s="5">
        <f t="shared" si="109"/>
        <v>16</v>
      </c>
      <c r="D823" s="5">
        <f t="shared" si="110"/>
        <v>16</v>
      </c>
      <c r="E823" t="str">
        <f>'(Raw) LensesGH'!C823</f>
        <v>1:2.2</v>
      </c>
      <c r="F823" s="9">
        <f t="shared" si="111"/>
        <v>2.2000000000000002</v>
      </c>
      <c r="G823" s="9">
        <f t="shared" si="112"/>
        <v>2.2000000000000002</v>
      </c>
      <c r="H823" t="str">
        <f>'(Raw) LensesGH'!D823</f>
        <v>77mm</v>
      </c>
      <c r="I823" s="2">
        <f t="shared" si="113"/>
        <v>77</v>
      </c>
      <c r="J823" s="2">
        <f>'(Raw) LensesGH'!E823</f>
        <v>0</v>
      </c>
      <c r="K823" s="40">
        <f t="shared" si="114"/>
        <v>0</v>
      </c>
      <c r="L823" t="str">
        <f>'(Raw) LensesGH'!F823</f>
        <v>Canon EF</v>
      </c>
      <c r="M823" t="str">
        <f>'(Raw) LensesGH'!G823</f>
        <v>APS-C</v>
      </c>
      <c r="N823" t="str">
        <f>'(Raw) LensesGH'!H823</f>
        <v>590g</v>
      </c>
      <c r="O823" s="5">
        <f t="shared" si="115"/>
        <v>590</v>
      </c>
      <c r="P823" t="str">
        <f>'(Raw) LensesGH'!I823</f>
        <v>83 x 89.4mm</v>
      </c>
      <c r="Q823" s="39">
        <f t="shared" si="116"/>
        <v>83</v>
      </c>
      <c r="R823" s="39">
        <f t="shared" si="108"/>
        <v>89.4</v>
      </c>
    </row>
    <row r="824" spans="1:18" x14ac:dyDescent="0.25">
      <c r="A824" t="str">
        <f>'(Raw) LensesGH'!A824</f>
        <v>Samyang 16mm T2.2 VDSLR ED AS UMC CS II für Canon EF-M schwarz</v>
      </c>
      <c r="B824" t="str">
        <f>'(Raw) LensesGH'!B824</f>
        <v>16mm</v>
      </c>
      <c r="C824" s="5">
        <f t="shared" si="109"/>
        <v>16</v>
      </c>
      <c r="D824" s="5">
        <f t="shared" si="110"/>
        <v>16</v>
      </c>
      <c r="E824" t="str">
        <f>'(Raw) LensesGH'!C824</f>
        <v>1:2.2</v>
      </c>
      <c r="F824" s="9">
        <f t="shared" si="111"/>
        <v>2.2000000000000002</v>
      </c>
      <c r="G824" s="9">
        <f t="shared" si="112"/>
        <v>2.2000000000000002</v>
      </c>
      <c r="H824" t="str">
        <f>'(Raw) LensesGH'!D824</f>
        <v>77mm</v>
      </c>
      <c r="I824" s="2">
        <f t="shared" si="113"/>
        <v>77</v>
      </c>
      <c r="J824" s="2">
        <f>'(Raw) LensesGH'!E824</f>
        <v>0</v>
      </c>
      <c r="K824" s="40">
        <f t="shared" si="114"/>
        <v>0</v>
      </c>
      <c r="L824" t="str">
        <f>'(Raw) LensesGH'!F824</f>
        <v>Canon EF-M</v>
      </c>
      <c r="M824" t="str">
        <f>'(Raw) LensesGH'!G824</f>
        <v>APS-C</v>
      </c>
      <c r="N824" t="str">
        <f>'(Raw) LensesGH'!H824</f>
        <v>620g</v>
      </c>
      <c r="O824" s="5">
        <f t="shared" si="115"/>
        <v>620</v>
      </c>
      <c r="P824" t="str">
        <f>'(Raw) LensesGH'!I824</f>
        <v>83 x 115.7mm</v>
      </c>
      <c r="Q824" s="39">
        <f t="shared" si="116"/>
        <v>83</v>
      </c>
      <c r="R824" s="39">
        <f t="shared" si="108"/>
        <v>115.7</v>
      </c>
    </row>
    <row r="825" spans="1:18" x14ac:dyDescent="0.25">
      <c r="A825" t="str">
        <f>'(Raw) LensesGH'!A825</f>
        <v>Samyang 16mm T2.2 VDSLR ED AS UMC CS II für Four-Thirds schwarz</v>
      </c>
      <c r="B825" t="str">
        <f>'(Raw) LensesGH'!B825</f>
        <v>16mm</v>
      </c>
      <c r="C825" s="5">
        <f t="shared" si="109"/>
        <v>16</v>
      </c>
      <c r="D825" s="5">
        <f t="shared" si="110"/>
        <v>16</v>
      </c>
      <c r="E825" t="str">
        <f>'(Raw) LensesGH'!C825</f>
        <v>1:2.2</v>
      </c>
      <c r="F825" s="9">
        <f t="shared" si="111"/>
        <v>2.2000000000000002</v>
      </c>
      <c r="G825" s="9">
        <f t="shared" si="112"/>
        <v>2.2000000000000002</v>
      </c>
      <c r="H825" t="str">
        <f>'(Raw) LensesGH'!D825</f>
        <v>77mm</v>
      </c>
      <c r="I825" s="2">
        <f t="shared" si="113"/>
        <v>77</v>
      </c>
      <c r="J825" s="2">
        <f>'(Raw) LensesGH'!E825</f>
        <v>0</v>
      </c>
      <c r="K825" s="40">
        <f t="shared" si="114"/>
        <v>0</v>
      </c>
      <c r="L825" t="str">
        <f>'(Raw) LensesGH'!F825</f>
        <v>Four-Thirds</v>
      </c>
      <c r="M825" t="str">
        <f>'(Raw) LensesGH'!G825</f>
        <v>Four-Thirds</v>
      </c>
      <c r="N825" t="str">
        <f>'(Raw) LensesGH'!H825</f>
        <v>610g</v>
      </c>
      <c r="O825" s="5">
        <f t="shared" si="115"/>
        <v>610</v>
      </c>
      <c r="P825" t="str">
        <f>'(Raw) LensesGH'!I825</f>
        <v>83 x 94.7mm</v>
      </c>
      <c r="Q825" s="39">
        <f t="shared" si="116"/>
        <v>83</v>
      </c>
      <c r="R825" s="39">
        <f t="shared" si="108"/>
        <v>94.7</v>
      </c>
    </row>
    <row r="826" spans="1:18" x14ac:dyDescent="0.25">
      <c r="A826" t="str">
        <f>'(Raw) LensesGH'!A826</f>
        <v>Samyang 16mm T2.2 VDSLR ED AS UMC CS II für Fujifilm X schwarz</v>
      </c>
      <c r="B826" t="str">
        <f>'(Raw) LensesGH'!B826</f>
        <v>16mm</v>
      </c>
      <c r="C826" s="5">
        <f t="shared" si="109"/>
        <v>16</v>
      </c>
      <c r="D826" s="5">
        <f t="shared" si="110"/>
        <v>16</v>
      </c>
      <c r="E826" t="str">
        <f>'(Raw) LensesGH'!C826</f>
        <v>1:2.2</v>
      </c>
      <c r="F826" s="9">
        <f t="shared" si="111"/>
        <v>2.2000000000000002</v>
      </c>
      <c r="G826" s="9">
        <f t="shared" si="112"/>
        <v>2.2000000000000002</v>
      </c>
      <c r="H826" t="str">
        <f>'(Raw) LensesGH'!D826</f>
        <v>77mm</v>
      </c>
      <c r="I826" s="2">
        <f t="shared" si="113"/>
        <v>77</v>
      </c>
      <c r="J826" s="2">
        <f>'(Raw) LensesGH'!E826</f>
        <v>0</v>
      </c>
      <c r="K826" s="40">
        <f t="shared" si="114"/>
        <v>0</v>
      </c>
      <c r="L826" t="str">
        <f>'(Raw) LensesGH'!F826</f>
        <v>Fujifilm X</v>
      </c>
      <c r="M826" t="str">
        <f>'(Raw) LensesGH'!G826</f>
        <v>APS-C</v>
      </c>
      <c r="N826" t="str">
        <f>'(Raw) LensesGH'!H826</f>
        <v>625g</v>
      </c>
      <c r="O826" s="5">
        <f t="shared" si="115"/>
        <v>625</v>
      </c>
      <c r="P826" t="str">
        <f>'(Raw) LensesGH'!I826</f>
        <v>83 x 115.7mm</v>
      </c>
      <c r="Q826" s="39">
        <f t="shared" si="116"/>
        <v>83</v>
      </c>
      <c r="R826" s="39">
        <f t="shared" si="108"/>
        <v>115.7</v>
      </c>
    </row>
    <row r="827" spans="1:18" x14ac:dyDescent="0.25">
      <c r="A827" t="str">
        <f>'(Raw) LensesGH'!A827</f>
        <v>Samyang 16mm T2.2 VDSLR ED AS UMC CS II für Micro-Four-Thirds schwarz</v>
      </c>
      <c r="B827" t="str">
        <f>'(Raw) LensesGH'!B827</f>
        <v>16mm</v>
      </c>
      <c r="C827" s="5">
        <f t="shared" si="109"/>
        <v>16</v>
      </c>
      <c r="D827" s="5">
        <f t="shared" si="110"/>
        <v>16</v>
      </c>
      <c r="E827" t="str">
        <f>'(Raw) LensesGH'!C827</f>
        <v>1:2.2</v>
      </c>
      <c r="F827" s="9">
        <f t="shared" si="111"/>
        <v>2.2000000000000002</v>
      </c>
      <c r="G827" s="9">
        <f t="shared" si="112"/>
        <v>2.2000000000000002</v>
      </c>
      <c r="H827" t="str">
        <f>'(Raw) LensesGH'!D827</f>
        <v>77mm</v>
      </c>
      <c r="I827" s="2">
        <f t="shared" si="113"/>
        <v>77</v>
      </c>
      <c r="J827" s="2">
        <f>'(Raw) LensesGH'!E827</f>
        <v>0</v>
      </c>
      <c r="K827" s="40">
        <f t="shared" si="114"/>
        <v>0</v>
      </c>
      <c r="L827" t="str">
        <f>'(Raw) LensesGH'!F827</f>
        <v>Micro-Four-Thirds</v>
      </c>
      <c r="M827" t="str">
        <f>'(Raw) LensesGH'!G827</f>
        <v>Four-Thirds</v>
      </c>
      <c r="N827" t="str">
        <f>'(Raw) LensesGH'!H827</f>
        <v>620g</v>
      </c>
      <c r="O827" s="5">
        <f t="shared" si="115"/>
        <v>620</v>
      </c>
      <c r="P827" t="str">
        <f>'(Raw) LensesGH'!I827</f>
        <v>83 x 114.2mm</v>
      </c>
      <c r="Q827" s="39">
        <f t="shared" si="116"/>
        <v>83</v>
      </c>
      <c r="R827" s="39">
        <f t="shared" si="108"/>
        <v>114.2</v>
      </c>
    </row>
    <row r="828" spans="1:18" x14ac:dyDescent="0.25">
      <c r="A828" t="str">
        <f>'(Raw) LensesGH'!A828</f>
        <v>Samyang 16mm T2.2 VDSLR ED AS UMC CS II für Nikon F schwarz</v>
      </c>
      <c r="B828" t="str">
        <f>'(Raw) LensesGH'!B828</f>
        <v>16mm</v>
      </c>
      <c r="C828" s="5">
        <f t="shared" si="109"/>
        <v>16</v>
      </c>
      <c r="D828" s="5">
        <f t="shared" si="110"/>
        <v>16</v>
      </c>
      <c r="E828" t="str">
        <f>'(Raw) LensesGH'!C828</f>
        <v>1:2.2</v>
      </c>
      <c r="F828" s="9">
        <f t="shared" si="111"/>
        <v>2.2000000000000002</v>
      </c>
      <c r="G828" s="9">
        <f t="shared" si="112"/>
        <v>2.2000000000000002</v>
      </c>
      <c r="H828" t="str">
        <f>'(Raw) LensesGH'!D828</f>
        <v>77mm</v>
      </c>
      <c r="I828" s="2">
        <f t="shared" si="113"/>
        <v>77</v>
      </c>
      <c r="J828" s="2">
        <f>'(Raw) LensesGH'!E828</f>
        <v>0</v>
      </c>
      <c r="K828" s="40">
        <f t="shared" si="114"/>
        <v>0</v>
      </c>
      <c r="L828" t="str">
        <f>'(Raw) LensesGH'!F828</f>
        <v>Nikon F</v>
      </c>
      <c r="M828" t="str">
        <f>'(Raw) LensesGH'!G828</f>
        <v>APS-C</v>
      </c>
      <c r="N828" t="str">
        <f>'(Raw) LensesGH'!H828</f>
        <v>580g</v>
      </c>
      <c r="O828" s="5">
        <f t="shared" si="115"/>
        <v>580</v>
      </c>
      <c r="P828" t="str">
        <f>'(Raw) LensesGH'!I828</f>
        <v>83 x 86.9mm</v>
      </c>
      <c r="Q828" s="39">
        <f t="shared" si="116"/>
        <v>83</v>
      </c>
      <c r="R828" s="39">
        <f t="shared" si="108"/>
        <v>86.9</v>
      </c>
    </row>
    <row r="829" spans="1:18" x14ac:dyDescent="0.25">
      <c r="A829" t="str">
        <f>'(Raw) LensesGH'!A829</f>
        <v>Samyang 16mm T2.2 VDSLR ED AS UMC CS II für Samsung NX schwarz</v>
      </c>
      <c r="B829" t="str">
        <f>'(Raw) LensesGH'!B829</f>
        <v>16mm</v>
      </c>
      <c r="C829" s="5">
        <f t="shared" si="109"/>
        <v>16</v>
      </c>
      <c r="D829" s="5">
        <f t="shared" si="110"/>
        <v>16</v>
      </c>
      <c r="E829" t="str">
        <f>'(Raw) LensesGH'!C829</f>
        <v>1:2.2</v>
      </c>
      <c r="F829" s="9">
        <f t="shared" si="111"/>
        <v>2.2000000000000002</v>
      </c>
      <c r="G829" s="9">
        <f t="shared" si="112"/>
        <v>2.2000000000000002</v>
      </c>
      <c r="H829" t="str">
        <f>'(Raw) LensesGH'!D829</f>
        <v>77mm</v>
      </c>
      <c r="I829" s="2">
        <f t="shared" si="113"/>
        <v>77</v>
      </c>
      <c r="J829" s="2">
        <f>'(Raw) LensesGH'!E829</f>
        <v>0</v>
      </c>
      <c r="K829" s="40">
        <f t="shared" si="114"/>
        <v>0</v>
      </c>
      <c r="L829" t="str">
        <f>'(Raw) LensesGH'!F829</f>
        <v>Samsung NX</v>
      </c>
      <c r="M829" t="str">
        <f>'(Raw) LensesGH'!G829</f>
        <v>APS-C</v>
      </c>
      <c r="N829" t="str">
        <f>'(Raw) LensesGH'!H829</f>
        <v>615g</v>
      </c>
      <c r="O829" s="5">
        <f t="shared" si="115"/>
        <v>615</v>
      </c>
      <c r="P829" t="str">
        <f>'(Raw) LensesGH'!I829</f>
        <v>83 x 107.9mm</v>
      </c>
      <c r="Q829" s="39">
        <f t="shared" si="116"/>
        <v>83</v>
      </c>
      <c r="R829" s="39">
        <f t="shared" si="108"/>
        <v>107.9</v>
      </c>
    </row>
    <row r="830" spans="1:18" x14ac:dyDescent="0.25">
      <c r="A830" t="str">
        <f>'(Raw) LensesGH'!A830</f>
        <v>Samyang 16mm T2.2 VDSLR ED AS UMC CS II für Sony A schwarz</v>
      </c>
      <c r="B830" t="str">
        <f>'(Raw) LensesGH'!B830</f>
        <v>16mm</v>
      </c>
      <c r="C830" s="5">
        <f t="shared" si="109"/>
        <v>16</v>
      </c>
      <c r="D830" s="5">
        <f t="shared" si="110"/>
        <v>16</v>
      </c>
      <c r="E830" t="str">
        <f>'(Raw) LensesGH'!C830</f>
        <v>1:2.2</v>
      </c>
      <c r="F830" s="9">
        <f t="shared" si="111"/>
        <v>2.2000000000000002</v>
      </c>
      <c r="G830" s="9">
        <f t="shared" si="112"/>
        <v>2.2000000000000002</v>
      </c>
      <c r="H830" t="str">
        <f>'(Raw) LensesGH'!D830</f>
        <v>77mm</v>
      </c>
      <c r="I830" s="2">
        <f t="shared" si="113"/>
        <v>77</v>
      </c>
      <c r="J830" s="2">
        <f>'(Raw) LensesGH'!E830</f>
        <v>0</v>
      </c>
      <c r="K830" s="40">
        <f t="shared" si="114"/>
        <v>0</v>
      </c>
      <c r="L830" t="str">
        <f>'(Raw) LensesGH'!F830</f>
        <v>Sony A</v>
      </c>
      <c r="M830" t="str">
        <f>'(Raw) LensesGH'!G830</f>
        <v>APS-C</v>
      </c>
      <c r="N830" t="str">
        <f>'(Raw) LensesGH'!H830</f>
        <v>585g</v>
      </c>
      <c r="O830" s="5">
        <f t="shared" si="115"/>
        <v>585</v>
      </c>
      <c r="P830" t="str">
        <f>'(Raw) LensesGH'!I830</f>
        <v>83 x 88.9mm</v>
      </c>
      <c r="Q830" s="39">
        <f t="shared" si="116"/>
        <v>83</v>
      </c>
      <c r="R830" s="39">
        <f t="shared" si="108"/>
        <v>88.9</v>
      </c>
    </row>
    <row r="831" spans="1:18" x14ac:dyDescent="0.25">
      <c r="A831" t="str">
        <f>'(Raw) LensesGH'!A831</f>
        <v>Samyang 16mm T2.2 VDSLR ED AS UMC CS II für Sony E schwarz</v>
      </c>
      <c r="B831" t="str">
        <f>'(Raw) LensesGH'!B831</f>
        <v>16mm</v>
      </c>
      <c r="C831" s="5">
        <f t="shared" si="109"/>
        <v>16</v>
      </c>
      <c r="D831" s="5">
        <f t="shared" si="110"/>
        <v>16</v>
      </c>
      <c r="E831" t="str">
        <f>'(Raw) LensesGH'!C831</f>
        <v>1:2.2</v>
      </c>
      <c r="F831" s="9">
        <f t="shared" si="111"/>
        <v>2.2000000000000002</v>
      </c>
      <c r="G831" s="9">
        <f t="shared" si="112"/>
        <v>2.2000000000000002</v>
      </c>
      <c r="H831" t="str">
        <f>'(Raw) LensesGH'!D831</f>
        <v>77mm</v>
      </c>
      <c r="I831" s="2">
        <f t="shared" si="113"/>
        <v>77</v>
      </c>
      <c r="J831" s="2">
        <f>'(Raw) LensesGH'!E831</f>
        <v>0</v>
      </c>
      <c r="K831" s="40">
        <f t="shared" si="114"/>
        <v>0</v>
      </c>
      <c r="L831" t="str">
        <f>'(Raw) LensesGH'!F831</f>
        <v>Sony E</v>
      </c>
      <c r="M831" t="str">
        <f>'(Raw) LensesGH'!G831</f>
        <v>APS-C</v>
      </c>
      <c r="N831" t="str">
        <f>'(Raw) LensesGH'!H831</f>
        <v>620g</v>
      </c>
      <c r="O831" s="5">
        <f t="shared" si="115"/>
        <v>620</v>
      </c>
      <c r="P831" t="str">
        <f>'(Raw) LensesGH'!I831</f>
        <v>83 x 115.4mm</v>
      </c>
      <c r="Q831" s="39">
        <f t="shared" si="116"/>
        <v>83</v>
      </c>
      <c r="R831" s="39">
        <f t="shared" si="108"/>
        <v>115.4</v>
      </c>
    </row>
    <row r="832" spans="1:18" x14ac:dyDescent="0.25">
      <c r="A832" t="str">
        <f>'(Raw) LensesGH'!A832</f>
        <v>Samyang 16mm T2.6 VDSLR ED AS UMC für Canon EF schwarz</v>
      </c>
      <c r="B832" t="str">
        <f>'(Raw) LensesGH'!B832</f>
        <v>16mm</v>
      </c>
      <c r="C832" s="5">
        <f t="shared" si="109"/>
        <v>16</v>
      </c>
      <c r="D832" s="5">
        <f t="shared" si="110"/>
        <v>16</v>
      </c>
      <c r="E832" t="str">
        <f>'(Raw) LensesGH'!C832</f>
        <v>1:2.6</v>
      </c>
      <c r="F832" s="9">
        <f t="shared" si="111"/>
        <v>2.6</v>
      </c>
      <c r="G832" s="9">
        <f t="shared" si="112"/>
        <v>2.6</v>
      </c>
      <c r="H832" t="str">
        <f>'(Raw) LensesGH'!D832</f>
        <v>77mm</v>
      </c>
      <c r="I832" s="2">
        <f t="shared" si="113"/>
        <v>77</v>
      </c>
      <c r="J832" s="2">
        <f>'(Raw) LensesGH'!E832</f>
        <v>0</v>
      </c>
      <c r="K832" s="40">
        <f t="shared" si="114"/>
        <v>0</v>
      </c>
      <c r="L832" t="str">
        <f>'(Raw) LensesGH'!F832</f>
        <v>Canon EF</v>
      </c>
      <c r="M832" t="str">
        <f>'(Raw) LensesGH'!G832</f>
        <v>APS-C/ Kleinbild</v>
      </c>
      <c r="N832" t="str">
        <f>'(Raw) LensesGH'!H832</f>
        <v>530g</v>
      </c>
      <c r="O832" s="5">
        <f t="shared" si="115"/>
        <v>530</v>
      </c>
      <c r="P832" t="str">
        <f>'(Raw) LensesGH'!I832</f>
        <v>81.7 x 96.1mm</v>
      </c>
      <c r="Q832" s="39">
        <f t="shared" si="116"/>
        <v>81.7</v>
      </c>
      <c r="R832" s="39">
        <f t="shared" si="108"/>
        <v>96.1</v>
      </c>
    </row>
    <row r="833" spans="1:18" x14ac:dyDescent="0.25">
      <c r="A833" t="str">
        <f>'(Raw) LensesGH'!A833</f>
        <v>Samyang 16mm T2.6 VDSLR ED AS UMC für Canon EF-M schwarz</v>
      </c>
      <c r="B833" t="str">
        <f>'(Raw) LensesGH'!B833</f>
        <v>16mm</v>
      </c>
      <c r="C833" s="5">
        <f t="shared" si="109"/>
        <v>16</v>
      </c>
      <c r="D833" s="5">
        <f t="shared" si="110"/>
        <v>16</v>
      </c>
      <c r="E833" t="str">
        <f>'(Raw) LensesGH'!C833</f>
        <v>1:2.6</v>
      </c>
      <c r="F833" s="9">
        <f t="shared" si="111"/>
        <v>2.6</v>
      </c>
      <c r="G833" s="9">
        <f t="shared" si="112"/>
        <v>2.6</v>
      </c>
      <c r="H833" t="str">
        <f>'(Raw) LensesGH'!D833</f>
        <v>77mm</v>
      </c>
      <c r="I833" s="2">
        <f t="shared" si="113"/>
        <v>77</v>
      </c>
      <c r="J833" s="2">
        <f>'(Raw) LensesGH'!E833</f>
        <v>0</v>
      </c>
      <c r="K833" s="40">
        <f t="shared" si="114"/>
        <v>0</v>
      </c>
      <c r="L833" t="str">
        <f>'(Raw) LensesGH'!F833</f>
        <v>Canon EF-M</v>
      </c>
      <c r="M833" t="str">
        <f>'(Raw) LensesGH'!G833</f>
        <v>APS-C</v>
      </c>
      <c r="N833" t="str">
        <f>'(Raw) LensesGH'!H833</f>
        <v>540g</v>
      </c>
      <c r="O833" s="5">
        <f t="shared" si="115"/>
        <v>540</v>
      </c>
      <c r="P833" t="str">
        <f>'(Raw) LensesGH'!I833</f>
        <v>81.7 x 122mm</v>
      </c>
      <c r="Q833" s="39">
        <f t="shared" si="116"/>
        <v>81.7</v>
      </c>
      <c r="R833" s="39">
        <f t="shared" si="108"/>
        <v>122</v>
      </c>
    </row>
    <row r="834" spans="1:18" x14ac:dyDescent="0.25">
      <c r="A834" t="str">
        <f>'(Raw) LensesGH'!A834</f>
        <v>Samyang 16mm T2.6 VDSLR ED AS UMC für Nikon F schwarz</v>
      </c>
      <c r="B834" t="str">
        <f>'(Raw) LensesGH'!B834</f>
        <v>16mm</v>
      </c>
      <c r="C834" s="5">
        <f t="shared" si="109"/>
        <v>16</v>
      </c>
      <c r="D834" s="5">
        <f t="shared" si="110"/>
        <v>16</v>
      </c>
      <c r="E834" t="str">
        <f>'(Raw) LensesGH'!C834</f>
        <v>1:2.6</v>
      </c>
      <c r="F834" s="9">
        <f t="shared" si="111"/>
        <v>2.6</v>
      </c>
      <c r="G834" s="9">
        <f t="shared" si="112"/>
        <v>2.6</v>
      </c>
      <c r="H834" t="str">
        <f>'(Raw) LensesGH'!D834</f>
        <v>77mm</v>
      </c>
      <c r="I834" s="2">
        <f t="shared" si="113"/>
        <v>77</v>
      </c>
      <c r="J834" s="2">
        <f>'(Raw) LensesGH'!E834</f>
        <v>0</v>
      </c>
      <c r="K834" s="40">
        <f t="shared" si="114"/>
        <v>0</v>
      </c>
      <c r="L834" t="str">
        <f>'(Raw) LensesGH'!F834</f>
        <v>Nikon F</v>
      </c>
      <c r="M834" t="str">
        <f>'(Raw) LensesGH'!G834</f>
        <v>APS-C/ Kleinbild</v>
      </c>
      <c r="N834" t="str">
        <f>'(Raw) LensesGH'!H834</f>
        <v>515g</v>
      </c>
      <c r="O834" s="5">
        <f t="shared" si="115"/>
        <v>515</v>
      </c>
      <c r="P834" t="str">
        <f>'(Raw) LensesGH'!I834</f>
        <v>81.7 x 93.6mm</v>
      </c>
      <c r="Q834" s="39">
        <f t="shared" si="116"/>
        <v>81.7</v>
      </c>
      <c r="R834" s="39">
        <f t="shared" ref="R834:R897" si="117">getSizeLength(P834)</f>
        <v>93.6</v>
      </c>
    </row>
    <row r="835" spans="1:18" x14ac:dyDescent="0.25">
      <c r="A835" t="str">
        <f>'(Raw) LensesGH'!A835</f>
        <v>Samyang 16mm T2.6 VDSLR ED AS UMC für Sony E schwarz</v>
      </c>
      <c r="B835" t="str">
        <f>'(Raw) LensesGH'!B835</f>
        <v>16mm</v>
      </c>
      <c r="C835" s="5">
        <f t="shared" ref="C835:C898" si="118">getFocalLengthStart(B835)</f>
        <v>16</v>
      </c>
      <c r="D835" s="5">
        <f t="shared" ref="D835:D898" si="119">getFocalLengthEnd(B835)</f>
        <v>16</v>
      </c>
      <c r="E835" t="str">
        <f>'(Raw) LensesGH'!C835</f>
        <v>1:2.6</v>
      </c>
      <c r="F835" s="9">
        <f t="shared" ref="F835:F898" si="120">getApertureStart(E835)</f>
        <v>2.6</v>
      </c>
      <c r="G835" s="9">
        <f t="shared" ref="G835:G898" si="121">getApertureEnd(F835)</f>
        <v>2.6</v>
      </c>
      <c r="H835" t="str">
        <f>'(Raw) LensesGH'!D835</f>
        <v>77mm</v>
      </c>
      <c r="I835" s="2">
        <f t="shared" ref="I835:I898" si="122">getFiltersizeAsDouble(H835)</f>
        <v>77</v>
      </c>
      <c r="J835" s="2">
        <f>'(Raw) LensesGH'!E835</f>
        <v>0</v>
      </c>
      <c r="K835" s="40">
        <f t="shared" ref="K835:K898" si="123">getMagnification(J835)</f>
        <v>0</v>
      </c>
      <c r="L835" t="str">
        <f>'(Raw) LensesGH'!F835</f>
        <v>Sony E</v>
      </c>
      <c r="M835" t="str">
        <f>'(Raw) LensesGH'!G835</f>
        <v>APS-C/ Kleinbild</v>
      </c>
      <c r="N835" t="str">
        <f>'(Raw) LensesGH'!H835</f>
        <v>540g</v>
      </c>
      <c r="O835" s="5">
        <f t="shared" ref="O835:O898" si="124">getWeightAsDouble(N835)</f>
        <v>540</v>
      </c>
      <c r="P835" t="str">
        <f>'(Raw) LensesGH'!I835</f>
        <v>81.7 x 122.1mm</v>
      </c>
      <c r="Q835" s="39">
        <f t="shared" ref="Q835:Q898" si="125">getSizeDiameter(P835)</f>
        <v>81.7</v>
      </c>
      <c r="R835" s="39">
        <f t="shared" si="117"/>
        <v>122.1</v>
      </c>
    </row>
    <row r="836" spans="1:18" x14ac:dyDescent="0.25">
      <c r="A836" t="str">
        <f>'(Raw) LensesGH'!A836</f>
        <v>Samyang 20mm 1.8 ED AS UMC für Canon EF schwarz</v>
      </c>
      <c r="B836" t="str">
        <f>'(Raw) LensesGH'!B836</f>
        <v>20mm</v>
      </c>
      <c r="C836" s="5">
        <f t="shared" si="118"/>
        <v>20</v>
      </c>
      <c r="D836" s="5">
        <f t="shared" si="119"/>
        <v>20</v>
      </c>
      <c r="E836" t="str">
        <f>'(Raw) LensesGH'!C836</f>
        <v>1:1.8</v>
      </c>
      <c r="F836" s="9">
        <f t="shared" si="120"/>
        <v>1.8</v>
      </c>
      <c r="G836" s="9">
        <f t="shared" si="121"/>
        <v>1.8</v>
      </c>
      <c r="H836" t="str">
        <f>'(Raw) LensesGH'!D836</f>
        <v>77mm</v>
      </c>
      <c r="I836" s="2">
        <f t="shared" si="122"/>
        <v>77</v>
      </c>
      <c r="J836" s="2">
        <f>'(Raw) LensesGH'!E836</f>
        <v>0</v>
      </c>
      <c r="K836" s="40">
        <f t="shared" si="123"/>
        <v>0</v>
      </c>
      <c r="L836" t="str">
        <f>'(Raw) LensesGH'!F836</f>
        <v>Canon EF</v>
      </c>
      <c r="M836" t="str">
        <f>'(Raw) LensesGH'!G836</f>
        <v>APS-C/ Kleinbild</v>
      </c>
      <c r="N836" t="str">
        <f>'(Raw) LensesGH'!H836</f>
        <v>497g</v>
      </c>
      <c r="O836" s="5">
        <f t="shared" si="124"/>
        <v>497</v>
      </c>
      <c r="P836" t="str">
        <f>'(Raw) LensesGH'!I836</f>
        <v>83 x 88.4mm</v>
      </c>
      <c r="Q836" s="39">
        <f t="shared" si="125"/>
        <v>83</v>
      </c>
      <c r="R836" s="39">
        <f t="shared" si="117"/>
        <v>88.4</v>
      </c>
    </row>
    <row r="837" spans="1:18" x14ac:dyDescent="0.25">
      <c r="A837" t="str">
        <f>'(Raw) LensesGH'!A837</f>
        <v>Samyang 20mm 1.8 ED AS UMC für Canon EF-M schwarz</v>
      </c>
      <c r="B837" t="str">
        <f>'(Raw) LensesGH'!B837</f>
        <v>20mm</v>
      </c>
      <c r="C837" s="5">
        <f t="shared" si="118"/>
        <v>20</v>
      </c>
      <c r="D837" s="5">
        <f t="shared" si="119"/>
        <v>20</v>
      </c>
      <c r="E837" t="str">
        <f>'(Raw) LensesGH'!C837</f>
        <v>1:1.8</v>
      </c>
      <c r="F837" s="9">
        <f t="shared" si="120"/>
        <v>1.8</v>
      </c>
      <c r="G837" s="9">
        <f t="shared" si="121"/>
        <v>1.8</v>
      </c>
      <c r="H837" t="str">
        <f>'(Raw) LensesGH'!D837</f>
        <v>77mm</v>
      </c>
      <c r="I837" s="2">
        <f t="shared" si="122"/>
        <v>77</v>
      </c>
      <c r="J837" s="2">
        <f>'(Raw) LensesGH'!E837</f>
        <v>0</v>
      </c>
      <c r="K837" s="40">
        <f t="shared" si="123"/>
        <v>0</v>
      </c>
      <c r="L837" t="str">
        <f>'(Raw) LensesGH'!F837</f>
        <v>Canon EF-M</v>
      </c>
      <c r="M837" t="str">
        <f>'(Raw) LensesGH'!G837</f>
        <v>APS-C</v>
      </c>
      <c r="N837" t="str">
        <f>'(Raw) LensesGH'!H837</f>
        <v>525g</v>
      </c>
      <c r="O837" s="5">
        <f t="shared" si="124"/>
        <v>525</v>
      </c>
      <c r="P837" t="str">
        <f>'(Raw) LensesGH'!I837</f>
        <v>83 x 114.3mm</v>
      </c>
      <c r="Q837" s="39">
        <f t="shared" si="125"/>
        <v>83</v>
      </c>
      <c r="R837" s="39">
        <f t="shared" si="117"/>
        <v>114.3</v>
      </c>
    </row>
    <row r="838" spans="1:18" x14ac:dyDescent="0.25">
      <c r="A838" t="str">
        <f>'(Raw) LensesGH'!A838</f>
        <v>Samyang 20mm 1.8 ED AS UMC für Four-Thirds schwarz</v>
      </c>
      <c r="B838" t="str">
        <f>'(Raw) LensesGH'!B838</f>
        <v>20mm</v>
      </c>
      <c r="C838" s="5">
        <f t="shared" si="118"/>
        <v>20</v>
      </c>
      <c r="D838" s="5">
        <f t="shared" si="119"/>
        <v>20</v>
      </c>
      <c r="E838" t="str">
        <f>'(Raw) LensesGH'!C838</f>
        <v>1:1.8</v>
      </c>
      <c r="F838" s="9">
        <f t="shared" si="120"/>
        <v>1.8</v>
      </c>
      <c r="G838" s="9">
        <f t="shared" si="121"/>
        <v>1.8</v>
      </c>
      <c r="H838" t="str">
        <f>'(Raw) LensesGH'!D838</f>
        <v>77mm</v>
      </c>
      <c r="I838" s="2">
        <f t="shared" si="122"/>
        <v>77</v>
      </c>
      <c r="J838" s="2">
        <f>'(Raw) LensesGH'!E838</f>
        <v>0</v>
      </c>
      <c r="K838" s="40">
        <f t="shared" si="123"/>
        <v>0</v>
      </c>
      <c r="L838" t="str">
        <f>'(Raw) LensesGH'!F838</f>
        <v>Four-Thirds</v>
      </c>
      <c r="M838" t="str">
        <f>'(Raw) LensesGH'!G838</f>
        <v>Four-Thirds</v>
      </c>
      <c r="N838" t="str">
        <f>'(Raw) LensesGH'!H838</f>
        <v>530g</v>
      </c>
      <c r="O838" s="5">
        <f t="shared" si="124"/>
        <v>530</v>
      </c>
      <c r="P838" t="str">
        <f>'(Raw) LensesGH'!I838</f>
        <v>83 x 93.7mm</v>
      </c>
      <c r="Q838" s="39">
        <f t="shared" si="125"/>
        <v>83</v>
      </c>
      <c r="R838" s="39">
        <f t="shared" si="117"/>
        <v>93.7</v>
      </c>
    </row>
    <row r="839" spans="1:18" x14ac:dyDescent="0.25">
      <c r="A839" t="str">
        <f>'(Raw) LensesGH'!A839</f>
        <v>Samyang 20mm 1.8 ED AS UMC für Fujifilm X schwarz</v>
      </c>
      <c r="B839" t="str">
        <f>'(Raw) LensesGH'!B839</f>
        <v>20mm</v>
      </c>
      <c r="C839" s="5">
        <f t="shared" si="118"/>
        <v>20</v>
      </c>
      <c r="D839" s="5">
        <f t="shared" si="119"/>
        <v>20</v>
      </c>
      <c r="E839" t="str">
        <f>'(Raw) LensesGH'!C839</f>
        <v>1:1.8</v>
      </c>
      <c r="F839" s="9">
        <f t="shared" si="120"/>
        <v>1.8</v>
      </c>
      <c r="G839" s="9">
        <f t="shared" si="121"/>
        <v>1.8</v>
      </c>
      <c r="H839" t="str">
        <f>'(Raw) LensesGH'!D839</f>
        <v>77mm</v>
      </c>
      <c r="I839" s="2">
        <f t="shared" si="122"/>
        <v>77</v>
      </c>
      <c r="J839" s="2">
        <f>'(Raw) LensesGH'!E839</f>
        <v>0</v>
      </c>
      <c r="K839" s="40">
        <f t="shared" si="123"/>
        <v>0</v>
      </c>
      <c r="L839" t="str">
        <f>'(Raw) LensesGH'!F839</f>
        <v>Fujifilm X</v>
      </c>
      <c r="M839" t="str">
        <f>'(Raw) LensesGH'!G839</f>
        <v>APS-C</v>
      </c>
      <c r="N839" t="str">
        <f>'(Raw) LensesGH'!H839</f>
        <v>565g</v>
      </c>
      <c r="O839" s="5">
        <f t="shared" si="124"/>
        <v>565</v>
      </c>
      <c r="P839" t="str">
        <f>'(Raw) LensesGH'!I839</f>
        <v>83 x 114.7mm</v>
      </c>
      <c r="Q839" s="39">
        <f t="shared" si="125"/>
        <v>83</v>
      </c>
      <c r="R839" s="39">
        <f t="shared" si="117"/>
        <v>114.7</v>
      </c>
    </row>
    <row r="840" spans="1:18" x14ac:dyDescent="0.25">
      <c r="A840" t="str">
        <f>'(Raw) LensesGH'!A840</f>
        <v>Samyang 20mm 1.8 ED AS UMC für Micro-Four-Thirds schwarz</v>
      </c>
      <c r="B840" t="str">
        <f>'(Raw) LensesGH'!B840</f>
        <v>20mm</v>
      </c>
      <c r="C840" s="5">
        <f t="shared" si="118"/>
        <v>20</v>
      </c>
      <c r="D840" s="5">
        <f t="shared" si="119"/>
        <v>20</v>
      </c>
      <c r="E840" t="str">
        <f>'(Raw) LensesGH'!C840</f>
        <v>1:1.8</v>
      </c>
      <c r="F840" s="9">
        <f t="shared" si="120"/>
        <v>1.8</v>
      </c>
      <c r="G840" s="9">
        <f t="shared" si="121"/>
        <v>1.8</v>
      </c>
      <c r="H840" t="str">
        <f>'(Raw) LensesGH'!D840</f>
        <v>77mm</v>
      </c>
      <c r="I840" s="2">
        <f t="shared" si="122"/>
        <v>77</v>
      </c>
      <c r="J840" s="2">
        <f>'(Raw) LensesGH'!E840</f>
        <v>0</v>
      </c>
      <c r="K840" s="40">
        <f t="shared" si="123"/>
        <v>0</v>
      </c>
      <c r="L840" t="str">
        <f>'(Raw) LensesGH'!F840</f>
        <v>Micro-Four-Thirds</v>
      </c>
      <c r="M840" t="str">
        <f>'(Raw) LensesGH'!G840</f>
        <v>Four-Thirds</v>
      </c>
      <c r="N840" t="str">
        <f>'(Raw) LensesGH'!H840</f>
        <v>520g</v>
      </c>
      <c r="O840" s="5">
        <f t="shared" si="124"/>
        <v>520</v>
      </c>
      <c r="P840" t="str">
        <f>'(Raw) LensesGH'!I840</f>
        <v>83 x 113.2mm</v>
      </c>
      <c r="Q840" s="39">
        <f t="shared" si="125"/>
        <v>83</v>
      </c>
      <c r="R840" s="39">
        <f t="shared" si="117"/>
        <v>113.2</v>
      </c>
    </row>
    <row r="841" spans="1:18" x14ac:dyDescent="0.25">
      <c r="A841" t="str">
        <f>'(Raw) LensesGH'!A841</f>
        <v>Samyang 20mm 1.8 ED AS UMC für Nikon F schwarz</v>
      </c>
      <c r="B841" t="str">
        <f>'(Raw) LensesGH'!B841</f>
        <v>20mm</v>
      </c>
      <c r="C841" s="5">
        <f t="shared" si="118"/>
        <v>20</v>
      </c>
      <c r="D841" s="5">
        <f t="shared" si="119"/>
        <v>20</v>
      </c>
      <c r="E841" t="str">
        <f>'(Raw) LensesGH'!C841</f>
        <v>1:1.8</v>
      </c>
      <c r="F841" s="9">
        <f t="shared" si="120"/>
        <v>1.8</v>
      </c>
      <c r="G841" s="9">
        <f t="shared" si="121"/>
        <v>1.8</v>
      </c>
      <c r="H841" t="str">
        <f>'(Raw) LensesGH'!D841</f>
        <v>77mm</v>
      </c>
      <c r="I841" s="2">
        <f t="shared" si="122"/>
        <v>77</v>
      </c>
      <c r="J841" s="2">
        <f>'(Raw) LensesGH'!E841</f>
        <v>0</v>
      </c>
      <c r="K841" s="40">
        <f t="shared" si="123"/>
        <v>0</v>
      </c>
      <c r="L841" t="str">
        <f>'(Raw) LensesGH'!F841</f>
        <v>Nikon F</v>
      </c>
      <c r="M841" t="str">
        <f>'(Raw) LensesGH'!G841</f>
        <v>APS-C/ Kleinbild</v>
      </c>
      <c r="N841" t="str">
        <f>'(Raw) LensesGH'!H841</f>
        <v>488g</v>
      </c>
      <c r="O841" s="5">
        <f t="shared" si="124"/>
        <v>488</v>
      </c>
      <c r="P841" t="str">
        <f>'(Raw) LensesGH'!I841</f>
        <v>83 x 85.9mm</v>
      </c>
      <c r="Q841" s="39">
        <f t="shared" si="125"/>
        <v>83</v>
      </c>
      <c r="R841" s="39">
        <f t="shared" si="117"/>
        <v>85.9</v>
      </c>
    </row>
    <row r="842" spans="1:18" x14ac:dyDescent="0.25">
      <c r="A842" t="str">
        <f>'(Raw) LensesGH'!A842</f>
        <v>Samyang 20mm 1.8 ED AS UMC für Pentax K schwarz</v>
      </c>
      <c r="B842" t="str">
        <f>'(Raw) LensesGH'!B842</f>
        <v>20mm</v>
      </c>
      <c r="C842" s="5">
        <f t="shared" si="118"/>
        <v>20</v>
      </c>
      <c r="D842" s="5">
        <f t="shared" si="119"/>
        <v>20</v>
      </c>
      <c r="E842" t="str">
        <f>'(Raw) LensesGH'!C842</f>
        <v>1:1.8</v>
      </c>
      <c r="F842" s="9">
        <f t="shared" si="120"/>
        <v>1.8</v>
      </c>
      <c r="G842" s="9">
        <f t="shared" si="121"/>
        <v>1.8</v>
      </c>
      <c r="H842" t="str">
        <f>'(Raw) LensesGH'!D842</f>
        <v>77mm</v>
      </c>
      <c r="I842" s="2">
        <f t="shared" si="122"/>
        <v>77</v>
      </c>
      <c r="J842" s="2">
        <f>'(Raw) LensesGH'!E842</f>
        <v>0</v>
      </c>
      <c r="K842" s="40">
        <f t="shared" si="123"/>
        <v>0</v>
      </c>
      <c r="L842" t="str">
        <f>'(Raw) LensesGH'!F842</f>
        <v>Pentax K</v>
      </c>
      <c r="M842" t="str">
        <f>'(Raw) LensesGH'!G842</f>
        <v>APS-C/ Kleinbild</v>
      </c>
      <c r="N842" t="str">
        <f>'(Raw) LensesGH'!H842</f>
        <v>493g</v>
      </c>
      <c r="O842" s="5">
        <f t="shared" si="124"/>
        <v>493</v>
      </c>
      <c r="P842" t="str">
        <f>'(Raw) LensesGH'!I842</f>
        <v>83 x 86.9mm</v>
      </c>
      <c r="Q842" s="39">
        <f t="shared" si="125"/>
        <v>83</v>
      </c>
      <c r="R842" s="39">
        <f t="shared" si="117"/>
        <v>86.9</v>
      </c>
    </row>
    <row r="843" spans="1:18" x14ac:dyDescent="0.25">
      <c r="A843" t="str">
        <f>'(Raw) LensesGH'!A843</f>
        <v>Samyang 20mm 1.8 ED AS UMC für Samsung NX schwarz</v>
      </c>
      <c r="B843" t="str">
        <f>'(Raw) LensesGH'!B843</f>
        <v>20mm</v>
      </c>
      <c r="C843" s="5">
        <f t="shared" si="118"/>
        <v>20</v>
      </c>
      <c r="D843" s="5">
        <f t="shared" si="119"/>
        <v>20</v>
      </c>
      <c r="E843" t="str">
        <f>'(Raw) LensesGH'!C843</f>
        <v>1:1.8</v>
      </c>
      <c r="F843" s="9">
        <f t="shared" si="120"/>
        <v>1.8</v>
      </c>
      <c r="G843" s="9">
        <f t="shared" si="121"/>
        <v>1.8</v>
      </c>
      <c r="H843" t="str">
        <f>'(Raw) LensesGH'!D843</f>
        <v>77mm</v>
      </c>
      <c r="I843" s="2">
        <f t="shared" si="122"/>
        <v>77</v>
      </c>
      <c r="J843" s="2">
        <f>'(Raw) LensesGH'!E843</f>
        <v>0</v>
      </c>
      <c r="K843" s="40">
        <f t="shared" si="123"/>
        <v>0</v>
      </c>
      <c r="L843" t="str">
        <f>'(Raw) LensesGH'!F843</f>
        <v>Samsung NX</v>
      </c>
      <c r="M843" t="str">
        <f>'(Raw) LensesGH'!G843</f>
        <v>APS-C</v>
      </c>
      <c r="N843" t="str">
        <f>'(Raw) LensesGH'!H843</f>
        <v>515g</v>
      </c>
      <c r="O843" s="5">
        <f t="shared" si="124"/>
        <v>515</v>
      </c>
      <c r="P843" t="str">
        <f>'(Raw) LensesGH'!I843</f>
        <v>83 x 106.9mm</v>
      </c>
      <c r="Q843" s="39">
        <f t="shared" si="125"/>
        <v>83</v>
      </c>
      <c r="R843" s="39">
        <f t="shared" si="117"/>
        <v>106.9</v>
      </c>
    </row>
    <row r="844" spans="1:18" x14ac:dyDescent="0.25">
      <c r="A844" t="str">
        <f>'(Raw) LensesGH'!A844</f>
        <v>Samyang 20mm 1.8 ED AS UMC für Sony A schwarz</v>
      </c>
      <c r="B844" t="str">
        <f>'(Raw) LensesGH'!B844</f>
        <v>20mm</v>
      </c>
      <c r="C844" s="5">
        <f t="shared" si="118"/>
        <v>20</v>
      </c>
      <c r="D844" s="5">
        <f t="shared" si="119"/>
        <v>20</v>
      </c>
      <c r="E844" t="str">
        <f>'(Raw) LensesGH'!C844</f>
        <v>1:1.8</v>
      </c>
      <c r="F844" s="9">
        <f t="shared" si="120"/>
        <v>1.8</v>
      </c>
      <c r="G844" s="9">
        <f t="shared" si="121"/>
        <v>1.8</v>
      </c>
      <c r="H844" t="str">
        <f>'(Raw) LensesGH'!D844</f>
        <v>77mm</v>
      </c>
      <c r="I844" s="2">
        <f t="shared" si="122"/>
        <v>77</v>
      </c>
      <c r="J844" s="2">
        <f>'(Raw) LensesGH'!E844</f>
        <v>0</v>
      </c>
      <c r="K844" s="40">
        <f t="shared" si="123"/>
        <v>0</v>
      </c>
      <c r="L844" t="str">
        <f>'(Raw) LensesGH'!F844</f>
        <v>Sony A</v>
      </c>
      <c r="M844" t="str">
        <f>'(Raw) LensesGH'!G844</f>
        <v>APS-C/ Kleinbild</v>
      </c>
      <c r="N844" t="str">
        <f>'(Raw) LensesGH'!H844</f>
        <v>498g</v>
      </c>
      <c r="O844" s="5">
        <f t="shared" si="124"/>
        <v>498</v>
      </c>
      <c r="P844" t="str">
        <f>'(Raw) LensesGH'!I844</f>
        <v>83 x 87.9mm</v>
      </c>
      <c r="Q844" s="39">
        <f t="shared" si="125"/>
        <v>83</v>
      </c>
      <c r="R844" s="39">
        <f t="shared" si="117"/>
        <v>87.9</v>
      </c>
    </row>
    <row r="845" spans="1:18" x14ac:dyDescent="0.25">
      <c r="A845" t="str">
        <f>'(Raw) LensesGH'!A845</f>
        <v>Samyang 20mm 1.8 ED AS UMC für Sony E schwarz</v>
      </c>
      <c r="B845" t="str">
        <f>'(Raw) LensesGH'!B845</f>
        <v>20mm</v>
      </c>
      <c r="C845" s="5">
        <f t="shared" si="118"/>
        <v>20</v>
      </c>
      <c r="D845" s="5">
        <f t="shared" si="119"/>
        <v>20</v>
      </c>
      <c r="E845" t="str">
        <f>'(Raw) LensesGH'!C845</f>
        <v>1:1.8</v>
      </c>
      <c r="F845" s="9">
        <f t="shared" si="120"/>
        <v>1.8</v>
      </c>
      <c r="G845" s="9">
        <f t="shared" si="121"/>
        <v>1.8</v>
      </c>
      <c r="H845" t="str">
        <f>'(Raw) LensesGH'!D845</f>
        <v>77mm</v>
      </c>
      <c r="I845" s="2">
        <f t="shared" si="122"/>
        <v>77</v>
      </c>
      <c r="J845" s="2">
        <f>'(Raw) LensesGH'!E845</f>
        <v>0</v>
      </c>
      <c r="K845" s="40">
        <f t="shared" si="123"/>
        <v>0</v>
      </c>
      <c r="L845" t="str">
        <f>'(Raw) LensesGH'!F845</f>
        <v>Sony E</v>
      </c>
      <c r="M845" t="str">
        <f>'(Raw) LensesGH'!G845</f>
        <v>APS-C/ Kleinbild</v>
      </c>
      <c r="N845" t="str">
        <f>'(Raw) LensesGH'!H845</f>
        <v>525g</v>
      </c>
      <c r="O845" s="5">
        <f t="shared" si="124"/>
        <v>525</v>
      </c>
      <c r="P845" t="str">
        <f>'(Raw) LensesGH'!I845</f>
        <v>83 x 114.4mm</v>
      </c>
      <c r="Q845" s="39">
        <f t="shared" si="125"/>
        <v>83</v>
      </c>
      <c r="R845" s="39">
        <f t="shared" si="117"/>
        <v>114.4</v>
      </c>
    </row>
    <row r="846" spans="1:18" x14ac:dyDescent="0.25">
      <c r="A846" t="str">
        <f>'(Raw) LensesGH'!A846</f>
        <v>Samyang 20mm T1.9 ED AS UMC für Canon EF schwarz</v>
      </c>
      <c r="B846" t="str">
        <f>'(Raw) LensesGH'!B846</f>
        <v>20mm</v>
      </c>
      <c r="C846" s="5">
        <f t="shared" si="118"/>
        <v>20</v>
      </c>
      <c r="D846" s="5">
        <f t="shared" si="119"/>
        <v>20</v>
      </c>
      <c r="E846" t="str">
        <f>'(Raw) LensesGH'!C846</f>
        <v>1:1.9</v>
      </c>
      <c r="F846" s="9">
        <f t="shared" si="120"/>
        <v>1.9</v>
      </c>
      <c r="G846" s="9">
        <f t="shared" si="121"/>
        <v>1.9</v>
      </c>
      <c r="H846" t="str">
        <f>'(Raw) LensesGH'!D846</f>
        <v>77mm</v>
      </c>
      <c r="I846" s="2">
        <f t="shared" si="122"/>
        <v>77</v>
      </c>
      <c r="J846" s="2">
        <f>'(Raw) LensesGH'!E846</f>
        <v>0</v>
      </c>
      <c r="K846" s="40">
        <f t="shared" si="123"/>
        <v>0</v>
      </c>
      <c r="L846" t="str">
        <f>'(Raw) LensesGH'!F846</f>
        <v>Canon EF</v>
      </c>
      <c r="M846" t="str">
        <f>'(Raw) LensesGH'!G846</f>
        <v>APS-C/ Kleinbild</v>
      </c>
      <c r="N846" t="str">
        <f>'(Raw) LensesGH'!H846</f>
        <v>518g</v>
      </c>
      <c r="O846" s="5">
        <f t="shared" si="124"/>
        <v>518</v>
      </c>
      <c r="P846" t="str">
        <f>'(Raw) LensesGH'!I846</f>
        <v>83 x 88.4mm</v>
      </c>
      <c r="Q846" s="39">
        <f t="shared" si="125"/>
        <v>83</v>
      </c>
      <c r="R846" s="39">
        <f t="shared" si="117"/>
        <v>88.4</v>
      </c>
    </row>
    <row r="847" spans="1:18" x14ac:dyDescent="0.25">
      <c r="A847" t="str">
        <f>'(Raw) LensesGH'!A847</f>
        <v>Samyang 20mm T1.9 ED AS UMC für Canon EF-M schwarz</v>
      </c>
      <c r="B847" t="str">
        <f>'(Raw) LensesGH'!B847</f>
        <v>20mm</v>
      </c>
      <c r="C847" s="5">
        <f t="shared" si="118"/>
        <v>20</v>
      </c>
      <c r="D847" s="5">
        <f t="shared" si="119"/>
        <v>20</v>
      </c>
      <c r="E847" t="str">
        <f>'(Raw) LensesGH'!C847</f>
        <v>1:1.9</v>
      </c>
      <c r="F847" s="9">
        <f t="shared" si="120"/>
        <v>1.9</v>
      </c>
      <c r="G847" s="9">
        <f t="shared" si="121"/>
        <v>1.9</v>
      </c>
      <c r="H847" t="str">
        <f>'(Raw) LensesGH'!D847</f>
        <v>77mm</v>
      </c>
      <c r="I847" s="2">
        <f t="shared" si="122"/>
        <v>77</v>
      </c>
      <c r="J847" s="2">
        <f>'(Raw) LensesGH'!E847</f>
        <v>0</v>
      </c>
      <c r="K847" s="40">
        <f t="shared" si="123"/>
        <v>0</v>
      </c>
      <c r="L847" t="str">
        <f>'(Raw) LensesGH'!F847</f>
        <v>Canon EF-M</v>
      </c>
      <c r="M847" t="str">
        <f>'(Raw) LensesGH'!G847</f>
        <v>APS-C</v>
      </c>
      <c r="N847" t="str">
        <f>'(Raw) LensesGH'!H847</f>
        <v>546g</v>
      </c>
      <c r="O847" s="5">
        <f t="shared" si="124"/>
        <v>546</v>
      </c>
      <c r="P847" t="str">
        <f>'(Raw) LensesGH'!I847</f>
        <v>83 x 114.3mm</v>
      </c>
      <c r="Q847" s="39">
        <f t="shared" si="125"/>
        <v>83</v>
      </c>
      <c r="R847" s="39">
        <f t="shared" si="117"/>
        <v>114.3</v>
      </c>
    </row>
    <row r="848" spans="1:18" x14ac:dyDescent="0.25">
      <c r="A848" t="str">
        <f>'(Raw) LensesGH'!A848</f>
        <v>Samyang 20mm T1.9 ED AS UMC für Four-Thirds schwarz</v>
      </c>
      <c r="B848" t="str">
        <f>'(Raw) LensesGH'!B848</f>
        <v>20mm</v>
      </c>
      <c r="C848" s="5">
        <f t="shared" si="118"/>
        <v>20</v>
      </c>
      <c r="D848" s="5">
        <f t="shared" si="119"/>
        <v>20</v>
      </c>
      <c r="E848" t="str">
        <f>'(Raw) LensesGH'!C848</f>
        <v>1:1.9</v>
      </c>
      <c r="F848" s="9">
        <f t="shared" si="120"/>
        <v>1.9</v>
      </c>
      <c r="G848" s="9">
        <f t="shared" si="121"/>
        <v>1.9</v>
      </c>
      <c r="H848" t="str">
        <f>'(Raw) LensesGH'!D848</f>
        <v>77mm</v>
      </c>
      <c r="I848" s="2">
        <f t="shared" si="122"/>
        <v>77</v>
      </c>
      <c r="J848" s="2">
        <f>'(Raw) LensesGH'!E848</f>
        <v>0</v>
      </c>
      <c r="K848" s="40">
        <f t="shared" si="123"/>
        <v>0</v>
      </c>
      <c r="L848" t="str">
        <f>'(Raw) LensesGH'!F848</f>
        <v>Four-Thirds</v>
      </c>
      <c r="M848" t="str">
        <f>'(Raw) LensesGH'!G848</f>
        <v>Four-Thirds</v>
      </c>
      <c r="N848" t="str">
        <f>'(Raw) LensesGH'!H848</f>
        <v>551g</v>
      </c>
      <c r="O848" s="5">
        <f t="shared" si="124"/>
        <v>551</v>
      </c>
      <c r="P848" t="str">
        <f>'(Raw) LensesGH'!I848</f>
        <v>83 x 93.7mm</v>
      </c>
      <c r="Q848" s="39">
        <f t="shared" si="125"/>
        <v>83</v>
      </c>
      <c r="R848" s="39">
        <f t="shared" si="117"/>
        <v>93.7</v>
      </c>
    </row>
    <row r="849" spans="1:18" x14ac:dyDescent="0.25">
      <c r="A849" t="str">
        <f>'(Raw) LensesGH'!A849</f>
        <v>Samyang 20mm T1.9 ED AS UMC für Fujifilm X schwarz</v>
      </c>
      <c r="B849" t="str">
        <f>'(Raw) LensesGH'!B849</f>
        <v>20mm</v>
      </c>
      <c r="C849" s="5">
        <f t="shared" si="118"/>
        <v>20</v>
      </c>
      <c r="D849" s="5">
        <f t="shared" si="119"/>
        <v>20</v>
      </c>
      <c r="E849" t="str">
        <f>'(Raw) LensesGH'!C849</f>
        <v>1:1.9</v>
      </c>
      <c r="F849" s="9">
        <f t="shared" si="120"/>
        <v>1.9</v>
      </c>
      <c r="G849" s="9">
        <f t="shared" si="121"/>
        <v>1.9</v>
      </c>
      <c r="H849" t="str">
        <f>'(Raw) LensesGH'!D849</f>
        <v>77mm</v>
      </c>
      <c r="I849" s="2">
        <f t="shared" si="122"/>
        <v>77</v>
      </c>
      <c r="J849" s="2">
        <f>'(Raw) LensesGH'!E849</f>
        <v>0</v>
      </c>
      <c r="K849" s="40">
        <f t="shared" si="123"/>
        <v>0</v>
      </c>
      <c r="L849" t="str">
        <f>'(Raw) LensesGH'!F849</f>
        <v>Fujifilm X</v>
      </c>
      <c r="M849" t="str">
        <f>'(Raw) LensesGH'!G849</f>
        <v>APS-C</v>
      </c>
      <c r="N849" t="str">
        <f>'(Raw) LensesGH'!H849</f>
        <v>586g</v>
      </c>
      <c r="O849" s="5">
        <f t="shared" si="124"/>
        <v>586</v>
      </c>
      <c r="P849" t="str">
        <f>'(Raw) LensesGH'!I849</f>
        <v>83 x 114.7mm</v>
      </c>
      <c r="Q849" s="39">
        <f t="shared" si="125"/>
        <v>83</v>
      </c>
      <c r="R849" s="39">
        <f t="shared" si="117"/>
        <v>114.7</v>
      </c>
    </row>
    <row r="850" spans="1:18" x14ac:dyDescent="0.25">
      <c r="A850" t="str">
        <f>'(Raw) LensesGH'!A850</f>
        <v>Samyang 20mm T1.9 ED AS UMC für Micro-Four-Thirds schwarz</v>
      </c>
      <c r="B850" t="str">
        <f>'(Raw) LensesGH'!B850</f>
        <v>20mm</v>
      </c>
      <c r="C850" s="5">
        <f t="shared" si="118"/>
        <v>20</v>
      </c>
      <c r="D850" s="5">
        <f t="shared" si="119"/>
        <v>20</v>
      </c>
      <c r="E850" t="str">
        <f>'(Raw) LensesGH'!C850</f>
        <v>1:1.9</v>
      </c>
      <c r="F850" s="9">
        <f t="shared" si="120"/>
        <v>1.9</v>
      </c>
      <c r="G850" s="9">
        <f t="shared" si="121"/>
        <v>1.9</v>
      </c>
      <c r="H850" t="str">
        <f>'(Raw) LensesGH'!D850</f>
        <v>77mm</v>
      </c>
      <c r="I850" s="2">
        <f t="shared" si="122"/>
        <v>77</v>
      </c>
      <c r="J850" s="2">
        <f>'(Raw) LensesGH'!E850</f>
        <v>0</v>
      </c>
      <c r="K850" s="40">
        <f t="shared" si="123"/>
        <v>0</v>
      </c>
      <c r="L850" t="str">
        <f>'(Raw) LensesGH'!F850</f>
        <v>Micro-Four-Thirds</v>
      </c>
      <c r="M850" t="str">
        <f>'(Raw) LensesGH'!G850</f>
        <v>Four-Thirds</v>
      </c>
      <c r="N850" t="str">
        <f>'(Raw) LensesGH'!H850</f>
        <v>541g</v>
      </c>
      <c r="O850" s="5">
        <f t="shared" si="124"/>
        <v>541</v>
      </c>
      <c r="P850" t="str">
        <f>'(Raw) LensesGH'!I850</f>
        <v>83 x 113.2mm</v>
      </c>
      <c r="Q850" s="39">
        <f t="shared" si="125"/>
        <v>83</v>
      </c>
      <c r="R850" s="39">
        <f t="shared" si="117"/>
        <v>113.2</v>
      </c>
    </row>
    <row r="851" spans="1:18" x14ac:dyDescent="0.25">
      <c r="A851" t="str">
        <f>'(Raw) LensesGH'!A851</f>
        <v>Samyang 20mm T1.9 ED AS UMC für Nikon F schwarz</v>
      </c>
      <c r="B851" t="str">
        <f>'(Raw) LensesGH'!B851</f>
        <v>20mm</v>
      </c>
      <c r="C851" s="5">
        <f t="shared" si="118"/>
        <v>20</v>
      </c>
      <c r="D851" s="5">
        <f t="shared" si="119"/>
        <v>20</v>
      </c>
      <c r="E851" t="str">
        <f>'(Raw) LensesGH'!C851</f>
        <v>1:1.9</v>
      </c>
      <c r="F851" s="9">
        <f t="shared" si="120"/>
        <v>1.9</v>
      </c>
      <c r="G851" s="9">
        <f t="shared" si="121"/>
        <v>1.9</v>
      </c>
      <c r="H851" t="str">
        <f>'(Raw) LensesGH'!D851</f>
        <v>77mm</v>
      </c>
      <c r="I851" s="2">
        <f t="shared" si="122"/>
        <v>77</v>
      </c>
      <c r="J851" s="2">
        <f>'(Raw) LensesGH'!E851</f>
        <v>0</v>
      </c>
      <c r="K851" s="40">
        <f t="shared" si="123"/>
        <v>0</v>
      </c>
      <c r="L851" t="str">
        <f>'(Raw) LensesGH'!F851</f>
        <v>Nikon F</v>
      </c>
      <c r="M851" t="str">
        <f>'(Raw) LensesGH'!G851</f>
        <v>APS-C/ Kleinbild</v>
      </c>
      <c r="N851" t="str">
        <f>'(Raw) LensesGH'!H851</f>
        <v>508g</v>
      </c>
      <c r="O851" s="5">
        <f t="shared" si="124"/>
        <v>508</v>
      </c>
      <c r="P851" t="str">
        <f>'(Raw) LensesGH'!I851</f>
        <v>83 x 85.9mm</v>
      </c>
      <c r="Q851" s="39">
        <f t="shared" si="125"/>
        <v>83</v>
      </c>
      <c r="R851" s="39">
        <f t="shared" si="117"/>
        <v>85.9</v>
      </c>
    </row>
    <row r="852" spans="1:18" x14ac:dyDescent="0.25">
      <c r="A852" t="str">
        <f>'(Raw) LensesGH'!A852</f>
        <v>Samyang 20mm T1.9 ED AS UMC für Pentax K schwarz</v>
      </c>
      <c r="B852" t="str">
        <f>'(Raw) LensesGH'!B852</f>
        <v>20mm</v>
      </c>
      <c r="C852" s="5">
        <f t="shared" si="118"/>
        <v>20</v>
      </c>
      <c r="D852" s="5">
        <f t="shared" si="119"/>
        <v>20</v>
      </c>
      <c r="E852" t="str">
        <f>'(Raw) LensesGH'!C852</f>
        <v>1:1.9</v>
      </c>
      <c r="F852" s="9">
        <f t="shared" si="120"/>
        <v>1.9</v>
      </c>
      <c r="G852" s="9">
        <f t="shared" si="121"/>
        <v>1.9</v>
      </c>
      <c r="H852" t="str">
        <f>'(Raw) LensesGH'!D852</f>
        <v>77mm</v>
      </c>
      <c r="I852" s="2">
        <f t="shared" si="122"/>
        <v>77</v>
      </c>
      <c r="J852" s="2">
        <f>'(Raw) LensesGH'!E852</f>
        <v>0</v>
      </c>
      <c r="K852" s="40">
        <f t="shared" si="123"/>
        <v>0</v>
      </c>
      <c r="L852" t="str">
        <f>'(Raw) LensesGH'!F852</f>
        <v>Pentax K</v>
      </c>
      <c r="M852" t="str">
        <f>'(Raw) LensesGH'!G852</f>
        <v>APS-C/ Kleinbild</v>
      </c>
      <c r="N852" t="str">
        <f>'(Raw) LensesGH'!H852</f>
        <v>513g</v>
      </c>
      <c r="O852" s="5">
        <f t="shared" si="124"/>
        <v>513</v>
      </c>
      <c r="P852" t="str">
        <f>'(Raw) LensesGH'!I852</f>
        <v>83 x 86.9mm</v>
      </c>
      <c r="Q852" s="39">
        <f t="shared" si="125"/>
        <v>83</v>
      </c>
      <c r="R852" s="39">
        <f t="shared" si="117"/>
        <v>86.9</v>
      </c>
    </row>
    <row r="853" spans="1:18" x14ac:dyDescent="0.25">
      <c r="A853" t="str">
        <f>'(Raw) LensesGH'!A853</f>
        <v>Samyang 20mm T1.9 ED AS UMC für Samsung NX schwarz</v>
      </c>
      <c r="B853" t="str">
        <f>'(Raw) LensesGH'!B853</f>
        <v>20mm</v>
      </c>
      <c r="C853" s="5">
        <f t="shared" si="118"/>
        <v>20</v>
      </c>
      <c r="D853" s="5">
        <f t="shared" si="119"/>
        <v>20</v>
      </c>
      <c r="E853" t="str">
        <f>'(Raw) LensesGH'!C853</f>
        <v>1:1.9</v>
      </c>
      <c r="F853" s="9">
        <f t="shared" si="120"/>
        <v>1.9</v>
      </c>
      <c r="G853" s="9">
        <f t="shared" si="121"/>
        <v>1.9</v>
      </c>
      <c r="H853" t="str">
        <f>'(Raw) LensesGH'!D853</f>
        <v>77mm</v>
      </c>
      <c r="I853" s="2">
        <f t="shared" si="122"/>
        <v>77</v>
      </c>
      <c r="J853" s="2">
        <f>'(Raw) LensesGH'!E853</f>
        <v>0</v>
      </c>
      <c r="K853" s="40">
        <f t="shared" si="123"/>
        <v>0</v>
      </c>
      <c r="L853" t="str">
        <f>'(Raw) LensesGH'!F853</f>
        <v>Samsung NX</v>
      </c>
      <c r="M853" t="str">
        <f>'(Raw) LensesGH'!G853</f>
        <v>APS-C</v>
      </c>
      <c r="N853" t="str">
        <f>'(Raw) LensesGH'!H853</f>
        <v>536g</v>
      </c>
      <c r="O853" s="5">
        <f t="shared" si="124"/>
        <v>536</v>
      </c>
      <c r="P853" t="str">
        <f>'(Raw) LensesGH'!I853</f>
        <v>83 x 106.9mm</v>
      </c>
      <c r="Q853" s="39">
        <f t="shared" si="125"/>
        <v>83</v>
      </c>
      <c r="R853" s="39">
        <f t="shared" si="117"/>
        <v>106.9</v>
      </c>
    </row>
    <row r="854" spans="1:18" x14ac:dyDescent="0.25">
      <c r="A854" t="str">
        <f>'(Raw) LensesGH'!A854</f>
        <v>Samyang 20mm T1.9 ED AS UMC für Sony A schwarz</v>
      </c>
      <c r="B854" t="str">
        <f>'(Raw) LensesGH'!B854</f>
        <v>20mm</v>
      </c>
      <c r="C854" s="5">
        <f t="shared" si="118"/>
        <v>20</v>
      </c>
      <c r="D854" s="5">
        <f t="shared" si="119"/>
        <v>20</v>
      </c>
      <c r="E854" t="str">
        <f>'(Raw) LensesGH'!C854</f>
        <v>1:1.9</v>
      </c>
      <c r="F854" s="9">
        <f t="shared" si="120"/>
        <v>1.9</v>
      </c>
      <c r="G854" s="9">
        <f t="shared" si="121"/>
        <v>1.9</v>
      </c>
      <c r="H854" t="str">
        <f>'(Raw) LensesGH'!D854</f>
        <v>77mm</v>
      </c>
      <c r="I854" s="2">
        <f t="shared" si="122"/>
        <v>77</v>
      </c>
      <c r="J854" s="2">
        <f>'(Raw) LensesGH'!E854</f>
        <v>0</v>
      </c>
      <c r="K854" s="40">
        <f t="shared" si="123"/>
        <v>0</v>
      </c>
      <c r="L854" t="str">
        <f>'(Raw) LensesGH'!F854</f>
        <v>Sony A</v>
      </c>
      <c r="M854" t="str">
        <f>'(Raw) LensesGH'!G854</f>
        <v>APS-C/ Kleinbild</v>
      </c>
      <c r="N854" t="str">
        <f>'(Raw) LensesGH'!H854</f>
        <v>518g</v>
      </c>
      <c r="O854" s="5">
        <f t="shared" si="124"/>
        <v>518</v>
      </c>
      <c r="P854" t="str">
        <f>'(Raw) LensesGH'!I854</f>
        <v>83 x 87.9mm</v>
      </c>
      <c r="Q854" s="39">
        <f t="shared" si="125"/>
        <v>83</v>
      </c>
      <c r="R854" s="39">
        <f t="shared" si="117"/>
        <v>87.9</v>
      </c>
    </row>
    <row r="855" spans="1:18" x14ac:dyDescent="0.25">
      <c r="A855" t="str">
        <f>'(Raw) LensesGH'!A855</f>
        <v>Samyang 20mm T1.9 ED AS UMC für Sony E schwarz</v>
      </c>
      <c r="B855" t="str">
        <f>'(Raw) LensesGH'!B855</f>
        <v>20mm</v>
      </c>
      <c r="C855" s="5">
        <f t="shared" si="118"/>
        <v>20</v>
      </c>
      <c r="D855" s="5">
        <f t="shared" si="119"/>
        <v>20</v>
      </c>
      <c r="E855" t="str">
        <f>'(Raw) LensesGH'!C855</f>
        <v>1:1.9</v>
      </c>
      <c r="F855" s="9">
        <f t="shared" si="120"/>
        <v>1.9</v>
      </c>
      <c r="G855" s="9">
        <f t="shared" si="121"/>
        <v>1.9</v>
      </c>
      <c r="H855" t="str">
        <f>'(Raw) LensesGH'!D855</f>
        <v>77mm</v>
      </c>
      <c r="I855" s="2">
        <f t="shared" si="122"/>
        <v>77</v>
      </c>
      <c r="J855" s="2">
        <f>'(Raw) LensesGH'!E855</f>
        <v>0</v>
      </c>
      <c r="K855" s="40">
        <f t="shared" si="123"/>
        <v>0</v>
      </c>
      <c r="L855" t="str">
        <f>'(Raw) LensesGH'!F855</f>
        <v>Sony E</v>
      </c>
      <c r="M855" t="str">
        <f>'(Raw) LensesGH'!G855</f>
        <v>APS-C/ Kleinbild</v>
      </c>
      <c r="N855" t="str">
        <f>'(Raw) LensesGH'!H855</f>
        <v>546g</v>
      </c>
      <c r="O855" s="5">
        <f t="shared" si="124"/>
        <v>546</v>
      </c>
      <c r="P855" t="str">
        <f>'(Raw) LensesGH'!I855</f>
        <v>83 x 114.4mm</v>
      </c>
      <c r="Q855" s="39">
        <f t="shared" si="125"/>
        <v>83</v>
      </c>
      <c r="R855" s="39">
        <f t="shared" si="117"/>
        <v>114.4</v>
      </c>
    </row>
    <row r="856" spans="1:18" x14ac:dyDescent="0.25">
      <c r="A856" t="str">
        <f>'(Raw) LensesGH'!A856</f>
        <v>Samyang 21mm 1.4 ED AS UMC CS für Canon EF-M schwarz</v>
      </c>
      <c r="B856" t="str">
        <f>'(Raw) LensesGH'!B856</f>
        <v>21mm</v>
      </c>
      <c r="C856" s="5">
        <f t="shared" si="118"/>
        <v>21</v>
      </c>
      <c r="D856" s="5">
        <f t="shared" si="119"/>
        <v>21</v>
      </c>
      <c r="E856" t="str">
        <f>'(Raw) LensesGH'!C856</f>
        <v>1:1.4</v>
      </c>
      <c r="F856" s="9">
        <f t="shared" si="120"/>
        <v>1.4</v>
      </c>
      <c r="G856" s="9">
        <f t="shared" si="121"/>
        <v>1.4</v>
      </c>
      <c r="H856" t="str">
        <f>'(Raw) LensesGH'!D856</f>
        <v>58mm</v>
      </c>
      <c r="I856" s="2">
        <f t="shared" si="122"/>
        <v>58</v>
      </c>
      <c r="J856" s="2">
        <f>'(Raw) LensesGH'!E856</f>
        <v>0</v>
      </c>
      <c r="K856" s="40">
        <f t="shared" si="123"/>
        <v>0</v>
      </c>
      <c r="L856" t="str">
        <f>'(Raw) LensesGH'!F856</f>
        <v>Canon EF-M</v>
      </c>
      <c r="M856" t="str">
        <f>'(Raw) LensesGH'!G856</f>
        <v>APS-C</v>
      </c>
      <c r="N856" t="str">
        <f>'(Raw) LensesGH'!H856</f>
        <v>275g</v>
      </c>
      <c r="O856" s="5">
        <f t="shared" si="124"/>
        <v>275</v>
      </c>
      <c r="P856" t="str">
        <f>'(Raw) LensesGH'!I856</f>
        <v>58 x 67.5mm</v>
      </c>
      <c r="Q856" s="39">
        <f t="shared" si="125"/>
        <v>58</v>
      </c>
      <c r="R856" s="39">
        <f t="shared" si="117"/>
        <v>67.5</v>
      </c>
    </row>
    <row r="857" spans="1:18" x14ac:dyDescent="0.25">
      <c r="A857" t="str">
        <f>'(Raw) LensesGH'!A857</f>
        <v>Samyang 21mm 1.4 ED AS UMC CS für Canon EF-M silber</v>
      </c>
      <c r="B857" t="str">
        <f>'(Raw) LensesGH'!B857</f>
        <v>21mm</v>
      </c>
      <c r="C857" s="5">
        <f t="shared" si="118"/>
        <v>21</v>
      </c>
      <c r="D857" s="5">
        <f t="shared" si="119"/>
        <v>21</v>
      </c>
      <c r="E857" t="str">
        <f>'(Raw) LensesGH'!C857</f>
        <v>1:1.4</v>
      </c>
      <c r="F857" s="9">
        <f t="shared" si="120"/>
        <v>1.4</v>
      </c>
      <c r="G857" s="9">
        <f t="shared" si="121"/>
        <v>1.4</v>
      </c>
      <c r="H857" t="str">
        <f>'(Raw) LensesGH'!D857</f>
        <v>58mm</v>
      </c>
      <c r="I857" s="2">
        <f t="shared" si="122"/>
        <v>58</v>
      </c>
      <c r="J857" s="2">
        <f>'(Raw) LensesGH'!E857</f>
        <v>0</v>
      </c>
      <c r="K857" s="40">
        <f t="shared" si="123"/>
        <v>0</v>
      </c>
      <c r="L857" t="str">
        <f>'(Raw) LensesGH'!F857</f>
        <v>Canon EF-M</v>
      </c>
      <c r="M857" t="str">
        <f>'(Raw) LensesGH'!G857</f>
        <v>APS-C</v>
      </c>
      <c r="N857" t="str">
        <f>'(Raw) LensesGH'!H857</f>
        <v>275g</v>
      </c>
      <c r="O857" s="5">
        <f t="shared" si="124"/>
        <v>275</v>
      </c>
      <c r="P857" t="str">
        <f>'(Raw) LensesGH'!I857</f>
        <v>58 x 67.5mm</v>
      </c>
      <c r="Q857" s="39">
        <f t="shared" si="125"/>
        <v>58</v>
      </c>
      <c r="R857" s="39">
        <f t="shared" si="117"/>
        <v>67.5</v>
      </c>
    </row>
    <row r="858" spans="1:18" x14ac:dyDescent="0.25">
      <c r="A858" t="str">
        <f>'(Raw) LensesGH'!A858</f>
        <v>Samyang 21mm 1.4 ED AS UMC CS für Fujifilm X schwarz</v>
      </c>
      <c r="B858" t="str">
        <f>'(Raw) LensesGH'!B858</f>
        <v>21mm</v>
      </c>
      <c r="C858" s="5">
        <f t="shared" si="118"/>
        <v>21</v>
      </c>
      <c r="D858" s="5">
        <f t="shared" si="119"/>
        <v>21</v>
      </c>
      <c r="E858" t="str">
        <f>'(Raw) LensesGH'!C858</f>
        <v>1:1.4</v>
      </c>
      <c r="F858" s="9">
        <f t="shared" si="120"/>
        <v>1.4</v>
      </c>
      <c r="G858" s="9">
        <f t="shared" si="121"/>
        <v>1.4</v>
      </c>
      <c r="H858" t="str">
        <f>'(Raw) LensesGH'!D858</f>
        <v>58mm</v>
      </c>
      <c r="I858" s="2">
        <f t="shared" si="122"/>
        <v>58</v>
      </c>
      <c r="J858" s="2">
        <f>'(Raw) LensesGH'!E858</f>
        <v>0</v>
      </c>
      <c r="K858" s="40">
        <f t="shared" si="123"/>
        <v>0</v>
      </c>
      <c r="L858" t="str">
        <f>'(Raw) LensesGH'!F858</f>
        <v>Fujifilm X</v>
      </c>
      <c r="M858" t="str">
        <f>'(Raw) LensesGH'!G858</f>
        <v>APS-C</v>
      </c>
      <c r="N858" t="str">
        <f>'(Raw) LensesGH'!H858</f>
        <v>290g</v>
      </c>
      <c r="O858" s="5">
        <f t="shared" si="124"/>
        <v>290</v>
      </c>
      <c r="P858" t="str">
        <f>'(Raw) LensesGH'!I858</f>
        <v>58 x 67.9mm</v>
      </c>
      <c r="Q858" s="39">
        <f t="shared" si="125"/>
        <v>58</v>
      </c>
      <c r="R858" s="39">
        <f t="shared" si="117"/>
        <v>67.900000000000006</v>
      </c>
    </row>
    <row r="859" spans="1:18" x14ac:dyDescent="0.25">
      <c r="A859" t="str">
        <f>'(Raw) LensesGH'!A859</f>
        <v>Samyang 21mm 1.4 ED AS UMC CS für Fujifilm X silber</v>
      </c>
      <c r="B859" t="str">
        <f>'(Raw) LensesGH'!B859</f>
        <v>21mm</v>
      </c>
      <c r="C859" s="5">
        <f t="shared" si="118"/>
        <v>21</v>
      </c>
      <c r="D859" s="5">
        <f t="shared" si="119"/>
        <v>21</v>
      </c>
      <c r="E859" t="str">
        <f>'(Raw) LensesGH'!C859</f>
        <v>1:1.4</v>
      </c>
      <c r="F859" s="9">
        <f t="shared" si="120"/>
        <v>1.4</v>
      </c>
      <c r="G859" s="9">
        <f t="shared" si="121"/>
        <v>1.4</v>
      </c>
      <c r="H859" t="str">
        <f>'(Raw) LensesGH'!D859</f>
        <v>58mm</v>
      </c>
      <c r="I859" s="2">
        <f t="shared" si="122"/>
        <v>58</v>
      </c>
      <c r="J859" s="2">
        <f>'(Raw) LensesGH'!E859</f>
        <v>0</v>
      </c>
      <c r="K859" s="40">
        <f t="shared" si="123"/>
        <v>0</v>
      </c>
      <c r="L859" t="str">
        <f>'(Raw) LensesGH'!F859</f>
        <v>Fujifilm X</v>
      </c>
      <c r="M859" t="str">
        <f>'(Raw) LensesGH'!G859</f>
        <v>APS-C</v>
      </c>
      <c r="N859" t="str">
        <f>'(Raw) LensesGH'!H859</f>
        <v>290g</v>
      </c>
      <c r="O859" s="5">
        <f t="shared" si="124"/>
        <v>290</v>
      </c>
      <c r="P859" t="str">
        <f>'(Raw) LensesGH'!I859</f>
        <v>58 x 67.9mm</v>
      </c>
      <c r="Q859" s="39">
        <f t="shared" si="125"/>
        <v>58</v>
      </c>
      <c r="R859" s="39">
        <f t="shared" si="117"/>
        <v>67.900000000000006</v>
      </c>
    </row>
    <row r="860" spans="1:18" x14ac:dyDescent="0.25">
      <c r="A860" t="str">
        <f>'(Raw) LensesGH'!A860</f>
        <v>Samyang 21mm 1.4 ED AS UMC CS für Micro-Four-Thirds schwarz</v>
      </c>
      <c r="B860" t="str">
        <f>'(Raw) LensesGH'!B860</f>
        <v>21mm</v>
      </c>
      <c r="C860" s="5">
        <f t="shared" si="118"/>
        <v>21</v>
      </c>
      <c r="D860" s="5">
        <f t="shared" si="119"/>
        <v>21</v>
      </c>
      <c r="E860" t="str">
        <f>'(Raw) LensesGH'!C860</f>
        <v>1:1.4</v>
      </c>
      <c r="F860" s="9">
        <f t="shared" si="120"/>
        <v>1.4</v>
      </c>
      <c r="G860" s="9">
        <f t="shared" si="121"/>
        <v>1.4</v>
      </c>
      <c r="H860" t="str">
        <f>'(Raw) LensesGH'!D860</f>
        <v>58mm</v>
      </c>
      <c r="I860" s="2">
        <f t="shared" si="122"/>
        <v>58</v>
      </c>
      <c r="J860" s="2">
        <f>'(Raw) LensesGH'!E860</f>
        <v>0</v>
      </c>
      <c r="K860" s="40">
        <f t="shared" si="123"/>
        <v>0</v>
      </c>
      <c r="L860" t="str">
        <f>'(Raw) LensesGH'!F860</f>
        <v>Micro-Four-Thirds</v>
      </c>
      <c r="M860" t="str">
        <f>'(Raw) LensesGH'!G860</f>
        <v>Four-Thirds</v>
      </c>
      <c r="N860" t="str">
        <f>'(Raw) LensesGH'!H860</f>
        <v>285g</v>
      </c>
      <c r="O860" s="5">
        <f t="shared" si="124"/>
        <v>285</v>
      </c>
      <c r="P860" t="str">
        <f>'(Raw) LensesGH'!I860</f>
        <v>58 x 66.4mm</v>
      </c>
      <c r="Q860" s="39">
        <f t="shared" si="125"/>
        <v>58</v>
      </c>
      <c r="R860" s="39">
        <f t="shared" si="117"/>
        <v>66.400000000000006</v>
      </c>
    </row>
    <row r="861" spans="1:18" x14ac:dyDescent="0.25">
      <c r="A861" t="str">
        <f>'(Raw) LensesGH'!A861</f>
        <v>Samyang 21mm 1.4 ED AS UMC CS für Micro-Four-Thirds silber</v>
      </c>
      <c r="B861" t="str">
        <f>'(Raw) LensesGH'!B861</f>
        <v>21mm</v>
      </c>
      <c r="C861" s="5">
        <f t="shared" si="118"/>
        <v>21</v>
      </c>
      <c r="D861" s="5">
        <f t="shared" si="119"/>
        <v>21</v>
      </c>
      <c r="E861" t="str">
        <f>'(Raw) LensesGH'!C861</f>
        <v>1:1.4</v>
      </c>
      <c r="F861" s="9">
        <f t="shared" si="120"/>
        <v>1.4</v>
      </c>
      <c r="G861" s="9">
        <f t="shared" si="121"/>
        <v>1.4</v>
      </c>
      <c r="H861" t="str">
        <f>'(Raw) LensesGH'!D861</f>
        <v>58mm</v>
      </c>
      <c r="I861" s="2">
        <f t="shared" si="122"/>
        <v>58</v>
      </c>
      <c r="J861" s="2">
        <f>'(Raw) LensesGH'!E861</f>
        <v>0</v>
      </c>
      <c r="K861" s="40">
        <f t="shared" si="123"/>
        <v>0</v>
      </c>
      <c r="L861" t="str">
        <f>'(Raw) LensesGH'!F861</f>
        <v>Micro-Four-Thirds</v>
      </c>
      <c r="M861" t="str">
        <f>'(Raw) LensesGH'!G861</f>
        <v>Four-Thirds</v>
      </c>
      <c r="N861" t="str">
        <f>'(Raw) LensesGH'!H861</f>
        <v>285g</v>
      </c>
      <c r="O861" s="5">
        <f t="shared" si="124"/>
        <v>285</v>
      </c>
      <c r="P861" t="str">
        <f>'(Raw) LensesGH'!I861</f>
        <v>58 x 66.4mm</v>
      </c>
      <c r="Q861" s="39">
        <f t="shared" si="125"/>
        <v>58</v>
      </c>
      <c r="R861" s="39">
        <f t="shared" si="117"/>
        <v>66.400000000000006</v>
      </c>
    </row>
    <row r="862" spans="1:18" x14ac:dyDescent="0.25">
      <c r="A862" t="str">
        <f>'(Raw) LensesGH'!A862</f>
        <v>Samyang 21mm 1.4 ED AS UMC CS für Sony E schwarz</v>
      </c>
      <c r="B862" t="str">
        <f>'(Raw) LensesGH'!B862</f>
        <v>21mm</v>
      </c>
      <c r="C862" s="5">
        <f t="shared" si="118"/>
        <v>21</v>
      </c>
      <c r="D862" s="5">
        <f t="shared" si="119"/>
        <v>21</v>
      </c>
      <c r="E862" t="str">
        <f>'(Raw) LensesGH'!C862</f>
        <v>1:1.4</v>
      </c>
      <c r="F862" s="9">
        <f t="shared" si="120"/>
        <v>1.4</v>
      </c>
      <c r="G862" s="9">
        <f t="shared" si="121"/>
        <v>1.4</v>
      </c>
      <c r="H862" t="str">
        <f>'(Raw) LensesGH'!D862</f>
        <v>58mm</v>
      </c>
      <c r="I862" s="2">
        <f t="shared" si="122"/>
        <v>58</v>
      </c>
      <c r="J862" s="2">
        <f>'(Raw) LensesGH'!E862</f>
        <v>0</v>
      </c>
      <c r="K862" s="40">
        <f t="shared" si="123"/>
        <v>0</v>
      </c>
      <c r="L862" t="str">
        <f>'(Raw) LensesGH'!F862</f>
        <v>Sony E</v>
      </c>
      <c r="M862" t="str">
        <f>'(Raw) LensesGH'!G862</f>
        <v>APS-C</v>
      </c>
      <c r="N862" t="str">
        <f>'(Raw) LensesGH'!H862</f>
        <v>275g</v>
      </c>
      <c r="O862" s="5">
        <f t="shared" si="124"/>
        <v>275</v>
      </c>
      <c r="P862" t="str">
        <f>'(Raw) LensesGH'!I862</f>
        <v>58 x 67.6mm</v>
      </c>
      <c r="Q862" s="39">
        <f t="shared" si="125"/>
        <v>58</v>
      </c>
      <c r="R862" s="39">
        <f t="shared" si="117"/>
        <v>67.599999999999994</v>
      </c>
    </row>
    <row r="863" spans="1:18" x14ac:dyDescent="0.25">
      <c r="A863" t="str">
        <f>'(Raw) LensesGH'!A863</f>
        <v>Samyang 21mm 1.4 ED AS UMC CS für Sony E silber</v>
      </c>
      <c r="B863" t="str">
        <f>'(Raw) LensesGH'!B863</f>
        <v>21mm</v>
      </c>
      <c r="C863" s="5">
        <f t="shared" si="118"/>
        <v>21</v>
      </c>
      <c r="D863" s="5">
        <f t="shared" si="119"/>
        <v>21</v>
      </c>
      <c r="E863" t="str">
        <f>'(Raw) LensesGH'!C863</f>
        <v>1:1.4</v>
      </c>
      <c r="F863" s="9">
        <f t="shared" si="120"/>
        <v>1.4</v>
      </c>
      <c r="G863" s="9">
        <f t="shared" si="121"/>
        <v>1.4</v>
      </c>
      <c r="H863" t="str">
        <f>'(Raw) LensesGH'!D863</f>
        <v>58mm</v>
      </c>
      <c r="I863" s="2">
        <f t="shared" si="122"/>
        <v>58</v>
      </c>
      <c r="J863" s="2">
        <f>'(Raw) LensesGH'!E863</f>
        <v>0</v>
      </c>
      <c r="K863" s="40">
        <f t="shared" si="123"/>
        <v>0</v>
      </c>
      <c r="L863" t="str">
        <f>'(Raw) LensesGH'!F863</f>
        <v>Sony E</v>
      </c>
      <c r="M863" t="str">
        <f>'(Raw) LensesGH'!G863</f>
        <v>APS-C</v>
      </c>
      <c r="N863" t="str">
        <f>'(Raw) LensesGH'!H863</f>
        <v>275g</v>
      </c>
      <c r="O863" s="5">
        <f t="shared" si="124"/>
        <v>275</v>
      </c>
      <c r="P863" t="str">
        <f>'(Raw) LensesGH'!I863</f>
        <v>58 x 67.6mm</v>
      </c>
      <c r="Q863" s="39">
        <f t="shared" si="125"/>
        <v>58</v>
      </c>
      <c r="R863" s="39">
        <f t="shared" si="117"/>
        <v>67.599999999999994</v>
      </c>
    </row>
    <row r="864" spans="1:18" x14ac:dyDescent="0.25">
      <c r="A864" t="str">
        <f>'(Raw) LensesGH'!A864</f>
        <v>Samyang 21mm T1.5 ED AS UMC CS für Fujifilm X schwarz</v>
      </c>
      <c r="B864" t="str">
        <f>'(Raw) LensesGH'!B864</f>
        <v>21mm</v>
      </c>
      <c r="C864" s="5">
        <f t="shared" si="118"/>
        <v>21</v>
      </c>
      <c r="D864" s="5">
        <f t="shared" si="119"/>
        <v>21</v>
      </c>
      <c r="E864" t="str">
        <f>'(Raw) LensesGH'!C864</f>
        <v>1:1.5</v>
      </c>
      <c r="F864" s="9">
        <f t="shared" si="120"/>
        <v>1.5</v>
      </c>
      <c r="G864" s="9">
        <f t="shared" si="121"/>
        <v>1.5</v>
      </c>
      <c r="H864" t="str">
        <f>'(Raw) LensesGH'!D864</f>
        <v>58mm</v>
      </c>
      <c r="I864" s="2">
        <f t="shared" si="122"/>
        <v>58</v>
      </c>
      <c r="J864" s="2">
        <f>'(Raw) LensesGH'!E864</f>
        <v>0</v>
      </c>
      <c r="K864" s="40">
        <f t="shared" si="123"/>
        <v>0</v>
      </c>
      <c r="L864" t="str">
        <f>'(Raw) LensesGH'!F864</f>
        <v>Fujifilm X</v>
      </c>
      <c r="M864" t="str">
        <f>'(Raw) LensesGH'!G864</f>
        <v>APS-C</v>
      </c>
      <c r="N864" t="str">
        <f>'(Raw) LensesGH'!H864</f>
        <v>305g</v>
      </c>
      <c r="O864" s="5">
        <f t="shared" si="124"/>
        <v>305</v>
      </c>
      <c r="P864" t="str">
        <f>'(Raw) LensesGH'!I864</f>
        <v>73.6 x 67.9mm</v>
      </c>
      <c r="Q864" s="39">
        <f t="shared" si="125"/>
        <v>73.599999999999994</v>
      </c>
      <c r="R864" s="39">
        <f t="shared" si="117"/>
        <v>67.900000000000006</v>
      </c>
    </row>
    <row r="865" spans="1:18" x14ac:dyDescent="0.25">
      <c r="A865" t="str">
        <f>'(Raw) LensesGH'!A865</f>
        <v>Samyang 21mm T1.5 ED AS UMC CS für Micro-Four-Thirds schwarz</v>
      </c>
      <c r="B865" t="str">
        <f>'(Raw) LensesGH'!B865</f>
        <v>21mm</v>
      </c>
      <c r="C865" s="5">
        <f t="shared" si="118"/>
        <v>21</v>
      </c>
      <c r="D865" s="5">
        <f t="shared" si="119"/>
        <v>21</v>
      </c>
      <c r="E865" t="str">
        <f>'(Raw) LensesGH'!C865</f>
        <v>1:1.5</v>
      </c>
      <c r="F865" s="9">
        <f t="shared" si="120"/>
        <v>1.5</v>
      </c>
      <c r="G865" s="9">
        <f t="shared" si="121"/>
        <v>1.5</v>
      </c>
      <c r="H865" t="str">
        <f>'(Raw) LensesGH'!D865</f>
        <v>58mm</v>
      </c>
      <c r="I865" s="2">
        <f t="shared" si="122"/>
        <v>58</v>
      </c>
      <c r="J865" s="2">
        <f>'(Raw) LensesGH'!E865</f>
        <v>0</v>
      </c>
      <c r="K865" s="40">
        <f t="shared" si="123"/>
        <v>0</v>
      </c>
      <c r="L865" t="str">
        <f>'(Raw) LensesGH'!F865</f>
        <v>Micro-Four-Thirds</v>
      </c>
      <c r="M865" t="str">
        <f>'(Raw) LensesGH'!G865</f>
        <v>Four-Thirds</v>
      </c>
      <c r="N865" t="str">
        <f>'(Raw) LensesGH'!H865</f>
        <v>300g</v>
      </c>
      <c r="O865" s="5">
        <f t="shared" si="124"/>
        <v>300</v>
      </c>
      <c r="P865" t="str">
        <f>'(Raw) LensesGH'!I865</f>
        <v>73.6 x 66.4mm</v>
      </c>
      <c r="Q865" s="39">
        <f t="shared" si="125"/>
        <v>73.599999999999994</v>
      </c>
      <c r="R865" s="39">
        <f t="shared" si="117"/>
        <v>66.400000000000006</v>
      </c>
    </row>
    <row r="866" spans="1:18" x14ac:dyDescent="0.25">
      <c r="A866" t="str">
        <f>'(Raw) LensesGH'!A866</f>
        <v>Samyang 21mm T1.5 ED AS UMC CS für Sony E schwarz</v>
      </c>
      <c r="B866" t="str">
        <f>'(Raw) LensesGH'!B866</f>
        <v>21mm</v>
      </c>
      <c r="C866" s="5">
        <f t="shared" si="118"/>
        <v>21</v>
      </c>
      <c r="D866" s="5">
        <f t="shared" si="119"/>
        <v>21</v>
      </c>
      <c r="E866" t="str">
        <f>'(Raw) LensesGH'!C866</f>
        <v>1:1.5</v>
      </c>
      <c r="F866" s="9">
        <f t="shared" si="120"/>
        <v>1.5</v>
      </c>
      <c r="G866" s="9">
        <f t="shared" si="121"/>
        <v>1.5</v>
      </c>
      <c r="H866" t="str">
        <f>'(Raw) LensesGH'!D866</f>
        <v>58mm</v>
      </c>
      <c r="I866" s="2">
        <f t="shared" si="122"/>
        <v>58</v>
      </c>
      <c r="J866" s="2">
        <f>'(Raw) LensesGH'!E866</f>
        <v>0</v>
      </c>
      <c r="K866" s="40">
        <f t="shared" si="123"/>
        <v>0</v>
      </c>
      <c r="L866" t="str">
        <f>'(Raw) LensesGH'!F866</f>
        <v>Sony E</v>
      </c>
      <c r="M866" t="str">
        <f>'(Raw) LensesGH'!G866</f>
        <v>APS-C</v>
      </c>
      <c r="N866" t="str">
        <f>'(Raw) LensesGH'!H866</f>
        <v>290g</v>
      </c>
      <c r="O866" s="5">
        <f t="shared" si="124"/>
        <v>290</v>
      </c>
      <c r="P866" t="str">
        <f>'(Raw) LensesGH'!I866</f>
        <v>73.6 x 67.6mm</v>
      </c>
      <c r="Q866" s="39">
        <f t="shared" si="125"/>
        <v>73.599999999999994</v>
      </c>
      <c r="R866" s="39">
        <f t="shared" si="117"/>
        <v>67.599999999999994</v>
      </c>
    </row>
    <row r="867" spans="1:18" x14ac:dyDescent="0.25">
      <c r="A867" t="str">
        <f>'(Raw) LensesGH'!A867</f>
        <v>Samyang 24mm 1.4 ED AS UMC für Canon EF schwarz</v>
      </c>
      <c r="B867" t="str">
        <f>'(Raw) LensesGH'!B867</f>
        <v>24mm</v>
      </c>
      <c r="C867" s="5">
        <f t="shared" si="118"/>
        <v>24</v>
      </c>
      <c r="D867" s="5">
        <f t="shared" si="119"/>
        <v>24</v>
      </c>
      <c r="E867" t="str">
        <f>'(Raw) LensesGH'!C867</f>
        <v>1:1.4</v>
      </c>
      <c r="F867" s="9">
        <f t="shared" si="120"/>
        <v>1.4</v>
      </c>
      <c r="G867" s="9">
        <f t="shared" si="121"/>
        <v>1.4</v>
      </c>
      <c r="H867" t="str">
        <f>'(Raw) LensesGH'!D867</f>
        <v>77mm</v>
      </c>
      <c r="I867" s="2">
        <f t="shared" si="122"/>
        <v>77</v>
      </c>
      <c r="J867" s="2">
        <f>'(Raw) LensesGH'!E867</f>
        <v>0</v>
      </c>
      <c r="K867" s="40">
        <f t="shared" si="123"/>
        <v>0</v>
      </c>
      <c r="L867" t="str">
        <f>'(Raw) LensesGH'!F867</f>
        <v>Canon EF</v>
      </c>
      <c r="M867" t="str">
        <f>'(Raw) LensesGH'!G867</f>
        <v>APS-C/ Kleinbild</v>
      </c>
      <c r="N867" t="str">
        <f>'(Raw) LensesGH'!H867</f>
        <v>580g</v>
      </c>
      <c r="O867" s="5">
        <f t="shared" si="124"/>
        <v>580</v>
      </c>
      <c r="P867" t="str">
        <f>'(Raw) LensesGH'!I867</f>
        <v>83 x 95mm</v>
      </c>
      <c r="Q867" s="39">
        <f t="shared" si="125"/>
        <v>83</v>
      </c>
      <c r="R867" s="39">
        <f t="shared" si="117"/>
        <v>95</v>
      </c>
    </row>
    <row r="868" spans="1:18" x14ac:dyDescent="0.25">
      <c r="A868" t="str">
        <f>'(Raw) LensesGH'!A868</f>
        <v>Samyang 24mm 1.4 ED AS UMC für Canon EF-M schwarz</v>
      </c>
      <c r="B868" t="str">
        <f>'(Raw) LensesGH'!B868</f>
        <v>24mm</v>
      </c>
      <c r="C868" s="5">
        <f t="shared" si="118"/>
        <v>24</v>
      </c>
      <c r="D868" s="5">
        <f t="shared" si="119"/>
        <v>24</v>
      </c>
      <c r="E868" t="str">
        <f>'(Raw) LensesGH'!C868</f>
        <v>1:1.4</v>
      </c>
      <c r="F868" s="9">
        <f t="shared" si="120"/>
        <v>1.4</v>
      </c>
      <c r="G868" s="9">
        <f t="shared" si="121"/>
        <v>1.4</v>
      </c>
      <c r="H868" t="str">
        <f>'(Raw) LensesGH'!D868</f>
        <v>77mm</v>
      </c>
      <c r="I868" s="2">
        <f t="shared" si="122"/>
        <v>77</v>
      </c>
      <c r="J868" s="2">
        <f>'(Raw) LensesGH'!E868</f>
        <v>0</v>
      </c>
      <c r="K868" s="40">
        <f t="shared" si="123"/>
        <v>0</v>
      </c>
      <c r="L868" t="str">
        <f>'(Raw) LensesGH'!F868</f>
        <v>Canon EF-M</v>
      </c>
      <c r="M868" t="str">
        <f>'(Raw) LensesGH'!G868</f>
        <v>APS-C</v>
      </c>
      <c r="N868" t="str">
        <f>'(Raw) LensesGH'!H868</f>
        <v>580g</v>
      </c>
      <c r="O868" s="5">
        <f t="shared" si="124"/>
        <v>580</v>
      </c>
      <c r="P868" t="str">
        <f>'(Raw) LensesGH'!I868</f>
        <v>83 x 123.4mm</v>
      </c>
      <c r="Q868" s="39">
        <f t="shared" si="125"/>
        <v>83</v>
      </c>
      <c r="R868" s="39">
        <f t="shared" si="117"/>
        <v>123.4</v>
      </c>
    </row>
    <row r="869" spans="1:18" x14ac:dyDescent="0.25">
      <c r="A869" t="str">
        <f>'(Raw) LensesGH'!A869</f>
        <v>Samyang 24mm 1.4 ED AS UMC für Four-Thirds schwarz</v>
      </c>
      <c r="B869" t="str">
        <f>'(Raw) LensesGH'!B869</f>
        <v>24mm</v>
      </c>
      <c r="C869" s="5">
        <f t="shared" si="118"/>
        <v>24</v>
      </c>
      <c r="D869" s="5">
        <f t="shared" si="119"/>
        <v>24</v>
      </c>
      <c r="E869" t="str">
        <f>'(Raw) LensesGH'!C869</f>
        <v>1:1.4</v>
      </c>
      <c r="F869" s="9">
        <f t="shared" si="120"/>
        <v>1.4</v>
      </c>
      <c r="G869" s="9">
        <f t="shared" si="121"/>
        <v>1.4</v>
      </c>
      <c r="H869" t="str">
        <f>'(Raw) LensesGH'!D869</f>
        <v>77mm</v>
      </c>
      <c r="I869" s="2">
        <f t="shared" si="122"/>
        <v>77</v>
      </c>
      <c r="J869" s="2">
        <f>'(Raw) LensesGH'!E869</f>
        <v>0</v>
      </c>
      <c r="K869" s="40">
        <f t="shared" si="123"/>
        <v>0</v>
      </c>
      <c r="L869" t="str">
        <f>'(Raw) LensesGH'!F869</f>
        <v>Four-Thirds</v>
      </c>
      <c r="M869" t="str">
        <f>'(Raw) LensesGH'!G869</f>
        <v>Four-Thirds</v>
      </c>
      <c r="N869" t="str">
        <f>'(Raw) LensesGH'!H869</f>
        <v>580g</v>
      </c>
      <c r="O869" s="5">
        <f t="shared" si="124"/>
        <v>580</v>
      </c>
      <c r="P869" t="str">
        <f>'(Raw) LensesGH'!I869</f>
        <v>83 x 95mm</v>
      </c>
      <c r="Q869" s="39">
        <f t="shared" si="125"/>
        <v>83</v>
      </c>
      <c r="R869" s="39">
        <f t="shared" si="117"/>
        <v>95</v>
      </c>
    </row>
    <row r="870" spans="1:18" x14ac:dyDescent="0.25">
      <c r="A870" t="str">
        <f>'(Raw) LensesGH'!A870</f>
        <v>Samyang 24mm 1.4 ED AS UMC für Fujifilm X schwarz</v>
      </c>
      <c r="B870" t="str">
        <f>'(Raw) LensesGH'!B870</f>
        <v>24mm</v>
      </c>
      <c r="C870" s="5">
        <f t="shared" si="118"/>
        <v>24</v>
      </c>
      <c r="D870" s="5">
        <f t="shared" si="119"/>
        <v>24</v>
      </c>
      <c r="E870" t="str">
        <f>'(Raw) LensesGH'!C870</f>
        <v>1:1.4</v>
      </c>
      <c r="F870" s="9">
        <f t="shared" si="120"/>
        <v>1.4</v>
      </c>
      <c r="G870" s="9">
        <f t="shared" si="121"/>
        <v>1.4</v>
      </c>
      <c r="H870" t="str">
        <f>'(Raw) LensesGH'!D870</f>
        <v>77mm</v>
      </c>
      <c r="I870" s="2">
        <f t="shared" si="122"/>
        <v>77</v>
      </c>
      <c r="J870" s="2">
        <f>'(Raw) LensesGH'!E870</f>
        <v>0</v>
      </c>
      <c r="K870" s="40">
        <f t="shared" si="123"/>
        <v>0</v>
      </c>
      <c r="L870" t="str">
        <f>'(Raw) LensesGH'!F870</f>
        <v>Fujifilm X</v>
      </c>
      <c r="M870" t="str">
        <f>'(Raw) LensesGH'!G870</f>
        <v>Four-Thirds</v>
      </c>
      <c r="N870" t="str">
        <f>'(Raw) LensesGH'!H870</f>
        <v>630g</v>
      </c>
      <c r="O870" s="5">
        <f t="shared" si="124"/>
        <v>630</v>
      </c>
      <c r="P870" t="str">
        <f>'(Raw) LensesGH'!I870</f>
        <v>83 x 123.8mm</v>
      </c>
      <c r="Q870" s="39">
        <f t="shared" si="125"/>
        <v>83</v>
      </c>
      <c r="R870" s="39">
        <f t="shared" si="117"/>
        <v>123.8</v>
      </c>
    </row>
    <row r="871" spans="1:18" x14ac:dyDescent="0.25">
      <c r="A871" t="str">
        <f>'(Raw) LensesGH'!A871</f>
        <v>Samyang 24mm 1.4 ED AS UMC für Micro-Four-Thirds schwarz</v>
      </c>
      <c r="B871" t="str">
        <f>'(Raw) LensesGH'!B871</f>
        <v>24mm</v>
      </c>
      <c r="C871" s="5">
        <f t="shared" si="118"/>
        <v>24</v>
      </c>
      <c r="D871" s="5">
        <f t="shared" si="119"/>
        <v>24</v>
      </c>
      <c r="E871" t="str">
        <f>'(Raw) LensesGH'!C871</f>
        <v>1:1.4</v>
      </c>
      <c r="F871" s="9">
        <f t="shared" si="120"/>
        <v>1.4</v>
      </c>
      <c r="G871" s="9">
        <f t="shared" si="121"/>
        <v>1.4</v>
      </c>
      <c r="H871" t="str">
        <f>'(Raw) LensesGH'!D871</f>
        <v>77mm</v>
      </c>
      <c r="I871" s="2">
        <f t="shared" si="122"/>
        <v>77</v>
      </c>
      <c r="J871" s="2">
        <f>'(Raw) LensesGH'!E871</f>
        <v>0</v>
      </c>
      <c r="K871" s="40">
        <f t="shared" si="123"/>
        <v>0</v>
      </c>
      <c r="L871" t="str">
        <f>'(Raw) LensesGH'!F871</f>
        <v>Micro-Four-Thirds</v>
      </c>
      <c r="M871" t="str">
        <f>'(Raw) LensesGH'!G871</f>
        <v>Four-Thirds</v>
      </c>
      <c r="N871" t="str">
        <f>'(Raw) LensesGH'!H871</f>
        <v>585g</v>
      </c>
      <c r="O871" s="5">
        <f t="shared" si="124"/>
        <v>585</v>
      </c>
      <c r="P871" t="str">
        <f>'(Raw) LensesGH'!I871</f>
        <v>83 x 122.3mm</v>
      </c>
      <c r="Q871" s="39">
        <f t="shared" si="125"/>
        <v>83</v>
      </c>
      <c r="R871" s="39">
        <f t="shared" si="117"/>
        <v>122.3</v>
      </c>
    </row>
    <row r="872" spans="1:18" x14ac:dyDescent="0.25">
      <c r="A872" t="str">
        <f>'(Raw) LensesGH'!A872</f>
        <v>Samyang 24mm 1.4 ED AS UMC für Nikon F schwarz</v>
      </c>
      <c r="B872" t="str">
        <f>'(Raw) LensesGH'!B872</f>
        <v>24mm</v>
      </c>
      <c r="C872" s="5">
        <f t="shared" si="118"/>
        <v>24</v>
      </c>
      <c r="D872" s="5">
        <f t="shared" si="119"/>
        <v>24</v>
      </c>
      <c r="E872" t="str">
        <f>'(Raw) LensesGH'!C872</f>
        <v>1:1.4</v>
      </c>
      <c r="F872" s="9">
        <f t="shared" si="120"/>
        <v>1.4</v>
      </c>
      <c r="G872" s="9">
        <f t="shared" si="121"/>
        <v>1.4</v>
      </c>
      <c r="H872" t="str">
        <f>'(Raw) LensesGH'!D872</f>
        <v>77mm</v>
      </c>
      <c r="I872" s="2">
        <f t="shared" si="122"/>
        <v>77</v>
      </c>
      <c r="J872" s="2">
        <f>'(Raw) LensesGH'!E872</f>
        <v>0</v>
      </c>
      <c r="K872" s="40">
        <f t="shared" si="123"/>
        <v>0</v>
      </c>
      <c r="L872" t="str">
        <f>'(Raw) LensesGH'!F872</f>
        <v>Nikon F</v>
      </c>
      <c r="M872" t="str">
        <f>'(Raw) LensesGH'!G872</f>
        <v>APS-C/ Kleinbild</v>
      </c>
      <c r="N872" t="str">
        <f>'(Raw) LensesGH'!H872</f>
        <v>580g</v>
      </c>
      <c r="O872" s="5">
        <f t="shared" si="124"/>
        <v>580</v>
      </c>
      <c r="P872" t="str">
        <f>'(Raw) LensesGH'!I872</f>
        <v>83 x 95mm</v>
      </c>
      <c r="Q872" s="39">
        <f t="shared" si="125"/>
        <v>83</v>
      </c>
      <c r="R872" s="39">
        <f t="shared" si="117"/>
        <v>95</v>
      </c>
    </row>
    <row r="873" spans="1:18" x14ac:dyDescent="0.25">
      <c r="A873" t="str">
        <f>'(Raw) LensesGH'!A873</f>
        <v>Samyang 24mm 1.4 ED AS UMC für Pentax K schwarz</v>
      </c>
      <c r="B873" t="str">
        <f>'(Raw) LensesGH'!B873</f>
        <v>24mm</v>
      </c>
      <c r="C873" s="5">
        <f t="shared" si="118"/>
        <v>24</v>
      </c>
      <c r="D873" s="5">
        <f t="shared" si="119"/>
        <v>24</v>
      </c>
      <c r="E873" t="str">
        <f>'(Raw) LensesGH'!C873</f>
        <v>1:1.4</v>
      </c>
      <c r="F873" s="9">
        <f t="shared" si="120"/>
        <v>1.4</v>
      </c>
      <c r="G873" s="9">
        <f t="shared" si="121"/>
        <v>1.4</v>
      </c>
      <c r="H873" t="str">
        <f>'(Raw) LensesGH'!D873</f>
        <v>77mm</v>
      </c>
      <c r="I873" s="2">
        <f t="shared" si="122"/>
        <v>77</v>
      </c>
      <c r="J873" s="2">
        <f>'(Raw) LensesGH'!E873</f>
        <v>0</v>
      </c>
      <c r="K873" s="40">
        <f t="shared" si="123"/>
        <v>0</v>
      </c>
      <c r="L873" t="str">
        <f>'(Raw) LensesGH'!F873</f>
        <v>Pentax K</v>
      </c>
      <c r="M873" t="str">
        <f>'(Raw) LensesGH'!G873</f>
        <v>APS-C/ Kleinbild</v>
      </c>
      <c r="N873" t="str">
        <f>'(Raw) LensesGH'!H873</f>
        <v>580g</v>
      </c>
      <c r="O873" s="5">
        <f t="shared" si="124"/>
        <v>580</v>
      </c>
      <c r="P873" t="str">
        <f>'(Raw) LensesGH'!I873</f>
        <v>83 x 95mm</v>
      </c>
      <c r="Q873" s="39">
        <f t="shared" si="125"/>
        <v>83</v>
      </c>
      <c r="R873" s="39">
        <f t="shared" si="117"/>
        <v>95</v>
      </c>
    </row>
    <row r="874" spans="1:18" x14ac:dyDescent="0.25">
      <c r="A874" t="str">
        <f>'(Raw) LensesGH'!A874</f>
        <v>Samyang 24mm 1.4 ED AS UMC für Samsung NX schwarz</v>
      </c>
      <c r="B874" t="str">
        <f>'(Raw) LensesGH'!B874</f>
        <v>24mm</v>
      </c>
      <c r="C874" s="5">
        <f t="shared" si="118"/>
        <v>24</v>
      </c>
      <c r="D874" s="5">
        <f t="shared" si="119"/>
        <v>24</v>
      </c>
      <c r="E874" t="str">
        <f>'(Raw) LensesGH'!C874</f>
        <v>1:1.4</v>
      </c>
      <c r="F874" s="9">
        <f t="shared" si="120"/>
        <v>1.4</v>
      </c>
      <c r="G874" s="9">
        <f t="shared" si="121"/>
        <v>1.4</v>
      </c>
      <c r="H874" t="str">
        <f>'(Raw) LensesGH'!D874</f>
        <v>77mm</v>
      </c>
      <c r="I874" s="2">
        <f t="shared" si="122"/>
        <v>77</v>
      </c>
      <c r="J874" s="2">
        <f>'(Raw) LensesGH'!E874</f>
        <v>0</v>
      </c>
      <c r="K874" s="40">
        <f t="shared" si="123"/>
        <v>0</v>
      </c>
      <c r="L874" t="str">
        <f>'(Raw) LensesGH'!F874</f>
        <v>Samsung NX</v>
      </c>
      <c r="M874" t="str">
        <f>'(Raw) LensesGH'!G874</f>
        <v>APS-C</v>
      </c>
      <c r="N874" t="str">
        <f>'(Raw) LensesGH'!H874</f>
        <v>580g</v>
      </c>
      <c r="O874" s="5">
        <f t="shared" si="124"/>
        <v>580</v>
      </c>
      <c r="P874" t="str">
        <f>'(Raw) LensesGH'!I874</f>
        <v>83 x 95mm</v>
      </c>
      <c r="Q874" s="39">
        <f t="shared" si="125"/>
        <v>83</v>
      </c>
      <c r="R874" s="39">
        <f t="shared" si="117"/>
        <v>95</v>
      </c>
    </row>
    <row r="875" spans="1:18" x14ac:dyDescent="0.25">
      <c r="A875" t="str">
        <f>'(Raw) LensesGH'!A875</f>
        <v>Samyang 24mm 1.4 ED AS UMC für Sony A schwarz</v>
      </c>
      <c r="B875" t="str">
        <f>'(Raw) LensesGH'!B875</f>
        <v>24mm</v>
      </c>
      <c r="C875" s="5">
        <f t="shared" si="118"/>
        <v>24</v>
      </c>
      <c r="D875" s="5">
        <f t="shared" si="119"/>
        <v>24</v>
      </c>
      <c r="E875" t="str">
        <f>'(Raw) LensesGH'!C875</f>
        <v>1:1.4</v>
      </c>
      <c r="F875" s="9">
        <f t="shared" si="120"/>
        <v>1.4</v>
      </c>
      <c r="G875" s="9">
        <f t="shared" si="121"/>
        <v>1.4</v>
      </c>
      <c r="H875" t="str">
        <f>'(Raw) LensesGH'!D875</f>
        <v>77mm</v>
      </c>
      <c r="I875" s="2">
        <f t="shared" si="122"/>
        <v>77</v>
      </c>
      <c r="J875" s="2">
        <f>'(Raw) LensesGH'!E875</f>
        <v>0</v>
      </c>
      <c r="K875" s="40">
        <f t="shared" si="123"/>
        <v>0</v>
      </c>
      <c r="L875" t="str">
        <f>'(Raw) LensesGH'!F875</f>
        <v>Sony A</v>
      </c>
      <c r="M875" t="str">
        <f>'(Raw) LensesGH'!G875</f>
        <v>APS-C/ Kleinbild</v>
      </c>
      <c r="N875" t="str">
        <f>'(Raw) LensesGH'!H875</f>
        <v>580g</v>
      </c>
      <c r="O875" s="5">
        <f t="shared" si="124"/>
        <v>580</v>
      </c>
      <c r="P875" t="str">
        <f>'(Raw) LensesGH'!I875</f>
        <v>83 x 95mm</v>
      </c>
      <c r="Q875" s="39">
        <f t="shared" si="125"/>
        <v>83</v>
      </c>
      <c r="R875" s="39">
        <f t="shared" si="117"/>
        <v>95</v>
      </c>
    </row>
    <row r="876" spans="1:18" x14ac:dyDescent="0.25">
      <c r="A876" t="str">
        <f>'(Raw) LensesGH'!A876</f>
        <v>Samyang 24mm 1.4 ED AS UMC für Sony E schwarz</v>
      </c>
      <c r="B876" t="str">
        <f>'(Raw) LensesGH'!B876</f>
        <v>24mm</v>
      </c>
      <c r="C876" s="5">
        <f t="shared" si="118"/>
        <v>24</v>
      </c>
      <c r="D876" s="5">
        <f t="shared" si="119"/>
        <v>24</v>
      </c>
      <c r="E876" t="str">
        <f>'(Raw) LensesGH'!C876</f>
        <v>1:1.4</v>
      </c>
      <c r="F876" s="9">
        <f t="shared" si="120"/>
        <v>1.4</v>
      </c>
      <c r="G876" s="9">
        <f t="shared" si="121"/>
        <v>1.4</v>
      </c>
      <c r="H876" t="str">
        <f>'(Raw) LensesGH'!D876</f>
        <v>77mm</v>
      </c>
      <c r="I876" s="2">
        <f t="shared" si="122"/>
        <v>77</v>
      </c>
      <c r="J876" s="2">
        <f>'(Raw) LensesGH'!E876</f>
        <v>0</v>
      </c>
      <c r="K876" s="40">
        <f t="shared" si="123"/>
        <v>0</v>
      </c>
      <c r="L876" t="str">
        <f>'(Raw) LensesGH'!F876</f>
        <v>Sony E</v>
      </c>
      <c r="M876" t="str">
        <f>'(Raw) LensesGH'!G876</f>
        <v>APS-C</v>
      </c>
      <c r="N876" t="str">
        <f>'(Raw) LensesGH'!H876</f>
        <v>580g</v>
      </c>
      <c r="O876" s="5">
        <f t="shared" si="124"/>
        <v>580</v>
      </c>
      <c r="P876" t="str">
        <f>'(Raw) LensesGH'!I876</f>
        <v>83 x 95mm</v>
      </c>
      <c r="Q876" s="39">
        <f t="shared" si="125"/>
        <v>83</v>
      </c>
      <c r="R876" s="39">
        <f t="shared" si="117"/>
        <v>95</v>
      </c>
    </row>
    <row r="877" spans="1:18" x14ac:dyDescent="0.25">
      <c r="A877" t="str">
        <f>'(Raw) LensesGH'!A877</f>
        <v>Samyang 24mm 1.5 ED AS UMC VDSLR für Nikon F schwarz</v>
      </c>
      <c r="B877" t="str">
        <f>'(Raw) LensesGH'!B877</f>
        <v>24mm</v>
      </c>
      <c r="C877" s="5">
        <f t="shared" si="118"/>
        <v>24</v>
      </c>
      <c r="D877" s="5">
        <f t="shared" si="119"/>
        <v>24</v>
      </c>
      <c r="E877" t="str">
        <f>'(Raw) LensesGH'!C877</f>
        <v>1:1.5</v>
      </c>
      <c r="F877" s="9">
        <f t="shared" si="120"/>
        <v>1.5</v>
      </c>
      <c r="G877" s="9">
        <f t="shared" si="121"/>
        <v>1.5</v>
      </c>
      <c r="H877" t="str">
        <f>'(Raw) LensesGH'!D877</f>
        <v>77mm</v>
      </c>
      <c r="I877" s="2">
        <f t="shared" si="122"/>
        <v>77</v>
      </c>
      <c r="J877" s="2">
        <f>'(Raw) LensesGH'!E877</f>
        <v>0</v>
      </c>
      <c r="K877" s="40">
        <f t="shared" si="123"/>
        <v>0</v>
      </c>
      <c r="L877" t="str">
        <f>'(Raw) LensesGH'!F877</f>
        <v>Nikon F</v>
      </c>
      <c r="M877" t="str">
        <f>'(Raw) LensesGH'!G877</f>
        <v>APS-C/ Kleinbild</v>
      </c>
      <c r="N877" t="str">
        <f>'(Raw) LensesGH'!H877</f>
        <v>680g</v>
      </c>
      <c r="O877" s="5">
        <f t="shared" si="124"/>
        <v>680</v>
      </c>
      <c r="P877" t="str">
        <f>'(Raw) LensesGH'!I877</f>
        <v>83 x 97mm</v>
      </c>
      <c r="Q877" s="39">
        <f t="shared" si="125"/>
        <v>83</v>
      </c>
      <c r="R877" s="39">
        <f t="shared" si="117"/>
        <v>97</v>
      </c>
    </row>
    <row r="878" spans="1:18" x14ac:dyDescent="0.25">
      <c r="A878" t="str">
        <f>'(Raw) LensesGH'!A878</f>
        <v>Samyang 24mm T1.5 AS IF UMC II VDSLR für Canon EF schwarz</v>
      </c>
      <c r="B878" t="str">
        <f>'(Raw) LensesGH'!B878</f>
        <v>24mm</v>
      </c>
      <c r="C878" s="5">
        <f t="shared" si="118"/>
        <v>24</v>
      </c>
      <c r="D878" s="5">
        <f t="shared" si="119"/>
        <v>24</v>
      </c>
      <c r="E878" t="str">
        <f>'(Raw) LensesGH'!C878</f>
        <v>1:1.5</v>
      </c>
      <c r="F878" s="9">
        <f t="shared" si="120"/>
        <v>1.5</v>
      </c>
      <c r="G878" s="9">
        <f t="shared" si="121"/>
        <v>1.5</v>
      </c>
      <c r="H878" t="str">
        <f>'(Raw) LensesGH'!D878</f>
        <v>77mm</v>
      </c>
      <c r="I878" s="2">
        <f t="shared" si="122"/>
        <v>77</v>
      </c>
      <c r="J878" s="2">
        <f>'(Raw) LensesGH'!E878</f>
        <v>0</v>
      </c>
      <c r="K878" s="40">
        <f t="shared" si="123"/>
        <v>0</v>
      </c>
      <c r="L878" t="str">
        <f>'(Raw) LensesGH'!F878</f>
        <v>Canon EF</v>
      </c>
      <c r="M878" t="str">
        <f>'(Raw) LensesGH'!G878</f>
        <v>APS-C/ Kleinbild</v>
      </c>
      <c r="N878" t="str">
        <f>'(Raw) LensesGH'!H878</f>
        <v>615g</v>
      </c>
      <c r="O878" s="5">
        <f t="shared" si="124"/>
        <v>615</v>
      </c>
      <c r="P878" t="str">
        <f>'(Raw) LensesGH'!I878</f>
        <v>83 x 97.5mm</v>
      </c>
      <c r="Q878" s="39">
        <f t="shared" si="125"/>
        <v>83</v>
      </c>
      <c r="R878" s="39">
        <f t="shared" si="117"/>
        <v>97.5</v>
      </c>
    </row>
    <row r="879" spans="1:18" x14ac:dyDescent="0.25">
      <c r="A879" t="str">
        <f>'(Raw) LensesGH'!A879</f>
        <v>Samyang 24mm T1.5 AS IF UMC II VDSLR für Canon EF-M schwarz</v>
      </c>
      <c r="B879" t="str">
        <f>'(Raw) LensesGH'!B879</f>
        <v>24mm</v>
      </c>
      <c r="C879" s="5">
        <f t="shared" si="118"/>
        <v>24</v>
      </c>
      <c r="D879" s="5">
        <f t="shared" si="119"/>
        <v>24</v>
      </c>
      <c r="E879" t="str">
        <f>'(Raw) LensesGH'!C879</f>
        <v>1:1.5</v>
      </c>
      <c r="F879" s="9">
        <f t="shared" si="120"/>
        <v>1.5</v>
      </c>
      <c r="G879" s="9">
        <f t="shared" si="121"/>
        <v>1.5</v>
      </c>
      <c r="H879" t="str">
        <f>'(Raw) LensesGH'!D879</f>
        <v>77mm</v>
      </c>
      <c r="I879" s="2">
        <f t="shared" si="122"/>
        <v>77</v>
      </c>
      <c r="J879" s="2">
        <f>'(Raw) LensesGH'!E879</f>
        <v>0</v>
      </c>
      <c r="K879" s="40">
        <f t="shared" si="123"/>
        <v>0</v>
      </c>
      <c r="L879" t="str">
        <f>'(Raw) LensesGH'!F879</f>
        <v>Canon EF-M</v>
      </c>
      <c r="M879" t="str">
        <f>'(Raw) LensesGH'!G879</f>
        <v>APS-C</v>
      </c>
      <c r="N879" t="str">
        <f>'(Raw) LensesGH'!H879</f>
        <v>630g</v>
      </c>
      <c r="O879" s="5">
        <f t="shared" si="124"/>
        <v>630</v>
      </c>
      <c r="P879" t="str">
        <f>'(Raw) LensesGH'!I879</f>
        <v>83 x 123.4mm</v>
      </c>
      <c r="Q879" s="39">
        <f t="shared" si="125"/>
        <v>83</v>
      </c>
      <c r="R879" s="39">
        <f t="shared" si="117"/>
        <v>123.4</v>
      </c>
    </row>
    <row r="880" spans="1:18" x14ac:dyDescent="0.25">
      <c r="A880" t="str">
        <f>'(Raw) LensesGH'!A880</f>
        <v>Samyang 24mm T1.5 AS IF UMC II VDSLR für Four-Thirds schwarz</v>
      </c>
      <c r="B880" t="str">
        <f>'(Raw) LensesGH'!B880</f>
        <v>24mm</v>
      </c>
      <c r="C880" s="5">
        <f t="shared" si="118"/>
        <v>24</v>
      </c>
      <c r="D880" s="5">
        <f t="shared" si="119"/>
        <v>24</v>
      </c>
      <c r="E880" t="str">
        <f>'(Raw) LensesGH'!C880</f>
        <v>1:1.5</v>
      </c>
      <c r="F880" s="9">
        <f t="shared" si="120"/>
        <v>1.5</v>
      </c>
      <c r="G880" s="9">
        <f t="shared" si="121"/>
        <v>1.5</v>
      </c>
      <c r="H880" t="str">
        <f>'(Raw) LensesGH'!D880</f>
        <v>77mm</v>
      </c>
      <c r="I880" s="2">
        <f t="shared" si="122"/>
        <v>77</v>
      </c>
      <c r="J880" s="2">
        <f>'(Raw) LensesGH'!E880</f>
        <v>0</v>
      </c>
      <c r="K880" s="40">
        <f t="shared" si="123"/>
        <v>0</v>
      </c>
      <c r="L880" t="str">
        <f>'(Raw) LensesGH'!F880</f>
        <v>Four-Thirds</v>
      </c>
      <c r="M880" t="str">
        <f>'(Raw) LensesGH'!G880</f>
        <v>Four-Thirds</v>
      </c>
      <c r="N880" t="str">
        <f>'(Raw) LensesGH'!H880</f>
        <v>630g</v>
      </c>
      <c r="O880" s="5">
        <f t="shared" si="124"/>
        <v>630</v>
      </c>
      <c r="P880" t="str">
        <f>'(Raw) LensesGH'!I880</f>
        <v>83 x 102.8mm</v>
      </c>
      <c r="Q880" s="39">
        <f t="shared" si="125"/>
        <v>83</v>
      </c>
      <c r="R880" s="39">
        <f t="shared" si="117"/>
        <v>102.8</v>
      </c>
    </row>
    <row r="881" spans="1:18" x14ac:dyDescent="0.25">
      <c r="A881" t="str">
        <f>'(Raw) LensesGH'!A881</f>
        <v>Samyang 24mm T1.5 AS IF UMC II VDSLR für Fujifilm X schwarz</v>
      </c>
      <c r="B881" t="str">
        <f>'(Raw) LensesGH'!B881</f>
        <v>24mm</v>
      </c>
      <c r="C881" s="5">
        <f t="shared" si="118"/>
        <v>24</v>
      </c>
      <c r="D881" s="5">
        <f t="shared" si="119"/>
        <v>24</v>
      </c>
      <c r="E881" t="str">
        <f>'(Raw) LensesGH'!C881</f>
        <v>1:1.5</v>
      </c>
      <c r="F881" s="9">
        <f t="shared" si="120"/>
        <v>1.5</v>
      </c>
      <c r="G881" s="9">
        <f t="shared" si="121"/>
        <v>1.5</v>
      </c>
      <c r="H881" t="str">
        <f>'(Raw) LensesGH'!D881</f>
        <v>77mm</v>
      </c>
      <c r="I881" s="2">
        <f t="shared" si="122"/>
        <v>77</v>
      </c>
      <c r="J881" s="2">
        <f>'(Raw) LensesGH'!E881</f>
        <v>0</v>
      </c>
      <c r="K881" s="40">
        <f t="shared" si="123"/>
        <v>0</v>
      </c>
      <c r="L881" t="str">
        <f>'(Raw) LensesGH'!F881</f>
        <v>Fujifilm X</v>
      </c>
      <c r="M881" t="str">
        <f>'(Raw) LensesGH'!G881</f>
        <v>APS-C</v>
      </c>
      <c r="N881" t="str">
        <f>'(Raw) LensesGH'!H881</f>
        <v>640g</v>
      </c>
      <c r="O881" s="5">
        <f t="shared" si="124"/>
        <v>640</v>
      </c>
      <c r="P881" t="str">
        <f>'(Raw) LensesGH'!I881</f>
        <v>83 x 123.8mm</v>
      </c>
      <c r="Q881" s="39">
        <f t="shared" si="125"/>
        <v>83</v>
      </c>
      <c r="R881" s="39">
        <f t="shared" si="117"/>
        <v>123.8</v>
      </c>
    </row>
    <row r="882" spans="1:18" x14ac:dyDescent="0.25">
      <c r="A882" t="str">
        <f>'(Raw) LensesGH'!A882</f>
        <v>Samyang 24mm T1.5 AS IF UMC II VDSLR für Micro-Four-Thirds schwarz</v>
      </c>
      <c r="B882" t="str">
        <f>'(Raw) LensesGH'!B882</f>
        <v>24mm</v>
      </c>
      <c r="C882" s="5">
        <f t="shared" si="118"/>
        <v>24</v>
      </c>
      <c r="D882" s="5">
        <f t="shared" si="119"/>
        <v>24</v>
      </c>
      <c r="E882" t="str">
        <f>'(Raw) LensesGH'!C882</f>
        <v>1:1.5</v>
      </c>
      <c r="F882" s="9">
        <f t="shared" si="120"/>
        <v>1.5</v>
      </c>
      <c r="G882" s="9">
        <f t="shared" si="121"/>
        <v>1.5</v>
      </c>
      <c r="H882" t="str">
        <f>'(Raw) LensesGH'!D882</f>
        <v>77mm</v>
      </c>
      <c r="I882" s="2">
        <f t="shared" si="122"/>
        <v>77</v>
      </c>
      <c r="J882" s="2">
        <f>'(Raw) LensesGH'!E882</f>
        <v>0</v>
      </c>
      <c r="K882" s="40">
        <f t="shared" si="123"/>
        <v>0</v>
      </c>
      <c r="L882" t="str">
        <f>'(Raw) LensesGH'!F882</f>
        <v>Micro-Four-Thirds</v>
      </c>
      <c r="M882" t="str">
        <f>'(Raw) LensesGH'!G882</f>
        <v>Four-Thirds</v>
      </c>
      <c r="N882" t="str">
        <f>'(Raw) LensesGH'!H882</f>
        <v>635g</v>
      </c>
      <c r="O882" s="5">
        <f t="shared" si="124"/>
        <v>635</v>
      </c>
      <c r="P882" t="str">
        <f>'(Raw) LensesGH'!I882</f>
        <v>83 x 122.3mm</v>
      </c>
      <c r="Q882" s="39">
        <f t="shared" si="125"/>
        <v>83</v>
      </c>
      <c r="R882" s="39">
        <f t="shared" si="117"/>
        <v>122.3</v>
      </c>
    </row>
    <row r="883" spans="1:18" x14ac:dyDescent="0.25">
      <c r="A883" t="str">
        <f>'(Raw) LensesGH'!A883</f>
        <v>Samyang 24mm T1.5 AS IF UMC II VDSLR für Nikon F schwarz</v>
      </c>
      <c r="B883" t="str">
        <f>'(Raw) LensesGH'!B883</f>
        <v>24mm</v>
      </c>
      <c r="C883" s="5">
        <f t="shared" si="118"/>
        <v>24</v>
      </c>
      <c r="D883" s="5">
        <f t="shared" si="119"/>
        <v>24</v>
      </c>
      <c r="E883" t="str">
        <f>'(Raw) LensesGH'!C883</f>
        <v>1:1.5</v>
      </c>
      <c r="F883" s="9">
        <f t="shared" si="120"/>
        <v>1.5</v>
      </c>
      <c r="G883" s="9">
        <f t="shared" si="121"/>
        <v>1.5</v>
      </c>
      <c r="H883" t="str">
        <f>'(Raw) LensesGH'!D883</f>
        <v>77mm</v>
      </c>
      <c r="I883" s="2">
        <f t="shared" si="122"/>
        <v>77</v>
      </c>
      <c r="J883" s="2">
        <f>'(Raw) LensesGH'!E883</f>
        <v>0</v>
      </c>
      <c r="K883" s="40">
        <f t="shared" si="123"/>
        <v>0</v>
      </c>
      <c r="L883" t="str">
        <f>'(Raw) LensesGH'!F883</f>
        <v>Nikon F</v>
      </c>
      <c r="M883" t="str">
        <f>'(Raw) LensesGH'!G883</f>
        <v>APS-C/ Kleinbild</v>
      </c>
      <c r="N883" t="str">
        <f>'(Raw) LensesGH'!H883</f>
        <v>600g</v>
      </c>
      <c r="O883" s="5">
        <f t="shared" si="124"/>
        <v>600</v>
      </c>
      <c r="P883" t="str">
        <f>'(Raw) LensesGH'!I883</f>
        <v>83 x 95mm</v>
      </c>
      <c r="Q883" s="39">
        <f t="shared" si="125"/>
        <v>83</v>
      </c>
      <c r="R883" s="39">
        <f t="shared" si="117"/>
        <v>95</v>
      </c>
    </row>
    <row r="884" spans="1:18" x14ac:dyDescent="0.25">
      <c r="A884" t="str">
        <f>'(Raw) LensesGH'!A884</f>
        <v>Samyang 24mm T1.5 AS IF UMC II VDSLR für Pentax K schwarz</v>
      </c>
      <c r="B884" t="str">
        <f>'(Raw) LensesGH'!B884</f>
        <v>24mm</v>
      </c>
      <c r="C884" s="5">
        <f t="shared" si="118"/>
        <v>24</v>
      </c>
      <c r="D884" s="5">
        <f t="shared" si="119"/>
        <v>24</v>
      </c>
      <c r="E884" t="str">
        <f>'(Raw) LensesGH'!C884</f>
        <v>1:1.5</v>
      </c>
      <c r="F884" s="9">
        <f t="shared" si="120"/>
        <v>1.5</v>
      </c>
      <c r="G884" s="9">
        <f t="shared" si="121"/>
        <v>1.5</v>
      </c>
      <c r="H884" t="str">
        <f>'(Raw) LensesGH'!D884</f>
        <v>77mm</v>
      </c>
      <c r="I884" s="2">
        <f t="shared" si="122"/>
        <v>77</v>
      </c>
      <c r="J884" s="2">
        <f>'(Raw) LensesGH'!E884</f>
        <v>0</v>
      </c>
      <c r="K884" s="40">
        <f t="shared" si="123"/>
        <v>0</v>
      </c>
      <c r="L884" t="str">
        <f>'(Raw) LensesGH'!F884</f>
        <v>Pentax K</v>
      </c>
      <c r="M884" t="str">
        <f>'(Raw) LensesGH'!G884</f>
        <v>APS-C/ Kleinbild</v>
      </c>
      <c r="N884" t="str">
        <f>'(Raw) LensesGH'!H884</f>
        <v>600g</v>
      </c>
      <c r="O884" s="5">
        <f t="shared" si="124"/>
        <v>600</v>
      </c>
      <c r="P884" t="str">
        <f>'(Raw) LensesGH'!I884</f>
        <v>83 x 96mm</v>
      </c>
      <c r="Q884" s="39">
        <f t="shared" si="125"/>
        <v>83</v>
      </c>
      <c r="R884" s="39">
        <f t="shared" si="117"/>
        <v>96</v>
      </c>
    </row>
    <row r="885" spans="1:18" x14ac:dyDescent="0.25">
      <c r="A885" t="str">
        <f>'(Raw) LensesGH'!A885</f>
        <v>Samyang 24mm T1.5 AS IF UMC II VDSLR für Samsung NX schwarz</v>
      </c>
      <c r="B885" t="str">
        <f>'(Raw) LensesGH'!B885</f>
        <v>24mm</v>
      </c>
      <c r="C885" s="5">
        <f t="shared" si="118"/>
        <v>24</v>
      </c>
      <c r="D885" s="5">
        <f t="shared" si="119"/>
        <v>24</v>
      </c>
      <c r="E885" t="str">
        <f>'(Raw) LensesGH'!C885</f>
        <v>1:1.5</v>
      </c>
      <c r="F885" s="9">
        <f t="shared" si="120"/>
        <v>1.5</v>
      </c>
      <c r="G885" s="9">
        <f t="shared" si="121"/>
        <v>1.5</v>
      </c>
      <c r="H885" t="str">
        <f>'(Raw) LensesGH'!D885</f>
        <v>77mm</v>
      </c>
      <c r="I885" s="2">
        <f t="shared" si="122"/>
        <v>77</v>
      </c>
      <c r="J885" s="2">
        <f>'(Raw) LensesGH'!E885</f>
        <v>0</v>
      </c>
      <c r="K885" s="40">
        <f t="shared" si="123"/>
        <v>0</v>
      </c>
      <c r="L885" t="str">
        <f>'(Raw) LensesGH'!F885</f>
        <v>Samsung NX</v>
      </c>
      <c r="M885" t="str">
        <f>'(Raw) LensesGH'!G885</f>
        <v>APS-C</v>
      </c>
      <c r="N885" t="str">
        <f>'(Raw) LensesGH'!H885</f>
        <v>630g</v>
      </c>
      <c r="O885" s="5">
        <f t="shared" si="124"/>
        <v>630</v>
      </c>
      <c r="P885" t="str">
        <f>'(Raw) LensesGH'!I885</f>
        <v>83 x 116mm</v>
      </c>
      <c r="Q885" s="39">
        <f t="shared" si="125"/>
        <v>83</v>
      </c>
      <c r="R885" s="39">
        <f t="shared" si="117"/>
        <v>116</v>
      </c>
    </row>
    <row r="886" spans="1:18" x14ac:dyDescent="0.25">
      <c r="A886" t="str">
        <f>'(Raw) LensesGH'!A886</f>
        <v>Samyang 24mm T1.5 AS IF UMC II VDSLR für Sony A schwarz</v>
      </c>
      <c r="B886" t="str">
        <f>'(Raw) LensesGH'!B886</f>
        <v>24mm</v>
      </c>
      <c r="C886" s="5">
        <f t="shared" si="118"/>
        <v>24</v>
      </c>
      <c r="D886" s="5">
        <f t="shared" si="119"/>
        <v>24</v>
      </c>
      <c r="E886" t="str">
        <f>'(Raw) LensesGH'!C886</f>
        <v>1:1.5</v>
      </c>
      <c r="F886" s="9">
        <f t="shared" si="120"/>
        <v>1.5</v>
      </c>
      <c r="G886" s="9">
        <f t="shared" si="121"/>
        <v>1.5</v>
      </c>
      <c r="H886" t="str">
        <f>'(Raw) LensesGH'!D886</f>
        <v>77mm</v>
      </c>
      <c r="I886" s="2">
        <f t="shared" si="122"/>
        <v>77</v>
      </c>
      <c r="J886" s="2">
        <f>'(Raw) LensesGH'!E886</f>
        <v>0</v>
      </c>
      <c r="K886" s="40">
        <f t="shared" si="123"/>
        <v>0</v>
      </c>
      <c r="L886" t="str">
        <f>'(Raw) LensesGH'!F886</f>
        <v>Sony A</v>
      </c>
      <c r="M886" t="str">
        <f>'(Raw) LensesGH'!G886</f>
        <v>APS-C/ Kleinbild</v>
      </c>
      <c r="N886" t="str">
        <f>'(Raw) LensesGH'!H886</f>
        <v>609g</v>
      </c>
      <c r="O886" s="5">
        <f t="shared" si="124"/>
        <v>609</v>
      </c>
      <c r="P886" t="str">
        <f>'(Raw) LensesGH'!I886</f>
        <v>83 x 97mm</v>
      </c>
      <c r="Q886" s="39">
        <f t="shared" si="125"/>
        <v>83</v>
      </c>
      <c r="R886" s="39">
        <f t="shared" si="117"/>
        <v>97</v>
      </c>
    </row>
    <row r="887" spans="1:18" x14ac:dyDescent="0.25">
      <c r="A887" t="str">
        <f>'(Raw) LensesGH'!A887</f>
        <v>Samyang 24mm T1.5 AS IF UMC II VDSLR für Sony E schwarz</v>
      </c>
      <c r="B887" t="str">
        <f>'(Raw) LensesGH'!B887</f>
        <v>24mm</v>
      </c>
      <c r="C887" s="5">
        <f t="shared" si="118"/>
        <v>24</v>
      </c>
      <c r="D887" s="5">
        <f t="shared" si="119"/>
        <v>24</v>
      </c>
      <c r="E887" t="str">
        <f>'(Raw) LensesGH'!C887</f>
        <v>1:1.5</v>
      </c>
      <c r="F887" s="9">
        <f t="shared" si="120"/>
        <v>1.5</v>
      </c>
      <c r="G887" s="9">
        <f t="shared" si="121"/>
        <v>1.5</v>
      </c>
      <c r="H887" t="str">
        <f>'(Raw) LensesGH'!D887</f>
        <v>77mm</v>
      </c>
      <c r="I887" s="2">
        <f t="shared" si="122"/>
        <v>77</v>
      </c>
      <c r="J887" s="2">
        <f>'(Raw) LensesGH'!E887</f>
        <v>0</v>
      </c>
      <c r="K887" s="40">
        <f t="shared" si="123"/>
        <v>0</v>
      </c>
      <c r="L887" t="str">
        <f>'(Raw) LensesGH'!F887</f>
        <v>Sony E</v>
      </c>
      <c r="M887" t="str">
        <f>'(Raw) LensesGH'!G887</f>
        <v>APS-C</v>
      </c>
      <c r="N887" t="str">
        <f>'(Raw) LensesGH'!H887</f>
        <v>640g</v>
      </c>
      <c r="O887" s="5">
        <f t="shared" si="124"/>
        <v>640</v>
      </c>
      <c r="P887" t="str">
        <f>'(Raw) LensesGH'!I887</f>
        <v>83 x 123.5mm</v>
      </c>
      <c r="Q887" s="39">
        <f t="shared" si="125"/>
        <v>83</v>
      </c>
      <c r="R887" s="39">
        <f t="shared" si="117"/>
        <v>123.5</v>
      </c>
    </row>
    <row r="888" spans="1:18" x14ac:dyDescent="0.25">
      <c r="A888" t="str">
        <f>'(Raw) LensesGH'!A888</f>
        <v>Samyang 300mm 6.3 ED UMC CS Reflex für Canon EF-M schwarz</v>
      </c>
      <c r="B888" t="str">
        <f>'(Raw) LensesGH'!B888</f>
        <v>300mm</v>
      </c>
      <c r="C888" s="5">
        <f t="shared" si="118"/>
        <v>300</v>
      </c>
      <c r="D888" s="5">
        <f t="shared" si="119"/>
        <v>300</v>
      </c>
      <c r="E888" t="str">
        <f>'(Raw) LensesGH'!C888</f>
        <v>1:6.3</v>
      </c>
      <c r="F888" s="9">
        <f t="shared" si="120"/>
        <v>6.3</v>
      </c>
      <c r="G888" s="9">
        <f t="shared" si="121"/>
        <v>6.3</v>
      </c>
      <c r="H888">
        <f>'(Raw) LensesGH'!D888</f>
        <v>0</v>
      </c>
      <c r="I888" s="2">
        <f t="shared" si="122"/>
        <v>0</v>
      </c>
      <c r="J888" s="2">
        <f>'(Raw) LensesGH'!E888</f>
        <v>0</v>
      </c>
      <c r="K888" s="40">
        <f t="shared" si="123"/>
        <v>0</v>
      </c>
      <c r="L888" t="str">
        <f>'(Raw) LensesGH'!F888</f>
        <v>Canon EF-M</v>
      </c>
      <c r="M888" t="str">
        <f>'(Raw) LensesGH'!G888</f>
        <v>APS-C/ Kleinbild</v>
      </c>
      <c r="N888" t="str">
        <f>'(Raw) LensesGH'!H888</f>
        <v>318g</v>
      </c>
      <c r="O888" s="5">
        <f t="shared" si="124"/>
        <v>318</v>
      </c>
      <c r="P888" t="str">
        <f>'(Raw) LensesGH'!I888</f>
        <v>64.5 x 73.7mm</v>
      </c>
      <c r="Q888" s="39">
        <f t="shared" si="125"/>
        <v>64.5</v>
      </c>
      <c r="R888" s="39">
        <f t="shared" si="117"/>
        <v>73.7</v>
      </c>
    </row>
    <row r="889" spans="1:18" x14ac:dyDescent="0.25">
      <c r="A889" t="str">
        <f>'(Raw) LensesGH'!A889</f>
        <v>Samyang 300mm 6.3 ED UMC CS Reflex für Canon EF-M silber</v>
      </c>
      <c r="B889" t="str">
        <f>'(Raw) LensesGH'!B889</f>
        <v>300mm</v>
      </c>
      <c r="C889" s="5">
        <f t="shared" si="118"/>
        <v>300</v>
      </c>
      <c r="D889" s="5">
        <f t="shared" si="119"/>
        <v>300</v>
      </c>
      <c r="E889" t="str">
        <f>'(Raw) LensesGH'!C889</f>
        <v>1:6.3</v>
      </c>
      <c r="F889" s="9">
        <f t="shared" si="120"/>
        <v>6.3</v>
      </c>
      <c r="G889" s="9">
        <f t="shared" si="121"/>
        <v>6.3</v>
      </c>
      <c r="H889">
        <f>'(Raw) LensesGH'!D889</f>
        <v>0</v>
      </c>
      <c r="I889" s="2">
        <f t="shared" si="122"/>
        <v>0</v>
      </c>
      <c r="J889" s="2">
        <f>'(Raw) LensesGH'!E889</f>
        <v>0</v>
      </c>
      <c r="K889" s="40">
        <f t="shared" si="123"/>
        <v>0</v>
      </c>
      <c r="L889" t="str">
        <f>'(Raw) LensesGH'!F889</f>
        <v>Canon EF-M</v>
      </c>
      <c r="M889" t="str">
        <f>'(Raw) LensesGH'!G889</f>
        <v>APS-C/ Kleinbild</v>
      </c>
      <c r="N889" t="str">
        <f>'(Raw) LensesGH'!H889</f>
        <v>318g</v>
      </c>
      <c r="O889" s="5">
        <f t="shared" si="124"/>
        <v>318</v>
      </c>
      <c r="P889" t="str">
        <f>'(Raw) LensesGH'!I889</f>
        <v>64.5 x 73.7mm</v>
      </c>
      <c r="Q889" s="39">
        <f t="shared" si="125"/>
        <v>64.5</v>
      </c>
      <c r="R889" s="39">
        <f t="shared" si="117"/>
        <v>73.7</v>
      </c>
    </row>
    <row r="890" spans="1:18" x14ac:dyDescent="0.25">
      <c r="A890" t="str">
        <f>'(Raw) LensesGH'!A890</f>
        <v>Samyang 300mm 6.3 ED UMC CS Reflex für Fujifilm X schwarz</v>
      </c>
      <c r="B890" t="str">
        <f>'(Raw) LensesGH'!B890</f>
        <v>300mm</v>
      </c>
      <c r="C890" s="5">
        <f t="shared" si="118"/>
        <v>300</v>
      </c>
      <c r="D890" s="5">
        <f t="shared" si="119"/>
        <v>300</v>
      </c>
      <c r="E890" t="str">
        <f>'(Raw) LensesGH'!C890</f>
        <v>1:6.3</v>
      </c>
      <c r="F890" s="9">
        <f t="shared" si="120"/>
        <v>6.3</v>
      </c>
      <c r="G890" s="9">
        <f t="shared" si="121"/>
        <v>6.3</v>
      </c>
      <c r="H890">
        <f>'(Raw) LensesGH'!D890</f>
        <v>0</v>
      </c>
      <c r="I890" s="2">
        <f t="shared" si="122"/>
        <v>0</v>
      </c>
      <c r="J890" s="2">
        <f>'(Raw) LensesGH'!E890</f>
        <v>0</v>
      </c>
      <c r="K890" s="40">
        <f t="shared" si="123"/>
        <v>0</v>
      </c>
      <c r="L890" t="str">
        <f>'(Raw) LensesGH'!F890</f>
        <v>Fujifilm X</v>
      </c>
      <c r="M890" t="str">
        <f>'(Raw) LensesGH'!G890</f>
        <v>APS-C</v>
      </c>
      <c r="N890" t="str">
        <f>'(Raw) LensesGH'!H890</f>
        <v>318g</v>
      </c>
      <c r="O890" s="5">
        <f t="shared" si="124"/>
        <v>318</v>
      </c>
      <c r="P890" t="str">
        <f>'(Raw) LensesGH'!I890</f>
        <v>64.5 x 73.7mm</v>
      </c>
      <c r="Q890" s="39">
        <f t="shared" si="125"/>
        <v>64.5</v>
      </c>
      <c r="R890" s="39">
        <f t="shared" si="117"/>
        <v>73.7</v>
      </c>
    </row>
    <row r="891" spans="1:18" x14ac:dyDescent="0.25">
      <c r="A891" t="str">
        <f>'(Raw) LensesGH'!A891</f>
        <v>Samyang 300mm 6.3 ED UMC CS Reflex für Fujifilm X silber</v>
      </c>
      <c r="B891" t="str">
        <f>'(Raw) LensesGH'!B891</f>
        <v>300mm</v>
      </c>
      <c r="C891" s="5">
        <f t="shared" si="118"/>
        <v>300</v>
      </c>
      <c r="D891" s="5">
        <f t="shared" si="119"/>
        <v>300</v>
      </c>
      <c r="E891" t="str">
        <f>'(Raw) LensesGH'!C891</f>
        <v>1:6.3</v>
      </c>
      <c r="F891" s="9">
        <f t="shared" si="120"/>
        <v>6.3</v>
      </c>
      <c r="G891" s="9">
        <f t="shared" si="121"/>
        <v>6.3</v>
      </c>
      <c r="H891">
        <f>'(Raw) LensesGH'!D891</f>
        <v>0</v>
      </c>
      <c r="I891" s="2">
        <f t="shared" si="122"/>
        <v>0</v>
      </c>
      <c r="J891" s="2">
        <f>'(Raw) LensesGH'!E891</f>
        <v>0</v>
      </c>
      <c r="K891" s="40">
        <f t="shared" si="123"/>
        <v>0</v>
      </c>
      <c r="L891" t="str">
        <f>'(Raw) LensesGH'!F891</f>
        <v>Fujifilm X</v>
      </c>
      <c r="M891" t="str">
        <f>'(Raw) LensesGH'!G891</f>
        <v>APS-C</v>
      </c>
      <c r="N891" t="str">
        <f>'(Raw) LensesGH'!H891</f>
        <v>318g</v>
      </c>
      <c r="O891" s="5">
        <f t="shared" si="124"/>
        <v>318</v>
      </c>
      <c r="P891" t="str">
        <f>'(Raw) LensesGH'!I891</f>
        <v>64.5 x 73.7mm</v>
      </c>
      <c r="Q891" s="39">
        <f t="shared" si="125"/>
        <v>64.5</v>
      </c>
      <c r="R891" s="39">
        <f t="shared" si="117"/>
        <v>73.7</v>
      </c>
    </row>
    <row r="892" spans="1:18" x14ac:dyDescent="0.25">
      <c r="A892" t="str">
        <f>'(Raw) LensesGH'!A892</f>
        <v>Samyang 300mm 6.3 ED UMC CS Reflex für Micro-Four-Thirds schwarz</v>
      </c>
      <c r="B892" t="str">
        <f>'(Raw) LensesGH'!B892</f>
        <v>300mm</v>
      </c>
      <c r="C892" s="5">
        <f t="shared" si="118"/>
        <v>300</v>
      </c>
      <c r="D892" s="5">
        <f t="shared" si="119"/>
        <v>300</v>
      </c>
      <c r="E892" t="str">
        <f>'(Raw) LensesGH'!C892</f>
        <v>1:6.3</v>
      </c>
      <c r="F892" s="9">
        <f t="shared" si="120"/>
        <v>6.3</v>
      </c>
      <c r="G892" s="9">
        <f t="shared" si="121"/>
        <v>6.3</v>
      </c>
      <c r="H892">
        <f>'(Raw) LensesGH'!D892</f>
        <v>0</v>
      </c>
      <c r="I892" s="2">
        <f t="shared" si="122"/>
        <v>0</v>
      </c>
      <c r="J892" s="2">
        <f>'(Raw) LensesGH'!E892</f>
        <v>0</v>
      </c>
      <c r="K892" s="40">
        <f t="shared" si="123"/>
        <v>0</v>
      </c>
      <c r="L892" t="str">
        <f>'(Raw) LensesGH'!F892</f>
        <v>Micro-Four-Thirds</v>
      </c>
      <c r="M892" t="str">
        <f>'(Raw) LensesGH'!G892</f>
        <v>Four-Thirds</v>
      </c>
      <c r="N892" t="str">
        <f>'(Raw) LensesGH'!H892</f>
        <v>318g</v>
      </c>
      <c r="O892" s="5">
        <f t="shared" si="124"/>
        <v>318</v>
      </c>
      <c r="P892" t="str">
        <f>'(Raw) LensesGH'!I892</f>
        <v>64.5 x 73.7mm</v>
      </c>
      <c r="Q892" s="39">
        <f t="shared" si="125"/>
        <v>64.5</v>
      </c>
      <c r="R892" s="39">
        <f t="shared" si="117"/>
        <v>73.7</v>
      </c>
    </row>
    <row r="893" spans="1:18" x14ac:dyDescent="0.25">
      <c r="A893" t="str">
        <f>'(Raw) LensesGH'!A893</f>
        <v>Samyang 300mm 6.3 ED UMC CS Reflex für Micro-Four-Thirds silber</v>
      </c>
      <c r="B893" t="str">
        <f>'(Raw) LensesGH'!B893</f>
        <v>300mm</v>
      </c>
      <c r="C893" s="5">
        <f t="shared" si="118"/>
        <v>300</v>
      </c>
      <c r="D893" s="5">
        <f t="shared" si="119"/>
        <v>300</v>
      </c>
      <c r="E893" t="str">
        <f>'(Raw) LensesGH'!C893</f>
        <v>1:6.3</v>
      </c>
      <c r="F893" s="9">
        <f t="shared" si="120"/>
        <v>6.3</v>
      </c>
      <c r="G893" s="9">
        <f t="shared" si="121"/>
        <v>6.3</v>
      </c>
      <c r="H893">
        <f>'(Raw) LensesGH'!D893</f>
        <v>0</v>
      </c>
      <c r="I893" s="2">
        <f t="shared" si="122"/>
        <v>0</v>
      </c>
      <c r="J893" s="2">
        <f>'(Raw) LensesGH'!E893</f>
        <v>0</v>
      </c>
      <c r="K893" s="40">
        <f t="shared" si="123"/>
        <v>0</v>
      </c>
      <c r="L893" t="str">
        <f>'(Raw) LensesGH'!F893</f>
        <v>Micro-Four-Thirds</v>
      </c>
      <c r="M893" t="str">
        <f>'(Raw) LensesGH'!G893</f>
        <v>Four-Thirds</v>
      </c>
      <c r="N893" t="str">
        <f>'(Raw) LensesGH'!H893</f>
        <v>318g</v>
      </c>
      <c r="O893" s="5">
        <f t="shared" si="124"/>
        <v>318</v>
      </c>
      <c r="P893" t="str">
        <f>'(Raw) LensesGH'!I893</f>
        <v>64.5 x 73.7mm</v>
      </c>
      <c r="Q893" s="39">
        <f t="shared" si="125"/>
        <v>64.5</v>
      </c>
      <c r="R893" s="39">
        <f t="shared" si="117"/>
        <v>73.7</v>
      </c>
    </row>
    <row r="894" spans="1:18" x14ac:dyDescent="0.25">
      <c r="A894" t="str">
        <f>'(Raw) LensesGH'!A894</f>
        <v>Samyang 300mm 6.3 ED UMC CS Reflex für Sony E schwarz</v>
      </c>
      <c r="B894" t="str">
        <f>'(Raw) LensesGH'!B894</f>
        <v>300mm</v>
      </c>
      <c r="C894" s="5">
        <f t="shared" si="118"/>
        <v>300</v>
      </c>
      <c r="D894" s="5">
        <f t="shared" si="119"/>
        <v>300</v>
      </c>
      <c r="E894" t="str">
        <f>'(Raw) LensesGH'!C894</f>
        <v>1:6.3</v>
      </c>
      <c r="F894" s="9">
        <f t="shared" si="120"/>
        <v>6.3</v>
      </c>
      <c r="G894" s="9">
        <f t="shared" si="121"/>
        <v>6.3</v>
      </c>
      <c r="H894">
        <f>'(Raw) LensesGH'!D894</f>
        <v>0</v>
      </c>
      <c r="I894" s="2">
        <f t="shared" si="122"/>
        <v>0</v>
      </c>
      <c r="J894" s="2">
        <f>'(Raw) LensesGH'!E894</f>
        <v>0</v>
      </c>
      <c r="K894" s="40">
        <f t="shared" si="123"/>
        <v>0</v>
      </c>
      <c r="L894" t="str">
        <f>'(Raw) LensesGH'!F894</f>
        <v>Sony E</v>
      </c>
      <c r="M894" t="str">
        <f>'(Raw) LensesGH'!G894</f>
        <v>APS-C</v>
      </c>
      <c r="N894" t="str">
        <f>'(Raw) LensesGH'!H894</f>
        <v>318g</v>
      </c>
      <c r="O894" s="5">
        <f t="shared" si="124"/>
        <v>318</v>
      </c>
      <c r="P894" t="str">
        <f>'(Raw) LensesGH'!I894</f>
        <v>64.5 x 73.7mm</v>
      </c>
      <c r="Q894" s="39">
        <f t="shared" si="125"/>
        <v>64.5</v>
      </c>
      <c r="R894" s="39">
        <f t="shared" si="117"/>
        <v>73.7</v>
      </c>
    </row>
    <row r="895" spans="1:18" x14ac:dyDescent="0.25">
      <c r="A895" t="str">
        <f>'(Raw) LensesGH'!A895</f>
        <v>Samyang 300mm 6.3 ED UMC CS Reflex für Sony E silber</v>
      </c>
      <c r="B895" t="str">
        <f>'(Raw) LensesGH'!B895</f>
        <v>300mm</v>
      </c>
      <c r="C895" s="5">
        <f t="shared" si="118"/>
        <v>300</v>
      </c>
      <c r="D895" s="5">
        <f t="shared" si="119"/>
        <v>300</v>
      </c>
      <c r="E895" t="str">
        <f>'(Raw) LensesGH'!C895</f>
        <v>1:6.3</v>
      </c>
      <c r="F895" s="9">
        <f t="shared" si="120"/>
        <v>6.3</v>
      </c>
      <c r="G895" s="9">
        <f t="shared" si="121"/>
        <v>6.3</v>
      </c>
      <c r="H895">
        <f>'(Raw) LensesGH'!D895</f>
        <v>0</v>
      </c>
      <c r="I895" s="2">
        <f t="shared" si="122"/>
        <v>0</v>
      </c>
      <c r="J895" s="2">
        <f>'(Raw) LensesGH'!E895</f>
        <v>0</v>
      </c>
      <c r="K895" s="40">
        <f t="shared" si="123"/>
        <v>0</v>
      </c>
      <c r="L895" t="str">
        <f>'(Raw) LensesGH'!F895</f>
        <v>Sony E</v>
      </c>
      <c r="M895" t="str">
        <f>'(Raw) LensesGH'!G895</f>
        <v>APS-C</v>
      </c>
      <c r="N895" t="str">
        <f>'(Raw) LensesGH'!H895</f>
        <v>318g</v>
      </c>
      <c r="O895" s="5">
        <f t="shared" si="124"/>
        <v>318</v>
      </c>
      <c r="P895" t="str">
        <f>'(Raw) LensesGH'!I895</f>
        <v>64.5 x 73.7mm</v>
      </c>
      <c r="Q895" s="39">
        <f t="shared" si="125"/>
        <v>64.5</v>
      </c>
      <c r="R895" s="39">
        <f t="shared" si="117"/>
        <v>73.7</v>
      </c>
    </row>
    <row r="896" spans="1:18" x14ac:dyDescent="0.25">
      <c r="A896" t="str">
        <f>'(Raw) LensesGH'!A896</f>
        <v>Samyang 300mm 6.3 UMC CS Reflex für Canon EF schwarz</v>
      </c>
      <c r="B896" t="str">
        <f>'(Raw) LensesGH'!B896</f>
        <v>300mm</v>
      </c>
      <c r="C896" s="5">
        <f t="shared" si="118"/>
        <v>300</v>
      </c>
      <c r="D896" s="5">
        <f t="shared" si="119"/>
        <v>300</v>
      </c>
      <c r="E896" t="str">
        <f>'(Raw) LensesGH'!C896</f>
        <v>1:6.3</v>
      </c>
      <c r="F896" s="9">
        <f t="shared" si="120"/>
        <v>6.3</v>
      </c>
      <c r="G896" s="9">
        <f t="shared" si="121"/>
        <v>6.3</v>
      </c>
      <c r="H896" t="str">
        <f>'(Raw) LensesGH'!D896</f>
        <v>25.5mm</v>
      </c>
      <c r="I896" s="2">
        <f t="shared" si="122"/>
        <v>25.5</v>
      </c>
      <c r="J896" s="2">
        <f>'(Raw) LensesGH'!E896</f>
        <v>0</v>
      </c>
      <c r="K896" s="40">
        <f t="shared" si="123"/>
        <v>0</v>
      </c>
      <c r="L896" t="str">
        <f>'(Raw) LensesGH'!F896</f>
        <v>Canon EF</v>
      </c>
      <c r="M896" t="str">
        <f>'(Raw) LensesGH'!G896</f>
        <v>APS-C/ Kleinbild</v>
      </c>
      <c r="N896" t="str">
        <f>'(Raw) LensesGH'!H896</f>
        <v>270g</v>
      </c>
      <c r="O896" s="5">
        <f t="shared" si="124"/>
        <v>270</v>
      </c>
      <c r="P896" t="str">
        <f>'(Raw) LensesGH'!I896</f>
        <v>64.5 x 76.1mm</v>
      </c>
      <c r="Q896" s="39">
        <f t="shared" si="125"/>
        <v>64.5</v>
      </c>
      <c r="R896" s="39">
        <f t="shared" si="117"/>
        <v>76.099999999999994</v>
      </c>
    </row>
    <row r="897" spans="1:18" x14ac:dyDescent="0.25">
      <c r="A897" t="str">
        <f>'(Raw) LensesGH'!A897</f>
        <v>Samyang 300mm 6.3 UMC CS Reflex für Nikon F schwarz</v>
      </c>
      <c r="B897" t="str">
        <f>'(Raw) LensesGH'!B897</f>
        <v>300mm</v>
      </c>
      <c r="C897" s="5">
        <f t="shared" si="118"/>
        <v>300</v>
      </c>
      <c r="D897" s="5">
        <f t="shared" si="119"/>
        <v>300</v>
      </c>
      <c r="E897" t="str">
        <f>'(Raw) LensesGH'!C897</f>
        <v>1:6.3</v>
      </c>
      <c r="F897" s="9">
        <f t="shared" si="120"/>
        <v>6.3</v>
      </c>
      <c r="G897" s="9">
        <f t="shared" si="121"/>
        <v>6.3</v>
      </c>
      <c r="H897" t="str">
        <f>'(Raw) LensesGH'!D897</f>
        <v>25.5mm</v>
      </c>
      <c r="I897" s="2">
        <f t="shared" si="122"/>
        <v>25.5</v>
      </c>
      <c r="J897" s="2">
        <f>'(Raw) LensesGH'!E897</f>
        <v>0</v>
      </c>
      <c r="K897" s="40">
        <f t="shared" si="123"/>
        <v>0</v>
      </c>
      <c r="L897" t="str">
        <f>'(Raw) LensesGH'!F897</f>
        <v>Nikon F</v>
      </c>
      <c r="M897" t="str">
        <f>'(Raw) LensesGH'!G897</f>
        <v>APS-C/ Kleinbild</v>
      </c>
      <c r="N897" t="str">
        <f>'(Raw) LensesGH'!H897</f>
        <v>260g</v>
      </c>
      <c r="O897" s="5">
        <f t="shared" si="124"/>
        <v>260</v>
      </c>
      <c r="P897" t="str">
        <f>'(Raw) LensesGH'!I897</f>
        <v>64.5 x 73.6mm</v>
      </c>
      <c r="Q897" s="39">
        <f t="shared" si="125"/>
        <v>64.5</v>
      </c>
      <c r="R897" s="39">
        <f t="shared" si="117"/>
        <v>73.599999999999994</v>
      </c>
    </row>
    <row r="898" spans="1:18" x14ac:dyDescent="0.25">
      <c r="A898" t="str">
        <f>'(Raw) LensesGH'!A898</f>
        <v>Samyang 300mm 6.3 UMC CS Reflex für Sony A schwarz</v>
      </c>
      <c r="B898" t="str">
        <f>'(Raw) LensesGH'!B898</f>
        <v>300mm</v>
      </c>
      <c r="C898" s="5">
        <f t="shared" si="118"/>
        <v>300</v>
      </c>
      <c r="D898" s="5">
        <f t="shared" si="119"/>
        <v>300</v>
      </c>
      <c r="E898" t="str">
        <f>'(Raw) LensesGH'!C898</f>
        <v>1:6.3</v>
      </c>
      <c r="F898" s="9">
        <f t="shared" si="120"/>
        <v>6.3</v>
      </c>
      <c r="G898" s="9">
        <f t="shared" si="121"/>
        <v>6.3</v>
      </c>
      <c r="H898" t="str">
        <f>'(Raw) LensesGH'!D898</f>
        <v>25.5mm</v>
      </c>
      <c r="I898" s="2">
        <f t="shared" si="122"/>
        <v>25.5</v>
      </c>
      <c r="J898" s="2">
        <f>'(Raw) LensesGH'!E898</f>
        <v>0</v>
      </c>
      <c r="K898" s="40">
        <f t="shared" si="123"/>
        <v>0</v>
      </c>
      <c r="L898" t="str">
        <f>'(Raw) LensesGH'!F898</f>
        <v>Sony A</v>
      </c>
      <c r="M898" t="str">
        <f>'(Raw) LensesGH'!G898</f>
        <v>APS-C</v>
      </c>
      <c r="N898" t="str">
        <f>'(Raw) LensesGH'!H898</f>
        <v>260g</v>
      </c>
      <c r="O898" s="5">
        <f t="shared" si="124"/>
        <v>260</v>
      </c>
      <c r="P898" t="str">
        <f>'(Raw) LensesGH'!I898</f>
        <v>64.5 x 75.6mm</v>
      </c>
      <c r="Q898" s="39">
        <f t="shared" si="125"/>
        <v>64.5</v>
      </c>
      <c r="R898" s="39">
        <f t="shared" ref="R898:R961" si="126">getSizeLength(P898)</f>
        <v>75.599999999999994</v>
      </c>
    </row>
    <row r="899" spans="1:18" x14ac:dyDescent="0.25">
      <c r="A899" t="str">
        <f>'(Raw) LensesGH'!A899</f>
        <v>Samyang 35mm 1.2 ED AS UMC CS für Canon EF-M schwarz</v>
      </c>
      <c r="B899" t="str">
        <f>'(Raw) LensesGH'!B899</f>
        <v>35mm</v>
      </c>
      <c r="C899" s="5">
        <f t="shared" ref="C899:C962" si="127">getFocalLengthStart(B899)</f>
        <v>35</v>
      </c>
      <c r="D899" s="5">
        <f t="shared" ref="D899:D962" si="128">getFocalLengthEnd(B899)</f>
        <v>35</v>
      </c>
      <c r="E899" t="str">
        <f>'(Raw) LensesGH'!C899</f>
        <v>1:1.2</v>
      </c>
      <c r="F899" s="9">
        <f t="shared" ref="F899:F962" si="129">getApertureStart(E899)</f>
        <v>1.2</v>
      </c>
      <c r="G899" s="9">
        <f t="shared" ref="G899:G962" si="130">getApertureEnd(F899)</f>
        <v>1.2</v>
      </c>
      <c r="H899" t="str">
        <f>'(Raw) LensesGH'!D899</f>
        <v>62mm</v>
      </c>
      <c r="I899" s="2">
        <f t="shared" ref="I899:I962" si="131">getFiltersizeAsDouble(H899)</f>
        <v>62</v>
      </c>
      <c r="J899" s="2">
        <f>'(Raw) LensesGH'!E899</f>
        <v>0</v>
      </c>
      <c r="K899" s="40">
        <f t="shared" ref="K899:K962" si="132">getMagnification(J899)</f>
        <v>0</v>
      </c>
      <c r="L899" t="str">
        <f>'(Raw) LensesGH'!F899</f>
        <v>Canon EF-M</v>
      </c>
      <c r="M899" t="str">
        <f>'(Raw) LensesGH'!G899</f>
        <v>APS-C</v>
      </c>
      <c r="N899" t="str">
        <f>'(Raw) LensesGH'!H899</f>
        <v>420g</v>
      </c>
      <c r="O899" s="5">
        <f t="shared" ref="O899:O962" si="133">getWeightAsDouble(N899)</f>
        <v>420</v>
      </c>
      <c r="P899" t="str">
        <f>'(Raw) LensesGH'!I899</f>
        <v>67.5 x 74.1mm</v>
      </c>
      <c r="Q899" s="39">
        <f t="shared" ref="Q899:Q962" si="134">getSizeDiameter(P899)</f>
        <v>67.5</v>
      </c>
      <c r="R899" s="39">
        <f t="shared" si="126"/>
        <v>74.099999999999994</v>
      </c>
    </row>
    <row r="900" spans="1:18" x14ac:dyDescent="0.25">
      <c r="A900" t="str">
        <f>'(Raw) LensesGH'!A900</f>
        <v>Samyang 35mm 1.2 ED AS UMC CS für Fujifilm X schwarz</v>
      </c>
      <c r="B900" t="str">
        <f>'(Raw) LensesGH'!B900</f>
        <v>35mm</v>
      </c>
      <c r="C900" s="5">
        <f t="shared" si="127"/>
        <v>35</v>
      </c>
      <c r="D900" s="5">
        <f t="shared" si="128"/>
        <v>35</v>
      </c>
      <c r="E900" t="str">
        <f>'(Raw) LensesGH'!C900</f>
        <v>1:1.2</v>
      </c>
      <c r="F900" s="9">
        <f t="shared" si="129"/>
        <v>1.2</v>
      </c>
      <c r="G900" s="9">
        <f t="shared" si="130"/>
        <v>1.2</v>
      </c>
      <c r="H900" t="str">
        <f>'(Raw) LensesGH'!D900</f>
        <v>62mm</v>
      </c>
      <c r="I900" s="2">
        <f t="shared" si="131"/>
        <v>62</v>
      </c>
      <c r="J900" s="2">
        <f>'(Raw) LensesGH'!E900</f>
        <v>0</v>
      </c>
      <c r="K900" s="40">
        <f t="shared" si="132"/>
        <v>0</v>
      </c>
      <c r="L900" t="str">
        <f>'(Raw) LensesGH'!F900</f>
        <v>Fujifilm X</v>
      </c>
      <c r="M900" t="str">
        <f>'(Raw) LensesGH'!G900</f>
        <v>APS-C</v>
      </c>
      <c r="N900" t="str">
        <f>'(Raw) LensesGH'!H900</f>
        <v>433g</v>
      </c>
      <c r="O900" s="5">
        <f t="shared" si="133"/>
        <v>433</v>
      </c>
      <c r="P900" t="str">
        <f>'(Raw) LensesGH'!I900</f>
        <v>67.5 x 74.5mm</v>
      </c>
      <c r="Q900" s="39">
        <f t="shared" si="134"/>
        <v>67.5</v>
      </c>
      <c r="R900" s="39">
        <f t="shared" si="126"/>
        <v>74.5</v>
      </c>
    </row>
    <row r="901" spans="1:18" x14ac:dyDescent="0.25">
      <c r="A901" t="str">
        <f>'(Raw) LensesGH'!A901</f>
        <v>Samyang 35mm 1.2 ED AS UMC CS für Micro-Four-Thirds schwarz</v>
      </c>
      <c r="B901" t="str">
        <f>'(Raw) LensesGH'!B901</f>
        <v>35mm</v>
      </c>
      <c r="C901" s="5">
        <f t="shared" si="127"/>
        <v>35</v>
      </c>
      <c r="D901" s="5">
        <f t="shared" si="128"/>
        <v>35</v>
      </c>
      <c r="E901" t="str">
        <f>'(Raw) LensesGH'!C901</f>
        <v>1:1.2</v>
      </c>
      <c r="F901" s="9">
        <f t="shared" si="129"/>
        <v>1.2</v>
      </c>
      <c r="G901" s="9">
        <f t="shared" si="130"/>
        <v>1.2</v>
      </c>
      <c r="H901" t="str">
        <f>'(Raw) LensesGH'!D901</f>
        <v>62mm</v>
      </c>
      <c r="I901" s="2">
        <f t="shared" si="131"/>
        <v>62</v>
      </c>
      <c r="J901" s="2">
        <f>'(Raw) LensesGH'!E901</f>
        <v>0</v>
      </c>
      <c r="K901" s="40">
        <f t="shared" si="132"/>
        <v>0</v>
      </c>
      <c r="L901" t="str">
        <f>'(Raw) LensesGH'!F901</f>
        <v>Micro-Four-Thirds</v>
      </c>
      <c r="M901" t="str">
        <f>'(Raw) LensesGH'!G901</f>
        <v>Four-Thirds</v>
      </c>
      <c r="N901" t="str">
        <f>'(Raw) LensesGH'!H901</f>
        <v>426g</v>
      </c>
      <c r="O901" s="5">
        <f t="shared" si="133"/>
        <v>426</v>
      </c>
      <c r="P901" t="str">
        <f>'(Raw) LensesGH'!I901</f>
        <v>67.5 x 73mm</v>
      </c>
      <c r="Q901" s="39">
        <f t="shared" si="134"/>
        <v>67.5</v>
      </c>
      <c r="R901" s="39">
        <f t="shared" si="126"/>
        <v>73</v>
      </c>
    </row>
    <row r="902" spans="1:18" x14ac:dyDescent="0.25">
      <c r="A902" t="str">
        <f>'(Raw) LensesGH'!A902</f>
        <v>Samyang 35mm 1.2 ED AS UMC CS für Sony E schwarz</v>
      </c>
      <c r="B902" t="str">
        <f>'(Raw) LensesGH'!B902</f>
        <v>35mm</v>
      </c>
      <c r="C902" s="5">
        <f t="shared" si="127"/>
        <v>35</v>
      </c>
      <c r="D902" s="5">
        <f t="shared" si="128"/>
        <v>35</v>
      </c>
      <c r="E902" t="str">
        <f>'(Raw) LensesGH'!C902</f>
        <v>1:1.2</v>
      </c>
      <c r="F902" s="9">
        <f t="shared" si="129"/>
        <v>1.2</v>
      </c>
      <c r="G902" s="9">
        <f t="shared" si="130"/>
        <v>1.2</v>
      </c>
      <c r="H902" t="str">
        <f>'(Raw) LensesGH'!D902</f>
        <v>62mm</v>
      </c>
      <c r="I902" s="2">
        <f t="shared" si="131"/>
        <v>62</v>
      </c>
      <c r="J902" s="2">
        <f>'(Raw) LensesGH'!E902</f>
        <v>0</v>
      </c>
      <c r="K902" s="40">
        <f t="shared" si="132"/>
        <v>0</v>
      </c>
      <c r="L902" t="str">
        <f>'(Raw) LensesGH'!F902</f>
        <v>Sony E</v>
      </c>
      <c r="M902" t="str">
        <f>'(Raw) LensesGH'!G902</f>
        <v>APS-C</v>
      </c>
      <c r="N902" t="str">
        <f>'(Raw) LensesGH'!H902</f>
        <v>420g</v>
      </c>
      <c r="O902" s="5">
        <f t="shared" si="133"/>
        <v>420</v>
      </c>
      <c r="P902" t="str">
        <f>'(Raw) LensesGH'!I902</f>
        <v>67.5 x 74.2mm</v>
      </c>
      <c r="Q902" s="39">
        <f t="shared" si="134"/>
        <v>67.5</v>
      </c>
      <c r="R902" s="39">
        <f t="shared" si="126"/>
        <v>74.2</v>
      </c>
    </row>
    <row r="903" spans="1:18" x14ac:dyDescent="0.25">
      <c r="A903" t="str">
        <f>'(Raw) LensesGH'!A903</f>
        <v>Samyang 35mm 1.4 AS UMC für Canon EF schwarz</v>
      </c>
      <c r="B903" t="str">
        <f>'(Raw) LensesGH'!B903</f>
        <v>35mm</v>
      </c>
      <c r="C903" s="5">
        <f t="shared" si="127"/>
        <v>35</v>
      </c>
      <c r="D903" s="5">
        <f t="shared" si="128"/>
        <v>35</v>
      </c>
      <c r="E903" t="str">
        <f>'(Raw) LensesGH'!C903</f>
        <v>1:1.4</v>
      </c>
      <c r="F903" s="9">
        <f t="shared" si="129"/>
        <v>1.4</v>
      </c>
      <c r="G903" s="9">
        <f t="shared" si="130"/>
        <v>1.4</v>
      </c>
      <c r="H903" t="str">
        <f>'(Raw) LensesGH'!D903</f>
        <v>77mm</v>
      </c>
      <c r="I903" s="2">
        <f t="shared" si="131"/>
        <v>77</v>
      </c>
      <c r="J903" s="2">
        <f>'(Raw) LensesGH'!E903</f>
        <v>0</v>
      </c>
      <c r="K903" s="40">
        <f t="shared" si="132"/>
        <v>0</v>
      </c>
      <c r="L903" t="str">
        <f>'(Raw) LensesGH'!F903</f>
        <v>Canon EF</v>
      </c>
      <c r="M903" t="str">
        <f>'(Raw) LensesGH'!G903</f>
        <v>APS-C/ Kleinbild</v>
      </c>
      <c r="N903" t="str">
        <f>'(Raw) LensesGH'!H903</f>
        <v>660g</v>
      </c>
      <c r="O903" s="5">
        <f t="shared" si="133"/>
        <v>660</v>
      </c>
      <c r="P903" t="str">
        <f>'(Raw) LensesGH'!I903</f>
        <v>83 x 111mm</v>
      </c>
      <c r="Q903" s="39">
        <f t="shared" si="134"/>
        <v>83</v>
      </c>
      <c r="R903" s="39">
        <f t="shared" si="126"/>
        <v>111</v>
      </c>
    </row>
    <row r="904" spans="1:18" x14ac:dyDescent="0.25">
      <c r="A904" t="str">
        <f>'(Raw) LensesGH'!A904</f>
        <v>Samyang 35mm 1.4 AS UMC für Canon EF-M schwarz</v>
      </c>
      <c r="B904" t="str">
        <f>'(Raw) LensesGH'!B904</f>
        <v>35mm</v>
      </c>
      <c r="C904" s="5">
        <f t="shared" si="127"/>
        <v>35</v>
      </c>
      <c r="D904" s="5">
        <f t="shared" si="128"/>
        <v>35</v>
      </c>
      <c r="E904" t="str">
        <f>'(Raw) LensesGH'!C904</f>
        <v>1:1.4</v>
      </c>
      <c r="F904" s="9">
        <f t="shared" si="129"/>
        <v>1.4</v>
      </c>
      <c r="G904" s="9">
        <f t="shared" si="130"/>
        <v>1.4</v>
      </c>
      <c r="H904" t="str">
        <f>'(Raw) LensesGH'!D904</f>
        <v>77mm</v>
      </c>
      <c r="I904" s="2">
        <f t="shared" si="131"/>
        <v>77</v>
      </c>
      <c r="J904" s="2">
        <f>'(Raw) LensesGH'!E904</f>
        <v>0</v>
      </c>
      <c r="K904" s="40">
        <f t="shared" si="132"/>
        <v>0</v>
      </c>
      <c r="L904" t="str">
        <f>'(Raw) LensesGH'!F904</f>
        <v>Canon EF-M</v>
      </c>
      <c r="M904" t="str">
        <f>'(Raw) LensesGH'!G904</f>
        <v>APS-C/ Kleinbild</v>
      </c>
      <c r="N904" t="str">
        <f>'(Raw) LensesGH'!H904</f>
        <v>660g</v>
      </c>
      <c r="O904" s="5">
        <f t="shared" si="133"/>
        <v>660</v>
      </c>
      <c r="P904" t="str">
        <f>'(Raw) LensesGH'!I904</f>
        <v>83 x 111mm</v>
      </c>
      <c r="Q904" s="39">
        <f t="shared" si="134"/>
        <v>83</v>
      </c>
      <c r="R904" s="39">
        <f t="shared" si="126"/>
        <v>111</v>
      </c>
    </row>
    <row r="905" spans="1:18" x14ac:dyDescent="0.25">
      <c r="A905" t="str">
        <f>'(Raw) LensesGH'!A905</f>
        <v>Samyang 35mm 1.4 AS UMC für Four-Thirds schwarz</v>
      </c>
      <c r="B905" t="str">
        <f>'(Raw) LensesGH'!B905</f>
        <v>35mm</v>
      </c>
      <c r="C905" s="5">
        <f t="shared" si="127"/>
        <v>35</v>
      </c>
      <c r="D905" s="5">
        <f t="shared" si="128"/>
        <v>35</v>
      </c>
      <c r="E905" t="str">
        <f>'(Raw) LensesGH'!C905</f>
        <v>1:1.4</v>
      </c>
      <c r="F905" s="9">
        <f t="shared" si="129"/>
        <v>1.4</v>
      </c>
      <c r="G905" s="9">
        <f t="shared" si="130"/>
        <v>1.4</v>
      </c>
      <c r="H905" t="str">
        <f>'(Raw) LensesGH'!D905</f>
        <v>77mm</v>
      </c>
      <c r="I905" s="2">
        <f t="shared" si="131"/>
        <v>77</v>
      </c>
      <c r="J905" s="2">
        <f>'(Raw) LensesGH'!E905</f>
        <v>0</v>
      </c>
      <c r="K905" s="40">
        <f t="shared" si="132"/>
        <v>0</v>
      </c>
      <c r="L905" t="str">
        <f>'(Raw) LensesGH'!F905</f>
        <v>Four-Thirds</v>
      </c>
      <c r="M905" t="str">
        <f>'(Raw) LensesGH'!G905</f>
        <v>Four-Thirds</v>
      </c>
      <c r="N905" t="str">
        <f>'(Raw) LensesGH'!H905</f>
        <v>660g</v>
      </c>
      <c r="O905" s="5">
        <f t="shared" si="133"/>
        <v>660</v>
      </c>
      <c r="P905" t="str">
        <f>'(Raw) LensesGH'!I905</f>
        <v>83 x 111mm</v>
      </c>
      <c r="Q905" s="39">
        <f t="shared" si="134"/>
        <v>83</v>
      </c>
      <c r="R905" s="39">
        <f t="shared" si="126"/>
        <v>111</v>
      </c>
    </row>
    <row r="906" spans="1:18" x14ac:dyDescent="0.25">
      <c r="A906" t="str">
        <f>'(Raw) LensesGH'!A906</f>
        <v>Samyang 35mm 1.4 AS UMC für Fujifilm X schwarz</v>
      </c>
      <c r="B906" t="str">
        <f>'(Raw) LensesGH'!B906</f>
        <v>35mm</v>
      </c>
      <c r="C906" s="5">
        <f t="shared" si="127"/>
        <v>35</v>
      </c>
      <c r="D906" s="5">
        <f t="shared" si="128"/>
        <v>35</v>
      </c>
      <c r="E906" t="str">
        <f>'(Raw) LensesGH'!C906</f>
        <v>1:1.4</v>
      </c>
      <c r="F906" s="9">
        <f t="shared" si="129"/>
        <v>1.4</v>
      </c>
      <c r="G906" s="9">
        <f t="shared" si="130"/>
        <v>1.4</v>
      </c>
      <c r="H906" t="str">
        <f>'(Raw) LensesGH'!D906</f>
        <v>77mm</v>
      </c>
      <c r="I906" s="2">
        <f t="shared" si="131"/>
        <v>77</v>
      </c>
      <c r="J906" s="2">
        <f>'(Raw) LensesGH'!E906</f>
        <v>0</v>
      </c>
      <c r="K906" s="40">
        <f t="shared" si="132"/>
        <v>0</v>
      </c>
      <c r="L906" t="str">
        <f>'(Raw) LensesGH'!F906</f>
        <v>Fujifilm X</v>
      </c>
      <c r="M906" t="str">
        <f>'(Raw) LensesGH'!G906</f>
        <v>APS-C</v>
      </c>
      <c r="N906" t="str">
        <f>'(Raw) LensesGH'!H906</f>
        <v>780g</v>
      </c>
      <c r="O906" s="5">
        <f t="shared" si="133"/>
        <v>780</v>
      </c>
      <c r="P906" t="str">
        <f>'(Raw) LensesGH'!I906</f>
        <v>83 x 137.8mm</v>
      </c>
      <c r="Q906" s="39">
        <f t="shared" si="134"/>
        <v>83</v>
      </c>
      <c r="R906" s="39">
        <f t="shared" si="126"/>
        <v>137.80000000000001</v>
      </c>
    </row>
    <row r="907" spans="1:18" x14ac:dyDescent="0.25">
      <c r="A907" t="str">
        <f>'(Raw) LensesGH'!A907</f>
        <v>Samyang 35mm 1.4 AS UMC für Nikon F schwarz</v>
      </c>
      <c r="B907" t="str">
        <f>'(Raw) LensesGH'!B907</f>
        <v>35mm</v>
      </c>
      <c r="C907" s="5">
        <f t="shared" si="127"/>
        <v>35</v>
      </c>
      <c r="D907" s="5">
        <f t="shared" si="128"/>
        <v>35</v>
      </c>
      <c r="E907" t="str">
        <f>'(Raw) LensesGH'!C907</f>
        <v>1:1.4</v>
      </c>
      <c r="F907" s="9">
        <f t="shared" si="129"/>
        <v>1.4</v>
      </c>
      <c r="G907" s="9">
        <f t="shared" si="130"/>
        <v>1.4</v>
      </c>
      <c r="H907" t="str">
        <f>'(Raw) LensesGH'!D907</f>
        <v>77mm</v>
      </c>
      <c r="I907" s="2">
        <f t="shared" si="131"/>
        <v>77</v>
      </c>
      <c r="J907" s="2">
        <f>'(Raw) LensesGH'!E907</f>
        <v>0</v>
      </c>
      <c r="K907" s="40">
        <f t="shared" si="132"/>
        <v>0</v>
      </c>
      <c r="L907" t="str">
        <f>'(Raw) LensesGH'!F907</f>
        <v>Nikon F</v>
      </c>
      <c r="M907" t="str">
        <f>'(Raw) LensesGH'!G907</f>
        <v>APS-C/ Kleinbild</v>
      </c>
      <c r="N907" t="str">
        <f>'(Raw) LensesGH'!H907</f>
        <v>660g</v>
      </c>
      <c r="O907" s="5">
        <f t="shared" si="133"/>
        <v>660</v>
      </c>
      <c r="P907" t="str">
        <f>'(Raw) LensesGH'!I907</f>
        <v>83 x 111mm</v>
      </c>
      <c r="Q907" s="39">
        <f t="shared" si="134"/>
        <v>83</v>
      </c>
      <c r="R907" s="39">
        <f t="shared" si="126"/>
        <v>111</v>
      </c>
    </row>
    <row r="908" spans="1:18" x14ac:dyDescent="0.25">
      <c r="A908" t="str">
        <f>'(Raw) LensesGH'!A908</f>
        <v>Samyang 35mm 1.4 AS UMC für Pentax K schwarz</v>
      </c>
      <c r="B908" t="str">
        <f>'(Raw) LensesGH'!B908</f>
        <v>35mm</v>
      </c>
      <c r="C908" s="5">
        <f t="shared" si="127"/>
        <v>35</v>
      </c>
      <c r="D908" s="5">
        <f t="shared" si="128"/>
        <v>35</v>
      </c>
      <c r="E908" t="str">
        <f>'(Raw) LensesGH'!C908</f>
        <v>1:1.4</v>
      </c>
      <c r="F908" s="9">
        <f t="shared" si="129"/>
        <v>1.4</v>
      </c>
      <c r="G908" s="9">
        <f t="shared" si="130"/>
        <v>1.4</v>
      </c>
      <c r="H908" t="str">
        <f>'(Raw) LensesGH'!D908</f>
        <v>77mm</v>
      </c>
      <c r="I908" s="2">
        <f t="shared" si="131"/>
        <v>77</v>
      </c>
      <c r="J908" s="2">
        <f>'(Raw) LensesGH'!E908</f>
        <v>0</v>
      </c>
      <c r="K908" s="40">
        <f t="shared" si="132"/>
        <v>0</v>
      </c>
      <c r="L908" t="str">
        <f>'(Raw) LensesGH'!F908</f>
        <v>Pentax K</v>
      </c>
      <c r="M908" t="str">
        <f>'(Raw) LensesGH'!G908</f>
        <v>APS-C/ Kleinbild</v>
      </c>
      <c r="N908" t="str">
        <f>'(Raw) LensesGH'!H908</f>
        <v>660g</v>
      </c>
      <c r="O908" s="5">
        <f t="shared" si="133"/>
        <v>660</v>
      </c>
      <c r="P908" t="str">
        <f>'(Raw) LensesGH'!I908</f>
        <v>83 x 111mm</v>
      </c>
      <c r="Q908" s="39">
        <f t="shared" si="134"/>
        <v>83</v>
      </c>
      <c r="R908" s="39">
        <f t="shared" si="126"/>
        <v>111</v>
      </c>
    </row>
    <row r="909" spans="1:18" x14ac:dyDescent="0.25">
      <c r="A909" t="str">
        <f>'(Raw) LensesGH'!A909</f>
        <v>Samyang 35mm 1.4 AS UMC für Samsung NX schwarz</v>
      </c>
      <c r="B909" t="str">
        <f>'(Raw) LensesGH'!B909</f>
        <v>35mm</v>
      </c>
      <c r="C909" s="5">
        <f t="shared" si="127"/>
        <v>35</v>
      </c>
      <c r="D909" s="5">
        <f t="shared" si="128"/>
        <v>35</v>
      </c>
      <c r="E909" t="str">
        <f>'(Raw) LensesGH'!C909</f>
        <v>1:1.4</v>
      </c>
      <c r="F909" s="9">
        <f t="shared" si="129"/>
        <v>1.4</v>
      </c>
      <c r="G909" s="9">
        <f t="shared" si="130"/>
        <v>1.4</v>
      </c>
      <c r="H909" t="str">
        <f>'(Raw) LensesGH'!D909</f>
        <v>77mm</v>
      </c>
      <c r="I909" s="2">
        <f t="shared" si="131"/>
        <v>77</v>
      </c>
      <c r="J909" s="2">
        <f>'(Raw) LensesGH'!E909</f>
        <v>0</v>
      </c>
      <c r="K909" s="40">
        <f t="shared" si="132"/>
        <v>0</v>
      </c>
      <c r="L909" t="str">
        <f>'(Raw) LensesGH'!F909</f>
        <v>Samsung NX</v>
      </c>
      <c r="M909" t="str">
        <f>'(Raw) LensesGH'!G909</f>
        <v>APS-C</v>
      </c>
      <c r="N909" t="str">
        <f>'(Raw) LensesGH'!H909</f>
        <v>660g</v>
      </c>
      <c r="O909" s="5">
        <f t="shared" si="133"/>
        <v>660</v>
      </c>
      <c r="P909" t="str">
        <f>'(Raw) LensesGH'!I909</f>
        <v>83 x 111mm</v>
      </c>
      <c r="Q909" s="39">
        <f t="shared" si="134"/>
        <v>83</v>
      </c>
      <c r="R909" s="39">
        <f t="shared" si="126"/>
        <v>111</v>
      </c>
    </row>
    <row r="910" spans="1:18" x14ac:dyDescent="0.25">
      <c r="A910" t="str">
        <f>'(Raw) LensesGH'!A910</f>
        <v>Samyang 35mm 1.4 AS UMC für Sony A schwarz</v>
      </c>
      <c r="B910" t="str">
        <f>'(Raw) LensesGH'!B910</f>
        <v>35mm</v>
      </c>
      <c r="C910" s="5">
        <f t="shared" si="127"/>
        <v>35</v>
      </c>
      <c r="D910" s="5">
        <f t="shared" si="128"/>
        <v>35</v>
      </c>
      <c r="E910" t="str">
        <f>'(Raw) LensesGH'!C910</f>
        <v>1:1.4</v>
      </c>
      <c r="F910" s="9">
        <f t="shared" si="129"/>
        <v>1.4</v>
      </c>
      <c r="G910" s="9">
        <f t="shared" si="130"/>
        <v>1.4</v>
      </c>
      <c r="H910" t="str">
        <f>'(Raw) LensesGH'!D910</f>
        <v>77mm</v>
      </c>
      <c r="I910" s="2">
        <f t="shared" si="131"/>
        <v>77</v>
      </c>
      <c r="J910" s="2">
        <f>'(Raw) LensesGH'!E910</f>
        <v>0</v>
      </c>
      <c r="K910" s="40">
        <f t="shared" si="132"/>
        <v>0</v>
      </c>
      <c r="L910" t="str">
        <f>'(Raw) LensesGH'!F910</f>
        <v>Sony A</v>
      </c>
      <c r="M910" t="str">
        <f>'(Raw) LensesGH'!G910</f>
        <v>APS-C/ Kleinbild</v>
      </c>
      <c r="N910" t="str">
        <f>'(Raw) LensesGH'!H910</f>
        <v>660g</v>
      </c>
      <c r="O910" s="5">
        <f t="shared" si="133"/>
        <v>660</v>
      </c>
      <c r="P910" t="str">
        <f>'(Raw) LensesGH'!I910</f>
        <v>83 x 111mm</v>
      </c>
      <c r="Q910" s="39">
        <f t="shared" si="134"/>
        <v>83</v>
      </c>
      <c r="R910" s="39">
        <f t="shared" si="126"/>
        <v>111</v>
      </c>
    </row>
    <row r="911" spans="1:18" x14ac:dyDescent="0.25">
      <c r="A911" t="str">
        <f>'(Raw) LensesGH'!A911</f>
        <v>Samyang 35mm 1.4 AS UMC für Sony E schwarz</v>
      </c>
      <c r="B911" t="str">
        <f>'(Raw) LensesGH'!B911</f>
        <v>35mm</v>
      </c>
      <c r="C911" s="5">
        <f t="shared" si="127"/>
        <v>35</v>
      </c>
      <c r="D911" s="5">
        <f t="shared" si="128"/>
        <v>35</v>
      </c>
      <c r="E911" t="str">
        <f>'(Raw) LensesGH'!C911</f>
        <v>1:1.4</v>
      </c>
      <c r="F911" s="9">
        <f t="shared" si="129"/>
        <v>1.4</v>
      </c>
      <c r="G911" s="9">
        <f t="shared" si="130"/>
        <v>1.4</v>
      </c>
      <c r="H911" t="str">
        <f>'(Raw) LensesGH'!D911</f>
        <v>77mm</v>
      </c>
      <c r="I911" s="2">
        <f t="shared" si="131"/>
        <v>77</v>
      </c>
      <c r="J911" s="2">
        <f>'(Raw) LensesGH'!E911</f>
        <v>0</v>
      </c>
      <c r="K911" s="40">
        <f t="shared" si="132"/>
        <v>0</v>
      </c>
      <c r="L911" t="str">
        <f>'(Raw) LensesGH'!F911</f>
        <v>Sony E</v>
      </c>
      <c r="M911" t="str">
        <f>'(Raw) LensesGH'!G911</f>
        <v>APS-C</v>
      </c>
      <c r="N911" t="str">
        <f>'(Raw) LensesGH'!H911</f>
        <v>660g</v>
      </c>
      <c r="O911" s="5">
        <f t="shared" si="133"/>
        <v>660</v>
      </c>
      <c r="P911" t="str">
        <f>'(Raw) LensesGH'!I911</f>
        <v>83 x 111mm</v>
      </c>
      <c r="Q911" s="39">
        <f t="shared" si="134"/>
        <v>83</v>
      </c>
      <c r="R911" s="39">
        <f t="shared" si="126"/>
        <v>111</v>
      </c>
    </row>
    <row r="912" spans="1:18" x14ac:dyDescent="0.25">
      <c r="A912" t="str">
        <f>'(Raw) LensesGH'!A912</f>
        <v>Samyang 35mm 1.5 AS UMC VDSLR für Nikon F schwarz</v>
      </c>
      <c r="B912" t="str">
        <f>'(Raw) LensesGH'!B912</f>
        <v>35mm</v>
      </c>
      <c r="C912" s="5">
        <f t="shared" si="127"/>
        <v>35</v>
      </c>
      <c r="D912" s="5">
        <f t="shared" si="128"/>
        <v>35</v>
      </c>
      <c r="E912" t="str">
        <f>'(Raw) LensesGH'!C912</f>
        <v>1:1.5</v>
      </c>
      <c r="F912" s="9">
        <f t="shared" si="129"/>
        <v>1.5</v>
      </c>
      <c r="G912" s="9">
        <f t="shared" si="130"/>
        <v>1.5</v>
      </c>
      <c r="H912" t="str">
        <f>'(Raw) LensesGH'!D912</f>
        <v>77mm</v>
      </c>
      <c r="I912" s="2">
        <f t="shared" si="131"/>
        <v>77</v>
      </c>
      <c r="J912" s="2">
        <f>'(Raw) LensesGH'!E912</f>
        <v>0</v>
      </c>
      <c r="K912" s="40">
        <f t="shared" si="132"/>
        <v>0</v>
      </c>
      <c r="L912" t="str">
        <f>'(Raw) LensesGH'!F912</f>
        <v>Nikon F</v>
      </c>
      <c r="M912" t="str">
        <f>'(Raw) LensesGH'!G912</f>
        <v>APS-C/ Kleinbild</v>
      </c>
      <c r="N912" t="str">
        <f>'(Raw) LensesGH'!H912</f>
        <v>660g</v>
      </c>
      <c r="O912" s="5">
        <f t="shared" si="133"/>
        <v>660</v>
      </c>
      <c r="P912" t="str">
        <f>'(Raw) LensesGH'!I912</f>
        <v>83 x 111mm</v>
      </c>
      <c r="Q912" s="39">
        <f t="shared" si="134"/>
        <v>83</v>
      </c>
      <c r="R912" s="39">
        <f t="shared" si="126"/>
        <v>111</v>
      </c>
    </row>
    <row r="913" spans="1:18" x14ac:dyDescent="0.25">
      <c r="A913" t="str">
        <f>'(Raw) LensesGH'!A913</f>
        <v>Samyang 35mm T1.3 AS UMC CS für Canon EF-M schwarz</v>
      </c>
      <c r="B913" t="str">
        <f>'(Raw) LensesGH'!B913</f>
        <v>35mm</v>
      </c>
      <c r="C913" s="5">
        <f t="shared" si="127"/>
        <v>35</v>
      </c>
      <c r="D913" s="5">
        <f t="shared" si="128"/>
        <v>35</v>
      </c>
      <c r="E913" t="str">
        <f>'(Raw) LensesGH'!C913</f>
        <v>1:1.3</v>
      </c>
      <c r="F913" s="9">
        <f t="shared" si="129"/>
        <v>1.3</v>
      </c>
      <c r="G913" s="9">
        <f t="shared" si="130"/>
        <v>1.3</v>
      </c>
      <c r="H913" t="str">
        <f>'(Raw) LensesGH'!D913</f>
        <v>62mm</v>
      </c>
      <c r="I913" s="2">
        <f t="shared" si="131"/>
        <v>62</v>
      </c>
      <c r="J913" s="2">
        <f>'(Raw) LensesGH'!E913</f>
        <v>0</v>
      </c>
      <c r="K913" s="40">
        <f t="shared" si="132"/>
        <v>0</v>
      </c>
      <c r="L913" t="str">
        <f>'(Raw) LensesGH'!F913</f>
        <v>Canon EF-M</v>
      </c>
      <c r="M913" t="str">
        <f>'(Raw) LensesGH'!G913</f>
        <v>APS-C</v>
      </c>
      <c r="N913" t="str">
        <f>'(Raw) LensesGH'!H913</f>
        <v>430g</v>
      </c>
      <c r="O913" s="5">
        <f t="shared" si="133"/>
        <v>430</v>
      </c>
      <c r="P913" t="str">
        <f>'(Raw) LensesGH'!I913</f>
        <v>73.6 x 74.1mm</v>
      </c>
      <c r="Q913" s="39">
        <f t="shared" si="134"/>
        <v>73.599999999999994</v>
      </c>
      <c r="R913" s="39">
        <f t="shared" si="126"/>
        <v>74.099999999999994</v>
      </c>
    </row>
    <row r="914" spans="1:18" x14ac:dyDescent="0.25">
      <c r="A914" t="str">
        <f>'(Raw) LensesGH'!A914</f>
        <v>Samyang 35mm T1.3 AS UMC CS für Fujifilm X schwarz</v>
      </c>
      <c r="B914" t="str">
        <f>'(Raw) LensesGH'!B914</f>
        <v>35mm</v>
      </c>
      <c r="C914" s="5">
        <f t="shared" si="127"/>
        <v>35</v>
      </c>
      <c r="D914" s="5">
        <f t="shared" si="128"/>
        <v>35</v>
      </c>
      <c r="E914" t="str">
        <f>'(Raw) LensesGH'!C914</f>
        <v>1:1.3</v>
      </c>
      <c r="F914" s="9">
        <f t="shared" si="129"/>
        <v>1.3</v>
      </c>
      <c r="G914" s="9">
        <f t="shared" si="130"/>
        <v>1.3</v>
      </c>
      <c r="H914" t="str">
        <f>'(Raw) LensesGH'!D914</f>
        <v>62mm</v>
      </c>
      <c r="I914" s="2">
        <f t="shared" si="131"/>
        <v>62</v>
      </c>
      <c r="J914" s="2">
        <f>'(Raw) LensesGH'!E914</f>
        <v>0</v>
      </c>
      <c r="K914" s="40">
        <f t="shared" si="132"/>
        <v>0</v>
      </c>
      <c r="L914" t="str">
        <f>'(Raw) LensesGH'!F914</f>
        <v>Fujifilm X</v>
      </c>
      <c r="M914" t="str">
        <f>'(Raw) LensesGH'!G914</f>
        <v>APS-C</v>
      </c>
      <c r="N914" t="str">
        <f>'(Raw) LensesGH'!H914</f>
        <v>443g</v>
      </c>
      <c r="O914" s="5">
        <f t="shared" si="133"/>
        <v>443</v>
      </c>
      <c r="P914" t="str">
        <f>'(Raw) LensesGH'!I914</f>
        <v>73.6 x 74.5mm</v>
      </c>
      <c r="Q914" s="39">
        <f t="shared" si="134"/>
        <v>73.599999999999994</v>
      </c>
      <c r="R914" s="39">
        <f t="shared" si="126"/>
        <v>74.5</v>
      </c>
    </row>
    <row r="915" spans="1:18" x14ac:dyDescent="0.25">
      <c r="A915" t="str">
        <f>'(Raw) LensesGH'!A915</f>
        <v>Samyang 35mm T1.3 AS UMC CS für Micro-Four-Thirds schwarz</v>
      </c>
      <c r="B915" t="str">
        <f>'(Raw) LensesGH'!B915</f>
        <v>35mm</v>
      </c>
      <c r="C915" s="5">
        <f t="shared" si="127"/>
        <v>35</v>
      </c>
      <c r="D915" s="5">
        <f t="shared" si="128"/>
        <v>35</v>
      </c>
      <c r="E915" t="str">
        <f>'(Raw) LensesGH'!C915</f>
        <v>1:1.3</v>
      </c>
      <c r="F915" s="9">
        <f t="shared" si="129"/>
        <v>1.3</v>
      </c>
      <c r="G915" s="9">
        <f t="shared" si="130"/>
        <v>1.3</v>
      </c>
      <c r="H915" t="str">
        <f>'(Raw) LensesGH'!D915</f>
        <v>62mm</v>
      </c>
      <c r="I915" s="2">
        <f t="shared" si="131"/>
        <v>62</v>
      </c>
      <c r="J915" s="2">
        <f>'(Raw) LensesGH'!E915</f>
        <v>0</v>
      </c>
      <c r="K915" s="40">
        <f t="shared" si="132"/>
        <v>0</v>
      </c>
      <c r="L915" t="str">
        <f>'(Raw) LensesGH'!F915</f>
        <v>Micro-Four-Thirds</v>
      </c>
      <c r="M915" t="str">
        <f>'(Raw) LensesGH'!G915</f>
        <v>Four-Thirds</v>
      </c>
      <c r="N915" t="str">
        <f>'(Raw) LensesGH'!H915</f>
        <v>436g</v>
      </c>
      <c r="O915" s="5">
        <f t="shared" si="133"/>
        <v>436</v>
      </c>
      <c r="P915" t="str">
        <f>'(Raw) LensesGH'!I915</f>
        <v>73.6 x 73mm</v>
      </c>
      <c r="Q915" s="39">
        <f t="shared" si="134"/>
        <v>73.599999999999994</v>
      </c>
      <c r="R915" s="39">
        <f t="shared" si="126"/>
        <v>73</v>
      </c>
    </row>
    <row r="916" spans="1:18" x14ac:dyDescent="0.25">
      <c r="A916" t="str">
        <f>'(Raw) LensesGH'!A916</f>
        <v>Samyang 35mm T1.3 AS UMC CS für Sony E schwarz</v>
      </c>
      <c r="B916" t="str">
        <f>'(Raw) LensesGH'!B916</f>
        <v>35mm</v>
      </c>
      <c r="C916" s="5">
        <f t="shared" si="127"/>
        <v>35</v>
      </c>
      <c r="D916" s="5">
        <f t="shared" si="128"/>
        <v>35</v>
      </c>
      <c r="E916" t="str">
        <f>'(Raw) LensesGH'!C916</f>
        <v>1:1.3</v>
      </c>
      <c r="F916" s="9">
        <f t="shared" si="129"/>
        <v>1.3</v>
      </c>
      <c r="G916" s="9">
        <f t="shared" si="130"/>
        <v>1.3</v>
      </c>
      <c r="H916" t="str">
        <f>'(Raw) LensesGH'!D916</f>
        <v>62mm</v>
      </c>
      <c r="I916" s="2">
        <f t="shared" si="131"/>
        <v>62</v>
      </c>
      <c r="J916" s="2">
        <f>'(Raw) LensesGH'!E916</f>
        <v>0</v>
      </c>
      <c r="K916" s="40">
        <f t="shared" si="132"/>
        <v>0</v>
      </c>
      <c r="L916" t="str">
        <f>'(Raw) LensesGH'!F916</f>
        <v>Sony E</v>
      </c>
      <c r="M916" t="str">
        <f>'(Raw) LensesGH'!G916</f>
        <v>APS-C</v>
      </c>
      <c r="N916" t="str">
        <f>'(Raw) LensesGH'!H916</f>
        <v>430g</v>
      </c>
      <c r="O916" s="5">
        <f t="shared" si="133"/>
        <v>430</v>
      </c>
      <c r="P916" t="str">
        <f>'(Raw) LensesGH'!I916</f>
        <v>73.6 x 74.2mm</v>
      </c>
      <c r="Q916" s="39">
        <f t="shared" si="134"/>
        <v>73.599999999999994</v>
      </c>
      <c r="R916" s="39">
        <f t="shared" si="126"/>
        <v>74.2</v>
      </c>
    </row>
    <row r="917" spans="1:18" x14ac:dyDescent="0.25">
      <c r="A917" t="str">
        <f>'(Raw) LensesGH'!A917</f>
        <v>Samyang 35mm T1.5 VDSLR AS UMC II für Canon EF schwarz</v>
      </c>
      <c r="B917" t="str">
        <f>'(Raw) LensesGH'!B917</f>
        <v>35mm</v>
      </c>
      <c r="C917" s="5">
        <f t="shared" si="127"/>
        <v>35</v>
      </c>
      <c r="D917" s="5">
        <f t="shared" si="128"/>
        <v>35</v>
      </c>
      <c r="E917" t="str">
        <f>'(Raw) LensesGH'!C917</f>
        <v>1:1.5</v>
      </c>
      <c r="F917" s="9">
        <f t="shared" si="129"/>
        <v>1.5</v>
      </c>
      <c r="G917" s="9">
        <f t="shared" si="130"/>
        <v>1.5</v>
      </c>
      <c r="H917" t="str">
        <f>'(Raw) LensesGH'!D917</f>
        <v>77mm</v>
      </c>
      <c r="I917" s="2">
        <f t="shared" si="131"/>
        <v>77</v>
      </c>
      <c r="J917" s="2">
        <f>'(Raw) LensesGH'!E917</f>
        <v>0</v>
      </c>
      <c r="K917" s="40">
        <f t="shared" si="132"/>
        <v>0</v>
      </c>
      <c r="L917" t="str">
        <f>'(Raw) LensesGH'!F917</f>
        <v>Canon EF</v>
      </c>
      <c r="M917" t="str">
        <f>'(Raw) LensesGH'!G917</f>
        <v>APS-C/ Kleinbild</v>
      </c>
      <c r="N917" t="str">
        <f>'(Raw) LensesGH'!H917</f>
        <v>715g</v>
      </c>
      <c r="O917" s="5">
        <f t="shared" si="133"/>
        <v>715</v>
      </c>
      <c r="P917" t="str">
        <f>'(Raw) LensesGH'!I917</f>
        <v>83 x 111.5mm</v>
      </c>
      <c r="Q917" s="39">
        <f t="shared" si="134"/>
        <v>83</v>
      </c>
      <c r="R917" s="39">
        <f t="shared" si="126"/>
        <v>111.5</v>
      </c>
    </row>
    <row r="918" spans="1:18" x14ac:dyDescent="0.25">
      <c r="A918" t="str">
        <f>'(Raw) LensesGH'!A918</f>
        <v>Samyang 35mm T1.5 VDSLR AS UMC II für Canon EF-M schwarz</v>
      </c>
      <c r="B918" t="str">
        <f>'(Raw) LensesGH'!B918</f>
        <v>35mm</v>
      </c>
      <c r="C918" s="5">
        <f t="shared" si="127"/>
        <v>35</v>
      </c>
      <c r="D918" s="5">
        <f t="shared" si="128"/>
        <v>35</v>
      </c>
      <c r="E918" t="str">
        <f>'(Raw) LensesGH'!C918</f>
        <v>1:1.5</v>
      </c>
      <c r="F918" s="9">
        <f t="shared" si="129"/>
        <v>1.5</v>
      </c>
      <c r="G918" s="9">
        <f t="shared" si="130"/>
        <v>1.5</v>
      </c>
      <c r="H918" t="str">
        <f>'(Raw) LensesGH'!D918</f>
        <v>77mm</v>
      </c>
      <c r="I918" s="2">
        <f t="shared" si="131"/>
        <v>77</v>
      </c>
      <c r="J918" s="2">
        <f>'(Raw) LensesGH'!E918</f>
        <v>0</v>
      </c>
      <c r="K918" s="40">
        <f t="shared" si="132"/>
        <v>0</v>
      </c>
      <c r="L918" t="str">
        <f>'(Raw) LensesGH'!F918</f>
        <v>Canon EF-M</v>
      </c>
      <c r="M918" t="str">
        <f>'(Raw) LensesGH'!G918</f>
        <v>APS-C</v>
      </c>
      <c r="N918" t="str">
        <f>'(Raw) LensesGH'!H918</f>
        <v>730g</v>
      </c>
      <c r="O918" s="5">
        <f t="shared" si="133"/>
        <v>730</v>
      </c>
      <c r="P918" t="str">
        <f>'(Raw) LensesGH'!I918</f>
        <v>83 x 137.4mm</v>
      </c>
      <c r="Q918" s="39">
        <f t="shared" si="134"/>
        <v>83</v>
      </c>
      <c r="R918" s="39">
        <f t="shared" si="126"/>
        <v>137.4</v>
      </c>
    </row>
    <row r="919" spans="1:18" x14ac:dyDescent="0.25">
      <c r="A919" t="str">
        <f>'(Raw) LensesGH'!A919</f>
        <v>Samyang 35mm T1.5 VDSLR AS UMC II für Four-Thirds schwarz</v>
      </c>
      <c r="B919" t="str">
        <f>'(Raw) LensesGH'!B919</f>
        <v>35mm</v>
      </c>
      <c r="C919" s="5">
        <f t="shared" si="127"/>
        <v>35</v>
      </c>
      <c r="D919" s="5">
        <f t="shared" si="128"/>
        <v>35</v>
      </c>
      <c r="E919" t="str">
        <f>'(Raw) LensesGH'!C919</f>
        <v>1:1.5</v>
      </c>
      <c r="F919" s="9">
        <f t="shared" si="129"/>
        <v>1.5</v>
      </c>
      <c r="G919" s="9">
        <f t="shared" si="130"/>
        <v>1.5</v>
      </c>
      <c r="H919" t="str">
        <f>'(Raw) LensesGH'!D919</f>
        <v>77mm</v>
      </c>
      <c r="I919" s="2">
        <f t="shared" si="131"/>
        <v>77</v>
      </c>
      <c r="J919" s="2">
        <f>'(Raw) LensesGH'!E919</f>
        <v>0</v>
      </c>
      <c r="K919" s="40">
        <f t="shared" si="132"/>
        <v>0</v>
      </c>
      <c r="L919" t="str">
        <f>'(Raw) LensesGH'!F919</f>
        <v>Four-Thirds</v>
      </c>
      <c r="M919" t="str">
        <f>'(Raw) LensesGH'!G919</f>
        <v>Four-Thirds</v>
      </c>
      <c r="N919" t="str">
        <f>'(Raw) LensesGH'!H919</f>
        <v>720g</v>
      </c>
      <c r="O919" s="5">
        <f t="shared" si="133"/>
        <v>720</v>
      </c>
      <c r="P919" t="str">
        <f>'(Raw) LensesGH'!I919</f>
        <v>83 x 116.8mm</v>
      </c>
      <c r="Q919" s="39">
        <f t="shared" si="134"/>
        <v>83</v>
      </c>
      <c r="R919" s="39">
        <f t="shared" si="126"/>
        <v>116.8</v>
      </c>
    </row>
    <row r="920" spans="1:18" x14ac:dyDescent="0.25">
      <c r="A920" t="str">
        <f>'(Raw) LensesGH'!A920</f>
        <v>Samyang 35mm T1.5 VDSLR AS UMC II für Fujifilm X schwarz</v>
      </c>
      <c r="B920" t="str">
        <f>'(Raw) LensesGH'!B920</f>
        <v>35mm</v>
      </c>
      <c r="C920" s="5">
        <f t="shared" si="127"/>
        <v>35</v>
      </c>
      <c r="D920" s="5">
        <f t="shared" si="128"/>
        <v>35</v>
      </c>
      <c r="E920" t="str">
        <f>'(Raw) LensesGH'!C920</f>
        <v>1:1.5</v>
      </c>
      <c r="F920" s="9">
        <f t="shared" si="129"/>
        <v>1.5</v>
      </c>
      <c r="G920" s="9">
        <f t="shared" si="130"/>
        <v>1.5</v>
      </c>
      <c r="H920" t="str">
        <f>'(Raw) LensesGH'!D920</f>
        <v>77mm</v>
      </c>
      <c r="I920" s="2">
        <f t="shared" si="131"/>
        <v>77</v>
      </c>
      <c r="J920" s="2">
        <f>'(Raw) LensesGH'!E920</f>
        <v>0</v>
      </c>
      <c r="K920" s="40">
        <f t="shared" si="132"/>
        <v>0</v>
      </c>
      <c r="L920" t="str">
        <f>'(Raw) LensesGH'!F920</f>
        <v>Fujifilm X</v>
      </c>
      <c r="M920" t="str">
        <f>'(Raw) LensesGH'!G920</f>
        <v>APS-C</v>
      </c>
      <c r="N920" t="str">
        <f>'(Raw) LensesGH'!H920</f>
        <v>775g</v>
      </c>
      <c r="O920" s="5">
        <f t="shared" si="133"/>
        <v>775</v>
      </c>
      <c r="P920" t="str">
        <f>'(Raw) LensesGH'!I920</f>
        <v>83 x 137.8mm</v>
      </c>
      <c r="Q920" s="39">
        <f t="shared" si="134"/>
        <v>83</v>
      </c>
      <c r="R920" s="39">
        <f t="shared" si="126"/>
        <v>137.80000000000001</v>
      </c>
    </row>
    <row r="921" spans="1:18" x14ac:dyDescent="0.25">
      <c r="A921" t="str">
        <f>'(Raw) LensesGH'!A921</f>
        <v>Samyang 35mm T1.5 VDSLR AS UMC II für Micro-Four-Thirds schwarz</v>
      </c>
      <c r="B921" t="str">
        <f>'(Raw) LensesGH'!B921</f>
        <v>35mm</v>
      </c>
      <c r="C921" s="5">
        <f t="shared" si="127"/>
        <v>35</v>
      </c>
      <c r="D921" s="5">
        <f t="shared" si="128"/>
        <v>35</v>
      </c>
      <c r="E921" t="str">
        <f>'(Raw) LensesGH'!C921</f>
        <v>1:1.5</v>
      </c>
      <c r="F921" s="9">
        <f t="shared" si="129"/>
        <v>1.5</v>
      </c>
      <c r="G921" s="9">
        <f t="shared" si="130"/>
        <v>1.5</v>
      </c>
      <c r="H921" t="str">
        <f>'(Raw) LensesGH'!D921</f>
        <v>77mm</v>
      </c>
      <c r="I921" s="2">
        <f t="shared" si="131"/>
        <v>77</v>
      </c>
      <c r="J921" s="2">
        <f>'(Raw) LensesGH'!E921</f>
        <v>0</v>
      </c>
      <c r="K921" s="40">
        <f t="shared" si="132"/>
        <v>0</v>
      </c>
      <c r="L921" t="str">
        <f>'(Raw) LensesGH'!F921</f>
        <v>Micro-Four-Thirds</v>
      </c>
      <c r="M921" t="str">
        <f>'(Raw) LensesGH'!G921</f>
        <v>Four-Thirds</v>
      </c>
      <c r="N921" t="str">
        <f>'(Raw) LensesGH'!H921</f>
        <v>770g</v>
      </c>
      <c r="O921" s="5">
        <f t="shared" si="133"/>
        <v>770</v>
      </c>
      <c r="P921" t="str">
        <f>'(Raw) LensesGH'!I921</f>
        <v>83 x 136.3mm</v>
      </c>
      <c r="Q921" s="39">
        <f t="shared" si="134"/>
        <v>83</v>
      </c>
      <c r="R921" s="39">
        <f t="shared" si="126"/>
        <v>136.30000000000001</v>
      </c>
    </row>
    <row r="922" spans="1:18" x14ac:dyDescent="0.25">
      <c r="A922" t="str">
        <f>'(Raw) LensesGH'!A922</f>
        <v>Samyang 35mm T1.5 VDSLR AS UMC II für Nikon F schwarz</v>
      </c>
      <c r="B922" t="str">
        <f>'(Raw) LensesGH'!B922</f>
        <v>35mm</v>
      </c>
      <c r="C922" s="5">
        <f t="shared" si="127"/>
        <v>35</v>
      </c>
      <c r="D922" s="5">
        <f t="shared" si="128"/>
        <v>35</v>
      </c>
      <c r="E922" t="str">
        <f>'(Raw) LensesGH'!C922</f>
        <v>1:1.5</v>
      </c>
      <c r="F922" s="9">
        <f t="shared" si="129"/>
        <v>1.5</v>
      </c>
      <c r="G922" s="9">
        <f t="shared" si="130"/>
        <v>1.5</v>
      </c>
      <c r="H922" t="str">
        <f>'(Raw) LensesGH'!D922</f>
        <v>77mm</v>
      </c>
      <c r="I922" s="2">
        <f t="shared" si="131"/>
        <v>77</v>
      </c>
      <c r="J922" s="2">
        <f>'(Raw) LensesGH'!E922</f>
        <v>0</v>
      </c>
      <c r="K922" s="40">
        <f t="shared" si="132"/>
        <v>0</v>
      </c>
      <c r="L922" t="str">
        <f>'(Raw) LensesGH'!F922</f>
        <v>Nikon F</v>
      </c>
      <c r="M922" t="str">
        <f>'(Raw) LensesGH'!G922</f>
        <v>APS-C/ Kleinbild</v>
      </c>
      <c r="N922" t="str">
        <f>'(Raw) LensesGH'!H922</f>
        <v>685g</v>
      </c>
      <c r="O922" s="5">
        <f t="shared" si="133"/>
        <v>685</v>
      </c>
      <c r="P922" t="str">
        <f>'(Raw) LensesGH'!I922</f>
        <v>83 x 109mm</v>
      </c>
      <c r="Q922" s="39">
        <f t="shared" si="134"/>
        <v>83</v>
      </c>
      <c r="R922" s="39">
        <f t="shared" si="126"/>
        <v>109</v>
      </c>
    </row>
    <row r="923" spans="1:18" x14ac:dyDescent="0.25">
      <c r="A923" t="str">
        <f>'(Raw) LensesGH'!A923</f>
        <v>Samyang 35mm T1.5 VDSLR AS UMC II für Pentax K schwarz</v>
      </c>
      <c r="B923" t="str">
        <f>'(Raw) LensesGH'!B923</f>
        <v>35mm</v>
      </c>
      <c r="C923" s="5">
        <f t="shared" si="127"/>
        <v>35</v>
      </c>
      <c r="D923" s="5">
        <f t="shared" si="128"/>
        <v>35</v>
      </c>
      <c r="E923" t="str">
        <f>'(Raw) LensesGH'!C923</f>
        <v>1:1.5</v>
      </c>
      <c r="F923" s="9">
        <f t="shared" si="129"/>
        <v>1.5</v>
      </c>
      <c r="G923" s="9">
        <f t="shared" si="130"/>
        <v>1.5</v>
      </c>
      <c r="H923" t="str">
        <f>'(Raw) LensesGH'!D923</f>
        <v>77mm</v>
      </c>
      <c r="I923" s="2">
        <f t="shared" si="131"/>
        <v>77</v>
      </c>
      <c r="J923" s="2">
        <f>'(Raw) LensesGH'!E923</f>
        <v>0</v>
      </c>
      <c r="K923" s="40">
        <f t="shared" si="132"/>
        <v>0</v>
      </c>
      <c r="L923" t="str">
        <f>'(Raw) LensesGH'!F923</f>
        <v>Pentax K</v>
      </c>
      <c r="M923" t="str">
        <f>'(Raw) LensesGH'!G923</f>
        <v>APS-C/ Kleinbild</v>
      </c>
      <c r="N923" t="str">
        <f>'(Raw) LensesGH'!H923</f>
        <v>670g</v>
      </c>
      <c r="O923" s="5">
        <f t="shared" si="133"/>
        <v>670</v>
      </c>
      <c r="P923" t="str">
        <f>'(Raw) LensesGH'!I923</f>
        <v>83 x 110mm</v>
      </c>
      <c r="Q923" s="39">
        <f t="shared" si="134"/>
        <v>83</v>
      </c>
      <c r="R923" s="39">
        <f t="shared" si="126"/>
        <v>110</v>
      </c>
    </row>
    <row r="924" spans="1:18" x14ac:dyDescent="0.25">
      <c r="A924" t="str">
        <f>'(Raw) LensesGH'!A924</f>
        <v>Samyang 35mm T1.5 VDSLR AS UMC II für Samsung NX schwarz</v>
      </c>
      <c r="B924" t="str">
        <f>'(Raw) LensesGH'!B924</f>
        <v>35mm</v>
      </c>
      <c r="C924" s="5">
        <f t="shared" si="127"/>
        <v>35</v>
      </c>
      <c r="D924" s="5">
        <f t="shared" si="128"/>
        <v>35</v>
      </c>
      <c r="E924" t="str">
        <f>'(Raw) LensesGH'!C924</f>
        <v>1:1.5</v>
      </c>
      <c r="F924" s="9">
        <f t="shared" si="129"/>
        <v>1.5</v>
      </c>
      <c r="G924" s="9">
        <f t="shared" si="130"/>
        <v>1.5</v>
      </c>
      <c r="H924" t="str">
        <f>'(Raw) LensesGH'!D924</f>
        <v>77mm</v>
      </c>
      <c r="I924" s="2">
        <f t="shared" si="131"/>
        <v>77</v>
      </c>
      <c r="J924" s="2">
        <f>'(Raw) LensesGH'!E924</f>
        <v>0</v>
      </c>
      <c r="K924" s="40">
        <f t="shared" si="132"/>
        <v>0</v>
      </c>
      <c r="L924" t="str">
        <f>'(Raw) LensesGH'!F924</f>
        <v>Samsung NX</v>
      </c>
      <c r="M924" t="str">
        <f>'(Raw) LensesGH'!G924</f>
        <v>APS-C</v>
      </c>
      <c r="N924" t="str">
        <f>'(Raw) LensesGH'!H924</f>
        <v>720g</v>
      </c>
      <c r="O924" s="5">
        <f t="shared" si="133"/>
        <v>720</v>
      </c>
      <c r="P924" t="str">
        <f>'(Raw) LensesGH'!I924</f>
        <v>83 x 130mm</v>
      </c>
      <c r="Q924" s="39">
        <f t="shared" si="134"/>
        <v>83</v>
      </c>
      <c r="R924" s="39">
        <f t="shared" si="126"/>
        <v>130</v>
      </c>
    </row>
    <row r="925" spans="1:18" x14ac:dyDescent="0.25">
      <c r="A925" t="str">
        <f>'(Raw) LensesGH'!A925</f>
        <v>Samyang 35mm T1.5 VDSLR AS UMC II für Sony A schwarz</v>
      </c>
      <c r="B925" t="str">
        <f>'(Raw) LensesGH'!B925</f>
        <v>35mm</v>
      </c>
      <c r="C925" s="5">
        <f t="shared" si="127"/>
        <v>35</v>
      </c>
      <c r="D925" s="5">
        <f t="shared" si="128"/>
        <v>35</v>
      </c>
      <c r="E925" t="str">
        <f>'(Raw) LensesGH'!C925</f>
        <v>1:1.5</v>
      </c>
      <c r="F925" s="9">
        <f t="shared" si="129"/>
        <v>1.5</v>
      </c>
      <c r="G925" s="9">
        <f t="shared" si="130"/>
        <v>1.5</v>
      </c>
      <c r="H925" t="str">
        <f>'(Raw) LensesGH'!D925</f>
        <v>77mm</v>
      </c>
      <c r="I925" s="2">
        <f t="shared" si="131"/>
        <v>77</v>
      </c>
      <c r="J925" s="2">
        <f>'(Raw) LensesGH'!E925</f>
        <v>0</v>
      </c>
      <c r="K925" s="40">
        <f t="shared" si="132"/>
        <v>0</v>
      </c>
      <c r="L925" t="str">
        <f>'(Raw) LensesGH'!F925</f>
        <v>Sony A</v>
      </c>
      <c r="M925" t="str">
        <f>'(Raw) LensesGH'!G925</f>
        <v>APS-C/ Kleinbild</v>
      </c>
      <c r="N925" t="str">
        <f>'(Raw) LensesGH'!H925</f>
        <v>695g</v>
      </c>
      <c r="O925" s="5">
        <f t="shared" si="133"/>
        <v>695</v>
      </c>
      <c r="P925" t="str">
        <f>'(Raw) LensesGH'!I925</f>
        <v>83 x 111mm</v>
      </c>
      <c r="Q925" s="39">
        <f t="shared" si="134"/>
        <v>83</v>
      </c>
      <c r="R925" s="39">
        <f t="shared" si="126"/>
        <v>111</v>
      </c>
    </row>
    <row r="926" spans="1:18" x14ac:dyDescent="0.25">
      <c r="A926" t="str">
        <f>'(Raw) LensesGH'!A926</f>
        <v>Samyang 35mm T1.5 VDSLR AS UMC II für Sony E schwarz</v>
      </c>
      <c r="B926" t="str">
        <f>'(Raw) LensesGH'!B926</f>
        <v>35mm</v>
      </c>
      <c r="C926" s="5">
        <f t="shared" si="127"/>
        <v>35</v>
      </c>
      <c r="D926" s="5">
        <f t="shared" si="128"/>
        <v>35</v>
      </c>
      <c r="E926" t="str">
        <f>'(Raw) LensesGH'!C926</f>
        <v>1:1.5</v>
      </c>
      <c r="F926" s="9">
        <f t="shared" si="129"/>
        <v>1.5</v>
      </c>
      <c r="G926" s="9">
        <f t="shared" si="130"/>
        <v>1.5</v>
      </c>
      <c r="H926" t="str">
        <f>'(Raw) LensesGH'!D926</f>
        <v>77mm</v>
      </c>
      <c r="I926" s="2">
        <f t="shared" si="131"/>
        <v>77</v>
      </c>
      <c r="J926" s="2">
        <f>'(Raw) LensesGH'!E926</f>
        <v>0</v>
      </c>
      <c r="K926" s="40">
        <f t="shared" si="132"/>
        <v>0</v>
      </c>
      <c r="L926" t="str">
        <f>'(Raw) LensesGH'!F926</f>
        <v>Sony E</v>
      </c>
      <c r="M926" t="str">
        <f>'(Raw) LensesGH'!G926</f>
        <v>APS-C/ Kleinbild</v>
      </c>
      <c r="N926" t="str">
        <f>'(Raw) LensesGH'!H926</f>
        <v>720g</v>
      </c>
      <c r="O926" s="5">
        <f t="shared" si="133"/>
        <v>720</v>
      </c>
      <c r="P926" t="str">
        <f>'(Raw) LensesGH'!I926</f>
        <v>83 x 137.5mm</v>
      </c>
      <c r="Q926" s="39">
        <f t="shared" si="134"/>
        <v>83</v>
      </c>
      <c r="R926" s="39">
        <f t="shared" si="126"/>
        <v>137.5</v>
      </c>
    </row>
    <row r="927" spans="1:18" x14ac:dyDescent="0.25">
      <c r="A927" t="str">
        <f>'(Raw) LensesGH'!A927</f>
        <v>Samyang 500mm 8.0 IF MC Mirror schwarz</v>
      </c>
      <c r="B927" t="str">
        <f>'(Raw) LensesGH'!B927</f>
        <v>500mm</v>
      </c>
      <c r="C927" s="5">
        <f t="shared" si="127"/>
        <v>500</v>
      </c>
      <c r="D927" s="5">
        <f t="shared" si="128"/>
        <v>500</v>
      </c>
      <c r="E927" t="str">
        <f>'(Raw) LensesGH'!C927</f>
        <v>1:8.0</v>
      </c>
      <c r="F927" s="9">
        <f t="shared" si="129"/>
        <v>8</v>
      </c>
      <c r="G927" s="9">
        <f t="shared" si="130"/>
        <v>8</v>
      </c>
      <c r="H927" t="str">
        <f>'(Raw) LensesGH'!D927</f>
        <v>30.5mm</v>
      </c>
      <c r="I927" s="2">
        <f t="shared" si="131"/>
        <v>30.5</v>
      </c>
      <c r="J927" s="2">
        <f>'(Raw) LensesGH'!E927</f>
        <v>0</v>
      </c>
      <c r="K927" s="40">
        <f t="shared" si="132"/>
        <v>0</v>
      </c>
      <c r="L927">
        <f>'(Raw) LensesGH'!F927</f>
        <v>0</v>
      </c>
      <c r="M927" t="str">
        <f>'(Raw) LensesGH'!G927</f>
        <v>APS-C/ Kleinbild</v>
      </c>
      <c r="N927" t="str">
        <f>'(Raw) LensesGH'!H927</f>
        <v>320g</v>
      </c>
      <c r="O927" s="5">
        <f t="shared" si="133"/>
        <v>320</v>
      </c>
      <c r="P927" t="str">
        <f>'(Raw) LensesGH'!I927</f>
        <v>77 x 87.7mm</v>
      </c>
      <c r="Q927" s="39">
        <f t="shared" si="134"/>
        <v>77</v>
      </c>
      <c r="R927" s="39">
        <f t="shared" si="126"/>
        <v>87.7</v>
      </c>
    </row>
    <row r="928" spans="1:18" x14ac:dyDescent="0.25">
      <c r="A928" t="str">
        <f>'(Raw) LensesGH'!A928</f>
        <v>Samyang 500mm 8.0 Preset IF MC schwarz</v>
      </c>
      <c r="B928" t="str">
        <f>'(Raw) LensesGH'!B928</f>
        <v>500mm</v>
      </c>
      <c r="C928" s="5">
        <f t="shared" si="127"/>
        <v>500</v>
      </c>
      <c r="D928" s="5">
        <f t="shared" si="128"/>
        <v>500</v>
      </c>
      <c r="E928" t="str">
        <f>'(Raw) LensesGH'!C928</f>
        <v>1:8.0</v>
      </c>
      <c r="F928" s="9">
        <f t="shared" si="129"/>
        <v>8</v>
      </c>
      <c r="G928" s="9">
        <f t="shared" si="130"/>
        <v>8</v>
      </c>
      <c r="H928" t="str">
        <f>'(Raw) LensesGH'!D928</f>
        <v>67mm</v>
      </c>
      <c r="I928" s="2">
        <f t="shared" si="131"/>
        <v>67</v>
      </c>
      <c r="J928" s="2">
        <f>'(Raw) LensesGH'!E928</f>
        <v>0</v>
      </c>
      <c r="K928" s="40">
        <f t="shared" si="132"/>
        <v>0</v>
      </c>
      <c r="L928">
        <f>'(Raw) LensesGH'!F928</f>
        <v>0</v>
      </c>
      <c r="M928" t="str">
        <f>'(Raw) LensesGH'!G928</f>
        <v>APS-C/ Kleinbild</v>
      </c>
      <c r="N928" t="str">
        <f>'(Raw) LensesGH'!H928</f>
        <v>640g</v>
      </c>
      <c r="O928" s="5">
        <f t="shared" si="133"/>
        <v>640</v>
      </c>
      <c r="P928" t="str">
        <f>'(Raw) LensesGH'!I928</f>
        <v>70 x 298mm</v>
      </c>
      <c r="Q928" s="39">
        <f t="shared" si="134"/>
        <v>70</v>
      </c>
      <c r="R928" s="39">
        <f t="shared" si="126"/>
        <v>298</v>
      </c>
    </row>
    <row r="929" spans="1:18" x14ac:dyDescent="0.25">
      <c r="A929" t="str">
        <f>'(Raw) LensesGH'!A929</f>
        <v>Samyang 50mm 1.2 AS UMC CS für Canon EF-M schwarz</v>
      </c>
      <c r="B929" t="str">
        <f>'(Raw) LensesGH'!B929</f>
        <v>50mm</v>
      </c>
      <c r="C929" s="5">
        <f t="shared" si="127"/>
        <v>50</v>
      </c>
      <c r="D929" s="5">
        <f t="shared" si="128"/>
        <v>50</v>
      </c>
      <c r="E929" t="str">
        <f>'(Raw) LensesGH'!C929</f>
        <v>1:1.2</v>
      </c>
      <c r="F929" s="9">
        <f t="shared" si="129"/>
        <v>1.2</v>
      </c>
      <c r="G929" s="9">
        <f t="shared" si="130"/>
        <v>1.2</v>
      </c>
      <c r="H929" t="str">
        <f>'(Raw) LensesGH'!D929</f>
        <v>62mm</v>
      </c>
      <c r="I929" s="2">
        <f t="shared" si="131"/>
        <v>62</v>
      </c>
      <c r="J929" s="2">
        <f>'(Raw) LensesGH'!E929</f>
        <v>0</v>
      </c>
      <c r="K929" s="40">
        <f t="shared" si="132"/>
        <v>0</v>
      </c>
      <c r="L929" t="str">
        <f>'(Raw) LensesGH'!F929</f>
        <v>Canon EF-M</v>
      </c>
      <c r="M929" t="str">
        <f>'(Raw) LensesGH'!G929</f>
        <v>APS-C</v>
      </c>
      <c r="N929" t="str">
        <f>'(Raw) LensesGH'!H929</f>
        <v>385g</v>
      </c>
      <c r="O929" s="5">
        <f t="shared" si="133"/>
        <v>385</v>
      </c>
      <c r="P929" t="str">
        <f>'(Raw) LensesGH'!I929</f>
        <v>67.5 x 74.1mm</v>
      </c>
      <c r="Q929" s="39">
        <f t="shared" si="134"/>
        <v>67.5</v>
      </c>
      <c r="R929" s="39">
        <f t="shared" si="126"/>
        <v>74.099999999999994</v>
      </c>
    </row>
    <row r="930" spans="1:18" x14ac:dyDescent="0.25">
      <c r="A930" t="str">
        <f>'(Raw) LensesGH'!A930</f>
        <v>Samyang 50mm 1.2 AS UMC CS für Canon EF-M silber</v>
      </c>
      <c r="B930" t="str">
        <f>'(Raw) LensesGH'!B930</f>
        <v>50mm</v>
      </c>
      <c r="C930" s="5">
        <f t="shared" si="127"/>
        <v>50</v>
      </c>
      <c r="D930" s="5">
        <f t="shared" si="128"/>
        <v>50</v>
      </c>
      <c r="E930" t="str">
        <f>'(Raw) LensesGH'!C930</f>
        <v>1:1.2</v>
      </c>
      <c r="F930" s="9">
        <f t="shared" si="129"/>
        <v>1.2</v>
      </c>
      <c r="G930" s="9">
        <f t="shared" si="130"/>
        <v>1.2</v>
      </c>
      <c r="H930" t="str">
        <f>'(Raw) LensesGH'!D930</f>
        <v>62mm</v>
      </c>
      <c r="I930" s="2">
        <f t="shared" si="131"/>
        <v>62</v>
      </c>
      <c r="J930" s="2">
        <f>'(Raw) LensesGH'!E930</f>
        <v>0</v>
      </c>
      <c r="K930" s="40">
        <f t="shared" si="132"/>
        <v>0</v>
      </c>
      <c r="L930" t="str">
        <f>'(Raw) LensesGH'!F930</f>
        <v>Canon EF-M</v>
      </c>
      <c r="M930" t="str">
        <f>'(Raw) LensesGH'!G930</f>
        <v>APS-C</v>
      </c>
      <c r="N930" t="str">
        <f>'(Raw) LensesGH'!H930</f>
        <v>385g</v>
      </c>
      <c r="O930" s="5">
        <f t="shared" si="133"/>
        <v>385</v>
      </c>
      <c r="P930" t="str">
        <f>'(Raw) LensesGH'!I930</f>
        <v>67.5 x 74.1mm</v>
      </c>
      <c r="Q930" s="39">
        <f t="shared" si="134"/>
        <v>67.5</v>
      </c>
      <c r="R930" s="39">
        <f t="shared" si="126"/>
        <v>74.099999999999994</v>
      </c>
    </row>
    <row r="931" spans="1:18" x14ac:dyDescent="0.25">
      <c r="A931" t="str">
        <f>'(Raw) LensesGH'!A931</f>
        <v>Samyang 50mm 1.2 AS UMC CS für Fujifilm X schwarz</v>
      </c>
      <c r="B931" t="str">
        <f>'(Raw) LensesGH'!B931</f>
        <v>50mm</v>
      </c>
      <c r="C931" s="5">
        <f t="shared" si="127"/>
        <v>50</v>
      </c>
      <c r="D931" s="5">
        <f t="shared" si="128"/>
        <v>50</v>
      </c>
      <c r="E931" t="str">
        <f>'(Raw) LensesGH'!C931</f>
        <v>1:1.2</v>
      </c>
      <c r="F931" s="9">
        <f t="shared" si="129"/>
        <v>1.2</v>
      </c>
      <c r="G931" s="9">
        <f t="shared" si="130"/>
        <v>1.2</v>
      </c>
      <c r="H931" t="str">
        <f>'(Raw) LensesGH'!D931</f>
        <v>62mm</v>
      </c>
      <c r="I931" s="2">
        <f t="shared" si="131"/>
        <v>62</v>
      </c>
      <c r="J931" s="2">
        <f>'(Raw) LensesGH'!E931</f>
        <v>0</v>
      </c>
      <c r="K931" s="40">
        <f t="shared" si="132"/>
        <v>0</v>
      </c>
      <c r="L931" t="str">
        <f>'(Raw) LensesGH'!F931</f>
        <v>Fujifilm X</v>
      </c>
      <c r="M931" t="str">
        <f>'(Raw) LensesGH'!G931</f>
        <v>APS-C</v>
      </c>
      <c r="N931" t="str">
        <f>'(Raw) LensesGH'!H931</f>
        <v>380g</v>
      </c>
      <c r="O931" s="5">
        <f t="shared" si="133"/>
        <v>380</v>
      </c>
      <c r="P931" t="str">
        <f>'(Raw) LensesGH'!I931</f>
        <v>67.5 x 74.5mm</v>
      </c>
      <c r="Q931" s="39">
        <f t="shared" si="134"/>
        <v>67.5</v>
      </c>
      <c r="R931" s="39">
        <f t="shared" si="126"/>
        <v>74.5</v>
      </c>
    </row>
    <row r="932" spans="1:18" x14ac:dyDescent="0.25">
      <c r="A932" t="str">
        <f>'(Raw) LensesGH'!A932</f>
        <v>Samyang 50mm 1.2 AS UMC CS für Fujifilm X silber</v>
      </c>
      <c r="B932" t="str">
        <f>'(Raw) LensesGH'!B932</f>
        <v>50mm</v>
      </c>
      <c r="C932" s="5">
        <f t="shared" si="127"/>
        <v>50</v>
      </c>
      <c r="D932" s="5">
        <f t="shared" si="128"/>
        <v>50</v>
      </c>
      <c r="E932" t="str">
        <f>'(Raw) LensesGH'!C932</f>
        <v>1:1.2</v>
      </c>
      <c r="F932" s="9">
        <f t="shared" si="129"/>
        <v>1.2</v>
      </c>
      <c r="G932" s="9">
        <f t="shared" si="130"/>
        <v>1.2</v>
      </c>
      <c r="H932" t="str">
        <f>'(Raw) LensesGH'!D932</f>
        <v>62mm</v>
      </c>
      <c r="I932" s="2">
        <f t="shared" si="131"/>
        <v>62</v>
      </c>
      <c r="J932" s="2">
        <f>'(Raw) LensesGH'!E932</f>
        <v>0</v>
      </c>
      <c r="K932" s="40">
        <f t="shared" si="132"/>
        <v>0</v>
      </c>
      <c r="L932" t="str">
        <f>'(Raw) LensesGH'!F932</f>
        <v>Fujifilm X</v>
      </c>
      <c r="M932" t="str">
        <f>'(Raw) LensesGH'!G932</f>
        <v>APS-C</v>
      </c>
      <c r="N932" t="str">
        <f>'(Raw) LensesGH'!H932</f>
        <v>380g</v>
      </c>
      <c r="O932" s="5">
        <f t="shared" si="133"/>
        <v>380</v>
      </c>
      <c r="P932" t="str">
        <f>'(Raw) LensesGH'!I932</f>
        <v>67.5 x 74.5mm</v>
      </c>
      <c r="Q932" s="39">
        <f t="shared" si="134"/>
        <v>67.5</v>
      </c>
      <c r="R932" s="39">
        <f t="shared" si="126"/>
        <v>74.5</v>
      </c>
    </row>
    <row r="933" spans="1:18" x14ac:dyDescent="0.25">
      <c r="A933" t="str">
        <f>'(Raw) LensesGH'!A933</f>
        <v>Samyang 50mm 1.2 AS UMC CS für Micro-Four-Thirds schwarz</v>
      </c>
      <c r="B933" t="str">
        <f>'(Raw) LensesGH'!B933</f>
        <v>50mm</v>
      </c>
      <c r="C933" s="5">
        <f t="shared" si="127"/>
        <v>50</v>
      </c>
      <c r="D933" s="5">
        <f t="shared" si="128"/>
        <v>50</v>
      </c>
      <c r="E933" t="str">
        <f>'(Raw) LensesGH'!C933</f>
        <v>1:1.2</v>
      </c>
      <c r="F933" s="9">
        <f t="shared" si="129"/>
        <v>1.2</v>
      </c>
      <c r="G933" s="9">
        <f t="shared" si="130"/>
        <v>1.2</v>
      </c>
      <c r="H933" t="str">
        <f>'(Raw) LensesGH'!D933</f>
        <v>62mm</v>
      </c>
      <c r="I933" s="2">
        <f t="shared" si="131"/>
        <v>62</v>
      </c>
      <c r="J933" s="2">
        <f>'(Raw) LensesGH'!E933</f>
        <v>0</v>
      </c>
      <c r="K933" s="40">
        <f t="shared" si="132"/>
        <v>0</v>
      </c>
      <c r="L933" t="str">
        <f>'(Raw) LensesGH'!F933</f>
        <v>Micro-Four-Thirds</v>
      </c>
      <c r="M933" t="str">
        <f>'(Raw) LensesGH'!G933</f>
        <v>Four-Thirds</v>
      </c>
      <c r="N933" t="str">
        <f>'(Raw) LensesGH'!H933</f>
        <v>375g</v>
      </c>
      <c r="O933" s="5">
        <f t="shared" si="133"/>
        <v>375</v>
      </c>
      <c r="P933" t="str">
        <f>'(Raw) LensesGH'!I933</f>
        <v>67.5 x 73mm</v>
      </c>
      <c r="Q933" s="39">
        <f t="shared" si="134"/>
        <v>67.5</v>
      </c>
      <c r="R933" s="39">
        <f t="shared" si="126"/>
        <v>73</v>
      </c>
    </row>
    <row r="934" spans="1:18" x14ac:dyDescent="0.25">
      <c r="A934" t="str">
        <f>'(Raw) LensesGH'!A934</f>
        <v>Samyang 50mm 1.2 AS UMC CS für Micro-Four-Thirds silber</v>
      </c>
      <c r="B934" t="str">
        <f>'(Raw) LensesGH'!B934</f>
        <v>50mm</v>
      </c>
      <c r="C934" s="5">
        <f t="shared" si="127"/>
        <v>50</v>
      </c>
      <c r="D934" s="5">
        <f t="shared" si="128"/>
        <v>50</v>
      </c>
      <c r="E934" t="str">
        <f>'(Raw) LensesGH'!C934</f>
        <v>1:1.2</v>
      </c>
      <c r="F934" s="9">
        <f t="shared" si="129"/>
        <v>1.2</v>
      </c>
      <c r="G934" s="9">
        <f t="shared" si="130"/>
        <v>1.2</v>
      </c>
      <c r="H934" t="str">
        <f>'(Raw) LensesGH'!D934</f>
        <v>62mm</v>
      </c>
      <c r="I934" s="2">
        <f t="shared" si="131"/>
        <v>62</v>
      </c>
      <c r="J934" s="2">
        <f>'(Raw) LensesGH'!E934</f>
        <v>0</v>
      </c>
      <c r="K934" s="40">
        <f t="shared" si="132"/>
        <v>0</v>
      </c>
      <c r="L934" t="str">
        <f>'(Raw) LensesGH'!F934</f>
        <v>Micro-Four-Thirds</v>
      </c>
      <c r="M934" t="str">
        <f>'(Raw) LensesGH'!G934</f>
        <v>Four-Thirds</v>
      </c>
      <c r="N934" t="str">
        <f>'(Raw) LensesGH'!H934</f>
        <v>375g</v>
      </c>
      <c r="O934" s="5">
        <f t="shared" si="133"/>
        <v>375</v>
      </c>
      <c r="P934" t="str">
        <f>'(Raw) LensesGH'!I934</f>
        <v>67.5 x 73mm</v>
      </c>
      <c r="Q934" s="39">
        <f t="shared" si="134"/>
        <v>67.5</v>
      </c>
      <c r="R934" s="39">
        <f t="shared" si="126"/>
        <v>73</v>
      </c>
    </row>
    <row r="935" spans="1:18" x14ac:dyDescent="0.25">
      <c r="A935" t="str">
        <f>'(Raw) LensesGH'!A935</f>
        <v>Samyang 50mm 1.2 AS UMC CS für Sony E schwarz</v>
      </c>
      <c r="B935" t="str">
        <f>'(Raw) LensesGH'!B935</f>
        <v>50mm</v>
      </c>
      <c r="C935" s="5">
        <f t="shared" si="127"/>
        <v>50</v>
      </c>
      <c r="D935" s="5">
        <f t="shared" si="128"/>
        <v>50</v>
      </c>
      <c r="E935" t="str">
        <f>'(Raw) LensesGH'!C935</f>
        <v>1:1.2</v>
      </c>
      <c r="F935" s="9">
        <f t="shared" si="129"/>
        <v>1.2</v>
      </c>
      <c r="G935" s="9">
        <f t="shared" si="130"/>
        <v>1.2</v>
      </c>
      <c r="H935" t="str">
        <f>'(Raw) LensesGH'!D935</f>
        <v>62mm</v>
      </c>
      <c r="I935" s="2">
        <f t="shared" si="131"/>
        <v>62</v>
      </c>
      <c r="J935" s="2">
        <f>'(Raw) LensesGH'!E935</f>
        <v>0</v>
      </c>
      <c r="K935" s="40">
        <f t="shared" si="132"/>
        <v>0</v>
      </c>
      <c r="L935" t="str">
        <f>'(Raw) LensesGH'!F935</f>
        <v>Sony E</v>
      </c>
      <c r="M935" t="str">
        <f>'(Raw) LensesGH'!G935</f>
        <v>APS-C</v>
      </c>
      <c r="N935" t="str">
        <f>'(Raw) LensesGH'!H935</f>
        <v>385g</v>
      </c>
      <c r="O935" s="5">
        <f t="shared" si="133"/>
        <v>385</v>
      </c>
      <c r="P935" t="str">
        <f>'(Raw) LensesGH'!I935</f>
        <v>67.5 x 74.2mm</v>
      </c>
      <c r="Q935" s="39">
        <f t="shared" si="134"/>
        <v>67.5</v>
      </c>
      <c r="R935" s="39">
        <f t="shared" si="126"/>
        <v>74.2</v>
      </c>
    </row>
    <row r="936" spans="1:18" x14ac:dyDescent="0.25">
      <c r="A936" t="str">
        <f>'(Raw) LensesGH'!A936</f>
        <v>Samyang 50mm 1.2 AS UMC CS für Sony E silber</v>
      </c>
      <c r="B936" t="str">
        <f>'(Raw) LensesGH'!B936</f>
        <v>50mm</v>
      </c>
      <c r="C936" s="5">
        <f t="shared" si="127"/>
        <v>50</v>
      </c>
      <c r="D936" s="5">
        <f t="shared" si="128"/>
        <v>50</v>
      </c>
      <c r="E936" t="str">
        <f>'(Raw) LensesGH'!C936</f>
        <v>1:1.2</v>
      </c>
      <c r="F936" s="9">
        <f t="shared" si="129"/>
        <v>1.2</v>
      </c>
      <c r="G936" s="9">
        <f t="shared" si="130"/>
        <v>1.2</v>
      </c>
      <c r="H936" t="str">
        <f>'(Raw) LensesGH'!D936</f>
        <v>62mm</v>
      </c>
      <c r="I936" s="2">
        <f t="shared" si="131"/>
        <v>62</v>
      </c>
      <c r="J936" s="2">
        <f>'(Raw) LensesGH'!E936</f>
        <v>0</v>
      </c>
      <c r="K936" s="40">
        <f t="shared" si="132"/>
        <v>0</v>
      </c>
      <c r="L936" t="str">
        <f>'(Raw) LensesGH'!F936</f>
        <v>Sony E</v>
      </c>
      <c r="M936" t="str">
        <f>'(Raw) LensesGH'!G936</f>
        <v>APS-C</v>
      </c>
      <c r="N936" t="str">
        <f>'(Raw) LensesGH'!H936</f>
        <v>385g</v>
      </c>
      <c r="O936" s="5">
        <f t="shared" si="133"/>
        <v>385</v>
      </c>
      <c r="P936" t="str">
        <f>'(Raw) LensesGH'!I936</f>
        <v>67.5 x 74.2mm</v>
      </c>
      <c r="Q936" s="39">
        <f t="shared" si="134"/>
        <v>67.5</v>
      </c>
      <c r="R936" s="39">
        <f t="shared" si="126"/>
        <v>74.2</v>
      </c>
    </row>
    <row r="937" spans="1:18" x14ac:dyDescent="0.25">
      <c r="A937" t="str">
        <f>'(Raw) LensesGH'!A937</f>
        <v>Samyang 50mm 1.4 AS UMC für Canon EF schwarz</v>
      </c>
      <c r="B937" t="str">
        <f>'(Raw) LensesGH'!B937</f>
        <v>50mm</v>
      </c>
      <c r="C937" s="5">
        <f t="shared" si="127"/>
        <v>50</v>
      </c>
      <c r="D937" s="5">
        <f t="shared" si="128"/>
        <v>50</v>
      </c>
      <c r="E937" t="str">
        <f>'(Raw) LensesGH'!C937</f>
        <v>1:1.4</v>
      </c>
      <c r="F937" s="9">
        <f t="shared" si="129"/>
        <v>1.4</v>
      </c>
      <c r="G937" s="9">
        <f t="shared" si="130"/>
        <v>1.4</v>
      </c>
      <c r="H937" t="str">
        <f>'(Raw) LensesGH'!D937</f>
        <v>77mm</v>
      </c>
      <c r="I937" s="2">
        <f t="shared" si="131"/>
        <v>77</v>
      </c>
      <c r="J937" s="2">
        <f>'(Raw) LensesGH'!E937</f>
        <v>0</v>
      </c>
      <c r="K937" s="40">
        <f t="shared" si="132"/>
        <v>0</v>
      </c>
      <c r="L937" t="str">
        <f>'(Raw) LensesGH'!F937</f>
        <v>Canon EF</v>
      </c>
      <c r="M937" t="str">
        <f>'(Raw) LensesGH'!G937</f>
        <v>APS-C/ Kleinbild</v>
      </c>
      <c r="N937" t="str">
        <f>'(Raw) LensesGH'!H937</f>
        <v>535g</v>
      </c>
      <c r="O937" s="5">
        <f t="shared" si="133"/>
        <v>535</v>
      </c>
      <c r="P937" t="str">
        <f>'(Raw) LensesGH'!I937</f>
        <v>81.6 x 74.7mm</v>
      </c>
      <c r="Q937" s="39">
        <f t="shared" si="134"/>
        <v>81.599999999999994</v>
      </c>
      <c r="R937" s="39">
        <f t="shared" si="126"/>
        <v>74.7</v>
      </c>
    </row>
    <row r="938" spans="1:18" x14ac:dyDescent="0.25">
      <c r="A938" t="str">
        <f>'(Raw) LensesGH'!A938</f>
        <v>Samyang 50mm 1.4 AS UMC für Canon EF-M schwarz</v>
      </c>
      <c r="B938" t="str">
        <f>'(Raw) LensesGH'!B938</f>
        <v>50mm</v>
      </c>
      <c r="C938" s="5">
        <f t="shared" si="127"/>
        <v>50</v>
      </c>
      <c r="D938" s="5">
        <f t="shared" si="128"/>
        <v>50</v>
      </c>
      <c r="E938" t="str">
        <f>'(Raw) LensesGH'!C938</f>
        <v>1:1.4</v>
      </c>
      <c r="F938" s="9">
        <f t="shared" si="129"/>
        <v>1.4</v>
      </c>
      <c r="G938" s="9">
        <f t="shared" si="130"/>
        <v>1.4</v>
      </c>
      <c r="H938" t="str">
        <f>'(Raw) LensesGH'!D938</f>
        <v>77mm</v>
      </c>
      <c r="I938" s="2">
        <f t="shared" si="131"/>
        <v>77</v>
      </c>
      <c r="J938" s="2">
        <f>'(Raw) LensesGH'!E938</f>
        <v>0</v>
      </c>
      <c r="K938" s="40">
        <f t="shared" si="132"/>
        <v>0</v>
      </c>
      <c r="L938" t="str">
        <f>'(Raw) LensesGH'!F938</f>
        <v>Canon EF-M</v>
      </c>
      <c r="M938" t="str">
        <f>'(Raw) LensesGH'!G938</f>
        <v>APS-C</v>
      </c>
      <c r="N938" t="str">
        <f>'(Raw) LensesGH'!H938</f>
        <v>600g</v>
      </c>
      <c r="O938" s="5">
        <f t="shared" si="133"/>
        <v>600</v>
      </c>
      <c r="P938" t="str">
        <f>'(Raw) LensesGH'!I938</f>
        <v>81.6 x 100.6mm</v>
      </c>
      <c r="Q938" s="39">
        <f t="shared" si="134"/>
        <v>81.599999999999994</v>
      </c>
      <c r="R938" s="39">
        <f t="shared" si="126"/>
        <v>100.6</v>
      </c>
    </row>
    <row r="939" spans="1:18" x14ac:dyDescent="0.25">
      <c r="A939" t="str">
        <f>'(Raw) LensesGH'!A939</f>
        <v>Samyang 50mm 1.4 AS UMC für Four-Thirds schwarz</v>
      </c>
      <c r="B939" t="str">
        <f>'(Raw) LensesGH'!B939</f>
        <v>50mm</v>
      </c>
      <c r="C939" s="5">
        <f t="shared" si="127"/>
        <v>50</v>
      </c>
      <c r="D939" s="5">
        <f t="shared" si="128"/>
        <v>50</v>
      </c>
      <c r="E939" t="str">
        <f>'(Raw) LensesGH'!C939</f>
        <v>1:1.4</v>
      </c>
      <c r="F939" s="9">
        <f t="shared" si="129"/>
        <v>1.4</v>
      </c>
      <c r="G939" s="9">
        <f t="shared" si="130"/>
        <v>1.4</v>
      </c>
      <c r="H939" t="str">
        <f>'(Raw) LensesGH'!D939</f>
        <v>77mm</v>
      </c>
      <c r="I939" s="2">
        <f t="shared" si="131"/>
        <v>77</v>
      </c>
      <c r="J939" s="2">
        <f>'(Raw) LensesGH'!E939</f>
        <v>0</v>
      </c>
      <c r="K939" s="40">
        <f t="shared" si="132"/>
        <v>0</v>
      </c>
      <c r="L939" t="str">
        <f>'(Raw) LensesGH'!F939</f>
        <v>Four-Thirds</v>
      </c>
      <c r="M939" t="str">
        <f>'(Raw) LensesGH'!G939</f>
        <v>Four-Thirds</v>
      </c>
      <c r="N939" t="str">
        <f>'(Raw) LensesGH'!H939</f>
        <v>545g</v>
      </c>
      <c r="O939" s="5">
        <f t="shared" si="133"/>
        <v>545</v>
      </c>
      <c r="P939" t="str">
        <f>'(Raw) LensesGH'!I939</f>
        <v>81.6 x 80mm</v>
      </c>
      <c r="Q939" s="39">
        <f t="shared" si="134"/>
        <v>81.599999999999994</v>
      </c>
      <c r="R939" s="39">
        <f t="shared" si="126"/>
        <v>80</v>
      </c>
    </row>
    <row r="940" spans="1:18" x14ac:dyDescent="0.25">
      <c r="A940" t="str">
        <f>'(Raw) LensesGH'!A940</f>
        <v>Samyang 50mm 1.4 AS UMC für Fujifilm X schwarz</v>
      </c>
      <c r="B940" t="str">
        <f>'(Raw) LensesGH'!B940</f>
        <v>50mm</v>
      </c>
      <c r="C940" s="5">
        <f t="shared" si="127"/>
        <v>50</v>
      </c>
      <c r="D940" s="5">
        <f t="shared" si="128"/>
        <v>50</v>
      </c>
      <c r="E940" t="str">
        <f>'(Raw) LensesGH'!C940</f>
        <v>1:1.4</v>
      </c>
      <c r="F940" s="9">
        <f t="shared" si="129"/>
        <v>1.4</v>
      </c>
      <c r="G940" s="9">
        <f t="shared" si="130"/>
        <v>1.4</v>
      </c>
      <c r="H940" t="str">
        <f>'(Raw) LensesGH'!D940</f>
        <v>77mm</v>
      </c>
      <c r="I940" s="2">
        <f t="shared" si="131"/>
        <v>77</v>
      </c>
      <c r="J940" s="2">
        <f>'(Raw) LensesGH'!E940</f>
        <v>0</v>
      </c>
      <c r="K940" s="40">
        <f t="shared" si="132"/>
        <v>0</v>
      </c>
      <c r="L940" t="str">
        <f>'(Raw) LensesGH'!F940</f>
        <v>Fujifilm X</v>
      </c>
      <c r="M940" t="str">
        <f>'(Raw) LensesGH'!G940</f>
        <v>APS-C</v>
      </c>
      <c r="N940" t="str">
        <f>'(Raw) LensesGH'!H940</f>
        <v>605g</v>
      </c>
      <c r="O940" s="5">
        <f t="shared" si="133"/>
        <v>605</v>
      </c>
      <c r="P940" t="str">
        <f>'(Raw) LensesGH'!I940</f>
        <v>81.6 x 101mm</v>
      </c>
      <c r="Q940" s="39">
        <f t="shared" si="134"/>
        <v>81.599999999999994</v>
      </c>
      <c r="R940" s="39">
        <f t="shared" si="126"/>
        <v>101</v>
      </c>
    </row>
    <row r="941" spans="1:18" x14ac:dyDescent="0.25">
      <c r="A941" t="str">
        <f>'(Raw) LensesGH'!A941</f>
        <v>Samyang 50mm 1.4 AS UMC für Micro-Four-Thirds schwarz</v>
      </c>
      <c r="B941" t="str">
        <f>'(Raw) LensesGH'!B941</f>
        <v>50mm</v>
      </c>
      <c r="C941" s="5">
        <f t="shared" si="127"/>
        <v>50</v>
      </c>
      <c r="D941" s="5">
        <f t="shared" si="128"/>
        <v>50</v>
      </c>
      <c r="E941" t="str">
        <f>'(Raw) LensesGH'!C941</f>
        <v>1:1.4</v>
      </c>
      <c r="F941" s="9">
        <f t="shared" si="129"/>
        <v>1.4</v>
      </c>
      <c r="G941" s="9">
        <f t="shared" si="130"/>
        <v>1.4</v>
      </c>
      <c r="H941" t="str">
        <f>'(Raw) LensesGH'!D941</f>
        <v>77mm</v>
      </c>
      <c r="I941" s="2">
        <f t="shared" si="131"/>
        <v>77</v>
      </c>
      <c r="J941" s="2">
        <f>'(Raw) LensesGH'!E941</f>
        <v>0</v>
      </c>
      <c r="K941" s="40">
        <f t="shared" si="132"/>
        <v>0</v>
      </c>
      <c r="L941" t="str">
        <f>'(Raw) LensesGH'!F941</f>
        <v>Micro-Four-Thirds</v>
      </c>
      <c r="M941" t="str">
        <f>'(Raw) LensesGH'!G941</f>
        <v>Four-Thirds</v>
      </c>
      <c r="N941" t="str">
        <f>'(Raw) LensesGH'!H941</f>
        <v>555g</v>
      </c>
      <c r="O941" s="5">
        <f t="shared" si="133"/>
        <v>555</v>
      </c>
      <c r="P941" t="str">
        <f>'(Raw) LensesGH'!I941</f>
        <v>81.6 x 99.5mm</v>
      </c>
      <c r="Q941" s="39">
        <f t="shared" si="134"/>
        <v>81.599999999999994</v>
      </c>
      <c r="R941" s="39">
        <f t="shared" si="126"/>
        <v>99.5</v>
      </c>
    </row>
    <row r="942" spans="1:18" x14ac:dyDescent="0.25">
      <c r="A942" t="str">
        <f>'(Raw) LensesGH'!A942</f>
        <v>Samyang 50mm 1.4 AS UMC für Nikon F schwarz</v>
      </c>
      <c r="B942" t="str">
        <f>'(Raw) LensesGH'!B942</f>
        <v>50mm</v>
      </c>
      <c r="C942" s="5">
        <f t="shared" si="127"/>
        <v>50</v>
      </c>
      <c r="D942" s="5">
        <f t="shared" si="128"/>
        <v>50</v>
      </c>
      <c r="E942" t="str">
        <f>'(Raw) LensesGH'!C942</f>
        <v>1:1.4</v>
      </c>
      <c r="F942" s="9">
        <f t="shared" si="129"/>
        <v>1.4</v>
      </c>
      <c r="G942" s="9">
        <f t="shared" si="130"/>
        <v>1.4</v>
      </c>
      <c r="H942" t="str">
        <f>'(Raw) LensesGH'!D942</f>
        <v>77mm</v>
      </c>
      <c r="I942" s="2">
        <f t="shared" si="131"/>
        <v>77</v>
      </c>
      <c r="J942" s="2">
        <f>'(Raw) LensesGH'!E942</f>
        <v>0</v>
      </c>
      <c r="K942" s="40">
        <f t="shared" si="132"/>
        <v>0</v>
      </c>
      <c r="L942" t="str">
        <f>'(Raw) LensesGH'!F942</f>
        <v>Nikon F</v>
      </c>
      <c r="M942" t="str">
        <f>'(Raw) LensesGH'!G942</f>
        <v>APS-C/ Kleinbild</v>
      </c>
      <c r="N942" t="str">
        <f>'(Raw) LensesGH'!H942</f>
        <v>520g</v>
      </c>
      <c r="O942" s="5">
        <f t="shared" si="133"/>
        <v>520</v>
      </c>
      <c r="P942" t="str">
        <f>'(Raw) LensesGH'!I942</f>
        <v>81.6 x 72.2mm</v>
      </c>
      <c r="Q942" s="39">
        <f t="shared" si="134"/>
        <v>81.599999999999994</v>
      </c>
      <c r="R942" s="39">
        <f t="shared" si="126"/>
        <v>72.2</v>
      </c>
    </row>
    <row r="943" spans="1:18" x14ac:dyDescent="0.25">
      <c r="A943" t="str">
        <f>'(Raw) LensesGH'!A943</f>
        <v>Samyang 50mm 1.4 AS UMC für Pentax K schwarz</v>
      </c>
      <c r="B943" t="str">
        <f>'(Raw) LensesGH'!B943</f>
        <v>50mm</v>
      </c>
      <c r="C943" s="5">
        <f t="shared" si="127"/>
        <v>50</v>
      </c>
      <c r="D943" s="5">
        <f t="shared" si="128"/>
        <v>50</v>
      </c>
      <c r="E943" t="str">
        <f>'(Raw) LensesGH'!C943</f>
        <v>1:1.4</v>
      </c>
      <c r="F943" s="9">
        <f t="shared" si="129"/>
        <v>1.4</v>
      </c>
      <c r="G943" s="9">
        <f t="shared" si="130"/>
        <v>1.4</v>
      </c>
      <c r="H943" t="str">
        <f>'(Raw) LensesGH'!D943</f>
        <v>77mm</v>
      </c>
      <c r="I943" s="2">
        <f t="shared" si="131"/>
        <v>77</v>
      </c>
      <c r="J943" s="2">
        <f>'(Raw) LensesGH'!E943</f>
        <v>0</v>
      </c>
      <c r="K943" s="40">
        <f t="shared" si="132"/>
        <v>0</v>
      </c>
      <c r="L943" t="str">
        <f>'(Raw) LensesGH'!F943</f>
        <v>Pentax K</v>
      </c>
      <c r="M943" t="str">
        <f>'(Raw) LensesGH'!G943</f>
        <v>APS-C/ Kleinbild</v>
      </c>
      <c r="N943" t="str">
        <f>'(Raw) LensesGH'!H943</f>
        <v>510g</v>
      </c>
      <c r="O943" s="5">
        <f t="shared" si="133"/>
        <v>510</v>
      </c>
      <c r="P943" t="str">
        <f>'(Raw) LensesGH'!I943</f>
        <v>81.6 x 73.2mm</v>
      </c>
      <c r="Q943" s="39">
        <f t="shared" si="134"/>
        <v>81.599999999999994</v>
      </c>
      <c r="R943" s="39">
        <f t="shared" si="126"/>
        <v>73.2</v>
      </c>
    </row>
    <row r="944" spans="1:18" x14ac:dyDescent="0.25">
      <c r="A944" t="str">
        <f>'(Raw) LensesGH'!A944</f>
        <v>Samyang 50mm 1.4 AS UMC für Samsung NX schwarz</v>
      </c>
      <c r="B944" t="str">
        <f>'(Raw) LensesGH'!B944</f>
        <v>50mm</v>
      </c>
      <c r="C944" s="5">
        <f t="shared" si="127"/>
        <v>50</v>
      </c>
      <c r="D944" s="5">
        <f t="shared" si="128"/>
        <v>50</v>
      </c>
      <c r="E944" t="str">
        <f>'(Raw) LensesGH'!C944</f>
        <v>1:1.4</v>
      </c>
      <c r="F944" s="9">
        <f t="shared" si="129"/>
        <v>1.4</v>
      </c>
      <c r="G944" s="9">
        <f t="shared" si="130"/>
        <v>1.4</v>
      </c>
      <c r="H944" t="str">
        <f>'(Raw) LensesGH'!D944</f>
        <v>77mm</v>
      </c>
      <c r="I944" s="2">
        <f t="shared" si="131"/>
        <v>77</v>
      </c>
      <c r="J944" s="2">
        <f>'(Raw) LensesGH'!E944</f>
        <v>0</v>
      </c>
      <c r="K944" s="40">
        <f t="shared" si="132"/>
        <v>0</v>
      </c>
      <c r="L944" t="str">
        <f>'(Raw) LensesGH'!F944</f>
        <v>Samsung NX</v>
      </c>
      <c r="M944" t="str">
        <f>'(Raw) LensesGH'!G944</f>
        <v>APS-C</v>
      </c>
      <c r="N944" t="str">
        <f>'(Raw) LensesGH'!H944</f>
        <v>555g</v>
      </c>
      <c r="O944" s="5">
        <f t="shared" si="133"/>
        <v>555</v>
      </c>
      <c r="P944" t="str">
        <f>'(Raw) LensesGH'!I944</f>
        <v>81.6 x 93.2mm</v>
      </c>
      <c r="Q944" s="39">
        <f t="shared" si="134"/>
        <v>81.599999999999994</v>
      </c>
      <c r="R944" s="39">
        <f t="shared" si="126"/>
        <v>93.2</v>
      </c>
    </row>
    <row r="945" spans="1:18" x14ac:dyDescent="0.25">
      <c r="A945" t="str">
        <f>'(Raw) LensesGH'!A945</f>
        <v>Samyang 50mm 1.4 AS UMC für Sony A schwarz</v>
      </c>
      <c r="B945" t="str">
        <f>'(Raw) LensesGH'!B945</f>
        <v>50mm</v>
      </c>
      <c r="C945" s="5">
        <f t="shared" si="127"/>
        <v>50</v>
      </c>
      <c r="D945" s="5">
        <f t="shared" si="128"/>
        <v>50</v>
      </c>
      <c r="E945" t="str">
        <f>'(Raw) LensesGH'!C945</f>
        <v>1:1.4</v>
      </c>
      <c r="F945" s="9">
        <f t="shared" si="129"/>
        <v>1.4</v>
      </c>
      <c r="G945" s="9">
        <f t="shared" si="130"/>
        <v>1.4</v>
      </c>
      <c r="H945" t="str">
        <f>'(Raw) LensesGH'!D945</f>
        <v>77mm</v>
      </c>
      <c r="I945" s="2">
        <f t="shared" si="131"/>
        <v>77</v>
      </c>
      <c r="J945" s="2">
        <f>'(Raw) LensesGH'!E945</f>
        <v>0</v>
      </c>
      <c r="K945" s="40">
        <f t="shared" si="132"/>
        <v>0</v>
      </c>
      <c r="L945" t="str">
        <f>'(Raw) LensesGH'!F945</f>
        <v>Sony A</v>
      </c>
      <c r="M945" t="str">
        <f>'(Raw) LensesGH'!G945</f>
        <v>APS-C/ Kleinbild</v>
      </c>
      <c r="N945" t="str">
        <f>'(Raw) LensesGH'!H945</f>
        <v>530g</v>
      </c>
      <c r="O945" s="5">
        <f t="shared" si="133"/>
        <v>530</v>
      </c>
      <c r="P945" t="str">
        <f>'(Raw) LensesGH'!I945</f>
        <v>81.6 x 74.2mm</v>
      </c>
      <c r="Q945" s="39">
        <f t="shared" si="134"/>
        <v>81.599999999999994</v>
      </c>
      <c r="R945" s="39">
        <f t="shared" si="126"/>
        <v>74.2</v>
      </c>
    </row>
    <row r="946" spans="1:18" x14ac:dyDescent="0.25">
      <c r="A946" t="str">
        <f>'(Raw) LensesGH'!A946</f>
        <v>Samyang 50mm 1.4 AS UMC für Sony E schwarz</v>
      </c>
      <c r="B946" t="str">
        <f>'(Raw) LensesGH'!B946</f>
        <v>50mm</v>
      </c>
      <c r="C946" s="5">
        <f t="shared" si="127"/>
        <v>50</v>
      </c>
      <c r="D946" s="5">
        <f t="shared" si="128"/>
        <v>50</v>
      </c>
      <c r="E946" t="str">
        <f>'(Raw) LensesGH'!C946</f>
        <v>1:1.4</v>
      </c>
      <c r="F946" s="9">
        <f t="shared" si="129"/>
        <v>1.4</v>
      </c>
      <c r="G946" s="9">
        <f t="shared" si="130"/>
        <v>1.4</v>
      </c>
      <c r="H946" t="str">
        <f>'(Raw) LensesGH'!D946</f>
        <v>77mm</v>
      </c>
      <c r="I946" s="2">
        <f t="shared" si="131"/>
        <v>77</v>
      </c>
      <c r="J946" s="2">
        <f>'(Raw) LensesGH'!E946</f>
        <v>0</v>
      </c>
      <c r="K946" s="40">
        <f t="shared" si="132"/>
        <v>0</v>
      </c>
      <c r="L946" t="str">
        <f>'(Raw) LensesGH'!F946</f>
        <v>Sony E</v>
      </c>
      <c r="M946" t="str">
        <f>'(Raw) LensesGH'!G946</f>
        <v>APS-C/ Kleinbild</v>
      </c>
      <c r="N946" t="str">
        <f>'(Raw) LensesGH'!H946</f>
        <v>565g</v>
      </c>
      <c r="O946" s="5">
        <f t="shared" si="133"/>
        <v>565</v>
      </c>
      <c r="P946" t="str">
        <f>'(Raw) LensesGH'!I946</f>
        <v>81.6 x 100.7mm</v>
      </c>
      <c r="Q946" s="39">
        <f t="shared" si="134"/>
        <v>81.599999999999994</v>
      </c>
      <c r="R946" s="39">
        <f t="shared" si="126"/>
        <v>100.7</v>
      </c>
    </row>
    <row r="947" spans="1:18" x14ac:dyDescent="0.25">
      <c r="A947" t="str">
        <f>'(Raw) LensesGH'!A947</f>
        <v>Samyang 50mm T1.3 AS UMC CS für Canon EF-M schwarz</v>
      </c>
      <c r="B947" t="str">
        <f>'(Raw) LensesGH'!B947</f>
        <v>50mm</v>
      </c>
      <c r="C947" s="5">
        <f t="shared" si="127"/>
        <v>50</v>
      </c>
      <c r="D947" s="5">
        <f t="shared" si="128"/>
        <v>50</v>
      </c>
      <c r="E947" t="str">
        <f>'(Raw) LensesGH'!C947</f>
        <v>1:1.3</v>
      </c>
      <c r="F947" s="9">
        <f t="shared" si="129"/>
        <v>1.3</v>
      </c>
      <c r="G947" s="9">
        <f t="shared" si="130"/>
        <v>1.3</v>
      </c>
      <c r="H947" t="str">
        <f>'(Raw) LensesGH'!D947</f>
        <v>62mm</v>
      </c>
      <c r="I947" s="2">
        <f t="shared" si="131"/>
        <v>62</v>
      </c>
      <c r="J947" s="2">
        <f>'(Raw) LensesGH'!E947</f>
        <v>0</v>
      </c>
      <c r="K947" s="40">
        <f t="shared" si="132"/>
        <v>0</v>
      </c>
      <c r="L947" t="str">
        <f>'(Raw) LensesGH'!F947</f>
        <v>Canon EF-M</v>
      </c>
      <c r="M947" t="str">
        <f>'(Raw) LensesGH'!G947</f>
        <v>APS-C</v>
      </c>
      <c r="N947" t="str">
        <f>'(Raw) LensesGH'!H947</f>
        <v>400g</v>
      </c>
      <c r="O947" s="5">
        <f t="shared" si="133"/>
        <v>400</v>
      </c>
      <c r="P947" t="str">
        <f>'(Raw) LensesGH'!I947</f>
        <v>73.6 x 74.1mm</v>
      </c>
      <c r="Q947" s="39">
        <f t="shared" si="134"/>
        <v>73.599999999999994</v>
      </c>
      <c r="R947" s="39">
        <f t="shared" si="126"/>
        <v>74.099999999999994</v>
      </c>
    </row>
    <row r="948" spans="1:18" x14ac:dyDescent="0.25">
      <c r="A948" t="str">
        <f>'(Raw) LensesGH'!A948</f>
        <v>Samyang 50mm T1.3 AS UMC CS für Fujifilm X schwarz</v>
      </c>
      <c r="B948" t="str">
        <f>'(Raw) LensesGH'!B948</f>
        <v>50mm</v>
      </c>
      <c r="C948" s="5">
        <f t="shared" si="127"/>
        <v>50</v>
      </c>
      <c r="D948" s="5">
        <f t="shared" si="128"/>
        <v>50</v>
      </c>
      <c r="E948" t="str">
        <f>'(Raw) LensesGH'!C948</f>
        <v>1:1.3</v>
      </c>
      <c r="F948" s="9">
        <f t="shared" si="129"/>
        <v>1.3</v>
      </c>
      <c r="G948" s="9">
        <f t="shared" si="130"/>
        <v>1.3</v>
      </c>
      <c r="H948" t="str">
        <f>'(Raw) LensesGH'!D948</f>
        <v>62mm</v>
      </c>
      <c r="I948" s="2">
        <f t="shared" si="131"/>
        <v>62</v>
      </c>
      <c r="J948" s="2">
        <f>'(Raw) LensesGH'!E948</f>
        <v>0</v>
      </c>
      <c r="K948" s="40">
        <f t="shared" si="132"/>
        <v>0</v>
      </c>
      <c r="L948" t="str">
        <f>'(Raw) LensesGH'!F948</f>
        <v>Fujifilm X</v>
      </c>
      <c r="M948" t="str">
        <f>'(Raw) LensesGH'!G948</f>
        <v>APS-C</v>
      </c>
      <c r="N948" t="str">
        <f>'(Raw) LensesGH'!H948</f>
        <v>390g</v>
      </c>
      <c r="O948" s="5">
        <f t="shared" si="133"/>
        <v>390</v>
      </c>
      <c r="P948" t="str">
        <f>'(Raw) LensesGH'!I948</f>
        <v>73.6 x 74.5mm</v>
      </c>
      <c r="Q948" s="39">
        <f t="shared" si="134"/>
        <v>73.599999999999994</v>
      </c>
      <c r="R948" s="39">
        <f t="shared" si="126"/>
        <v>74.5</v>
      </c>
    </row>
    <row r="949" spans="1:18" x14ac:dyDescent="0.25">
      <c r="A949" t="str">
        <f>'(Raw) LensesGH'!A949</f>
        <v>Samyang 50mm T1.3 AS UMC CS für Micro-Four-Thirds schwarz</v>
      </c>
      <c r="B949" t="str">
        <f>'(Raw) LensesGH'!B949</f>
        <v>50mm</v>
      </c>
      <c r="C949" s="5">
        <f t="shared" si="127"/>
        <v>50</v>
      </c>
      <c r="D949" s="5">
        <f t="shared" si="128"/>
        <v>50</v>
      </c>
      <c r="E949" t="str">
        <f>'(Raw) LensesGH'!C949</f>
        <v>1:1.3</v>
      </c>
      <c r="F949" s="9">
        <f t="shared" si="129"/>
        <v>1.3</v>
      </c>
      <c r="G949" s="9">
        <f t="shared" si="130"/>
        <v>1.3</v>
      </c>
      <c r="H949" t="str">
        <f>'(Raw) LensesGH'!D949</f>
        <v>62mm</v>
      </c>
      <c r="I949" s="2">
        <f t="shared" si="131"/>
        <v>62</v>
      </c>
      <c r="J949" s="2">
        <f>'(Raw) LensesGH'!E949</f>
        <v>0</v>
      </c>
      <c r="K949" s="40">
        <f t="shared" si="132"/>
        <v>0</v>
      </c>
      <c r="L949" t="str">
        <f>'(Raw) LensesGH'!F949</f>
        <v>Micro-Four-Thirds</v>
      </c>
      <c r="M949" t="str">
        <f>'(Raw) LensesGH'!G949</f>
        <v>Four-Thirds</v>
      </c>
      <c r="N949" t="str">
        <f>'(Raw) LensesGH'!H949</f>
        <v>385g</v>
      </c>
      <c r="O949" s="5">
        <f t="shared" si="133"/>
        <v>385</v>
      </c>
      <c r="P949" t="str">
        <f>'(Raw) LensesGH'!I949</f>
        <v>73.6 x 73mm</v>
      </c>
      <c r="Q949" s="39">
        <f t="shared" si="134"/>
        <v>73.599999999999994</v>
      </c>
      <c r="R949" s="39">
        <f t="shared" si="126"/>
        <v>73</v>
      </c>
    </row>
    <row r="950" spans="1:18" x14ac:dyDescent="0.25">
      <c r="A950" t="str">
        <f>'(Raw) LensesGH'!A950</f>
        <v>Samyang 50mm T1.3 AS UMC CS für Sony E schwarz</v>
      </c>
      <c r="B950" t="str">
        <f>'(Raw) LensesGH'!B950</f>
        <v>50mm</v>
      </c>
      <c r="C950" s="5">
        <f t="shared" si="127"/>
        <v>50</v>
      </c>
      <c r="D950" s="5">
        <f t="shared" si="128"/>
        <v>50</v>
      </c>
      <c r="E950" t="str">
        <f>'(Raw) LensesGH'!C950</f>
        <v>1:1.3</v>
      </c>
      <c r="F950" s="9">
        <f t="shared" si="129"/>
        <v>1.3</v>
      </c>
      <c r="G950" s="9">
        <f t="shared" si="130"/>
        <v>1.3</v>
      </c>
      <c r="H950" t="str">
        <f>'(Raw) LensesGH'!D950</f>
        <v>62mm</v>
      </c>
      <c r="I950" s="2">
        <f t="shared" si="131"/>
        <v>62</v>
      </c>
      <c r="J950" s="2">
        <f>'(Raw) LensesGH'!E950</f>
        <v>0</v>
      </c>
      <c r="K950" s="40">
        <f t="shared" si="132"/>
        <v>0</v>
      </c>
      <c r="L950" t="str">
        <f>'(Raw) LensesGH'!F950</f>
        <v>Sony E</v>
      </c>
      <c r="M950" t="str">
        <f>'(Raw) LensesGH'!G950</f>
        <v>APS-C</v>
      </c>
      <c r="N950" t="str">
        <f>'(Raw) LensesGH'!H950</f>
        <v>400g</v>
      </c>
      <c r="O950" s="5">
        <f t="shared" si="133"/>
        <v>400</v>
      </c>
      <c r="P950" t="str">
        <f>'(Raw) LensesGH'!I950</f>
        <v>73.6 x 74.2mm</v>
      </c>
      <c r="Q950" s="39">
        <f t="shared" si="134"/>
        <v>73.599999999999994</v>
      </c>
      <c r="R950" s="39">
        <f t="shared" si="126"/>
        <v>74.2</v>
      </c>
    </row>
    <row r="951" spans="1:18" x14ac:dyDescent="0.25">
      <c r="A951" t="str">
        <f>'(Raw) LensesGH'!A951</f>
        <v>Samyang 50mm T1.5 AS UMC VDSLR für Canon EF schwarz</v>
      </c>
      <c r="B951" t="str">
        <f>'(Raw) LensesGH'!B951</f>
        <v>50mm</v>
      </c>
      <c r="C951" s="5">
        <f t="shared" si="127"/>
        <v>50</v>
      </c>
      <c r="D951" s="5">
        <f t="shared" si="128"/>
        <v>50</v>
      </c>
      <c r="E951" t="str">
        <f>'(Raw) LensesGH'!C951</f>
        <v>1:1.5</v>
      </c>
      <c r="F951" s="9">
        <f t="shared" si="129"/>
        <v>1.5</v>
      </c>
      <c r="G951" s="9">
        <f t="shared" si="130"/>
        <v>1.5</v>
      </c>
      <c r="H951" t="str">
        <f>'(Raw) LensesGH'!D951</f>
        <v>77mm</v>
      </c>
      <c r="I951" s="2">
        <f t="shared" si="131"/>
        <v>77</v>
      </c>
      <c r="J951" s="2">
        <f>'(Raw) LensesGH'!E951</f>
        <v>0</v>
      </c>
      <c r="K951" s="40">
        <f t="shared" si="132"/>
        <v>0</v>
      </c>
      <c r="L951" t="str">
        <f>'(Raw) LensesGH'!F951</f>
        <v>Canon EF</v>
      </c>
      <c r="M951" t="str">
        <f>'(Raw) LensesGH'!G951</f>
        <v>APS-C/ Kleinbild</v>
      </c>
      <c r="N951" t="str">
        <f>'(Raw) LensesGH'!H951</f>
        <v>575g</v>
      </c>
      <c r="O951" s="5">
        <f t="shared" si="133"/>
        <v>575</v>
      </c>
      <c r="P951" t="str">
        <f>'(Raw) LensesGH'!I951</f>
        <v>81.6 x 74.7mm</v>
      </c>
      <c r="Q951" s="39">
        <f t="shared" si="134"/>
        <v>81.599999999999994</v>
      </c>
      <c r="R951" s="39">
        <f t="shared" si="126"/>
        <v>74.7</v>
      </c>
    </row>
    <row r="952" spans="1:18" x14ac:dyDescent="0.25">
      <c r="A952" t="str">
        <f>'(Raw) LensesGH'!A952</f>
        <v>Samyang 50mm T1.5 AS UMC VDSLR für Four-Thirds schwarz</v>
      </c>
      <c r="B952" t="str">
        <f>'(Raw) LensesGH'!B952</f>
        <v>50mm</v>
      </c>
      <c r="C952" s="5">
        <f t="shared" si="127"/>
        <v>50</v>
      </c>
      <c r="D952" s="5">
        <f t="shared" si="128"/>
        <v>50</v>
      </c>
      <c r="E952" t="str">
        <f>'(Raw) LensesGH'!C952</f>
        <v>1:1.5</v>
      </c>
      <c r="F952" s="9">
        <f t="shared" si="129"/>
        <v>1.5</v>
      </c>
      <c r="G952" s="9">
        <f t="shared" si="130"/>
        <v>1.5</v>
      </c>
      <c r="H952" t="str">
        <f>'(Raw) LensesGH'!D952</f>
        <v>77mm</v>
      </c>
      <c r="I952" s="2">
        <f t="shared" si="131"/>
        <v>77</v>
      </c>
      <c r="J952" s="2">
        <f>'(Raw) LensesGH'!E952</f>
        <v>0</v>
      </c>
      <c r="K952" s="40">
        <f t="shared" si="132"/>
        <v>0</v>
      </c>
      <c r="L952" t="str">
        <f>'(Raw) LensesGH'!F952</f>
        <v>Four-Thirds</v>
      </c>
      <c r="M952" t="str">
        <f>'(Raw) LensesGH'!G952</f>
        <v>Four-Thirds</v>
      </c>
      <c r="N952" t="str">
        <f>'(Raw) LensesGH'!H952</f>
        <v>580g</v>
      </c>
      <c r="O952" s="5">
        <f t="shared" si="133"/>
        <v>580</v>
      </c>
      <c r="P952" t="str">
        <f>'(Raw) LensesGH'!I952</f>
        <v>81.6 x 80mm</v>
      </c>
      <c r="Q952" s="39">
        <f t="shared" si="134"/>
        <v>81.599999999999994</v>
      </c>
      <c r="R952" s="39">
        <f t="shared" si="126"/>
        <v>80</v>
      </c>
    </row>
    <row r="953" spans="1:18" x14ac:dyDescent="0.25">
      <c r="A953" t="str">
        <f>'(Raw) LensesGH'!A953</f>
        <v>Samyang 50mm T1.5 AS UMC VDSLR für Fujifilm X schwarz</v>
      </c>
      <c r="B953" t="str">
        <f>'(Raw) LensesGH'!B953</f>
        <v>50mm</v>
      </c>
      <c r="C953" s="5">
        <f t="shared" si="127"/>
        <v>50</v>
      </c>
      <c r="D953" s="5">
        <f t="shared" si="128"/>
        <v>50</v>
      </c>
      <c r="E953" t="str">
        <f>'(Raw) LensesGH'!C953</f>
        <v>1:1.5</v>
      </c>
      <c r="F953" s="9">
        <f t="shared" si="129"/>
        <v>1.5</v>
      </c>
      <c r="G953" s="9">
        <f t="shared" si="130"/>
        <v>1.5</v>
      </c>
      <c r="H953" t="str">
        <f>'(Raw) LensesGH'!D953</f>
        <v>77mm</v>
      </c>
      <c r="I953" s="2">
        <f t="shared" si="131"/>
        <v>77</v>
      </c>
      <c r="J953" s="2">
        <f>'(Raw) LensesGH'!E953</f>
        <v>0</v>
      </c>
      <c r="K953" s="40">
        <f t="shared" si="132"/>
        <v>0</v>
      </c>
      <c r="L953" t="str">
        <f>'(Raw) LensesGH'!F953</f>
        <v>Fujifilm X</v>
      </c>
      <c r="M953" t="str">
        <f>'(Raw) LensesGH'!G953</f>
        <v>APS-C</v>
      </c>
      <c r="N953" t="str">
        <f>'(Raw) LensesGH'!H953</f>
        <v>640g</v>
      </c>
      <c r="O953" s="5">
        <f t="shared" si="133"/>
        <v>640</v>
      </c>
      <c r="P953" t="str">
        <f>'(Raw) LensesGH'!I953</f>
        <v>81.6 x 101mm</v>
      </c>
      <c r="Q953" s="39">
        <f t="shared" si="134"/>
        <v>81.599999999999994</v>
      </c>
      <c r="R953" s="39">
        <f t="shared" si="126"/>
        <v>101</v>
      </c>
    </row>
    <row r="954" spans="1:18" x14ac:dyDescent="0.25">
      <c r="A954" t="str">
        <f>'(Raw) LensesGH'!A954</f>
        <v>Samyang 50mm T1.5 AS UMC VDSLR für Micro-Four-Thirds schwarz</v>
      </c>
      <c r="B954" t="str">
        <f>'(Raw) LensesGH'!B954</f>
        <v>50mm</v>
      </c>
      <c r="C954" s="5">
        <f t="shared" si="127"/>
        <v>50</v>
      </c>
      <c r="D954" s="5">
        <f t="shared" si="128"/>
        <v>50</v>
      </c>
      <c r="E954" t="str">
        <f>'(Raw) LensesGH'!C954</f>
        <v>1:1.5</v>
      </c>
      <c r="F954" s="9">
        <f t="shared" si="129"/>
        <v>1.5</v>
      </c>
      <c r="G954" s="9">
        <f t="shared" si="130"/>
        <v>1.5</v>
      </c>
      <c r="H954" t="str">
        <f>'(Raw) LensesGH'!D954</f>
        <v>77mm</v>
      </c>
      <c r="I954" s="2">
        <f t="shared" si="131"/>
        <v>77</v>
      </c>
      <c r="J954" s="2">
        <f>'(Raw) LensesGH'!E954</f>
        <v>0</v>
      </c>
      <c r="K954" s="40">
        <f t="shared" si="132"/>
        <v>0</v>
      </c>
      <c r="L954" t="str">
        <f>'(Raw) LensesGH'!F954</f>
        <v>Micro-Four-Thirds</v>
      </c>
      <c r="M954" t="str">
        <f>'(Raw) LensesGH'!G954</f>
        <v>Four-Thirds</v>
      </c>
      <c r="N954" t="str">
        <f>'(Raw) LensesGH'!H954</f>
        <v>590g</v>
      </c>
      <c r="O954" s="5">
        <f t="shared" si="133"/>
        <v>590</v>
      </c>
      <c r="P954" t="str">
        <f>'(Raw) LensesGH'!I954</f>
        <v>81.6 x 99.5mm</v>
      </c>
      <c r="Q954" s="39">
        <f t="shared" si="134"/>
        <v>81.599999999999994</v>
      </c>
      <c r="R954" s="39">
        <f t="shared" si="126"/>
        <v>99.5</v>
      </c>
    </row>
    <row r="955" spans="1:18" x14ac:dyDescent="0.25">
      <c r="A955" t="str">
        <f>'(Raw) LensesGH'!A955</f>
        <v>Samyang 50mm T1.5 AS UMC VDSLR für Nikon F schwarz</v>
      </c>
      <c r="B955" t="str">
        <f>'(Raw) LensesGH'!B955</f>
        <v>50mm</v>
      </c>
      <c r="C955" s="5">
        <f t="shared" si="127"/>
        <v>50</v>
      </c>
      <c r="D955" s="5">
        <f t="shared" si="128"/>
        <v>50</v>
      </c>
      <c r="E955" t="str">
        <f>'(Raw) LensesGH'!C955</f>
        <v>1:1.5</v>
      </c>
      <c r="F955" s="9">
        <f t="shared" si="129"/>
        <v>1.5</v>
      </c>
      <c r="G955" s="9">
        <f t="shared" si="130"/>
        <v>1.5</v>
      </c>
      <c r="H955" t="str">
        <f>'(Raw) LensesGH'!D955</f>
        <v>77mm</v>
      </c>
      <c r="I955" s="2">
        <f t="shared" si="131"/>
        <v>77</v>
      </c>
      <c r="J955" s="2">
        <f>'(Raw) LensesGH'!E955</f>
        <v>0</v>
      </c>
      <c r="K955" s="40">
        <f t="shared" si="132"/>
        <v>0</v>
      </c>
      <c r="L955" t="str">
        <f>'(Raw) LensesGH'!F955</f>
        <v>Nikon F</v>
      </c>
      <c r="M955" t="str">
        <f>'(Raw) LensesGH'!G955</f>
        <v>APS-C/ Kleinbild</v>
      </c>
      <c r="N955" t="str">
        <f>'(Raw) LensesGH'!H955</f>
        <v>555g</v>
      </c>
      <c r="O955" s="5">
        <f t="shared" si="133"/>
        <v>555</v>
      </c>
      <c r="P955" t="str">
        <f>'(Raw) LensesGH'!I955</f>
        <v>81.6 x 72.2mm</v>
      </c>
      <c r="Q955" s="39">
        <f t="shared" si="134"/>
        <v>81.599999999999994</v>
      </c>
      <c r="R955" s="39">
        <f t="shared" si="126"/>
        <v>72.2</v>
      </c>
    </row>
    <row r="956" spans="1:18" x14ac:dyDescent="0.25">
      <c r="A956" t="str">
        <f>'(Raw) LensesGH'!A956</f>
        <v>Samyang 50mm T1.5 AS UMC VDSLR für Pentax K schwarz</v>
      </c>
      <c r="B956" t="str">
        <f>'(Raw) LensesGH'!B956</f>
        <v>50mm</v>
      </c>
      <c r="C956" s="5">
        <f t="shared" si="127"/>
        <v>50</v>
      </c>
      <c r="D956" s="5">
        <f t="shared" si="128"/>
        <v>50</v>
      </c>
      <c r="E956" t="str">
        <f>'(Raw) LensesGH'!C956</f>
        <v>1:1.5</v>
      </c>
      <c r="F956" s="9">
        <f t="shared" si="129"/>
        <v>1.5</v>
      </c>
      <c r="G956" s="9">
        <f t="shared" si="130"/>
        <v>1.5</v>
      </c>
      <c r="H956" t="str">
        <f>'(Raw) LensesGH'!D956</f>
        <v>77mm</v>
      </c>
      <c r="I956" s="2">
        <f t="shared" si="131"/>
        <v>77</v>
      </c>
      <c r="J956" s="2">
        <f>'(Raw) LensesGH'!E956</f>
        <v>0</v>
      </c>
      <c r="K956" s="40">
        <f t="shared" si="132"/>
        <v>0</v>
      </c>
      <c r="L956" t="str">
        <f>'(Raw) LensesGH'!F956</f>
        <v>Pentax K</v>
      </c>
      <c r="M956" t="str">
        <f>'(Raw) LensesGH'!G956</f>
        <v>APS-C/ Kleinbild</v>
      </c>
      <c r="N956" t="str">
        <f>'(Raw) LensesGH'!H956</f>
        <v>545g</v>
      </c>
      <c r="O956" s="5">
        <f t="shared" si="133"/>
        <v>545</v>
      </c>
      <c r="P956" t="str">
        <f>'(Raw) LensesGH'!I956</f>
        <v>81.6 x 73.2mm</v>
      </c>
      <c r="Q956" s="39">
        <f t="shared" si="134"/>
        <v>81.599999999999994</v>
      </c>
      <c r="R956" s="39">
        <f t="shared" si="126"/>
        <v>73.2</v>
      </c>
    </row>
    <row r="957" spans="1:18" x14ac:dyDescent="0.25">
      <c r="A957" t="str">
        <f>'(Raw) LensesGH'!A957</f>
        <v>Samyang 50mm T1.5 AS UMC VDSLR für Sony A schwarz</v>
      </c>
      <c r="B957" t="str">
        <f>'(Raw) LensesGH'!B957</f>
        <v>50mm</v>
      </c>
      <c r="C957" s="5">
        <f t="shared" si="127"/>
        <v>50</v>
      </c>
      <c r="D957" s="5">
        <f t="shared" si="128"/>
        <v>50</v>
      </c>
      <c r="E957" t="str">
        <f>'(Raw) LensesGH'!C957</f>
        <v>1:1.5</v>
      </c>
      <c r="F957" s="9">
        <f t="shared" si="129"/>
        <v>1.5</v>
      </c>
      <c r="G957" s="9">
        <f t="shared" si="130"/>
        <v>1.5</v>
      </c>
      <c r="H957" t="str">
        <f>'(Raw) LensesGH'!D957</f>
        <v>77mm</v>
      </c>
      <c r="I957" s="2">
        <f t="shared" si="131"/>
        <v>77</v>
      </c>
      <c r="J957" s="2">
        <f>'(Raw) LensesGH'!E957</f>
        <v>0</v>
      </c>
      <c r="K957" s="40">
        <f t="shared" si="132"/>
        <v>0</v>
      </c>
      <c r="L957" t="str">
        <f>'(Raw) LensesGH'!F957</f>
        <v>Sony A</v>
      </c>
      <c r="M957" t="str">
        <f>'(Raw) LensesGH'!G957</f>
        <v>APS-C/ Kleinbild</v>
      </c>
      <c r="N957" t="str">
        <f>'(Raw) LensesGH'!H957</f>
        <v>565g</v>
      </c>
      <c r="O957" s="5">
        <f t="shared" si="133"/>
        <v>565</v>
      </c>
      <c r="P957" t="str">
        <f>'(Raw) LensesGH'!I957</f>
        <v>81.6 x 74.2mm</v>
      </c>
      <c r="Q957" s="39">
        <f t="shared" si="134"/>
        <v>81.599999999999994</v>
      </c>
      <c r="R957" s="39">
        <f t="shared" si="126"/>
        <v>74.2</v>
      </c>
    </row>
    <row r="958" spans="1:18" x14ac:dyDescent="0.25">
      <c r="A958" t="str">
        <f>'(Raw) LensesGH'!A958</f>
        <v>Samyang 50mm T1.5 AS UMC VDSLR für Sony E schwarz</v>
      </c>
      <c r="B958" t="str">
        <f>'(Raw) LensesGH'!B958</f>
        <v>50mm</v>
      </c>
      <c r="C958" s="5">
        <f t="shared" si="127"/>
        <v>50</v>
      </c>
      <c r="D958" s="5">
        <f t="shared" si="128"/>
        <v>50</v>
      </c>
      <c r="E958" t="str">
        <f>'(Raw) LensesGH'!C958</f>
        <v>1:1.5</v>
      </c>
      <c r="F958" s="9">
        <f t="shared" si="129"/>
        <v>1.5</v>
      </c>
      <c r="G958" s="9">
        <f t="shared" si="130"/>
        <v>1.5</v>
      </c>
      <c r="H958" t="str">
        <f>'(Raw) LensesGH'!D958</f>
        <v>77mm</v>
      </c>
      <c r="I958" s="2">
        <f t="shared" si="131"/>
        <v>77</v>
      </c>
      <c r="J958" s="2">
        <f>'(Raw) LensesGH'!E958</f>
        <v>0</v>
      </c>
      <c r="K958" s="40">
        <f t="shared" si="132"/>
        <v>0</v>
      </c>
      <c r="L958" t="str">
        <f>'(Raw) LensesGH'!F958</f>
        <v>Sony E</v>
      </c>
      <c r="M958" t="str">
        <f>'(Raw) LensesGH'!G958</f>
        <v>APS-C/ Kleinbild</v>
      </c>
      <c r="N958" t="str">
        <f>'(Raw) LensesGH'!H958</f>
        <v>600g</v>
      </c>
      <c r="O958" s="5">
        <f t="shared" si="133"/>
        <v>600</v>
      </c>
      <c r="P958" t="str">
        <f>'(Raw) LensesGH'!I958</f>
        <v>81.6 x 100.7mm</v>
      </c>
      <c r="Q958" s="39">
        <f t="shared" si="134"/>
        <v>81.599999999999994</v>
      </c>
      <c r="R958" s="39">
        <f t="shared" si="126"/>
        <v>100.7</v>
      </c>
    </row>
    <row r="959" spans="1:18" x14ac:dyDescent="0.25">
      <c r="A959" t="str">
        <f>'(Raw) LensesGH'!A959</f>
        <v>Samyang 650-1300mm 8.0-16.0 Asph MC IF silber</v>
      </c>
      <c r="B959" t="str">
        <f>'(Raw) LensesGH'!B959</f>
        <v>650 - 1300mm</v>
      </c>
      <c r="C959" s="5">
        <f t="shared" si="127"/>
        <v>650</v>
      </c>
      <c r="D959" s="5">
        <f t="shared" si="128"/>
        <v>1300</v>
      </c>
      <c r="E959" t="str">
        <f>'(Raw) LensesGH'!C959</f>
        <v>1:8.0-1:16.0</v>
      </c>
      <c r="F959" s="9">
        <f t="shared" si="129"/>
        <v>8</v>
      </c>
      <c r="G959" s="9">
        <f t="shared" si="130"/>
        <v>8</v>
      </c>
      <c r="H959" t="str">
        <f>'(Raw) LensesGH'!D959</f>
        <v>95mm</v>
      </c>
      <c r="I959" s="2">
        <f t="shared" si="131"/>
        <v>95</v>
      </c>
      <c r="J959" s="2">
        <f>'(Raw) LensesGH'!E959</f>
        <v>0</v>
      </c>
      <c r="K959" s="40">
        <f t="shared" si="132"/>
        <v>0</v>
      </c>
      <c r="L959">
        <f>'(Raw) LensesGH'!F959</f>
        <v>0</v>
      </c>
      <c r="M959" t="str">
        <f>'(Raw) LensesGH'!G959</f>
        <v>APS-C/ Kleinbild</v>
      </c>
      <c r="N959" t="str">
        <f>'(Raw) LensesGH'!H959</f>
        <v>2000g</v>
      </c>
      <c r="O959" s="5">
        <f t="shared" si="133"/>
        <v>2000</v>
      </c>
      <c r="P959" t="str">
        <f>'(Raw) LensesGH'!I959</f>
        <v>105 x 462.9mm</v>
      </c>
      <c r="Q959" s="39">
        <f t="shared" si="134"/>
        <v>105</v>
      </c>
      <c r="R959" s="39">
        <f t="shared" si="126"/>
        <v>462.9</v>
      </c>
    </row>
    <row r="960" spans="1:18" x14ac:dyDescent="0.25">
      <c r="A960" t="str">
        <f>'(Raw) LensesGH'!A960</f>
        <v>Samyang 7.5mm 3.5 Fisheye für Micro-Four-Thirds schwarz</v>
      </c>
      <c r="B960" t="str">
        <f>'(Raw) LensesGH'!B960</f>
        <v>7.5mm</v>
      </c>
      <c r="C960" s="5">
        <f t="shared" si="127"/>
        <v>7.5</v>
      </c>
      <c r="D960" s="5">
        <f t="shared" si="128"/>
        <v>7.5</v>
      </c>
      <c r="E960" t="str">
        <f>'(Raw) LensesGH'!C960</f>
        <v>1:3.5</v>
      </c>
      <c r="F960" s="9">
        <f t="shared" si="129"/>
        <v>3.5</v>
      </c>
      <c r="G960" s="9">
        <f t="shared" si="130"/>
        <v>3.5</v>
      </c>
      <c r="H960">
        <f>'(Raw) LensesGH'!D960</f>
        <v>0</v>
      </c>
      <c r="I960" s="2">
        <f t="shared" si="131"/>
        <v>0</v>
      </c>
      <c r="J960" s="2">
        <f>'(Raw) LensesGH'!E960</f>
        <v>0</v>
      </c>
      <c r="K960" s="40">
        <f t="shared" si="132"/>
        <v>0</v>
      </c>
      <c r="L960" t="str">
        <f>'(Raw) LensesGH'!F960</f>
        <v>Micro-Four-Thirds</v>
      </c>
      <c r="M960" t="str">
        <f>'(Raw) LensesGH'!G960</f>
        <v>Four-Thirds</v>
      </c>
      <c r="N960" t="str">
        <f>'(Raw) LensesGH'!H960</f>
        <v>197g</v>
      </c>
      <c r="O960" s="5">
        <f t="shared" si="133"/>
        <v>197</v>
      </c>
      <c r="P960" t="str">
        <f>'(Raw) LensesGH'!I960</f>
        <v>60 x 48.3mm</v>
      </c>
      <c r="Q960" s="39">
        <f t="shared" si="134"/>
        <v>60</v>
      </c>
      <c r="R960" s="39">
        <f t="shared" si="126"/>
        <v>48.3</v>
      </c>
    </row>
    <row r="961" spans="1:18" x14ac:dyDescent="0.25">
      <c r="A961" t="str">
        <f>'(Raw) LensesGH'!A961</f>
        <v>Samyang 7.5mm 3.5 Fisheye für Micro-Four-Thirds silber</v>
      </c>
      <c r="B961" t="str">
        <f>'(Raw) LensesGH'!B961</f>
        <v>7.5mm</v>
      </c>
      <c r="C961" s="5">
        <f t="shared" si="127"/>
        <v>7.5</v>
      </c>
      <c r="D961" s="5">
        <f t="shared" si="128"/>
        <v>7.5</v>
      </c>
      <c r="E961" t="str">
        <f>'(Raw) LensesGH'!C961</f>
        <v>1:3.5</v>
      </c>
      <c r="F961" s="9">
        <f t="shared" si="129"/>
        <v>3.5</v>
      </c>
      <c r="G961" s="9">
        <f t="shared" si="130"/>
        <v>3.5</v>
      </c>
      <c r="H961">
        <f>'(Raw) LensesGH'!D961</f>
        <v>0</v>
      </c>
      <c r="I961" s="2">
        <f t="shared" si="131"/>
        <v>0</v>
      </c>
      <c r="J961" s="2">
        <f>'(Raw) LensesGH'!E961</f>
        <v>0</v>
      </c>
      <c r="K961" s="40">
        <f t="shared" si="132"/>
        <v>0</v>
      </c>
      <c r="L961" t="str">
        <f>'(Raw) LensesGH'!F961</f>
        <v>Micro-Four-Thirds</v>
      </c>
      <c r="M961" t="str">
        <f>'(Raw) LensesGH'!G961</f>
        <v>Four-Thirds</v>
      </c>
      <c r="N961" t="str">
        <f>'(Raw) LensesGH'!H961</f>
        <v>197g</v>
      </c>
      <c r="O961" s="5">
        <f t="shared" si="133"/>
        <v>197</v>
      </c>
      <c r="P961" t="str">
        <f>'(Raw) LensesGH'!I961</f>
        <v>60 x 48.3mm</v>
      </c>
      <c r="Q961" s="39">
        <f t="shared" si="134"/>
        <v>60</v>
      </c>
      <c r="R961" s="39">
        <f t="shared" si="126"/>
        <v>48.3</v>
      </c>
    </row>
    <row r="962" spans="1:18" x14ac:dyDescent="0.25">
      <c r="A962" t="str">
        <f>'(Raw) LensesGH'!A962</f>
        <v>Samyang 7.5mm T3.8 UMC Fisheye für Micro-Four-Thirds schwarz</v>
      </c>
      <c r="B962" t="str">
        <f>'(Raw) LensesGH'!B962</f>
        <v>7.5mm</v>
      </c>
      <c r="C962" s="5">
        <f t="shared" si="127"/>
        <v>7.5</v>
      </c>
      <c r="D962" s="5">
        <f t="shared" si="128"/>
        <v>7.5</v>
      </c>
      <c r="E962" t="str">
        <f>'(Raw) LensesGH'!C962</f>
        <v>1:3.8</v>
      </c>
      <c r="F962" s="9">
        <f t="shared" si="129"/>
        <v>3.8</v>
      </c>
      <c r="G962" s="9">
        <f t="shared" si="130"/>
        <v>3.8</v>
      </c>
      <c r="H962">
        <f>'(Raw) LensesGH'!D962</f>
        <v>0</v>
      </c>
      <c r="I962" s="2">
        <f t="shared" si="131"/>
        <v>0</v>
      </c>
      <c r="J962" s="2">
        <f>'(Raw) LensesGH'!E962</f>
        <v>0</v>
      </c>
      <c r="K962" s="40">
        <f t="shared" si="132"/>
        <v>0</v>
      </c>
      <c r="L962" t="str">
        <f>'(Raw) LensesGH'!F962</f>
        <v>Micro-Four-Thirds</v>
      </c>
      <c r="M962" t="str">
        <f>'(Raw) LensesGH'!G962</f>
        <v>Four-Thirds</v>
      </c>
      <c r="N962" t="str">
        <f>'(Raw) LensesGH'!H962</f>
        <v>195g</v>
      </c>
      <c r="O962" s="5">
        <f t="shared" si="133"/>
        <v>195</v>
      </c>
      <c r="P962" t="str">
        <f>'(Raw) LensesGH'!I962</f>
        <v>60 x 48.3mm</v>
      </c>
      <c r="Q962" s="39">
        <f t="shared" si="134"/>
        <v>60</v>
      </c>
      <c r="R962" s="39">
        <f t="shared" ref="R962:R1025" si="135">getSizeLength(P962)</f>
        <v>48.3</v>
      </c>
    </row>
    <row r="963" spans="1:18" x14ac:dyDescent="0.25">
      <c r="A963" t="str">
        <f>'(Raw) LensesGH'!A963</f>
        <v>Samyang 800mm 8.0 MC IF Mirror schwarz</v>
      </c>
      <c r="B963" t="str">
        <f>'(Raw) LensesGH'!B963</f>
        <v>800mm</v>
      </c>
      <c r="C963" s="5">
        <f t="shared" ref="C963:C1026" si="136">getFocalLengthStart(B963)</f>
        <v>800</v>
      </c>
      <c r="D963" s="5">
        <f t="shared" ref="D963:D1026" si="137">getFocalLengthEnd(B963)</f>
        <v>800</v>
      </c>
      <c r="E963" t="str">
        <f>'(Raw) LensesGH'!C963</f>
        <v>1:8.0</v>
      </c>
      <c r="F963" s="9">
        <f t="shared" ref="F963:F1026" si="138">getApertureStart(E963)</f>
        <v>8</v>
      </c>
      <c r="G963" s="9">
        <f t="shared" ref="G963:G1026" si="139">getApertureEnd(F963)</f>
        <v>8</v>
      </c>
      <c r="H963" t="str">
        <f>'(Raw) LensesGH'!D963</f>
        <v>30mm</v>
      </c>
      <c r="I963" s="2">
        <f t="shared" ref="I963:I1026" si="140">getFiltersizeAsDouble(H963)</f>
        <v>30</v>
      </c>
      <c r="J963" s="2">
        <f>'(Raw) LensesGH'!E963</f>
        <v>0</v>
      </c>
      <c r="K963" s="40">
        <f t="shared" ref="K963:K1026" si="141">getMagnification(J963)</f>
        <v>0</v>
      </c>
      <c r="L963">
        <f>'(Raw) LensesGH'!F963</f>
        <v>0</v>
      </c>
      <c r="M963" t="str">
        <f>'(Raw) LensesGH'!G963</f>
        <v>APS-C/ Kleinbild</v>
      </c>
      <c r="N963" t="str">
        <f>'(Raw) LensesGH'!H963</f>
        <v>946g</v>
      </c>
      <c r="O963" s="5">
        <f t="shared" ref="O963:O1026" si="142">getWeightAsDouble(N963)</f>
        <v>946</v>
      </c>
      <c r="P963" t="str">
        <f>'(Raw) LensesGH'!I963</f>
        <v>111 x 114.5mm</v>
      </c>
      <c r="Q963" s="39">
        <f t="shared" ref="Q963:Q1026" si="143">getSizeDiameter(P963)</f>
        <v>111</v>
      </c>
      <c r="R963" s="39">
        <f t="shared" si="135"/>
        <v>114.5</v>
      </c>
    </row>
    <row r="964" spans="1:18" x14ac:dyDescent="0.25">
      <c r="A964" t="str">
        <f>'(Raw) LensesGH'!A964</f>
        <v>Samyang 85mm 1.4 Asph IF MC für Canon EF schwarz</v>
      </c>
      <c r="B964" t="str">
        <f>'(Raw) LensesGH'!B964</f>
        <v>85mm</v>
      </c>
      <c r="C964" s="5">
        <f t="shared" si="136"/>
        <v>85</v>
      </c>
      <c r="D964" s="5">
        <f t="shared" si="137"/>
        <v>85</v>
      </c>
      <c r="E964" t="str">
        <f>'(Raw) LensesGH'!C964</f>
        <v>1:1.4</v>
      </c>
      <c r="F964" s="9">
        <f t="shared" si="138"/>
        <v>1.4</v>
      </c>
      <c r="G964" s="9">
        <f t="shared" si="139"/>
        <v>1.4</v>
      </c>
      <c r="H964" t="str">
        <f>'(Raw) LensesGH'!D964</f>
        <v>72mm</v>
      </c>
      <c r="I964" s="2">
        <f t="shared" si="140"/>
        <v>72</v>
      </c>
      <c r="J964" s="2">
        <f>'(Raw) LensesGH'!E964</f>
        <v>0</v>
      </c>
      <c r="K964" s="40">
        <f t="shared" si="141"/>
        <v>0</v>
      </c>
      <c r="L964" t="str">
        <f>'(Raw) LensesGH'!F964</f>
        <v>Canon EF</v>
      </c>
      <c r="M964" t="str">
        <f>'(Raw) LensesGH'!G964</f>
        <v>APS-C/ Kleinbild</v>
      </c>
      <c r="N964" t="str">
        <f>'(Raw) LensesGH'!H964</f>
        <v>516g</v>
      </c>
      <c r="O964" s="5">
        <f t="shared" si="142"/>
        <v>516</v>
      </c>
      <c r="P964" t="str">
        <f>'(Raw) LensesGH'!I964</f>
        <v>78 x 72.2mm</v>
      </c>
      <c r="Q964" s="39">
        <f t="shared" si="143"/>
        <v>78</v>
      </c>
      <c r="R964" s="39">
        <f t="shared" si="135"/>
        <v>72.2</v>
      </c>
    </row>
    <row r="965" spans="1:18" x14ac:dyDescent="0.25">
      <c r="A965" t="str">
        <f>'(Raw) LensesGH'!A965</f>
        <v>Samyang 85mm 1.4 Asph IF MC für Four-Thirds schwarz</v>
      </c>
      <c r="B965" t="str">
        <f>'(Raw) LensesGH'!B965</f>
        <v>85mm</v>
      </c>
      <c r="C965" s="5">
        <f t="shared" si="136"/>
        <v>85</v>
      </c>
      <c r="D965" s="5">
        <f t="shared" si="137"/>
        <v>85</v>
      </c>
      <c r="E965" t="str">
        <f>'(Raw) LensesGH'!C965</f>
        <v>1:1.4</v>
      </c>
      <c r="F965" s="9">
        <f t="shared" si="138"/>
        <v>1.4</v>
      </c>
      <c r="G965" s="9">
        <f t="shared" si="139"/>
        <v>1.4</v>
      </c>
      <c r="H965" t="str">
        <f>'(Raw) LensesGH'!D965</f>
        <v>72mm</v>
      </c>
      <c r="I965" s="2">
        <f t="shared" si="140"/>
        <v>72</v>
      </c>
      <c r="J965" s="2">
        <f>'(Raw) LensesGH'!E965</f>
        <v>0</v>
      </c>
      <c r="K965" s="40">
        <f t="shared" si="141"/>
        <v>0</v>
      </c>
      <c r="L965" t="str">
        <f>'(Raw) LensesGH'!F965</f>
        <v>Four-Thirds</v>
      </c>
      <c r="M965" t="str">
        <f>'(Raw) LensesGH'!G965</f>
        <v>Four-Thirds</v>
      </c>
      <c r="N965" t="str">
        <f>'(Raw) LensesGH'!H965</f>
        <v>516g</v>
      </c>
      <c r="O965" s="5">
        <f t="shared" si="142"/>
        <v>516</v>
      </c>
      <c r="P965" t="str">
        <f>'(Raw) LensesGH'!I965</f>
        <v>78 x 72.2mm</v>
      </c>
      <c r="Q965" s="39">
        <f t="shared" si="143"/>
        <v>78</v>
      </c>
      <c r="R965" s="39">
        <f t="shared" si="135"/>
        <v>72.2</v>
      </c>
    </row>
    <row r="966" spans="1:18" x14ac:dyDescent="0.25">
      <c r="A966" t="str">
        <f>'(Raw) LensesGH'!A966</f>
        <v>Samyang 85mm 1.4 Asph IF MC für Pentax K schwarz</v>
      </c>
      <c r="B966" t="str">
        <f>'(Raw) LensesGH'!B966</f>
        <v>85mm</v>
      </c>
      <c r="C966" s="5">
        <f t="shared" si="136"/>
        <v>85</v>
      </c>
      <c r="D966" s="5">
        <f t="shared" si="137"/>
        <v>85</v>
      </c>
      <c r="E966" t="str">
        <f>'(Raw) LensesGH'!C966</f>
        <v>1:1.4</v>
      </c>
      <c r="F966" s="9">
        <f t="shared" si="138"/>
        <v>1.4</v>
      </c>
      <c r="G966" s="9">
        <f t="shared" si="139"/>
        <v>1.4</v>
      </c>
      <c r="H966" t="str">
        <f>'(Raw) LensesGH'!D966</f>
        <v>72mm</v>
      </c>
      <c r="I966" s="2">
        <f t="shared" si="140"/>
        <v>72</v>
      </c>
      <c r="J966" s="2">
        <f>'(Raw) LensesGH'!E966</f>
        <v>0</v>
      </c>
      <c r="K966" s="40">
        <f t="shared" si="141"/>
        <v>0</v>
      </c>
      <c r="L966" t="str">
        <f>'(Raw) LensesGH'!F966</f>
        <v>Pentax K</v>
      </c>
      <c r="M966" t="str">
        <f>'(Raw) LensesGH'!G966</f>
        <v>APS-C/ Kleinbild</v>
      </c>
      <c r="N966" t="str">
        <f>'(Raw) LensesGH'!H966</f>
        <v>516g</v>
      </c>
      <c r="O966" s="5">
        <f t="shared" si="142"/>
        <v>516</v>
      </c>
      <c r="P966" t="str">
        <f>'(Raw) LensesGH'!I966</f>
        <v>78 x 72.2mm</v>
      </c>
      <c r="Q966" s="39">
        <f t="shared" si="143"/>
        <v>78</v>
      </c>
      <c r="R966" s="39">
        <f t="shared" si="135"/>
        <v>72.2</v>
      </c>
    </row>
    <row r="967" spans="1:18" x14ac:dyDescent="0.25">
      <c r="A967" t="str">
        <f>'(Raw) LensesGH'!A967</f>
        <v>Samyang 85mm 1.4 Asph IF MC für Samsung NX schwarz</v>
      </c>
      <c r="B967" t="str">
        <f>'(Raw) LensesGH'!B967</f>
        <v>85mm</v>
      </c>
      <c r="C967" s="5">
        <f t="shared" si="136"/>
        <v>85</v>
      </c>
      <c r="D967" s="5">
        <f t="shared" si="137"/>
        <v>85</v>
      </c>
      <c r="E967" t="str">
        <f>'(Raw) LensesGH'!C967</f>
        <v>1:1.4</v>
      </c>
      <c r="F967" s="9">
        <f t="shared" si="138"/>
        <v>1.4</v>
      </c>
      <c r="G967" s="9">
        <f t="shared" si="139"/>
        <v>1.4</v>
      </c>
      <c r="H967" t="str">
        <f>'(Raw) LensesGH'!D967</f>
        <v>72mm</v>
      </c>
      <c r="I967" s="2">
        <f t="shared" si="140"/>
        <v>72</v>
      </c>
      <c r="J967" s="2">
        <f>'(Raw) LensesGH'!E967</f>
        <v>0</v>
      </c>
      <c r="K967" s="40">
        <f t="shared" si="141"/>
        <v>0</v>
      </c>
      <c r="L967" t="str">
        <f>'(Raw) LensesGH'!F967</f>
        <v>Samsung NX</v>
      </c>
      <c r="M967" t="str">
        <f>'(Raw) LensesGH'!G967</f>
        <v>APS-C</v>
      </c>
      <c r="N967" t="str">
        <f>'(Raw) LensesGH'!H967</f>
        <v>516g</v>
      </c>
      <c r="O967" s="5">
        <f t="shared" si="142"/>
        <v>516</v>
      </c>
      <c r="P967" t="str">
        <f>'(Raw) LensesGH'!I967</f>
        <v>78 x 72.2mm</v>
      </c>
      <c r="Q967" s="39">
        <f t="shared" si="143"/>
        <v>78</v>
      </c>
      <c r="R967" s="39">
        <f t="shared" si="135"/>
        <v>72.2</v>
      </c>
    </row>
    <row r="968" spans="1:18" x14ac:dyDescent="0.25">
      <c r="A968" t="str">
        <f>'(Raw) LensesGH'!A968</f>
        <v>Samyang 85mm 1.4 Asph IF MC für Sony A schwarz</v>
      </c>
      <c r="B968" t="str">
        <f>'(Raw) LensesGH'!B968</f>
        <v>85mm</v>
      </c>
      <c r="C968" s="5">
        <f t="shared" si="136"/>
        <v>85</v>
      </c>
      <c r="D968" s="5">
        <f t="shared" si="137"/>
        <v>85</v>
      </c>
      <c r="E968" t="str">
        <f>'(Raw) LensesGH'!C968</f>
        <v>1:1.4</v>
      </c>
      <c r="F968" s="9">
        <f t="shared" si="138"/>
        <v>1.4</v>
      </c>
      <c r="G968" s="9">
        <f t="shared" si="139"/>
        <v>1.4</v>
      </c>
      <c r="H968" t="str">
        <f>'(Raw) LensesGH'!D968</f>
        <v>72mm</v>
      </c>
      <c r="I968" s="2">
        <f t="shared" si="140"/>
        <v>72</v>
      </c>
      <c r="J968" s="2">
        <f>'(Raw) LensesGH'!E968</f>
        <v>0</v>
      </c>
      <c r="K968" s="40">
        <f t="shared" si="141"/>
        <v>0</v>
      </c>
      <c r="L968" t="str">
        <f>'(Raw) LensesGH'!F968</f>
        <v>Sony A</v>
      </c>
      <c r="M968" t="str">
        <f>'(Raw) LensesGH'!G968</f>
        <v>APS-C/ Kleinbild</v>
      </c>
      <c r="N968" t="str">
        <f>'(Raw) LensesGH'!H968</f>
        <v>516g</v>
      </c>
      <c r="O968" s="5">
        <f t="shared" si="142"/>
        <v>516</v>
      </c>
      <c r="P968" t="str">
        <f>'(Raw) LensesGH'!I968</f>
        <v>78 x 72.2mm</v>
      </c>
      <c r="Q968" s="39">
        <f t="shared" si="143"/>
        <v>78</v>
      </c>
      <c r="R968" s="39">
        <f t="shared" si="135"/>
        <v>72.2</v>
      </c>
    </row>
    <row r="969" spans="1:18" x14ac:dyDescent="0.25">
      <c r="A969" t="str">
        <f>'(Raw) LensesGH'!A969</f>
        <v>Samyang 85mm 1.4 Asph IF UMC für Canon EF schwarz</v>
      </c>
      <c r="B969" t="str">
        <f>'(Raw) LensesGH'!B969</f>
        <v>85mm</v>
      </c>
      <c r="C969" s="5">
        <f t="shared" si="136"/>
        <v>85</v>
      </c>
      <c r="D969" s="5">
        <f t="shared" si="137"/>
        <v>85</v>
      </c>
      <c r="E969" t="str">
        <f>'(Raw) LensesGH'!C969</f>
        <v>1:1.4</v>
      </c>
      <c r="F969" s="9">
        <f t="shared" si="138"/>
        <v>1.4</v>
      </c>
      <c r="G969" s="9">
        <f t="shared" si="139"/>
        <v>1.4</v>
      </c>
      <c r="H969" t="str">
        <f>'(Raw) LensesGH'!D969</f>
        <v>72mm</v>
      </c>
      <c r="I969" s="2">
        <f t="shared" si="140"/>
        <v>72</v>
      </c>
      <c r="J969" s="2">
        <f>'(Raw) LensesGH'!E969</f>
        <v>0</v>
      </c>
      <c r="K969" s="40">
        <f t="shared" si="141"/>
        <v>0</v>
      </c>
      <c r="L969" t="str">
        <f>'(Raw) LensesGH'!F969</f>
        <v>Canon EF</v>
      </c>
      <c r="M969" t="str">
        <f>'(Raw) LensesGH'!G969</f>
        <v>APS-C/ Kleinbild</v>
      </c>
      <c r="N969" t="str">
        <f>'(Raw) LensesGH'!H969</f>
        <v>539g</v>
      </c>
      <c r="O969" s="5">
        <f t="shared" si="142"/>
        <v>539</v>
      </c>
      <c r="P969" t="str">
        <f>'(Raw) LensesGH'!I969</f>
        <v>78 x 75mm</v>
      </c>
      <c r="Q969" s="39">
        <f t="shared" si="143"/>
        <v>78</v>
      </c>
      <c r="R969" s="39">
        <f t="shared" si="135"/>
        <v>75</v>
      </c>
    </row>
    <row r="970" spans="1:18" x14ac:dyDescent="0.25">
      <c r="A970" t="str">
        <f>'(Raw) LensesGH'!A970</f>
        <v>Samyang 85mm 1.4 Asph IF UMC für Canon EF-M schwarz</v>
      </c>
      <c r="B970" t="str">
        <f>'(Raw) LensesGH'!B970</f>
        <v>85mm</v>
      </c>
      <c r="C970" s="5">
        <f t="shared" si="136"/>
        <v>85</v>
      </c>
      <c r="D970" s="5">
        <f t="shared" si="137"/>
        <v>85</v>
      </c>
      <c r="E970" t="str">
        <f>'(Raw) LensesGH'!C970</f>
        <v>1:1.4</v>
      </c>
      <c r="F970" s="9">
        <f t="shared" si="138"/>
        <v>1.4</v>
      </c>
      <c r="G970" s="9">
        <f t="shared" si="139"/>
        <v>1.4</v>
      </c>
      <c r="H970" t="str">
        <f>'(Raw) LensesGH'!D970</f>
        <v>72mm</v>
      </c>
      <c r="I970" s="2">
        <f t="shared" si="140"/>
        <v>72</v>
      </c>
      <c r="J970" s="2">
        <f>'(Raw) LensesGH'!E970</f>
        <v>0</v>
      </c>
      <c r="K970" s="40">
        <f t="shared" si="141"/>
        <v>0</v>
      </c>
      <c r="L970" t="str">
        <f>'(Raw) LensesGH'!F970</f>
        <v>Canon EF-M</v>
      </c>
      <c r="M970" t="str">
        <f>'(Raw) LensesGH'!G970</f>
        <v>APS-C</v>
      </c>
      <c r="N970" t="str">
        <f>'(Raw) LensesGH'!H970</f>
        <v>570g</v>
      </c>
      <c r="O970" s="5">
        <f t="shared" si="142"/>
        <v>570</v>
      </c>
      <c r="P970" t="str">
        <f>'(Raw) LensesGH'!I970</f>
        <v>78 x 100.6mm</v>
      </c>
      <c r="Q970" s="39">
        <f t="shared" si="143"/>
        <v>78</v>
      </c>
      <c r="R970" s="39">
        <f t="shared" si="135"/>
        <v>100.6</v>
      </c>
    </row>
    <row r="971" spans="1:18" x14ac:dyDescent="0.25">
      <c r="A971" t="str">
        <f>'(Raw) LensesGH'!A971</f>
        <v>Samyang 85mm 1.4 Asph IF UMC für Four-Thirds schwarz</v>
      </c>
      <c r="B971" t="str">
        <f>'(Raw) LensesGH'!B971</f>
        <v>85mm</v>
      </c>
      <c r="C971" s="5">
        <f t="shared" si="136"/>
        <v>85</v>
      </c>
      <c r="D971" s="5">
        <f t="shared" si="137"/>
        <v>85</v>
      </c>
      <c r="E971" t="str">
        <f>'(Raw) LensesGH'!C971</f>
        <v>1:1.4</v>
      </c>
      <c r="F971" s="9">
        <f t="shared" si="138"/>
        <v>1.4</v>
      </c>
      <c r="G971" s="9">
        <f t="shared" si="139"/>
        <v>1.4</v>
      </c>
      <c r="H971" t="str">
        <f>'(Raw) LensesGH'!D971</f>
        <v>72mm</v>
      </c>
      <c r="I971" s="2">
        <f t="shared" si="140"/>
        <v>72</v>
      </c>
      <c r="J971" s="2">
        <f>'(Raw) LensesGH'!E971</f>
        <v>0</v>
      </c>
      <c r="K971" s="40">
        <f t="shared" si="141"/>
        <v>0</v>
      </c>
      <c r="L971" t="str">
        <f>'(Raw) LensesGH'!F971</f>
        <v>Four-Thirds</v>
      </c>
      <c r="M971" t="str">
        <f>'(Raw) LensesGH'!G971</f>
        <v>Four-Thirds</v>
      </c>
      <c r="N971" t="str">
        <f>'(Raw) LensesGH'!H971</f>
        <v>539g</v>
      </c>
      <c r="O971" s="5">
        <f t="shared" si="142"/>
        <v>539</v>
      </c>
      <c r="P971" t="str">
        <f>'(Raw) LensesGH'!I971</f>
        <v>78 x 75mm</v>
      </c>
      <c r="Q971" s="39">
        <f t="shared" si="143"/>
        <v>78</v>
      </c>
      <c r="R971" s="39">
        <f t="shared" si="135"/>
        <v>75</v>
      </c>
    </row>
    <row r="972" spans="1:18" x14ac:dyDescent="0.25">
      <c r="A972" t="str">
        <f>'(Raw) LensesGH'!A972</f>
        <v>Samyang 85mm 1.4 Asph IF UMC für Fujifilm X schwarz</v>
      </c>
      <c r="B972" t="str">
        <f>'(Raw) LensesGH'!B972</f>
        <v>85mm</v>
      </c>
      <c r="C972" s="5">
        <f t="shared" si="136"/>
        <v>85</v>
      </c>
      <c r="D972" s="5">
        <f t="shared" si="137"/>
        <v>85</v>
      </c>
      <c r="E972" t="str">
        <f>'(Raw) LensesGH'!C972</f>
        <v>1:1.4</v>
      </c>
      <c r="F972" s="9">
        <f t="shared" si="138"/>
        <v>1.4</v>
      </c>
      <c r="G972" s="9">
        <f t="shared" si="139"/>
        <v>1.4</v>
      </c>
      <c r="H972" t="str">
        <f>'(Raw) LensesGH'!D972</f>
        <v>72mm</v>
      </c>
      <c r="I972" s="2">
        <f t="shared" si="140"/>
        <v>72</v>
      </c>
      <c r="J972" s="2">
        <f>'(Raw) LensesGH'!E972</f>
        <v>0</v>
      </c>
      <c r="K972" s="40">
        <f t="shared" si="141"/>
        <v>0</v>
      </c>
      <c r="L972" t="str">
        <f>'(Raw) LensesGH'!F972</f>
        <v>Fujifilm X</v>
      </c>
      <c r="M972" t="str">
        <f>'(Raw) LensesGH'!G972</f>
        <v>APS-C</v>
      </c>
      <c r="N972" t="str">
        <f>'(Raw) LensesGH'!H972</f>
        <v>610g</v>
      </c>
      <c r="O972" s="5">
        <f t="shared" si="142"/>
        <v>610</v>
      </c>
      <c r="P972" t="str">
        <f>'(Raw) LensesGH'!I972</f>
        <v>78 x 101mm</v>
      </c>
      <c r="Q972" s="39">
        <f t="shared" si="143"/>
        <v>78</v>
      </c>
      <c r="R972" s="39">
        <f t="shared" si="135"/>
        <v>101</v>
      </c>
    </row>
    <row r="973" spans="1:18" x14ac:dyDescent="0.25">
      <c r="A973" t="str">
        <f>'(Raw) LensesGH'!A973</f>
        <v>Samyang 85mm 1.4 Asph IF UMC für Micro-Four-Thirds schwarz</v>
      </c>
      <c r="B973" t="str">
        <f>'(Raw) LensesGH'!B973</f>
        <v>85mm</v>
      </c>
      <c r="C973" s="5">
        <f t="shared" si="136"/>
        <v>85</v>
      </c>
      <c r="D973" s="5">
        <f t="shared" si="137"/>
        <v>85</v>
      </c>
      <c r="E973" t="str">
        <f>'(Raw) LensesGH'!C973</f>
        <v>1:1.4</v>
      </c>
      <c r="F973" s="9">
        <f t="shared" si="138"/>
        <v>1.4</v>
      </c>
      <c r="G973" s="9">
        <f t="shared" si="139"/>
        <v>1.4</v>
      </c>
      <c r="H973" t="str">
        <f>'(Raw) LensesGH'!D973</f>
        <v>72mm</v>
      </c>
      <c r="I973" s="2">
        <f t="shared" si="140"/>
        <v>72</v>
      </c>
      <c r="J973" s="2">
        <f>'(Raw) LensesGH'!E973</f>
        <v>0</v>
      </c>
      <c r="K973" s="40">
        <f t="shared" si="141"/>
        <v>0</v>
      </c>
      <c r="L973" t="str">
        <f>'(Raw) LensesGH'!F973</f>
        <v>Micro-Four-Thirds</v>
      </c>
      <c r="M973" t="str">
        <f>'(Raw) LensesGH'!G973</f>
        <v>Four-Thirds</v>
      </c>
      <c r="N973" t="str">
        <f>'(Raw) LensesGH'!H973</f>
        <v>565g</v>
      </c>
      <c r="O973" s="5">
        <f t="shared" si="142"/>
        <v>565</v>
      </c>
      <c r="P973" t="str">
        <f>'(Raw) LensesGH'!I973</f>
        <v>78 x 99.5mm</v>
      </c>
      <c r="Q973" s="39">
        <f t="shared" si="143"/>
        <v>78</v>
      </c>
      <c r="R973" s="39">
        <f t="shared" si="135"/>
        <v>99.5</v>
      </c>
    </row>
    <row r="974" spans="1:18" x14ac:dyDescent="0.25">
      <c r="A974" t="str">
        <f>'(Raw) LensesGH'!A974</f>
        <v>Samyang 85mm 1.4 Asph IF UMC für Nikon F schwarz</v>
      </c>
      <c r="B974" t="str">
        <f>'(Raw) LensesGH'!B974</f>
        <v>85mm</v>
      </c>
      <c r="C974" s="5">
        <f t="shared" si="136"/>
        <v>85</v>
      </c>
      <c r="D974" s="5">
        <f t="shared" si="137"/>
        <v>85</v>
      </c>
      <c r="E974" t="str">
        <f>'(Raw) LensesGH'!C974</f>
        <v>1:1.4</v>
      </c>
      <c r="F974" s="9">
        <f t="shared" si="138"/>
        <v>1.4</v>
      </c>
      <c r="G974" s="9">
        <f t="shared" si="139"/>
        <v>1.4</v>
      </c>
      <c r="H974" t="str">
        <f>'(Raw) LensesGH'!D974</f>
        <v>72mm</v>
      </c>
      <c r="I974" s="2">
        <f t="shared" si="140"/>
        <v>72</v>
      </c>
      <c r="J974" s="2">
        <f>'(Raw) LensesGH'!E974</f>
        <v>0</v>
      </c>
      <c r="K974" s="40">
        <f t="shared" si="141"/>
        <v>0</v>
      </c>
      <c r="L974" t="str">
        <f>'(Raw) LensesGH'!F974</f>
        <v>Nikon F</v>
      </c>
      <c r="M974" t="str">
        <f>'(Raw) LensesGH'!G974</f>
        <v>APS-C/ Kleinbild</v>
      </c>
      <c r="N974" t="str">
        <f>'(Raw) LensesGH'!H974</f>
        <v>539g</v>
      </c>
      <c r="O974" s="5">
        <f t="shared" si="142"/>
        <v>539</v>
      </c>
      <c r="P974" t="str">
        <f>'(Raw) LensesGH'!I974</f>
        <v>78 x 75mm</v>
      </c>
      <c r="Q974" s="39">
        <f t="shared" si="143"/>
        <v>78</v>
      </c>
      <c r="R974" s="39">
        <f t="shared" si="135"/>
        <v>75</v>
      </c>
    </row>
    <row r="975" spans="1:18" x14ac:dyDescent="0.25">
      <c r="A975" t="str">
        <f>'(Raw) LensesGH'!A975</f>
        <v>Samyang 85mm 1.4 Asph IF UMC für Pentax K schwarz</v>
      </c>
      <c r="B975" t="str">
        <f>'(Raw) LensesGH'!B975</f>
        <v>85mm</v>
      </c>
      <c r="C975" s="5">
        <f t="shared" si="136"/>
        <v>85</v>
      </c>
      <c r="D975" s="5">
        <f t="shared" si="137"/>
        <v>85</v>
      </c>
      <c r="E975" t="str">
        <f>'(Raw) LensesGH'!C975</f>
        <v>1:1.4</v>
      </c>
      <c r="F975" s="9">
        <f t="shared" si="138"/>
        <v>1.4</v>
      </c>
      <c r="G975" s="9">
        <f t="shared" si="139"/>
        <v>1.4</v>
      </c>
      <c r="H975" t="str">
        <f>'(Raw) LensesGH'!D975</f>
        <v>72mm</v>
      </c>
      <c r="I975" s="2">
        <f t="shared" si="140"/>
        <v>72</v>
      </c>
      <c r="J975" s="2">
        <f>'(Raw) LensesGH'!E975</f>
        <v>0</v>
      </c>
      <c r="K975" s="40">
        <f t="shared" si="141"/>
        <v>0</v>
      </c>
      <c r="L975" t="str">
        <f>'(Raw) LensesGH'!F975</f>
        <v>Pentax K</v>
      </c>
      <c r="M975" t="str">
        <f>'(Raw) LensesGH'!G975</f>
        <v>APS-C/ Kleinbild</v>
      </c>
      <c r="N975" t="str">
        <f>'(Raw) LensesGH'!H975</f>
        <v>539g</v>
      </c>
      <c r="O975" s="5">
        <f t="shared" si="142"/>
        <v>539</v>
      </c>
      <c r="P975" t="str">
        <f>'(Raw) LensesGH'!I975</f>
        <v>78 x 75mm</v>
      </c>
      <c r="Q975" s="39">
        <f t="shared" si="143"/>
        <v>78</v>
      </c>
      <c r="R975" s="39">
        <f t="shared" si="135"/>
        <v>75</v>
      </c>
    </row>
    <row r="976" spans="1:18" x14ac:dyDescent="0.25">
      <c r="A976" t="str">
        <f>'(Raw) LensesGH'!A976</f>
        <v>Samyang 85mm 1.4 Asph IF UMC für Sony A schwarz</v>
      </c>
      <c r="B976" t="str">
        <f>'(Raw) LensesGH'!B976</f>
        <v>85mm</v>
      </c>
      <c r="C976" s="5">
        <f t="shared" si="136"/>
        <v>85</v>
      </c>
      <c r="D976" s="5">
        <f t="shared" si="137"/>
        <v>85</v>
      </c>
      <c r="E976" t="str">
        <f>'(Raw) LensesGH'!C976</f>
        <v>1:1.4</v>
      </c>
      <c r="F976" s="9">
        <f t="shared" si="138"/>
        <v>1.4</v>
      </c>
      <c r="G976" s="9">
        <f t="shared" si="139"/>
        <v>1.4</v>
      </c>
      <c r="H976" t="str">
        <f>'(Raw) LensesGH'!D976</f>
        <v>72mm</v>
      </c>
      <c r="I976" s="2">
        <f t="shared" si="140"/>
        <v>72</v>
      </c>
      <c r="J976" s="2">
        <f>'(Raw) LensesGH'!E976</f>
        <v>0</v>
      </c>
      <c r="K976" s="40">
        <f t="shared" si="141"/>
        <v>0</v>
      </c>
      <c r="L976" t="str">
        <f>'(Raw) LensesGH'!F976</f>
        <v>Sony A</v>
      </c>
      <c r="M976" t="str">
        <f>'(Raw) LensesGH'!G976</f>
        <v>APS-C/ Kleinbild</v>
      </c>
      <c r="N976" t="str">
        <f>'(Raw) LensesGH'!H976</f>
        <v>539g</v>
      </c>
      <c r="O976" s="5">
        <f t="shared" si="142"/>
        <v>539</v>
      </c>
      <c r="P976" t="str">
        <f>'(Raw) LensesGH'!I976</f>
        <v>78 x 75mm</v>
      </c>
      <c r="Q976" s="39">
        <f t="shared" si="143"/>
        <v>78</v>
      </c>
      <c r="R976" s="39">
        <f t="shared" si="135"/>
        <v>75</v>
      </c>
    </row>
    <row r="977" spans="1:18" x14ac:dyDescent="0.25">
      <c r="A977" t="str">
        <f>'(Raw) LensesGH'!A977</f>
        <v>Samyang 85mm 1.4 Asph IF UMC für Sony E schwarz</v>
      </c>
      <c r="B977" t="str">
        <f>'(Raw) LensesGH'!B977</f>
        <v>85mm</v>
      </c>
      <c r="C977" s="5">
        <f t="shared" si="136"/>
        <v>85</v>
      </c>
      <c r="D977" s="5">
        <f t="shared" si="137"/>
        <v>85</v>
      </c>
      <c r="E977" t="str">
        <f>'(Raw) LensesGH'!C977</f>
        <v>1:1.4</v>
      </c>
      <c r="F977" s="9">
        <f t="shared" si="138"/>
        <v>1.4</v>
      </c>
      <c r="G977" s="9">
        <f t="shared" si="139"/>
        <v>1.4</v>
      </c>
      <c r="H977" t="str">
        <f>'(Raw) LensesGH'!D977</f>
        <v>72mm</v>
      </c>
      <c r="I977" s="2">
        <f t="shared" si="140"/>
        <v>72</v>
      </c>
      <c r="J977" s="2">
        <f>'(Raw) LensesGH'!E977</f>
        <v>0</v>
      </c>
      <c r="K977" s="40">
        <f t="shared" si="141"/>
        <v>0</v>
      </c>
      <c r="L977" t="str">
        <f>'(Raw) LensesGH'!F977</f>
        <v>Sony E</v>
      </c>
      <c r="M977" t="str">
        <f>'(Raw) LensesGH'!G977</f>
        <v>APS-C</v>
      </c>
      <c r="N977" t="str">
        <f>'(Raw) LensesGH'!H977</f>
        <v>539g</v>
      </c>
      <c r="O977" s="5">
        <f t="shared" si="142"/>
        <v>539</v>
      </c>
      <c r="P977" t="str">
        <f>'(Raw) LensesGH'!I977</f>
        <v>78 x 75mm</v>
      </c>
      <c r="Q977" s="39">
        <f t="shared" si="143"/>
        <v>78</v>
      </c>
      <c r="R977" s="39">
        <f t="shared" si="135"/>
        <v>75</v>
      </c>
    </row>
    <row r="978" spans="1:18" x14ac:dyDescent="0.25">
      <c r="A978" t="str">
        <f>'(Raw) LensesGH'!A978</f>
        <v>Samyang 85mm T1.5 AS IF UMC II VDSLR für Canon EF schwarz</v>
      </c>
      <c r="B978" t="str">
        <f>'(Raw) LensesGH'!B978</f>
        <v>85mm</v>
      </c>
      <c r="C978" s="5">
        <f t="shared" si="136"/>
        <v>85</v>
      </c>
      <c r="D978" s="5">
        <f t="shared" si="137"/>
        <v>85</v>
      </c>
      <c r="E978" t="str">
        <f>'(Raw) LensesGH'!C978</f>
        <v>1:1.5</v>
      </c>
      <c r="F978" s="9">
        <f t="shared" si="138"/>
        <v>1.5</v>
      </c>
      <c r="G978" s="9">
        <f t="shared" si="139"/>
        <v>1.5</v>
      </c>
      <c r="H978" t="str">
        <f>'(Raw) LensesGH'!D978</f>
        <v>72mm</v>
      </c>
      <c r="I978" s="2">
        <f t="shared" si="140"/>
        <v>72</v>
      </c>
      <c r="J978" s="2">
        <f>'(Raw) LensesGH'!E978</f>
        <v>0</v>
      </c>
      <c r="K978" s="40">
        <f t="shared" si="141"/>
        <v>0</v>
      </c>
      <c r="L978" t="str">
        <f>'(Raw) LensesGH'!F978</f>
        <v>Canon EF</v>
      </c>
      <c r="M978" t="str">
        <f>'(Raw) LensesGH'!G978</f>
        <v>APS-C/ Kleinbild</v>
      </c>
      <c r="N978" t="str">
        <f>'(Raw) LensesGH'!H978</f>
        <v>580g</v>
      </c>
      <c r="O978" s="5">
        <f t="shared" si="142"/>
        <v>580</v>
      </c>
      <c r="P978" t="str">
        <f>'(Raw) LensesGH'!I978</f>
        <v>78 x 74.7mm</v>
      </c>
      <c r="Q978" s="39">
        <f t="shared" si="143"/>
        <v>78</v>
      </c>
      <c r="R978" s="39">
        <f t="shared" si="135"/>
        <v>74.7</v>
      </c>
    </row>
    <row r="979" spans="1:18" x14ac:dyDescent="0.25">
      <c r="A979" t="str">
        <f>'(Raw) LensesGH'!A979</f>
        <v>Samyang 85mm T1.5 AS IF UMC II VDSLR für Canon EF-M schwarz</v>
      </c>
      <c r="B979" t="str">
        <f>'(Raw) LensesGH'!B979</f>
        <v>85mm</v>
      </c>
      <c r="C979" s="5">
        <f t="shared" si="136"/>
        <v>85</v>
      </c>
      <c r="D979" s="5">
        <f t="shared" si="137"/>
        <v>85</v>
      </c>
      <c r="E979" t="str">
        <f>'(Raw) LensesGH'!C979</f>
        <v>1:1.5</v>
      </c>
      <c r="F979" s="9">
        <f t="shared" si="138"/>
        <v>1.5</v>
      </c>
      <c r="G979" s="9">
        <f t="shared" si="139"/>
        <v>1.5</v>
      </c>
      <c r="H979" t="str">
        <f>'(Raw) LensesGH'!D979</f>
        <v>72mm</v>
      </c>
      <c r="I979" s="2">
        <f t="shared" si="140"/>
        <v>72</v>
      </c>
      <c r="J979" s="2">
        <f>'(Raw) LensesGH'!E979</f>
        <v>0</v>
      </c>
      <c r="K979" s="40">
        <f t="shared" si="141"/>
        <v>0</v>
      </c>
      <c r="L979" t="str">
        <f>'(Raw) LensesGH'!F979</f>
        <v>Canon EF-M</v>
      </c>
      <c r="M979" t="str">
        <f>'(Raw) LensesGH'!G979</f>
        <v>APS-C</v>
      </c>
      <c r="N979" t="str">
        <f>'(Raw) LensesGH'!H979</f>
        <v>640g</v>
      </c>
      <c r="O979" s="5">
        <f t="shared" si="142"/>
        <v>640</v>
      </c>
      <c r="P979" t="str">
        <f>'(Raw) LensesGH'!I979</f>
        <v>78 x 100.6mm</v>
      </c>
      <c r="Q979" s="39">
        <f t="shared" si="143"/>
        <v>78</v>
      </c>
      <c r="R979" s="39">
        <f t="shared" si="135"/>
        <v>100.6</v>
      </c>
    </row>
    <row r="980" spans="1:18" x14ac:dyDescent="0.25">
      <c r="A980" t="str">
        <f>'(Raw) LensesGH'!A980</f>
        <v>Samyang 85mm T1.5 AS IF UMC II VDSLR für Four-Thirds schwarz</v>
      </c>
      <c r="B980" t="str">
        <f>'(Raw) LensesGH'!B980</f>
        <v>85mm</v>
      </c>
      <c r="C980" s="5">
        <f t="shared" si="136"/>
        <v>85</v>
      </c>
      <c r="D980" s="5">
        <f t="shared" si="137"/>
        <v>85</v>
      </c>
      <c r="E980" t="str">
        <f>'(Raw) LensesGH'!C980</f>
        <v>1:1.5</v>
      </c>
      <c r="F980" s="9">
        <f t="shared" si="138"/>
        <v>1.5</v>
      </c>
      <c r="G980" s="9">
        <f t="shared" si="139"/>
        <v>1.5</v>
      </c>
      <c r="H980" t="str">
        <f>'(Raw) LensesGH'!D980</f>
        <v>72mm</v>
      </c>
      <c r="I980" s="2">
        <f t="shared" si="140"/>
        <v>72</v>
      </c>
      <c r="J980" s="2">
        <f>'(Raw) LensesGH'!E980</f>
        <v>0</v>
      </c>
      <c r="K980" s="40">
        <f t="shared" si="141"/>
        <v>0</v>
      </c>
      <c r="L980" t="str">
        <f>'(Raw) LensesGH'!F980</f>
        <v>Four-Thirds</v>
      </c>
      <c r="M980" t="str">
        <f>'(Raw) LensesGH'!G980</f>
        <v>Four-Thirds</v>
      </c>
      <c r="N980" t="str">
        <f>'(Raw) LensesGH'!H980</f>
        <v>585g</v>
      </c>
      <c r="O980" s="5">
        <f t="shared" si="142"/>
        <v>585</v>
      </c>
      <c r="P980" t="str">
        <f>'(Raw) LensesGH'!I980</f>
        <v>78 x 80mm</v>
      </c>
      <c r="Q980" s="39">
        <f t="shared" si="143"/>
        <v>78</v>
      </c>
      <c r="R980" s="39">
        <f t="shared" si="135"/>
        <v>80</v>
      </c>
    </row>
    <row r="981" spans="1:18" x14ac:dyDescent="0.25">
      <c r="A981" t="str">
        <f>'(Raw) LensesGH'!A981</f>
        <v>Samyang 85mm T1.5 AS IF UMC II VDSLR für Fujifilm X schwarz</v>
      </c>
      <c r="B981" t="str">
        <f>'(Raw) LensesGH'!B981</f>
        <v>85mm</v>
      </c>
      <c r="C981" s="5">
        <f t="shared" si="136"/>
        <v>85</v>
      </c>
      <c r="D981" s="5">
        <f t="shared" si="137"/>
        <v>85</v>
      </c>
      <c r="E981" t="str">
        <f>'(Raw) LensesGH'!C981</f>
        <v>1:1.5</v>
      </c>
      <c r="F981" s="9">
        <f t="shared" si="138"/>
        <v>1.5</v>
      </c>
      <c r="G981" s="9">
        <f t="shared" si="139"/>
        <v>1.5</v>
      </c>
      <c r="H981" t="str">
        <f>'(Raw) LensesGH'!D981</f>
        <v>72mm</v>
      </c>
      <c r="I981" s="2">
        <f t="shared" si="140"/>
        <v>72</v>
      </c>
      <c r="J981" s="2">
        <f>'(Raw) LensesGH'!E981</f>
        <v>0</v>
      </c>
      <c r="K981" s="40">
        <f t="shared" si="141"/>
        <v>0</v>
      </c>
      <c r="L981" t="str">
        <f>'(Raw) LensesGH'!F981</f>
        <v>Fujifilm X</v>
      </c>
      <c r="M981" t="str">
        <f>'(Raw) LensesGH'!G981</f>
        <v>APS-C</v>
      </c>
      <c r="N981" t="str">
        <f>'(Raw) LensesGH'!H981</f>
        <v>645g</v>
      </c>
      <c r="O981" s="5">
        <f t="shared" si="142"/>
        <v>645</v>
      </c>
      <c r="P981" t="str">
        <f>'(Raw) LensesGH'!I981</f>
        <v>78 x 101mm</v>
      </c>
      <c r="Q981" s="39">
        <f t="shared" si="143"/>
        <v>78</v>
      </c>
      <c r="R981" s="39">
        <f t="shared" si="135"/>
        <v>101</v>
      </c>
    </row>
    <row r="982" spans="1:18" x14ac:dyDescent="0.25">
      <c r="A982" t="str">
        <f>'(Raw) LensesGH'!A982</f>
        <v>Samyang 85mm T1.5 AS IF UMC II VDSLR für Micro-Four-Thirds schwarz</v>
      </c>
      <c r="B982" t="str">
        <f>'(Raw) LensesGH'!B982</f>
        <v>85mm</v>
      </c>
      <c r="C982" s="5">
        <f t="shared" si="136"/>
        <v>85</v>
      </c>
      <c r="D982" s="5">
        <f t="shared" si="137"/>
        <v>85</v>
      </c>
      <c r="E982" t="str">
        <f>'(Raw) LensesGH'!C982</f>
        <v>1:1.5</v>
      </c>
      <c r="F982" s="9">
        <f t="shared" si="138"/>
        <v>1.5</v>
      </c>
      <c r="G982" s="9">
        <f t="shared" si="139"/>
        <v>1.5</v>
      </c>
      <c r="H982" t="str">
        <f>'(Raw) LensesGH'!D982</f>
        <v>72mm</v>
      </c>
      <c r="I982" s="2">
        <f t="shared" si="140"/>
        <v>72</v>
      </c>
      <c r="J982" s="2">
        <f>'(Raw) LensesGH'!E982</f>
        <v>0</v>
      </c>
      <c r="K982" s="40">
        <f t="shared" si="141"/>
        <v>0</v>
      </c>
      <c r="L982" t="str">
        <f>'(Raw) LensesGH'!F982</f>
        <v>Micro-Four-Thirds</v>
      </c>
      <c r="M982" t="str">
        <f>'(Raw) LensesGH'!G982</f>
        <v>Four-Thirds</v>
      </c>
      <c r="N982" t="str">
        <f>'(Raw) LensesGH'!H982</f>
        <v>595g</v>
      </c>
      <c r="O982" s="5">
        <f t="shared" si="142"/>
        <v>595</v>
      </c>
      <c r="P982" t="str">
        <f>'(Raw) LensesGH'!I982</f>
        <v>78 x 99.5mm</v>
      </c>
      <c r="Q982" s="39">
        <f t="shared" si="143"/>
        <v>78</v>
      </c>
      <c r="R982" s="39">
        <f t="shared" si="135"/>
        <v>99.5</v>
      </c>
    </row>
    <row r="983" spans="1:18" x14ac:dyDescent="0.25">
      <c r="A983" t="str">
        <f>'(Raw) LensesGH'!A983</f>
        <v>Samyang 85mm T1.5 AS IF UMC II VDSLR für Nikon F schwarz</v>
      </c>
      <c r="B983" t="str">
        <f>'(Raw) LensesGH'!B983</f>
        <v>85mm</v>
      </c>
      <c r="C983" s="5">
        <f t="shared" si="136"/>
        <v>85</v>
      </c>
      <c r="D983" s="5">
        <f t="shared" si="137"/>
        <v>85</v>
      </c>
      <c r="E983" t="str">
        <f>'(Raw) LensesGH'!C983</f>
        <v>1:1.5</v>
      </c>
      <c r="F983" s="9">
        <f t="shared" si="138"/>
        <v>1.5</v>
      </c>
      <c r="G983" s="9">
        <f t="shared" si="139"/>
        <v>1.5</v>
      </c>
      <c r="H983" t="str">
        <f>'(Raw) LensesGH'!D983</f>
        <v>72mm</v>
      </c>
      <c r="I983" s="2">
        <f t="shared" si="140"/>
        <v>72</v>
      </c>
      <c r="J983" s="2">
        <f>'(Raw) LensesGH'!E983</f>
        <v>0</v>
      </c>
      <c r="K983" s="40">
        <f t="shared" si="141"/>
        <v>0</v>
      </c>
      <c r="L983" t="str">
        <f>'(Raw) LensesGH'!F983</f>
        <v>Nikon F</v>
      </c>
      <c r="M983" t="str">
        <f>'(Raw) LensesGH'!G983</f>
        <v>APS-C/ Kleinbild</v>
      </c>
      <c r="N983" t="str">
        <f>'(Raw) LensesGH'!H983</f>
        <v>560g</v>
      </c>
      <c r="O983" s="5">
        <f t="shared" si="142"/>
        <v>560</v>
      </c>
      <c r="P983" t="str">
        <f>'(Raw) LensesGH'!I983</f>
        <v>78 x 72.2mm</v>
      </c>
      <c r="Q983" s="39">
        <f t="shared" si="143"/>
        <v>78</v>
      </c>
      <c r="R983" s="39">
        <f t="shared" si="135"/>
        <v>72.2</v>
      </c>
    </row>
    <row r="984" spans="1:18" x14ac:dyDescent="0.25">
      <c r="A984" t="str">
        <f>'(Raw) LensesGH'!A984</f>
        <v>Samyang 85mm T1.5 AS IF UMC II VDSLR für Pentax K schwarz</v>
      </c>
      <c r="B984" t="str">
        <f>'(Raw) LensesGH'!B984</f>
        <v>85mm</v>
      </c>
      <c r="C984" s="5">
        <f t="shared" si="136"/>
        <v>85</v>
      </c>
      <c r="D984" s="5">
        <f t="shared" si="137"/>
        <v>85</v>
      </c>
      <c r="E984" t="str">
        <f>'(Raw) LensesGH'!C984</f>
        <v>1:1.5</v>
      </c>
      <c r="F984" s="9">
        <f t="shared" si="138"/>
        <v>1.5</v>
      </c>
      <c r="G984" s="9">
        <f t="shared" si="139"/>
        <v>1.5</v>
      </c>
      <c r="H984" t="str">
        <f>'(Raw) LensesGH'!D984</f>
        <v>72mm</v>
      </c>
      <c r="I984" s="2">
        <f t="shared" si="140"/>
        <v>72</v>
      </c>
      <c r="J984" s="2">
        <f>'(Raw) LensesGH'!E984</f>
        <v>0</v>
      </c>
      <c r="K984" s="40">
        <f t="shared" si="141"/>
        <v>0</v>
      </c>
      <c r="L984" t="str">
        <f>'(Raw) LensesGH'!F984</f>
        <v>Pentax K</v>
      </c>
      <c r="M984" t="str">
        <f>'(Raw) LensesGH'!G984</f>
        <v>APS-C/ Kleinbild</v>
      </c>
      <c r="N984" t="str">
        <f>'(Raw) LensesGH'!H984</f>
        <v>550g</v>
      </c>
      <c r="O984" s="5">
        <f t="shared" si="142"/>
        <v>550</v>
      </c>
      <c r="P984" t="str">
        <f>'(Raw) LensesGH'!I984</f>
        <v>78 x 73.2mm</v>
      </c>
      <c r="Q984" s="39">
        <f t="shared" si="143"/>
        <v>78</v>
      </c>
      <c r="R984" s="39">
        <f t="shared" si="135"/>
        <v>73.2</v>
      </c>
    </row>
    <row r="985" spans="1:18" x14ac:dyDescent="0.25">
      <c r="A985" t="str">
        <f>'(Raw) LensesGH'!A985</f>
        <v>Samyang 85mm T1.5 AS IF UMC II VDSLR für Samsung NX schwarz</v>
      </c>
      <c r="B985" t="str">
        <f>'(Raw) LensesGH'!B985</f>
        <v>85mm</v>
      </c>
      <c r="C985" s="5">
        <f t="shared" si="136"/>
        <v>85</v>
      </c>
      <c r="D985" s="5">
        <f t="shared" si="137"/>
        <v>85</v>
      </c>
      <c r="E985" t="str">
        <f>'(Raw) LensesGH'!C985</f>
        <v>1:1.5</v>
      </c>
      <c r="F985" s="9">
        <f t="shared" si="138"/>
        <v>1.5</v>
      </c>
      <c r="G985" s="9">
        <f t="shared" si="139"/>
        <v>1.5</v>
      </c>
      <c r="H985" t="str">
        <f>'(Raw) LensesGH'!D985</f>
        <v>72mm</v>
      </c>
      <c r="I985" s="2">
        <f t="shared" si="140"/>
        <v>72</v>
      </c>
      <c r="J985" s="2">
        <f>'(Raw) LensesGH'!E985</f>
        <v>0</v>
      </c>
      <c r="K985" s="40">
        <f t="shared" si="141"/>
        <v>0</v>
      </c>
      <c r="L985" t="str">
        <f>'(Raw) LensesGH'!F985</f>
        <v>Samsung NX</v>
      </c>
      <c r="M985" t="str">
        <f>'(Raw) LensesGH'!G985</f>
        <v>APS-C</v>
      </c>
      <c r="N985" t="str">
        <f>'(Raw) LensesGH'!H985</f>
        <v>595g</v>
      </c>
      <c r="O985" s="5">
        <f t="shared" si="142"/>
        <v>595</v>
      </c>
      <c r="P985" t="str">
        <f>'(Raw) LensesGH'!I985</f>
        <v>78 x 93.2mm</v>
      </c>
      <c r="Q985" s="39">
        <f t="shared" si="143"/>
        <v>78</v>
      </c>
      <c r="R985" s="39">
        <f t="shared" si="135"/>
        <v>93.2</v>
      </c>
    </row>
    <row r="986" spans="1:18" x14ac:dyDescent="0.25">
      <c r="A986" t="str">
        <f>'(Raw) LensesGH'!A986</f>
        <v>Samyang 85mm T1.5 AS IF UMC II VDSLR für Sony A schwarz</v>
      </c>
      <c r="B986" t="str">
        <f>'(Raw) LensesGH'!B986</f>
        <v>85mm</v>
      </c>
      <c r="C986" s="5">
        <f t="shared" si="136"/>
        <v>85</v>
      </c>
      <c r="D986" s="5">
        <f t="shared" si="137"/>
        <v>85</v>
      </c>
      <c r="E986" t="str">
        <f>'(Raw) LensesGH'!C986</f>
        <v>1:1.5</v>
      </c>
      <c r="F986" s="9">
        <f t="shared" si="138"/>
        <v>1.5</v>
      </c>
      <c r="G986" s="9">
        <f t="shared" si="139"/>
        <v>1.5</v>
      </c>
      <c r="H986" t="str">
        <f>'(Raw) LensesGH'!D986</f>
        <v>72mm</v>
      </c>
      <c r="I986" s="2">
        <f t="shared" si="140"/>
        <v>72</v>
      </c>
      <c r="J986" s="2">
        <f>'(Raw) LensesGH'!E986</f>
        <v>0</v>
      </c>
      <c r="K986" s="40">
        <f t="shared" si="141"/>
        <v>0</v>
      </c>
      <c r="L986" t="str">
        <f>'(Raw) LensesGH'!F986</f>
        <v>Sony A</v>
      </c>
      <c r="M986" t="str">
        <f>'(Raw) LensesGH'!G986</f>
        <v>APS-C/ Kleinbild</v>
      </c>
      <c r="N986" t="str">
        <f>'(Raw) LensesGH'!H986</f>
        <v>570g</v>
      </c>
      <c r="O986" s="5">
        <f t="shared" si="142"/>
        <v>570</v>
      </c>
      <c r="P986" t="str">
        <f>'(Raw) LensesGH'!I986</f>
        <v>78 x 74.2mm</v>
      </c>
      <c r="Q986" s="39">
        <f t="shared" si="143"/>
        <v>78</v>
      </c>
      <c r="R986" s="39">
        <f t="shared" si="135"/>
        <v>74.2</v>
      </c>
    </row>
    <row r="987" spans="1:18" x14ac:dyDescent="0.25">
      <c r="A987" t="str">
        <f>'(Raw) LensesGH'!A987</f>
        <v>Samyang 85mm T1.5 AS IF UMC II VDSLR für Sony E schwarz</v>
      </c>
      <c r="B987" t="str">
        <f>'(Raw) LensesGH'!B987</f>
        <v>85mm</v>
      </c>
      <c r="C987" s="5">
        <f t="shared" si="136"/>
        <v>85</v>
      </c>
      <c r="D987" s="5">
        <f t="shared" si="137"/>
        <v>85</v>
      </c>
      <c r="E987" t="str">
        <f>'(Raw) LensesGH'!C987</f>
        <v>1:1.5</v>
      </c>
      <c r="F987" s="9">
        <f t="shared" si="138"/>
        <v>1.5</v>
      </c>
      <c r="G987" s="9">
        <f t="shared" si="139"/>
        <v>1.5</v>
      </c>
      <c r="H987" t="str">
        <f>'(Raw) LensesGH'!D987</f>
        <v>72mm</v>
      </c>
      <c r="I987" s="2">
        <f t="shared" si="140"/>
        <v>72</v>
      </c>
      <c r="J987" s="2">
        <f>'(Raw) LensesGH'!E987</f>
        <v>0</v>
      </c>
      <c r="K987" s="40">
        <f t="shared" si="141"/>
        <v>0</v>
      </c>
      <c r="L987" t="str">
        <f>'(Raw) LensesGH'!F987</f>
        <v>Sony E</v>
      </c>
      <c r="M987" t="str">
        <f>'(Raw) LensesGH'!G987</f>
        <v>APS-C/ Kleinbild</v>
      </c>
      <c r="N987" t="str">
        <f>'(Raw) LensesGH'!H987</f>
        <v>605g</v>
      </c>
      <c r="O987" s="5">
        <f t="shared" si="142"/>
        <v>605</v>
      </c>
      <c r="P987" t="str">
        <f>'(Raw) LensesGH'!I987</f>
        <v>78 x 100.7mm</v>
      </c>
      <c r="Q987" s="39">
        <f t="shared" si="143"/>
        <v>78</v>
      </c>
      <c r="R987" s="39">
        <f t="shared" si="135"/>
        <v>100.7</v>
      </c>
    </row>
    <row r="988" spans="1:18" x14ac:dyDescent="0.25">
      <c r="A988" t="str">
        <f>'(Raw) LensesGH'!A988</f>
        <v>Samyang 85mm T1.5 AS IF UMC VDSLR für Canon EF schwarz</v>
      </c>
      <c r="B988" t="str">
        <f>'(Raw) LensesGH'!B988</f>
        <v>85mm</v>
      </c>
      <c r="C988" s="5">
        <f t="shared" si="136"/>
        <v>85</v>
      </c>
      <c r="D988" s="5">
        <f t="shared" si="137"/>
        <v>85</v>
      </c>
      <c r="E988" t="str">
        <f>'(Raw) LensesGH'!C988</f>
        <v>1:1.5</v>
      </c>
      <c r="F988" s="9">
        <f t="shared" si="138"/>
        <v>1.5</v>
      </c>
      <c r="G988" s="9">
        <f t="shared" si="139"/>
        <v>1.5</v>
      </c>
      <c r="H988">
        <f>'(Raw) LensesGH'!D988</f>
        <v>0</v>
      </c>
      <c r="I988" s="2">
        <f t="shared" si="140"/>
        <v>0</v>
      </c>
      <c r="J988" s="2">
        <f>'(Raw) LensesGH'!E988</f>
        <v>0</v>
      </c>
      <c r="K988" s="40">
        <f t="shared" si="141"/>
        <v>0</v>
      </c>
      <c r="L988" t="str">
        <f>'(Raw) LensesGH'!F988</f>
        <v>Canon EF</v>
      </c>
      <c r="M988" t="str">
        <f>'(Raw) LensesGH'!G988</f>
        <v>APS-C/ Kleinbild</v>
      </c>
      <c r="N988" t="str">
        <f>'(Raw) LensesGH'!H988</f>
        <v>577g</v>
      </c>
      <c r="O988" s="5">
        <f t="shared" si="142"/>
        <v>577</v>
      </c>
      <c r="P988" t="str">
        <f>'(Raw) LensesGH'!I988</f>
        <v>78 x 75mm</v>
      </c>
      <c r="Q988" s="39">
        <f t="shared" si="143"/>
        <v>78</v>
      </c>
      <c r="R988" s="39">
        <f t="shared" si="135"/>
        <v>75</v>
      </c>
    </row>
    <row r="989" spans="1:18" x14ac:dyDescent="0.25">
      <c r="A989" t="str">
        <f>'(Raw) LensesGH'!A989</f>
        <v>Samyang 85mm T1.5 AS IF UMC VDSLR für Nikon F schwarz</v>
      </c>
      <c r="B989" t="str">
        <f>'(Raw) LensesGH'!B989</f>
        <v>85mm</v>
      </c>
      <c r="C989" s="5">
        <f t="shared" si="136"/>
        <v>85</v>
      </c>
      <c r="D989" s="5">
        <f t="shared" si="137"/>
        <v>85</v>
      </c>
      <c r="E989" t="str">
        <f>'(Raw) LensesGH'!C989</f>
        <v>1:1.5</v>
      </c>
      <c r="F989" s="9">
        <f t="shared" si="138"/>
        <v>1.5</v>
      </c>
      <c r="G989" s="9">
        <f t="shared" si="139"/>
        <v>1.5</v>
      </c>
      <c r="H989">
        <f>'(Raw) LensesGH'!D989</f>
        <v>0</v>
      </c>
      <c r="I989" s="2">
        <f t="shared" si="140"/>
        <v>0</v>
      </c>
      <c r="J989" s="2">
        <f>'(Raw) LensesGH'!E989</f>
        <v>0</v>
      </c>
      <c r="K989" s="40">
        <f t="shared" si="141"/>
        <v>0</v>
      </c>
      <c r="L989" t="str">
        <f>'(Raw) LensesGH'!F989</f>
        <v>Nikon F</v>
      </c>
      <c r="M989" t="str">
        <f>'(Raw) LensesGH'!G989</f>
        <v>APS-C/ Kleinbild</v>
      </c>
      <c r="N989" t="str">
        <f>'(Raw) LensesGH'!H989</f>
        <v>577g</v>
      </c>
      <c r="O989" s="5">
        <f t="shared" si="142"/>
        <v>577</v>
      </c>
      <c r="P989" t="str">
        <f>'(Raw) LensesGH'!I989</f>
        <v>78 x 75mm</v>
      </c>
      <c r="Q989" s="39">
        <f t="shared" si="143"/>
        <v>78</v>
      </c>
      <c r="R989" s="39">
        <f t="shared" si="135"/>
        <v>75</v>
      </c>
    </row>
    <row r="990" spans="1:18" x14ac:dyDescent="0.25">
      <c r="A990" t="str">
        <f>'(Raw) LensesGH'!A990</f>
        <v>Samyang 85mm T1.5 AS IF UMC VDSLR für Sony A schwarz</v>
      </c>
      <c r="B990" t="str">
        <f>'(Raw) LensesGH'!B990</f>
        <v>85mm</v>
      </c>
      <c r="C990" s="5">
        <f t="shared" si="136"/>
        <v>85</v>
      </c>
      <c r="D990" s="5">
        <f t="shared" si="137"/>
        <v>85</v>
      </c>
      <c r="E990" t="str">
        <f>'(Raw) LensesGH'!C990</f>
        <v>1:1.5</v>
      </c>
      <c r="F990" s="9">
        <f t="shared" si="138"/>
        <v>1.5</v>
      </c>
      <c r="G990" s="9">
        <f t="shared" si="139"/>
        <v>1.5</v>
      </c>
      <c r="H990">
        <f>'(Raw) LensesGH'!D990</f>
        <v>0</v>
      </c>
      <c r="I990" s="2">
        <f t="shared" si="140"/>
        <v>0</v>
      </c>
      <c r="J990" s="2">
        <f>'(Raw) LensesGH'!E990</f>
        <v>0</v>
      </c>
      <c r="K990" s="40">
        <f t="shared" si="141"/>
        <v>0</v>
      </c>
      <c r="L990" t="str">
        <f>'(Raw) LensesGH'!F990</f>
        <v>Sony A</v>
      </c>
      <c r="M990" t="str">
        <f>'(Raw) LensesGH'!G990</f>
        <v>APS-C/ Kleinbild</v>
      </c>
      <c r="N990" t="str">
        <f>'(Raw) LensesGH'!H990</f>
        <v>577g</v>
      </c>
      <c r="O990" s="5">
        <f t="shared" si="142"/>
        <v>577</v>
      </c>
      <c r="P990" t="str">
        <f>'(Raw) LensesGH'!I990</f>
        <v>78 x 75mm</v>
      </c>
      <c r="Q990" s="39">
        <f t="shared" si="143"/>
        <v>78</v>
      </c>
      <c r="R990" s="39">
        <f t="shared" si="135"/>
        <v>75</v>
      </c>
    </row>
    <row r="991" spans="1:18" x14ac:dyDescent="0.25">
      <c r="A991" t="str">
        <f>'(Raw) LensesGH'!A991</f>
        <v>Samyang 85mm T1.5 AS IF UMC VDSLR für Sony E schwarz</v>
      </c>
      <c r="B991" t="str">
        <f>'(Raw) LensesGH'!B991</f>
        <v>85mm</v>
      </c>
      <c r="C991" s="5">
        <f t="shared" si="136"/>
        <v>85</v>
      </c>
      <c r="D991" s="5">
        <f t="shared" si="137"/>
        <v>85</v>
      </c>
      <c r="E991" t="str">
        <f>'(Raw) LensesGH'!C991</f>
        <v>1:1.5</v>
      </c>
      <c r="F991" s="9">
        <f t="shared" si="138"/>
        <v>1.5</v>
      </c>
      <c r="G991" s="9">
        <f t="shared" si="139"/>
        <v>1.5</v>
      </c>
      <c r="H991">
        <f>'(Raw) LensesGH'!D991</f>
        <v>0</v>
      </c>
      <c r="I991" s="2">
        <f t="shared" si="140"/>
        <v>0</v>
      </c>
      <c r="J991" s="2">
        <f>'(Raw) LensesGH'!E991</f>
        <v>0</v>
      </c>
      <c r="K991" s="40">
        <f t="shared" si="141"/>
        <v>0</v>
      </c>
      <c r="L991" t="str">
        <f>'(Raw) LensesGH'!F991</f>
        <v>Sony E</v>
      </c>
      <c r="M991" t="str">
        <f>'(Raw) LensesGH'!G991</f>
        <v>APS-C</v>
      </c>
      <c r="N991" t="str">
        <f>'(Raw) LensesGH'!H991</f>
        <v>577g</v>
      </c>
      <c r="O991" s="5">
        <f t="shared" si="142"/>
        <v>577</v>
      </c>
      <c r="P991" t="str">
        <f>'(Raw) LensesGH'!I991</f>
        <v>78 x 75mm</v>
      </c>
      <c r="Q991" s="39">
        <f t="shared" si="143"/>
        <v>78</v>
      </c>
      <c r="R991" s="39">
        <f t="shared" si="135"/>
        <v>75</v>
      </c>
    </row>
    <row r="992" spans="1:18" x14ac:dyDescent="0.25">
      <c r="A992" t="str">
        <f>'(Raw) LensesGH'!A992</f>
        <v>Samyang 8mm 2.8 ED AS IF UMC Fisheye für Samsung NX schwarz</v>
      </c>
      <c r="B992" t="str">
        <f>'(Raw) LensesGH'!B992</f>
        <v>8mm</v>
      </c>
      <c r="C992" s="5">
        <f t="shared" si="136"/>
        <v>8</v>
      </c>
      <c r="D992" s="5">
        <f t="shared" si="137"/>
        <v>8</v>
      </c>
      <c r="E992" t="str">
        <f>'(Raw) LensesGH'!C992</f>
        <v>1:2.8</v>
      </c>
      <c r="F992" s="9">
        <f t="shared" si="138"/>
        <v>2.8</v>
      </c>
      <c r="G992" s="9">
        <f t="shared" si="139"/>
        <v>2.8</v>
      </c>
      <c r="H992">
        <f>'(Raw) LensesGH'!D992</f>
        <v>0</v>
      </c>
      <c r="I992" s="2">
        <f t="shared" si="140"/>
        <v>0</v>
      </c>
      <c r="J992" s="2">
        <f>'(Raw) LensesGH'!E992</f>
        <v>0</v>
      </c>
      <c r="K992" s="40">
        <f t="shared" si="141"/>
        <v>0</v>
      </c>
      <c r="L992" t="str">
        <f>'(Raw) LensesGH'!F992</f>
        <v>Samsung NX</v>
      </c>
      <c r="M992" t="str">
        <f>'(Raw) LensesGH'!G992</f>
        <v>APS-C</v>
      </c>
      <c r="N992" t="str">
        <f>'(Raw) LensesGH'!H992</f>
        <v>203g</v>
      </c>
      <c r="O992" s="5">
        <f t="shared" si="142"/>
        <v>203</v>
      </c>
      <c r="P992" t="str">
        <f>'(Raw) LensesGH'!I992</f>
        <v>60 x 48.3mm</v>
      </c>
      <c r="Q992" s="39">
        <f t="shared" si="143"/>
        <v>60</v>
      </c>
      <c r="R992" s="39">
        <f t="shared" si="135"/>
        <v>48.3</v>
      </c>
    </row>
    <row r="993" spans="1:18" x14ac:dyDescent="0.25">
      <c r="A993" t="str">
        <f>'(Raw) LensesGH'!A993</f>
        <v>Samyang 8mm 2.8 UMC Fisheye II für Canon EF-M schwarz</v>
      </c>
      <c r="B993" t="str">
        <f>'(Raw) LensesGH'!B993</f>
        <v>8mm</v>
      </c>
      <c r="C993" s="5">
        <f t="shared" si="136"/>
        <v>8</v>
      </c>
      <c r="D993" s="5">
        <f t="shared" si="137"/>
        <v>8</v>
      </c>
      <c r="E993" t="str">
        <f>'(Raw) LensesGH'!C993</f>
        <v>1:2.8</v>
      </c>
      <c r="F993" s="9">
        <f t="shared" si="138"/>
        <v>2.8</v>
      </c>
      <c r="G993" s="9">
        <f t="shared" si="139"/>
        <v>2.8</v>
      </c>
      <c r="H993">
        <f>'(Raw) LensesGH'!D993</f>
        <v>0</v>
      </c>
      <c r="I993" s="2">
        <f t="shared" si="140"/>
        <v>0</v>
      </c>
      <c r="J993" s="2">
        <f>'(Raw) LensesGH'!E993</f>
        <v>0</v>
      </c>
      <c r="K993" s="40">
        <f t="shared" si="141"/>
        <v>0</v>
      </c>
      <c r="L993" t="str">
        <f>'(Raw) LensesGH'!F993</f>
        <v>Canon EF-M</v>
      </c>
      <c r="M993" t="str">
        <f>'(Raw) LensesGH'!G993</f>
        <v>APS-C</v>
      </c>
      <c r="N993" t="str">
        <f>'(Raw) LensesGH'!H993</f>
        <v>260g</v>
      </c>
      <c r="O993" s="5">
        <f t="shared" si="142"/>
        <v>260</v>
      </c>
      <c r="P993" t="str">
        <f>'(Raw) LensesGH'!I993</f>
        <v>60 x 64.4mm</v>
      </c>
      <c r="Q993" s="39">
        <f t="shared" si="143"/>
        <v>60</v>
      </c>
      <c r="R993" s="39">
        <f t="shared" si="135"/>
        <v>64.400000000000006</v>
      </c>
    </row>
    <row r="994" spans="1:18" x14ac:dyDescent="0.25">
      <c r="A994" t="str">
        <f>'(Raw) LensesGH'!A994</f>
        <v>Samyang 8mm 2.8 UMC Fisheye II für Canon EF-M silber</v>
      </c>
      <c r="B994" t="str">
        <f>'(Raw) LensesGH'!B994</f>
        <v>8mm</v>
      </c>
      <c r="C994" s="5">
        <f t="shared" si="136"/>
        <v>8</v>
      </c>
      <c r="D994" s="5">
        <f t="shared" si="137"/>
        <v>8</v>
      </c>
      <c r="E994" t="str">
        <f>'(Raw) LensesGH'!C994</f>
        <v>1:2.8</v>
      </c>
      <c r="F994" s="9">
        <f t="shared" si="138"/>
        <v>2.8</v>
      </c>
      <c r="G994" s="9">
        <f t="shared" si="139"/>
        <v>2.8</v>
      </c>
      <c r="H994">
        <f>'(Raw) LensesGH'!D994</f>
        <v>0</v>
      </c>
      <c r="I994" s="2">
        <f t="shared" si="140"/>
        <v>0</v>
      </c>
      <c r="J994" s="2">
        <f>'(Raw) LensesGH'!E994</f>
        <v>0</v>
      </c>
      <c r="K994" s="40">
        <f t="shared" si="141"/>
        <v>0</v>
      </c>
      <c r="L994" t="str">
        <f>'(Raw) LensesGH'!F994</f>
        <v>Canon EF-M</v>
      </c>
      <c r="M994" t="str">
        <f>'(Raw) LensesGH'!G994</f>
        <v>APS-C</v>
      </c>
      <c r="N994" t="str">
        <f>'(Raw) LensesGH'!H994</f>
        <v>260g</v>
      </c>
      <c r="O994" s="5">
        <f t="shared" si="142"/>
        <v>260</v>
      </c>
      <c r="P994" t="str">
        <f>'(Raw) LensesGH'!I994</f>
        <v>60 x 64.4mm</v>
      </c>
      <c r="Q994" s="39">
        <f t="shared" si="143"/>
        <v>60</v>
      </c>
      <c r="R994" s="39">
        <f t="shared" si="135"/>
        <v>64.400000000000006</v>
      </c>
    </row>
    <row r="995" spans="1:18" x14ac:dyDescent="0.25">
      <c r="A995" t="str">
        <f>'(Raw) LensesGH'!A995</f>
        <v>Samyang 8mm 2.8 UMC Fisheye II für Fujifilm X schwarz</v>
      </c>
      <c r="B995" t="str">
        <f>'(Raw) LensesGH'!B995</f>
        <v>8mm</v>
      </c>
      <c r="C995" s="5">
        <f t="shared" si="136"/>
        <v>8</v>
      </c>
      <c r="D995" s="5">
        <f t="shared" si="137"/>
        <v>8</v>
      </c>
      <c r="E995" t="str">
        <f>'(Raw) LensesGH'!C995</f>
        <v>1:2.8</v>
      </c>
      <c r="F995" s="9">
        <f t="shared" si="138"/>
        <v>2.8</v>
      </c>
      <c r="G995" s="9">
        <f t="shared" si="139"/>
        <v>2.8</v>
      </c>
      <c r="H995">
        <f>'(Raw) LensesGH'!D995</f>
        <v>0</v>
      </c>
      <c r="I995" s="2">
        <f t="shared" si="140"/>
        <v>0</v>
      </c>
      <c r="J995" s="2">
        <f>'(Raw) LensesGH'!E995</f>
        <v>0</v>
      </c>
      <c r="K995" s="40">
        <f t="shared" si="141"/>
        <v>0</v>
      </c>
      <c r="L995" t="str">
        <f>'(Raw) LensesGH'!F995</f>
        <v>Fujifilm X</v>
      </c>
      <c r="M995" t="str">
        <f>'(Raw) LensesGH'!G995</f>
        <v>APS-C</v>
      </c>
      <c r="N995" t="str">
        <f>'(Raw) LensesGH'!H995</f>
        <v>275g</v>
      </c>
      <c r="O995" s="5">
        <f t="shared" si="142"/>
        <v>275</v>
      </c>
      <c r="P995" t="str">
        <f>'(Raw) LensesGH'!I995</f>
        <v>60 x 64.8mm</v>
      </c>
      <c r="Q995" s="39">
        <f t="shared" si="143"/>
        <v>60</v>
      </c>
      <c r="R995" s="39">
        <f t="shared" si="135"/>
        <v>64.8</v>
      </c>
    </row>
    <row r="996" spans="1:18" x14ac:dyDescent="0.25">
      <c r="A996" t="str">
        <f>'(Raw) LensesGH'!A996</f>
        <v>Samyang 8mm 2.8 UMC Fisheye II für Fujifilm X silber</v>
      </c>
      <c r="B996" t="str">
        <f>'(Raw) LensesGH'!B996</f>
        <v>8mm</v>
      </c>
      <c r="C996" s="5">
        <f t="shared" si="136"/>
        <v>8</v>
      </c>
      <c r="D996" s="5">
        <f t="shared" si="137"/>
        <v>8</v>
      </c>
      <c r="E996" t="str">
        <f>'(Raw) LensesGH'!C996</f>
        <v>1:2.8</v>
      </c>
      <c r="F996" s="9">
        <f t="shared" si="138"/>
        <v>2.8</v>
      </c>
      <c r="G996" s="9">
        <f t="shared" si="139"/>
        <v>2.8</v>
      </c>
      <c r="H996">
        <f>'(Raw) LensesGH'!D996</f>
        <v>0</v>
      </c>
      <c r="I996" s="2">
        <f t="shared" si="140"/>
        <v>0</v>
      </c>
      <c r="J996" s="2">
        <f>'(Raw) LensesGH'!E996</f>
        <v>0</v>
      </c>
      <c r="K996" s="40">
        <f t="shared" si="141"/>
        <v>0</v>
      </c>
      <c r="L996" t="str">
        <f>'(Raw) LensesGH'!F996</f>
        <v>Fujifilm X</v>
      </c>
      <c r="M996" t="str">
        <f>'(Raw) LensesGH'!G996</f>
        <v>APS-C</v>
      </c>
      <c r="N996" t="str">
        <f>'(Raw) LensesGH'!H996</f>
        <v>275g</v>
      </c>
      <c r="O996" s="5">
        <f t="shared" si="142"/>
        <v>275</v>
      </c>
      <c r="P996" t="str">
        <f>'(Raw) LensesGH'!I996</f>
        <v>60 x 64.8mm</v>
      </c>
      <c r="Q996" s="39">
        <f t="shared" si="143"/>
        <v>60</v>
      </c>
      <c r="R996" s="39">
        <f t="shared" si="135"/>
        <v>64.8</v>
      </c>
    </row>
    <row r="997" spans="1:18" x14ac:dyDescent="0.25">
      <c r="A997" t="str">
        <f>'(Raw) LensesGH'!A997</f>
        <v>Samyang 8mm 2.8 UMC Fisheye II für Samsung NX schwarz</v>
      </c>
      <c r="B997" t="str">
        <f>'(Raw) LensesGH'!B997</f>
        <v>8mm</v>
      </c>
      <c r="C997" s="5">
        <f t="shared" si="136"/>
        <v>8</v>
      </c>
      <c r="D997" s="5">
        <f t="shared" si="137"/>
        <v>8</v>
      </c>
      <c r="E997" t="str">
        <f>'(Raw) LensesGH'!C997</f>
        <v>1:2.8</v>
      </c>
      <c r="F997" s="9">
        <f t="shared" si="138"/>
        <v>2.8</v>
      </c>
      <c r="G997" s="9">
        <f t="shared" si="139"/>
        <v>2.8</v>
      </c>
      <c r="H997">
        <f>'(Raw) LensesGH'!D997</f>
        <v>0</v>
      </c>
      <c r="I997" s="2">
        <f t="shared" si="140"/>
        <v>0</v>
      </c>
      <c r="J997" s="2">
        <f>'(Raw) LensesGH'!E997</f>
        <v>0</v>
      </c>
      <c r="K997" s="40">
        <f t="shared" si="141"/>
        <v>0</v>
      </c>
      <c r="L997" t="str">
        <f>'(Raw) LensesGH'!F997</f>
        <v>Samsung NX</v>
      </c>
      <c r="M997" t="str">
        <f>'(Raw) LensesGH'!G997</f>
        <v>APS-C</v>
      </c>
      <c r="N997" t="str">
        <f>'(Raw) LensesGH'!H997</f>
        <v>250g</v>
      </c>
      <c r="O997" s="5">
        <f t="shared" si="142"/>
        <v>250</v>
      </c>
      <c r="P997" t="str">
        <f>'(Raw) LensesGH'!I997</f>
        <v>60 x 57mm</v>
      </c>
      <c r="Q997" s="39">
        <f t="shared" si="143"/>
        <v>60</v>
      </c>
      <c r="R997" s="39">
        <f t="shared" si="135"/>
        <v>57</v>
      </c>
    </row>
    <row r="998" spans="1:18" x14ac:dyDescent="0.25">
      <c r="A998" t="str">
        <f>'(Raw) LensesGH'!A998</f>
        <v>Samyang 8mm 2.8 UMC Fisheye II für Samsung NX silber</v>
      </c>
      <c r="B998" t="str">
        <f>'(Raw) LensesGH'!B998</f>
        <v>8mm</v>
      </c>
      <c r="C998" s="5">
        <f t="shared" si="136"/>
        <v>8</v>
      </c>
      <c r="D998" s="5">
        <f t="shared" si="137"/>
        <v>8</v>
      </c>
      <c r="E998" t="str">
        <f>'(Raw) LensesGH'!C998</f>
        <v>1:2.8</v>
      </c>
      <c r="F998" s="9">
        <f t="shared" si="138"/>
        <v>2.8</v>
      </c>
      <c r="G998" s="9">
        <f t="shared" si="139"/>
        <v>2.8</v>
      </c>
      <c r="H998">
        <f>'(Raw) LensesGH'!D998</f>
        <v>0</v>
      </c>
      <c r="I998" s="2">
        <f t="shared" si="140"/>
        <v>0</v>
      </c>
      <c r="J998" s="2">
        <f>'(Raw) LensesGH'!E998</f>
        <v>0</v>
      </c>
      <c r="K998" s="40">
        <f t="shared" si="141"/>
        <v>0</v>
      </c>
      <c r="L998" t="str">
        <f>'(Raw) LensesGH'!F998</f>
        <v>Samsung NX</v>
      </c>
      <c r="M998" t="str">
        <f>'(Raw) LensesGH'!G998</f>
        <v>APS-C</v>
      </c>
      <c r="N998" t="str">
        <f>'(Raw) LensesGH'!H998</f>
        <v>250g</v>
      </c>
      <c r="O998" s="5">
        <f t="shared" si="142"/>
        <v>250</v>
      </c>
      <c r="P998" t="str">
        <f>'(Raw) LensesGH'!I998</f>
        <v>60 x 57mm</v>
      </c>
      <c r="Q998" s="39">
        <f t="shared" si="143"/>
        <v>60</v>
      </c>
      <c r="R998" s="39">
        <f t="shared" si="135"/>
        <v>57</v>
      </c>
    </row>
    <row r="999" spans="1:18" x14ac:dyDescent="0.25">
      <c r="A999" t="str">
        <f>'(Raw) LensesGH'!A999</f>
        <v>Samyang 8mm 2.8 UMC Fisheye II für Sony E schwarz</v>
      </c>
      <c r="B999" t="str">
        <f>'(Raw) LensesGH'!B999</f>
        <v>8mm</v>
      </c>
      <c r="C999" s="5">
        <f t="shared" si="136"/>
        <v>8</v>
      </c>
      <c r="D999" s="5">
        <f t="shared" si="137"/>
        <v>8</v>
      </c>
      <c r="E999" t="str">
        <f>'(Raw) LensesGH'!C999</f>
        <v>1:2.8</v>
      </c>
      <c r="F999" s="9">
        <f t="shared" si="138"/>
        <v>2.8</v>
      </c>
      <c r="G999" s="9">
        <f t="shared" si="139"/>
        <v>2.8</v>
      </c>
      <c r="H999">
        <f>'(Raw) LensesGH'!D999</f>
        <v>0</v>
      </c>
      <c r="I999" s="2">
        <f t="shared" si="140"/>
        <v>0</v>
      </c>
      <c r="J999" s="2">
        <f>'(Raw) LensesGH'!E999</f>
        <v>0</v>
      </c>
      <c r="K999" s="40">
        <f t="shared" si="141"/>
        <v>0</v>
      </c>
      <c r="L999" t="str">
        <f>'(Raw) LensesGH'!F999</f>
        <v>Sony E</v>
      </c>
      <c r="M999" t="str">
        <f>'(Raw) LensesGH'!G999</f>
        <v>APS-C</v>
      </c>
      <c r="N999" t="str">
        <f>'(Raw) LensesGH'!H999</f>
        <v>265g</v>
      </c>
      <c r="O999" s="5">
        <f t="shared" si="142"/>
        <v>265</v>
      </c>
      <c r="P999" t="str">
        <f>'(Raw) LensesGH'!I999</f>
        <v>60 x 64.5mm</v>
      </c>
      <c r="Q999" s="39">
        <f t="shared" si="143"/>
        <v>60</v>
      </c>
      <c r="R999" s="39">
        <f t="shared" si="135"/>
        <v>64.5</v>
      </c>
    </row>
    <row r="1000" spans="1:18" x14ac:dyDescent="0.25">
      <c r="A1000" t="str">
        <f>'(Raw) LensesGH'!A1000</f>
        <v>Samyang 8mm 2.8 UMC Fisheye II für Sony E silber</v>
      </c>
      <c r="B1000" t="str">
        <f>'(Raw) LensesGH'!B1000</f>
        <v>8mm</v>
      </c>
      <c r="C1000" s="5">
        <f t="shared" si="136"/>
        <v>8</v>
      </c>
      <c r="D1000" s="5">
        <f t="shared" si="137"/>
        <v>8</v>
      </c>
      <c r="E1000" t="str">
        <f>'(Raw) LensesGH'!C1000</f>
        <v>1:2.8</v>
      </c>
      <c r="F1000" s="9">
        <f t="shared" si="138"/>
        <v>2.8</v>
      </c>
      <c r="G1000" s="9">
        <f t="shared" si="139"/>
        <v>2.8</v>
      </c>
      <c r="H1000">
        <f>'(Raw) LensesGH'!D1000</f>
        <v>0</v>
      </c>
      <c r="I1000" s="2">
        <f t="shared" si="140"/>
        <v>0</v>
      </c>
      <c r="J1000" s="2">
        <f>'(Raw) LensesGH'!E1000</f>
        <v>0</v>
      </c>
      <c r="K1000" s="40">
        <f t="shared" si="141"/>
        <v>0</v>
      </c>
      <c r="L1000" t="str">
        <f>'(Raw) LensesGH'!F1000</f>
        <v>Sony E</v>
      </c>
      <c r="M1000" t="str">
        <f>'(Raw) LensesGH'!G1000</f>
        <v>APS-C</v>
      </c>
      <c r="N1000" t="str">
        <f>'(Raw) LensesGH'!H1000</f>
        <v>265g</v>
      </c>
      <c r="O1000" s="5">
        <f t="shared" si="142"/>
        <v>265</v>
      </c>
      <c r="P1000" t="str">
        <f>'(Raw) LensesGH'!I1000</f>
        <v>60 x 64.5mm</v>
      </c>
      <c r="Q1000" s="39">
        <f t="shared" si="143"/>
        <v>60</v>
      </c>
      <c r="R1000" s="39">
        <f t="shared" si="135"/>
        <v>64.5</v>
      </c>
    </row>
    <row r="1001" spans="1:18" x14ac:dyDescent="0.25">
      <c r="A1001" t="str">
        <f>'(Raw) LensesGH'!A1001</f>
        <v>Samyang 8mm 3.5 Asph IF MC Fisheye für Canon EF schwarz</v>
      </c>
      <c r="B1001" t="str">
        <f>'(Raw) LensesGH'!B1001</f>
        <v>8mm</v>
      </c>
      <c r="C1001" s="5">
        <f t="shared" si="136"/>
        <v>8</v>
      </c>
      <c r="D1001" s="5">
        <f t="shared" si="137"/>
        <v>8</v>
      </c>
      <c r="E1001" t="str">
        <f>'(Raw) LensesGH'!C1001</f>
        <v>1:3.5</v>
      </c>
      <c r="F1001" s="9">
        <f t="shared" si="138"/>
        <v>3.5</v>
      </c>
      <c r="G1001" s="9">
        <f t="shared" si="139"/>
        <v>3.5</v>
      </c>
      <c r="H1001">
        <f>'(Raw) LensesGH'!D1001</f>
        <v>0</v>
      </c>
      <c r="I1001" s="2">
        <f t="shared" si="140"/>
        <v>0</v>
      </c>
      <c r="J1001" s="2">
        <f>'(Raw) LensesGH'!E1001</f>
        <v>0</v>
      </c>
      <c r="K1001" s="40">
        <f t="shared" si="141"/>
        <v>0</v>
      </c>
      <c r="L1001" t="str">
        <f>'(Raw) LensesGH'!F1001</f>
        <v>Canon EF</v>
      </c>
      <c r="M1001" t="str">
        <f>'(Raw) LensesGH'!G1001</f>
        <v>APS-C</v>
      </c>
      <c r="N1001" t="str">
        <f>'(Raw) LensesGH'!H1001</f>
        <v>435g</v>
      </c>
      <c r="O1001" s="5">
        <f t="shared" si="142"/>
        <v>435</v>
      </c>
      <c r="P1001" t="str">
        <f>'(Raw) LensesGH'!I1001</f>
        <v>75 x 74.8mm</v>
      </c>
      <c r="Q1001" s="39">
        <f t="shared" si="143"/>
        <v>75</v>
      </c>
      <c r="R1001" s="39">
        <f t="shared" si="135"/>
        <v>74.8</v>
      </c>
    </row>
    <row r="1002" spans="1:18" x14ac:dyDescent="0.25">
      <c r="A1002" t="str">
        <f>'(Raw) LensesGH'!A1002</f>
        <v>Samyang 8mm 3.5 Asph IF MC Fisheye für Four-Thirds schwarz</v>
      </c>
      <c r="B1002" t="str">
        <f>'(Raw) LensesGH'!B1002</f>
        <v>8mm</v>
      </c>
      <c r="C1002" s="5">
        <f t="shared" si="136"/>
        <v>8</v>
      </c>
      <c r="D1002" s="5">
        <f t="shared" si="137"/>
        <v>8</v>
      </c>
      <c r="E1002" t="str">
        <f>'(Raw) LensesGH'!C1002</f>
        <v>1:3.5</v>
      </c>
      <c r="F1002" s="9">
        <f t="shared" si="138"/>
        <v>3.5</v>
      </c>
      <c r="G1002" s="9">
        <f t="shared" si="139"/>
        <v>3.5</v>
      </c>
      <c r="H1002">
        <f>'(Raw) LensesGH'!D1002</f>
        <v>0</v>
      </c>
      <c r="I1002" s="2">
        <f t="shared" si="140"/>
        <v>0</v>
      </c>
      <c r="J1002" s="2">
        <f>'(Raw) LensesGH'!E1002</f>
        <v>0</v>
      </c>
      <c r="K1002" s="40">
        <f t="shared" si="141"/>
        <v>0</v>
      </c>
      <c r="L1002" t="str">
        <f>'(Raw) LensesGH'!F1002</f>
        <v>Four-Thirds</v>
      </c>
      <c r="M1002" t="str">
        <f>'(Raw) LensesGH'!G1002</f>
        <v>APS-C</v>
      </c>
      <c r="N1002" t="str">
        <f>'(Raw) LensesGH'!H1002</f>
        <v>435g</v>
      </c>
      <c r="O1002" s="5">
        <f t="shared" si="142"/>
        <v>435</v>
      </c>
      <c r="P1002" t="str">
        <f>'(Raw) LensesGH'!I1002</f>
        <v>75 x 74.8mm</v>
      </c>
      <c r="Q1002" s="39">
        <f t="shared" si="143"/>
        <v>75</v>
      </c>
      <c r="R1002" s="39">
        <f t="shared" si="135"/>
        <v>74.8</v>
      </c>
    </row>
    <row r="1003" spans="1:18" x14ac:dyDescent="0.25">
      <c r="A1003" t="str">
        <f>'(Raw) LensesGH'!A1003</f>
        <v>Samyang 8mm 3.5 Asph IF MC Fisheye für Sony A schwarz</v>
      </c>
      <c r="B1003" t="str">
        <f>'(Raw) LensesGH'!B1003</f>
        <v>8mm</v>
      </c>
      <c r="C1003" s="5">
        <f t="shared" si="136"/>
        <v>8</v>
      </c>
      <c r="D1003" s="5">
        <f t="shared" si="137"/>
        <v>8</v>
      </c>
      <c r="E1003" t="str">
        <f>'(Raw) LensesGH'!C1003</f>
        <v>1:3.5</v>
      </c>
      <c r="F1003" s="9">
        <f t="shared" si="138"/>
        <v>3.5</v>
      </c>
      <c r="G1003" s="9">
        <f t="shared" si="139"/>
        <v>3.5</v>
      </c>
      <c r="H1003">
        <f>'(Raw) LensesGH'!D1003</f>
        <v>0</v>
      </c>
      <c r="I1003" s="2">
        <f t="shared" si="140"/>
        <v>0</v>
      </c>
      <c r="J1003" s="2">
        <f>'(Raw) LensesGH'!E1003</f>
        <v>0</v>
      </c>
      <c r="K1003" s="40">
        <f t="shared" si="141"/>
        <v>0</v>
      </c>
      <c r="L1003" t="str">
        <f>'(Raw) LensesGH'!F1003</f>
        <v>Sony A</v>
      </c>
      <c r="M1003" t="str">
        <f>'(Raw) LensesGH'!G1003</f>
        <v>APS-C</v>
      </c>
      <c r="N1003" t="str">
        <f>'(Raw) LensesGH'!H1003</f>
        <v>435g</v>
      </c>
      <c r="O1003" s="5">
        <f t="shared" si="142"/>
        <v>435</v>
      </c>
      <c r="P1003" t="str">
        <f>'(Raw) LensesGH'!I1003</f>
        <v>75 x 74.8mm</v>
      </c>
      <c r="Q1003" s="39">
        <f t="shared" si="143"/>
        <v>75</v>
      </c>
      <c r="R1003" s="39">
        <f t="shared" si="135"/>
        <v>74.8</v>
      </c>
    </row>
    <row r="1004" spans="1:18" x14ac:dyDescent="0.25">
      <c r="A1004" t="str">
        <f>'(Raw) LensesGH'!A1004</f>
        <v>Samyang 8mm 3.5 Asph IF MC Fisheye für Sony E schwarz</v>
      </c>
      <c r="B1004" t="str">
        <f>'(Raw) LensesGH'!B1004</f>
        <v>8mm</v>
      </c>
      <c r="C1004" s="5">
        <f t="shared" si="136"/>
        <v>8</v>
      </c>
      <c r="D1004" s="5">
        <f t="shared" si="137"/>
        <v>8</v>
      </c>
      <c r="E1004" t="str">
        <f>'(Raw) LensesGH'!C1004</f>
        <v>1:3.5</v>
      </c>
      <c r="F1004" s="9">
        <f t="shared" si="138"/>
        <v>3.5</v>
      </c>
      <c r="G1004" s="9">
        <f t="shared" si="139"/>
        <v>3.5</v>
      </c>
      <c r="H1004">
        <f>'(Raw) LensesGH'!D1004</f>
        <v>0</v>
      </c>
      <c r="I1004" s="2">
        <f t="shared" si="140"/>
        <v>0</v>
      </c>
      <c r="J1004" s="2">
        <f>'(Raw) LensesGH'!E1004</f>
        <v>0</v>
      </c>
      <c r="K1004" s="40">
        <f t="shared" si="141"/>
        <v>0</v>
      </c>
      <c r="L1004" t="str">
        <f>'(Raw) LensesGH'!F1004</f>
        <v>Sony E</v>
      </c>
      <c r="M1004" t="str">
        <f>'(Raw) LensesGH'!G1004</f>
        <v>APS-C</v>
      </c>
      <c r="N1004" t="str">
        <f>'(Raw) LensesGH'!H1004</f>
        <v>435g</v>
      </c>
      <c r="O1004" s="5">
        <f t="shared" si="142"/>
        <v>435</v>
      </c>
      <c r="P1004" t="str">
        <f>'(Raw) LensesGH'!I1004</f>
        <v>75 x 74.8mm</v>
      </c>
      <c r="Q1004" s="39">
        <f t="shared" si="143"/>
        <v>75</v>
      </c>
      <c r="R1004" s="39">
        <f t="shared" si="135"/>
        <v>74.8</v>
      </c>
    </row>
    <row r="1005" spans="1:18" x14ac:dyDescent="0.25">
      <c r="A1005" t="str">
        <f>'(Raw) LensesGH'!A1005</f>
        <v>Samyang 8mm 3.5 UMC Fisheye CS II für Canon EF schwarz</v>
      </c>
      <c r="B1005" t="str">
        <f>'(Raw) LensesGH'!B1005</f>
        <v>8mm</v>
      </c>
      <c r="C1005" s="5">
        <f t="shared" si="136"/>
        <v>8</v>
      </c>
      <c r="D1005" s="5">
        <f t="shared" si="137"/>
        <v>8</v>
      </c>
      <c r="E1005" t="str">
        <f>'(Raw) LensesGH'!C1005</f>
        <v>1:3.5</v>
      </c>
      <c r="F1005" s="9">
        <f t="shared" si="138"/>
        <v>3.5</v>
      </c>
      <c r="G1005" s="9">
        <f t="shared" si="139"/>
        <v>3.5</v>
      </c>
      <c r="H1005">
        <f>'(Raw) LensesGH'!D1005</f>
        <v>0</v>
      </c>
      <c r="I1005" s="2">
        <f t="shared" si="140"/>
        <v>0</v>
      </c>
      <c r="J1005" s="2">
        <f>'(Raw) LensesGH'!E1005</f>
        <v>0</v>
      </c>
      <c r="K1005" s="40">
        <f t="shared" si="141"/>
        <v>0</v>
      </c>
      <c r="L1005" t="str">
        <f>'(Raw) LensesGH'!F1005</f>
        <v>Canon EF</v>
      </c>
      <c r="M1005" t="str">
        <f>'(Raw) LensesGH'!G1005</f>
        <v>APS-C</v>
      </c>
      <c r="N1005" t="str">
        <f>'(Raw) LensesGH'!H1005</f>
        <v>440g</v>
      </c>
      <c r="O1005" s="5">
        <f t="shared" si="142"/>
        <v>440</v>
      </c>
      <c r="P1005" t="str">
        <f>'(Raw) LensesGH'!I1005</f>
        <v>77.8 x 75.1mm</v>
      </c>
      <c r="Q1005" s="39">
        <f t="shared" si="143"/>
        <v>77.8</v>
      </c>
      <c r="R1005" s="39">
        <f t="shared" si="135"/>
        <v>75.099999999999994</v>
      </c>
    </row>
    <row r="1006" spans="1:18" x14ac:dyDescent="0.25">
      <c r="A1006" t="str">
        <f>'(Raw) LensesGH'!A1006</f>
        <v>Samyang 8mm 3.5 UMC Fisheye CS II für Canon EF-M schwarz</v>
      </c>
      <c r="B1006" t="str">
        <f>'(Raw) LensesGH'!B1006</f>
        <v>8mm</v>
      </c>
      <c r="C1006" s="5">
        <f t="shared" si="136"/>
        <v>8</v>
      </c>
      <c r="D1006" s="5">
        <f t="shared" si="137"/>
        <v>8</v>
      </c>
      <c r="E1006" t="str">
        <f>'(Raw) LensesGH'!C1006</f>
        <v>1:3.5</v>
      </c>
      <c r="F1006" s="9">
        <f t="shared" si="138"/>
        <v>3.5</v>
      </c>
      <c r="G1006" s="9">
        <f t="shared" si="139"/>
        <v>3.5</v>
      </c>
      <c r="H1006">
        <f>'(Raw) LensesGH'!D1006</f>
        <v>0</v>
      </c>
      <c r="I1006" s="2">
        <f t="shared" si="140"/>
        <v>0</v>
      </c>
      <c r="J1006" s="2">
        <f>'(Raw) LensesGH'!E1006</f>
        <v>0</v>
      </c>
      <c r="K1006" s="40">
        <f t="shared" si="141"/>
        <v>0</v>
      </c>
      <c r="L1006" t="str">
        <f>'(Raw) LensesGH'!F1006</f>
        <v>Canon EF-M</v>
      </c>
      <c r="M1006" t="str">
        <f>'(Raw) LensesGH'!G1006</f>
        <v>APS-C</v>
      </c>
      <c r="N1006" t="str">
        <f>'(Raw) LensesGH'!H1006</f>
        <v>460g</v>
      </c>
      <c r="O1006" s="5">
        <f t="shared" si="142"/>
        <v>460</v>
      </c>
      <c r="P1006" t="str">
        <f>'(Raw) LensesGH'!I1006</f>
        <v>77.8 x 101mm</v>
      </c>
      <c r="Q1006" s="39">
        <f t="shared" si="143"/>
        <v>77.8</v>
      </c>
      <c r="R1006" s="39">
        <f t="shared" si="135"/>
        <v>101</v>
      </c>
    </row>
    <row r="1007" spans="1:18" x14ac:dyDescent="0.25">
      <c r="A1007" t="str">
        <f>'(Raw) LensesGH'!A1007</f>
        <v>Samyang 8mm 3.5 UMC Fisheye CS II für Four-Thirds schwarz</v>
      </c>
      <c r="B1007" t="str">
        <f>'(Raw) LensesGH'!B1007</f>
        <v>8mm</v>
      </c>
      <c r="C1007" s="5">
        <f t="shared" si="136"/>
        <v>8</v>
      </c>
      <c r="D1007" s="5">
        <f t="shared" si="137"/>
        <v>8</v>
      </c>
      <c r="E1007" t="str">
        <f>'(Raw) LensesGH'!C1007</f>
        <v>1:3.5</v>
      </c>
      <c r="F1007" s="9">
        <f t="shared" si="138"/>
        <v>3.5</v>
      </c>
      <c r="G1007" s="9">
        <f t="shared" si="139"/>
        <v>3.5</v>
      </c>
      <c r="H1007">
        <f>'(Raw) LensesGH'!D1007</f>
        <v>0</v>
      </c>
      <c r="I1007" s="2">
        <f t="shared" si="140"/>
        <v>0</v>
      </c>
      <c r="J1007" s="2">
        <f>'(Raw) LensesGH'!E1007</f>
        <v>0</v>
      </c>
      <c r="K1007" s="40">
        <f t="shared" si="141"/>
        <v>0</v>
      </c>
      <c r="L1007" t="str">
        <f>'(Raw) LensesGH'!F1007</f>
        <v>Four-Thirds</v>
      </c>
      <c r="M1007" t="str">
        <f>'(Raw) LensesGH'!G1007</f>
        <v>Four-Thirds</v>
      </c>
      <c r="N1007" t="str">
        <f>'(Raw) LensesGH'!H1007</f>
        <v>430g</v>
      </c>
      <c r="O1007" s="5">
        <f t="shared" si="142"/>
        <v>430</v>
      </c>
      <c r="P1007" t="str">
        <f>'(Raw) LensesGH'!I1007</f>
        <v>77.8 x 80.4mm</v>
      </c>
      <c r="Q1007" s="39">
        <f t="shared" si="143"/>
        <v>77.8</v>
      </c>
      <c r="R1007" s="39">
        <f t="shared" si="135"/>
        <v>80.400000000000006</v>
      </c>
    </row>
    <row r="1008" spans="1:18" x14ac:dyDescent="0.25">
      <c r="A1008" t="str">
        <f>'(Raw) LensesGH'!A1008</f>
        <v>Samyang 8mm 3.5 UMC Fisheye CS II für Fujifilm X schwarz</v>
      </c>
      <c r="B1008" t="str">
        <f>'(Raw) LensesGH'!B1008</f>
        <v>8mm</v>
      </c>
      <c r="C1008" s="5">
        <f t="shared" si="136"/>
        <v>8</v>
      </c>
      <c r="D1008" s="5">
        <f t="shared" si="137"/>
        <v>8</v>
      </c>
      <c r="E1008" t="str">
        <f>'(Raw) LensesGH'!C1008</f>
        <v>1:3.5</v>
      </c>
      <c r="F1008" s="9">
        <f t="shared" si="138"/>
        <v>3.5</v>
      </c>
      <c r="G1008" s="9">
        <f t="shared" si="139"/>
        <v>3.5</v>
      </c>
      <c r="H1008">
        <f>'(Raw) LensesGH'!D1008</f>
        <v>0</v>
      </c>
      <c r="I1008" s="2">
        <f t="shared" si="140"/>
        <v>0</v>
      </c>
      <c r="J1008" s="2">
        <f>'(Raw) LensesGH'!E1008</f>
        <v>0</v>
      </c>
      <c r="K1008" s="40">
        <f t="shared" si="141"/>
        <v>0</v>
      </c>
      <c r="L1008" t="str">
        <f>'(Raw) LensesGH'!F1008</f>
        <v>Fujifilm X</v>
      </c>
      <c r="M1008" t="str">
        <f>'(Raw) LensesGH'!G1008</f>
        <v>APS-C</v>
      </c>
      <c r="N1008" t="str">
        <f>'(Raw) LensesGH'!H1008</f>
        <v>515g</v>
      </c>
      <c r="O1008" s="5">
        <f t="shared" si="142"/>
        <v>515</v>
      </c>
      <c r="P1008" t="str">
        <f>'(Raw) LensesGH'!I1008</f>
        <v>77.8 x 101.4mm</v>
      </c>
      <c r="Q1008" s="39">
        <f t="shared" si="143"/>
        <v>77.8</v>
      </c>
      <c r="R1008" s="39">
        <f t="shared" si="135"/>
        <v>101.4</v>
      </c>
    </row>
    <row r="1009" spans="1:18" x14ac:dyDescent="0.25">
      <c r="A1009" t="str">
        <f>'(Raw) LensesGH'!A1009</f>
        <v>Samyang 8mm 3.5 UMC Fisheye CS II für Micro-Four-Thirds schwarz</v>
      </c>
      <c r="B1009" t="str">
        <f>'(Raw) LensesGH'!B1009</f>
        <v>8mm</v>
      </c>
      <c r="C1009" s="5">
        <f t="shared" si="136"/>
        <v>8</v>
      </c>
      <c r="D1009" s="5">
        <f t="shared" si="137"/>
        <v>8</v>
      </c>
      <c r="E1009" t="str">
        <f>'(Raw) LensesGH'!C1009</f>
        <v>1:3.5</v>
      </c>
      <c r="F1009" s="9">
        <f t="shared" si="138"/>
        <v>3.5</v>
      </c>
      <c r="G1009" s="9">
        <f t="shared" si="139"/>
        <v>3.5</v>
      </c>
      <c r="H1009">
        <f>'(Raw) LensesGH'!D1009</f>
        <v>0</v>
      </c>
      <c r="I1009" s="2">
        <f t="shared" si="140"/>
        <v>0</v>
      </c>
      <c r="J1009" s="2">
        <f>'(Raw) LensesGH'!E1009</f>
        <v>0</v>
      </c>
      <c r="K1009" s="40">
        <f t="shared" si="141"/>
        <v>0</v>
      </c>
      <c r="L1009" t="str">
        <f>'(Raw) LensesGH'!F1009</f>
        <v>Micro-Four-Thirds</v>
      </c>
      <c r="M1009" t="str">
        <f>'(Raw) LensesGH'!G1009</f>
        <v>Four-Thirds</v>
      </c>
      <c r="N1009" t="str">
        <f>'(Raw) LensesGH'!H1009</f>
        <v>440g</v>
      </c>
      <c r="O1009" s="5">
        <f t="shared" si="142"/>
        <v>440</v>
      </c>
      <c r="P1009" t="str">
        <f>'(Raw) LensesGH'!I1009</f>
        <v>77.8 x 99.9mm</v>
      </c>
      <c r="Q1009" s="39">
        <f t="shared" si="143"/>
        <v>77.8</v>
      </c>
      <c r="R1009" s="39">
        <f t="shared" si="135"/>
        <v>99.9</v>
      </c>
    </row>
    <row r="1010" spans="1:18" x14ac:dyDescent="0.25">
      <c r="A1010" t="str">
        <f>'(Raw) LensesGH'!A1010</f>
        <v>Samyang 8mm 3.5 UMC Fisheye CS II für Nikon F schwarz</v>
      </c>
      <c r="B1010" t="str">
        <f>'(Raw) LensesGH'!B1010</f>
        <v>8mm</v>
      </c>
      <c r="C1010" s="5">
        <f t="shared" si="136"/>
        <v>8</v>
      </c>
      <c r="D1010" s="5">
        <f t="shared" si="137"/>
        <v>8</v>
      </c>
      <c r="E1010" t="str">
        <f>'(Raw) LensesGH'!C1010</f>
        <v>1:3.5</v>
      </c>
      <c r="F1010" s="9">
        <f t="shared" si="138"/>
        <v>3.5</v>
      </c>
      <c r="G1010" s="9">
        <f t="shared" si="139"/>
        <v>3.5</v>
      </c>
      <c r="H1010">
        <f>'(Raw) LensesGH'!D1010</f>
        <v>0</v>
      </c>
      <c r="I1010" s="2">
        <f t="shared" si="140"/>
        <v>0</v>
      </c>
      <c r="J1010" s="2">
        <f>'(Raw) LensesGH'!E1010</f>
        <v>0</v>
      </c>
      <c r="K1010" s="40">
        <f t="shared" si="141"/>
        <v>0</v>
      </c>
      <c r="L1010" t="str">
        <f>'(Raw) LensesGH'!F1010</f>
        <v>Nikon F</v>
      </c>
      <c r="M1010" t="str">
        <f>'(Raw) LensesGH'!G1010</f>
        <v>APS-C</v>
      </c>
      <c r="N1010" t="str">
        <f>'(Raw) LensesGH'!H1010</f>
        <v>410g</v>
      </c>
      <c r="O1010" s="5">
        <f t="shared" si="142"/>
        <v>410</v>
      </c>
      <c r="P1010" t="str">
        <f>'(Raw) LensesGH'!I1010</f>
        <v>77.8 x 72.6mm</v>
      </c>
      <c r="Q1010" s="39">
        <f t="shared" si="143"/>
        <v>77.8</v>
      </c>
      <c r="R1010" s="39">
        <f t="shared" si="135"/>
        <v>72.599999999999994</v>
      </c>
    </row>
    <row r="1011" spans="1:18" x14ac:dyDescent="0.25">
      <c r="A1011" t="str">
        <f>'(Raw) LensesGH'!A1011</f>
        <v>Samyang 8mm 3.5 UMC Fisheye CS II für Pentax K schwarz</v>
      </c>
      <c r="B1011" t="str">
        <f>'(Raw) LensesGH'!B1011</f>
        <v>8mm</v>
      </c>
      <c r="C1011" s="5">
        <f t="shared" si="136"/>
        <v>8</v>
      </c>
      <c r="D1011" s="5">
        <f t="shared" si="137"/>
        <v>8</v>
      </c>
      <c r="E1011" t="str">
        <f>'(Raw) LensesGH'!C1011</f>
        <v>1:3.5</v>
      </c>
      <c r="F1011" s="9">
        <f t="shared" si="138"/>
        <v>3.5</v>
      </c>
      <c r="G1011" s="9">
        <f t="shared" si="139"/>
        <v>3.5</v>
      </c>
      <c r="H1011">
        <f>'(Raw) LensesGH'!D1011</f>
        <v>0</v>
      </c>
      <c r="I1011" s="2">
        <f t="shared" si="140"/>
        <v>0</v>
      </c>
      <c r="J1011" s="2">
        <f>'(Raw) LensesGH'!E1011</f>
        <v>0</v>
      </c>
      <c r="K1011" s="40">
        <f t="shared" si="141"/>
        <v>0</v>
      </c>
      <c r="L1011" t="str">
        <f>'(Raw) LensesGH'!F1011</f>
        <v>Pentax K</v>
      </c>
      <c r="M1011" t="str">
        <f>'(Raw) LensesGH'!G1011</f>
        <v>APS-C</v>
      </c>
      <c r="N1011" t="str">
        <f>'(Raw) LensesGH'!H1011</f>
        <v>415g</v>
      </c>
      <c r="O1011" s="5">
        <f t="shared" si="142"/>
        <v>415</v>
      </c>
      <c r="P1011" t="str">
        <f>'(Raw) LensesGH'!I1011</f>
        <v>77.8 x 73.6mm</v>
      </c>
      <c r="Q1011" s="39">
        <f t="shared" si="143"/>
        <v>77.8</v>
      </c>
      <c r="R1011" s="39">
        <f t="shared" si="135"/>
        <v>73.599999999999994</v>
      </c>
    </row>
    <row r="1012" spans="1:18" x14ac:dyDescent="0.25">
      <c r="A1012" t="str">
        <f>'(Raw) LensesGH'!A1012</f>
        <v>Samyang 8mm 3.5 UMC Fisheye CS II für Samsung NX schwarz</v>
      </c>
      <c r="B1012" t="str">
        <f>'(Raw) LensesGH'!B1012</f>
        <v>8mm</v>
      </c>
      <c r="C1012" s="5">
        <f t="shared" si="136"/>
        <v>8</v>
      </c>
      <c r="D1012" s="5">
        <f t="shared" si="137"/>
        <v>8</v>
      </c>
      <c r="E1012" t="str">
        <f>'(Raw) LensesGH'!C1012</f>
        <v>1:3.5</v>
      </c>
      <c r="F1012" s="9">
        <f t="shared" si="138"/>
        <v>3.5</v>
      </c>
      <c r="G1012" s="9">
        <f t="shared" si="139"/>
        <v>3.5</v>
      </c>
      <c r="H1012">
        <f>'(Raw) LensesGH'!D1012</f>
        <v>0</v>
      </c>
      <c r="I1012" s="2">
        <f t="shared" si="140"/>
        <v>0</v>
      </c>
      <c r="J1012" s="2">
        <f>'(Raw) LensesGH'!E1012</f>
        <v>0</v>
      </c>
      <c r="K1012" s="40">
        <f t="shared" si="141"/>
        <v>0</v>
      </c>
      <c r="L1012" t="str">
        <f>'(Raw) LensesGH'!F1012</f>
        <v>Samsung NX</v>
      </c>
      <c r="M1012" t="str">
        <f>'(Raw) LensesGH'!G1012</f>
        <v>APS-C</v>
      </c>
      <c r="N1012" t="str">
        <f>'(Raw) LensesGH'!H1012</f>
        <v>465g</v>
      </c>
      <c r="O1012" s="5">
        <f t="shared" si="142"/>
        <v>465</v>
      </c>
      <c r="P1012" t="str">
        <f>'(Raw) LensesGH'!I1012</f>
        <v>77.8 x 93.6mm</v>
      </c>
      <c r="Q1012" s="39">
        <f t="shared" si="143"/>
        <v>77.8</v>
      </c>
      <c r="R1012" s="39">
        <f t="shared" si="135"/>
        <v>93.6</v>
      </c>
    </row>
    <row r="1013" spans="1:18" x14ac:dyDescent="0.25">
      <c r="A1013" t="str">
        <f>'(Raw) LensesGH'!A1013</f>
        <v>Samyang 8mm 3.5 UMC Fisheye CS II für Sony A schwarz</v>
      </c>
      <c r="B1013" t="str">
        <f>'(Raw) LensesGH'!B1013</f>
        <v>8mm</v>
      </c>
      <c r="C1013" s="5">
        <f t="shared" si="136"/>
        <v>8</v>
      </c>
      <c r="D1013" s="5">
        <f t="shared" si="137"/>
        <v>8</v>
      </c>
      <c r="E1013" t="str">
        <f>'(Raw) LensesGH'!C1013</f>
        <v>1:3.5</v>
      </c>
      <c r="F1013" s="9">
        <f t="shared" si="138"/>
        <v>3.5</v>
      </c>
      <c r="G1013" s="9">
        <f t="shared" si="139"/>
        <v>3.5</v>
      </c>
      <c r="H1013">
        <f>'(Raw) LensesGH'!D1013</f>
        <v>0</v>
      </c>
      <c r="I1013" s="2">
        <f t="shared" si="140"/>
        <v>0</v>
      </c>
      <c r="J1013" s="2">
        <f>'(Raw) LensesGH'!E1013</f>
        <v>0</v>
      </c>
      <c r="K1013" s="40">
        <f t="shared" si="141"/>
        <v>0</v>
      </c>
      <c r="L1013" t="str">
        <f>'(Raw) LensesGH'!F1013</f>
        <v>Sony A</v>
      </c>
      <c r="M1013" t="str">
        <f>'(Raw) LensesGH'!G1013</f>
        <v>APS-C</v>
      </c>
      <c r="N1013" t="str">
        <f>'(Raw) LensesGH'!H1013</f>
        <v>425g</v>
      </c>
      <c r="O1013" s="5">
        <f t="shared" si="142"/>
        <v>425</v>
      </c>
      <c r="P1013" t="str">
        <f>'(Raw) LensesGH'!I1013</f>
        <v>77.8 x 74.6mm</v>
      </c>
      <c r="Q1013" s="39">
        <f t="shared" si="143"/>
        <v>77.8</v>
      </c>
      <c r="R1013" s="39">
        <f t="shared" si="135"/>
        <v>74.599999999999994</v>
      </c>
    </row>
    <row r="1014" spans="1:18" x14ac:dyDescent="0.25">
      <c r="A1014" t="str">
        <f>'(Raw) LensesGH'!A1014</f>
        <v>Samyang 8mm 3.5 UMC Fisheye CS II für Sony E schwarz</v>
      </c>
      <c r="B1014" t="str">
        <f>'(Raw) LensesGH'!B1014</f>
        <v>8mm</v>
      </c>
      <c r="C1014" s="5">
        <f t="shared" si="136"/>
        <v>8</v>
      </c>
      <c r="D1014" s="5">
        <f t="shared" si="137"/>
        <v>8</v>
      </c>
      <c r="E1014" t="str">
        <f>'(Raw) LensesGH'!C1014</f>
        <v>1:3.5</v>
      </c>
      <c r="F1014" s="9">
        <f t="shared" si="138"/>
        <v>3.5</v>
      </c>
      <c r="G1014" s="9">
        <f t="shared" si="139"/>
        <v>3.5</v>
      </c>
      <c r="H1014">
        <f>'(Raw) LensesGH'!D1014</f>
        <v>0</v>
      </c>
      <c r="I1014" s="2">
        <f t="shared" si="140"/>
        <v>0</v>
      </c>
      <c r="J1014" s="2">
        <f>'(Raw) LensesGH'!E1014</f>
        <v>0</v>
      </c>
      <c r="K1014" s="40">
        <f t="shared" si="141"/>
        <v>0</v>
      </c>
      <c r="L1014" t="str">
        <f>'(Raw) LensesGH'!F1014</f>
        <v>Sony E</v>
      </c>
      <c r="M1014" t="str">
        <f>'(Raw) LensesGH'!G1014</f>
        <v>APS-C</v>
      </c>
      <c r="N1014" t="str">
        <f>'(Raw) LensesGH'!H1014</f>
        <v>450g</v>
      </c>
      <c r="O1014" s="5">
        <f t="shared" si="142"/>
        <v>450</v>
      </c>
      <c r="P1014" t="str">
        <f>'(Raw) LensesGH'!I1014</f>
        <v>77.8 x 101.1mm</v>
      </c>
      <c r="Q1014" s="39">
        <f t="shared" si="143"/>
        <v>77.8</v>
      </c>
      <c r="R1014" s="39">
        <f t="shared" si="135"/>
        <v>101.1</v>
      </c>
    </row>
    <row r="1015" spans="1:18" x14ac:dyDescent="0.25">
      <c r="A1015" t="str">
        <f>'(Raw) LensesGH'!A1015</f>
        <v>Samyang 8mm 3.8 Asph IF MC Fisheye CS VDSLR für Nikon F schwarz</v>
      </c>
      <c r="B1015" t="str">
        <f>'(Raw) LensesGH'!B1015</f>
        <v>8mm</v>
      </c>
      <c r="C1015" s="5">
        <f t="shared" si="136"/>
        <v>8</v>
      </c>
      <c r="D1015" s="5">
        <f t="shared" si="137"/>
        <v>8</v>
      </c>
      <c r="E1015" t="str">
        <f>'(Raw) LensesGH'!C1015</f>
        <v>1:3.8</v>
      </c>
      <c r="F1015" s="9">
        <f t="shared" si="138"/>
        <v>3.8</v>
      </c>
      <c r="G1015" s="9">
        <f t="shared" si="139"/>
        <v>3.8</v>
      </c>
      <c r="H1015">
        <f>'(Raw) LensesGH'!D1015</f>
        <v>0</v>
      </c>
      <c r="I1015" s="2">
        <f t="shared" si="140"/>
        <v>0</v>
      </c>
      <c r="J1015" s="2">
        <f>'(Raw) LensesGH'!E1015</f>
        <v>0</v>
      </c>
      <c r="K1015" s="40">
        <f t="shared" si="141"/>
        <v>0</v>
      </c>
      <c r="L1015" t="str">
        <f>'(Raw) LensesGH'!F1015</f>
        <v>Nikon F</v>
      </c>
      <c r="M1015" t="str">
        <f>'(Raw) LensesGH'!G1015</f>
        <v>APS-C</v>
      </c>
      <c r="N1015" t="str">
        <f>'(Raw) LensesGH'!H1015</f>
        <v>435g</v>
      </c>
      <c r="O1015" s="5">
        <f t="shared" si="142"/>
        <v>435</v>
      </c>
      <c r="P1015" t="str">
        <f>'(Raw) LensesGH'!I1015</f>
        <v>75 x 74.8mm</v>
      </c>
      <c r="Q1015" s="39">
        <f t="shared" si="143"/>
        <v>75</v>
      </c>
      <c r="R1015" s="39">
        <f t="shared" si="135"/>
        <v>74.8</v>
      </c>
    </row>
    <row r="1016" spans="1:18" x14ac:dyDescent="0.25">
      <c r="A1016" t="str">
        <f>'(Raw) LensesGH'!A1016</f>
        <v>Samyang 8mm T3.1 Cine UMC Fisheye II für Canon EF-M schwarz</v>
      </c>
      <c r="B1016" t="str">
        <f>'(Raw) LensesGH'!B1016</f>
        <v>8mm</v>
      </c>
      <c r="C1016" s="5">
        <f t="shared" si="136"/>
        <v>8</v>
      </c>
      <c r="D1016" s="5">
        <f t="shared" si="137"/>
        <v>8</v>
      </c>
      <c r="E1016" t="str">
        <f>'(Raw) LensesGH'!C1016</f>
        <v>1:3.1</v>
      </c>
      <c r="F1016" s="9">
        <f t="shared" si="138"/>
        <v>3.1</v>
      </c>
      <c r="G1016" s="9">
        <f t="shared" si="139"/>
        <v>3.1</v>
      </c>
      <c r="H1016">
        <f>'(Raw) LensesGH'!D1016</f>
        <v>0</v>
      </c>
      <c r="I1016" s="2">
        <f t="shared" si="140"/>
        <v>0</v>
      </c>
      <c r="J1016" s="2">
        <f>'(Raw) LensesGH'!E1016</f>
        <v>0</v>
      </c>
      <c r="K1016" s="40">
        <f t="shared" si="141"/>
        <v>0</v>
      </c>
      <c r="L1016" t="str">
        <f>'(Raw) LensesGH'!F1016</f>
        <v>Canon EF-M</v>
      </c>
      <c r="M1016" t="str">
        <f>'(Raw) LensesGH'!G1016</f>
        <v>APS-C</v>
      </c>
      <c r="N1016" t="str">
        <f>'(Raw) LensesGH'!H1016</f>
        <v>265g</v>
      </c>
      <c r="O1016" s="5">
        <f t="shared" si="142"/>
        <v>265</v>
      </c>
      <c r="P1016" t="str">
        <f>'(Raw) LensesGH'!I1016</f>
        <v>73.6 x 64.4mm</v>
      </c>
      <c r="Q1016" s="39">
        <f t="shared" si="143"/>
        <v>73.599999999999994</v>
      </c>
      <c r="R1016" s="39">
        <f t="shared" si="135"/>
        <v>64.400000000000006</v>
      </c>
    </row>
    <row r="1017" spans="1:18" x14ac:dyDescent="0.25">
      <c r="A1017" t="str">
        <f>'(Raw) LensesGH'!A1017</f>
        <v>Samyang 8mm T3.1 Cine UMC Fisheye II für Fujifilm X schwarz</v>
      </c>
      <c r="B1017" t="str">
        <f>'(Raw) LensesGH'!B1017</f>
        <v>8mm</v>
      </c>
      <c r="C1017" s="5">
        <f t="shared" si="136"/>
        <v>8</v>
      </c>
      <c r="D1017" s="5">
        <f t="shared" si="137"/>
        <v>8</v>
      </c>
      <c r="E1017" t="str">
        <f>'(Raw) LensesGH'!C1017</f>
        <v>1:3.1</v>
      </c>
      <c r="F1017" s="9">
        <f t="shared" si="138"/>
        <v>3.1</v>
      </c>
      <c r="G1017" s="9">
        <f t="shared" si="139"/>
        <v>3.1</v>
      </c>
      <c r="H1017">
        <f>'(Raw) LensesGH'!D1017</f>
        <v>0</v>
      </c>
      <c r="I1017" s="2">
        <f t="shared" si="140"/>
        <v>0</v>
      </c>
      <c r="J1017" s="2">
        <f>'(Raw) LensesGH'!E1017</f>
        <v>0</v>
      </c>
      <c r="K1017" s="40">
        <f t="shared" si="141"/>
        <v>0</v>
      </c>
      <c r="L1017" t="str">
        <f>'(Raw) LensesGH'!F1017</f>
        <v>Fujifilm X</v>
      </c>
      <c r="M1017" t="str">
        <f>'(Raw) LensesGH'!G1017</f>
        <v>APS-C</v>
      </c>
      <c r="N1017" t="str">
        <f>'(Raw) LensesGH'!H1017</f>
        <v>280g</v>
      </c>
      <c r="O1017" s="5">
        <f t="shared" si="142"/>
        <v>280</v>
      </c>
      <c r="P1017" t="str">
        <f>'(Raw) LensesGH'!I1017</f>
        <v>73.6 x 64.8mm</v>
      </c>
      <c r="Q1017" s="39">
        <f t="shared" si="143"/>
        <v>73.599999999999994</v>
      </c>
      <c r="R1017" s="39">
        <f t="shared" si="135"/>
        <v>64.8</v>
      </c>
    </row>
    <row r="1018" spans="1:18" x14ac:dyDescent="0.25">
      <c r="A1018" t="str">
        <f>'(Raw) LensesGH'!A1018</f>
        <v>Samyang 8mm T3.1 Cine UMC Fisheye II für Samsung NX schwarz</v>
      </c>
      <c r="B1018" t="str">
        <f>'(Raw) LensesGH'!B1018</f>
        <v>8mm</v>
      </c>
      <c r="C1018" s="5">
        <f t="shared" si="136"/>
        <v>8</v>
      </c>
      <c r="D1018" s="5">
        <f t="shared" si="137"/>
        <v>8</v>
      </c>
      <c r="E1018" t="str">
        <f>'(Raw) LensesGH'!C1018</f>
        <v>1:3.1</v>
      </c>
      <c r="F1018" s="9">
        <f t="shared" si="138"/>
        <v>3.1</v>
      </c>
      <c r="G1018" s="9">
        <f t="shared" si="139"/>
        <v>3.1</v>
      </c>
      <c r="H1018">
        <f>'(Raw) LensesGH'!D1018</f>
        <v>0</v>
      </c>
      <c r="I1018" s="2">
        <f t="shared" si="140"/>
        <v>0</v>
      </c>
      <c r="J1018" s="2">
        <f>'(Raw) LensesGH'!E1018</f>
        <v>0</v>
      </c>
      <c r="K1018" s="40">
        <f t="shared" si="141"/>
        <v>0</v>
      </c>
      <c r="L1018" t="str">
        <f>'(Raw) LensesGH'!F1018</f>
        <v>Samsung NX</v>
      </c>
      <c r="M1018" t="str">
        <f>'(Raw) LensesGH'!G1018</f>
        <v>APS-C</v>
      </c>
      <c r="N1018" t="str">
        <f>'(Raw) LensesGH'!H1018</f>
        <v>255g</v>
      </c>
      <c r="O1018" s="5">
        <f t="shared" si="142"/>
        <v>255</v>
      </c>
      <c r="P1018" t="str">
        <f>'(Raw) LensesGH'!I1018</f>
        <v>73.6 x 57mm</v>
      </c>
      <c r="Q1018" s="39">
        <f t="shared" si="143"/>
        <v>73.599999999999994</v>
      </c>
      <c r="R1018" s="39">
        <f t="shared" si="135"/>
        <v>57</v>
      </c>
    </row>
    <row r="1019" spans="1:18" x14ac:dyDescent="0.25">
      <c r="A1019" t="str">
        <f>'(Raw) LensesGH'!A1019</f>
        <v>Samyang 8mm T3.1 Cine UMC Fisheye II für Sony E schwarz</v>
      </c>
      <c r="B1019" t="str">
        <f>'(Raw) LensesGH'!B1019</f>
        <v>8mm</v>
      </c>
      <c r="C1019" s="5">
        <f t="shared" si="136"/>
        <v>8</v>
      </c>
      <c r="D1019" s="5">
        <f t="shared" si="137"/>
        <v>8</v>
      </c>
      <c r="E1019" t="str">
        <f>'(Raw) LensesGH'!C1019</f>
        <v>1:3.1</v>
      </c>
      <c r="F1019" s="9">
        <f t="shared" si="138"/>
        <v>3.1</v>
      </c>
      <c r="G1019" s="9">
        <f t="shared" si="139"/>
        <v>3.1</v>
      </c>
      <c r="H1019">
        <f>'(Raw) LensesGH'!D1019</f>
        <v>0</v>
      </c>
      <c r="I1019" s="2">
        <f t="shared" si="140"/>
        <v>0</v>
      </c>
      <c r="J1019" s="2">
        <f>'(Raw) LensesGH'!E1019</f>
        <v>0</v>
      </c>
      <c r="K1019" s="40">
        <f t="shared" si="141"/>
        <v>0</v>
      </c>
      <c r="L1019" t="str">
        <f>'(Raw) LensesGH'!F1019</f>
        <v>Sony E</v>
      </c>
      <c r="M1019" t="str">
        <f>'(Raw) LensesGH'!G1019</f>
        <v>APS-C</v>
      </c>
      <c r="N1019" t="str">
        <f>'(Raw) LensesGH'!H1019</f>
        <v>270g</v>
      </c>
      <c r="O1019" s="5">
        <f t="shared" si="142"/>
        <v>270</v>
      </c>
      <c r="P1019" t="str">
        <f>'(Raw) LensesGH'!I1019</f>
        <v>73.6 x 64.5mm</v>
      </c>
      <c r="Q1019" s="39">
        <f t="shared" si="143"/>
        <v>73.599999999999994</v>
      </c>
      <c r="R1019" s="39">
        <f t="shared" si="135"/>
        <v>64.5</v>
      </c>
    </row>
    <row r="1020" spans="1:18" x14ac:dyDescent="0.25">
      <c r="A1020" t="str">
        <f>'(Raw) LensesGH'!A1020</f>
        <v>Samyang 8mm T3.8 UMC Fisheye CS II VDSLR für Canon EF schwarz</v>
      </c>
      <c r="B1020" t="str">
        <f>'(Raw) LensesGH'!B1020</f>
        <v>8mm</v>
      </c>
      <c r="C1020" s="5">
        <f t="shared" si="136"/>
        <v>8</v>
      </c>
      <c r="D1020" s="5">
        <f t="shared" si="137"/>
        <v>8</v>
      </c>
      <c r="E1020" t="str">
        <f>'(Raw) LensesGH'!C1020</f>
        <v>1:3.8</v>
      </c>
      <c r="F1020" s="9">
        <f t="shared" si="138"/>
        <v>3.8</v>
      </c>
      <c r="G1020" s="9">
        <f t="shared" si="139"/>
        <v>3.8</v>
      </c>
      <c r="H1020">
        <f>'(Raw) LensesGH'!D1020</f>
        <v>0</v>
      </c>
      <c r="I1020" s="2">
        <f t="shared" si="140"/>
        <v>0</v>
      </c>
      <c r="J1020" s="2">
        <f>'(Raw) LensesGH'!E1020</f>
        <v>0</v>
      </c>
      <c r="K1020" s="40">
        <f t="shared" si="141"/>
        <v>0</v>
      </c>
      <c r="L1020" t="str">
        <f>'(Raw) LensesGH'!F1020</f>
        <v>Canon EF</v>
      </c>
      <c r="M1020" t="str">
        <f>'(Raw) LensesGH'!G1020</f>
        <v>APS-C</v>
      </c>
      <c r="N1020" t="str">
        <f>'(Raw) LensesGH'!H1020</f>
        <v>455g</v>
      </c>
      <c r="O1020" s="5">
        <f t="shared" si="142"/>
        <v>455</v>
      </c>
      <c r="P1020" t="str">
        <f>'(Raw) LensesGH'!I1020</f>
        <v>77.8 x 75.1mm</v>
      </c>
      <c r="Q1020" s="39">
        <f t="shared" si="143"/>
        <v>77.8</v>
      </c>
      <c r="R1020" s="39">
        <f t="shared" si="135"/>
        <v>75.099999999999994</v>
      </c>
    </row>
    <row r="1021" spans="1:18" x14ac:dyDescent="0.25">
      <c r="A1021" t="str">
        <f>'(Raw) LensesGH'!A1021</f>
        <v>Samyang 8mm T3.8 UMC Fisheye CS II VDSLR für Canon EF-M schwarz</v>
      </c>
      <c r="B1021" t="str">
        <f>'(Raw) LensesGH'!B1021</f>
        <v>8mm</v>
      </c>
      <c r="C1021" s="5">
        <f t="shared" si="136"/>
        <v>8</v>
      </c>
      <c r="D1021" s="5">
        <f t="shared" si="137"/>
        <v>8</v>
      </c>
      <c r="E1021" t="str">
        <f>'(Raw) LensesGH'!C1021</f>
        <v>1:3.8</v>
      </c>
      <c r="F1021" s="9">
        <f t="shared" si="138"/>
        <v>3.8</v>
      </c>
      <c r="G1021" s="9">
        <f t="shared" si="139"/>
        <v>3.8</v>
      </c>
      <c r="H1021">
        <f>'(Raw) LensesGH'!D1021</f>
        <v>0</v>
      </c>
      <c r="I1021" s="2">
        <f t="shared" si="140"/>
        <v>0</v>
      </c>
      <c r="J1021" s="2">
        <f>'(Raw) LensesGH'!E1021</f>
        <v>0</v>
      </c>
      <c r="K1021" s="40">
        <f t="shared" si="141"/>
        <v>0</v>
      </c>
      <c r="L1021" t="str">
        <f>'(Raw) LensesGH'!F1021</f>
        <v>Canon EF-M</v>
      </c>
      <c r="M1021" t="str">
        <f>'(Raw) LensesGH'!G1021</f>
        <v>APS-C</v>
      </c>
      <c r="N1021" t="str">
        <f>'(Raw) LensesGH'!H1021</f>
        <v>470g</v>
      </c>
      <c r="O1021" s="5">
        <f t="shared" si="142"/>
        <v>470</v>
      </c>
      <c r="P1021" t="str">
        <f>'(Raw) LensesGH'!I1021</f>
        <v>77.8 x 101mm</v>
      </c>
      <c r="Q1021" s="39">
        <f t="shared" si="143"/>
        <v>77.8</v>
      </c>
      <c r="R1021" s="39">
        <f t="shared" si="135"/>
        <v>101</v>
      </c>
    </row>
    <row r="1022" spans="1:18" x14ac:dyDescent="0.25">
      <c r="A1022" t="str">
        <f>'(Raw) LensesGH'!A1022</f>
        <v>Samyang 8mm T3.8 UMC Fisheye CS II VDSLR für Four-Thirds schwarz</v>
      </c>
      <c r="B1022" t="str">
        <f>'(Raw) LensesGH'!B1022</f>
        <v>8mm</v>
      </c>
      <c r="C1022" s="5">
        <f t="shared" si="136"/>
        <v>8</v>
      </c>
      <c r="D1022" s="5">
        <f t="shared" si="137"/>
        <v>8</v>
      </c>
      <c r="E1022" t="str">
        <f>'(Raw) LensesGH'!C1022</f>
        <v>1:3.8</v>
      </c>
      <c r="F1022" s="9">
        <f t="shared" si="138"/>
        <v>3.8</v>
      </c>
      <c r="G1022" s="9">
        <f t="shared" si="139"/>
        <v>3.8</v>
      </c>
      <c r="H1022">
        <f>'(Raw) LensesGH'!D1022</f>
        <v>0</v>
      </c>
      <c r="I1022" s="2">
        <f t="shared" si="140"/>
        <v>0</v>
      </c>
      <c r="J1022" s="2">
        <f>'(Raw) LensesGH'!E1022</f>
        <v>0</v>
      </c>
      <c r="K1022" s="40">
        <f t="shared" si="141"/>
        <v>0</v>
      </c>
      <c r="L1022" t="str">
        <f>'(Raw) LensesGH'!F1022</f>
        <v>Four-Thirds</v>
      </c>
      <c r="M1022" t="str">
        <f>'(Raw) LensesGH'!G1022</f>
        <v>Four-Thirds</v>
      </c>
      <c r="N1022" t="str">
        <f>'(Raw) LensesGH'!H1022</f>
        <v>440g</v>
      </c>
      <c r="O1022" s="5">
        <f t="shared" si="142"/>
        <v>440</v>
      </c>
      <c r="P1022" t="str">
        <f>'(Raw) LensesGH'!I1022</f>
        <v>77.8 x 80.4mm</v>
      </c>
      <c r="Q1022" s="39">
        <f t="shared" si="143"/>
        <v>77.8</v>
      </c>
      <c r="R1022" s="39">
        <f t="shared" si="135"/>
        <v>80.400000000000006</v>
      </c>
    </row>
    <row r="1023" spans="1:18" x14ac:dyDescent="0.25">
      <c r="A1023" t="str">
        <f>'(Raw) LensesGH'!A1023</f>
        <v>Samyang 8mm T3.8 UMC Fisheye CS II VDSLR für Fujifilm X schwarz</v>
      </c>
      <c r="B1023" t="str">
        <f>'(Raw) LensesGH'!B1023</f>
        <v>8mm</v>
      </c>
      <c r="C1023" s="5">
        <f t="shared" si="136"/>
        <v>8</v>
      </c>
      <c r="D1023" s="5">
        <f t="shared" si="137"/>
        <v>8</v>
      </c>
      <c r="E1023" t="str">
        <f>'(Raw) LensesGH'!C1023</f>
        <v>1:3.8</v>
      </c>
      <c r="F1023" s="9">
        <f t="shared" si="138"/>
        <v>3.8</v>
      </c>
      <c r="G1023" s="9">
        <f t="shared" si="139"/>
        <v>3.8</v>
      </c>
      <c r="H1023">
        <f>'(Raw) LensesGH'!D1023</f>
        <v>0</v>
      </c>
      <c r="I1023" s="2">
        <f t="shared" si="140"/>
        <v>0</v>
      </c>
      <c r="J1023" s="2">
        <f>'(Raw) LensesGH'!E1023</f>
        <v>0</v>
      </c>
      <c r="K1023" s="40">
        <f t="shared" si="141"/>
        <v>0</v>
      </c>
      <c r="L1023" t="str">
        <f>'(Raw) LensesGH'!F1023</f>
        <v>Fujifilm X</v>
      </c>
      <c r="M1023" t="str">
        <f>'(Raw) LensesGH'!G1023</f>
        <v>APS-C</v>
      </c>
      <c r="N1023" t="str">
        <f>'(Raw) LensesGH'!H1023</f>
        <v>530g</v>
      </c>
      <c r="O1023" s="5">
        <f t="shared" si="142"/>
        <v>530</v>
      </c>
      <c r="P1023" t="str">
        <f>'(Raw) LensesGH'!I1023</f>
        <v>77.8 x 101.4mm</v>
      </c>
      <c r="Q1023" s="39">
        <f t="shared" si="143"/>
        <v>77.8</v>
      </c>
      <c r="R1023" s="39">
        <f t="shared" si="135"/>
        <v>101.4</v>
      </c>
    </row>
    <row r="1024" spans="1:18" x14ac:dyDescent="0.25">
      <c r="A1024" t="str">
        <f>'(Raw) LensesGH'!A1024</f>
        <v>Samyang 8mm T3.8 UMC Fisheye CS II VDSLR für Micro-Four-Thirds schwarz</v>
      </c>
      <c r="B1024" t="str">
        <f>'(Raw) LensesGH'!B1024</f>
        <v>8mm</v>
      </c>
      <c r="C1024" s="5">
        <f t="shared" si="136"/>
        <v>8</v>
      </c>
      <c r="D1024" s="5">
        <f t="shared" si="137"/>
        <v>8</v>
      </c>
      <c r="E1024" t="str">
        <f>'(Raw) LensesGH'!C1024</f>
        <v>1:3.8</v>
      </c>
      <c r="F1024" s="9">
        <f t="shared" si="138"/>
        <v>3.8</v>
      </c>
      <c r="G1024" s="9">
        <f t="shared" si="139"/>
        <v>3.8</v>
      </c>
      <c r="H1024">
        <f>'(Raw) LensesGH'!D1024</f>
        <v>0</v>
      </c>
      <c r="I1024" s="2">
        <f t="shared" si="140"/>
        <v>0</v>
      </c>
      <c r="J1024" s="2">
        <f>'(Raw) LensesGH'!E1024</f>
        <v>0</v>
      </c>
      <c r="K1024" s="40">
        <f t="shared" si="141"/>
        <v>0</v>
      </c>
      <c r="L1024" t="str">
        <f>'(Raw) LensesGH'!F1024</f>
        <v>Micro-Four-Thirds</v>
      </c>
      <c r="M1024" t="str">
        <f>'(Raw) LensesGH'!G1024</f>
        <v>Four-Thirds</v>
      </c>
      <c r="N1024" t="str">
        <f>'(Raw) LensesGH'!H1024</f>
        <v>450g</v>
      </c>
      <c r="O1024" s="5">
        <f t="shared" si="142"/>
        <v>450</v>
      </c>
      <c r="P1024" t="str">
        <f>'(Raw) LensesGH'!I1024</f>
        <v>77.8 x 99.9mm</v>
      </c>
      <c r="Q1024" s="39">
        <f t="shared" si="143"/>
        <v>77.8</v>
      </c>
      <c r="R1024" s="39">
        <f t="shared" si="135"/>
        <v>99.9</v>
      </c>
    </row>
    <row r="1025" spans="1:18" x14ac:dyDescent="0.25">
      <c r="A1025" t="str">
        <f>'(Raw) LensesGH'!A1025</f>
        <v>Samyang 8mm T3.8 UMC Fisheye CS II VDSLR für Nikon F schwarz</v>
      </c>
      <c r="B1025" t="str">
        <f>'(Raw) LensesGH'!B1025</f>
        <v>8mm</v>
      </c>
      <c r="C1025" s="5">
        <f t="shared" si="136"/>
        <v>8</v>
      </c>
      <c r="D1025" s="5">
        <f t="shared" si="137"/>
        <v>8</v>
      </c>
      <c r="E1025" t="str">
        <f>'(Raw) LensesGH'!C1025</f>
        <v>1:3.8</v>
      </c>
      <c r="F1025" s="9">
        <f t="shared" si="138"/>
        <v>3.8</v>
      </c>
      <c r="G1025" s="9">
        <f t="shared" si="139"/>
        <v>3.8</v>
      </c>
      <c r="H1025">
        <f>'(Raw) LensesGH'!D1025</f>
        <v>0</v>
      </c>
      <c r="I1025" s="2">
        <f t="shared" si="140"/>
        <v>0</v>
      </c>
      <c r="J1025" s="2">
        <f>'(Raw) LensesGH'!E1025</f>
        <v>0</v>
      </c>
      <c r="K1025" s="40">
        <f t="shared" si="141"/>
        <v>0</v>
      </c>
      <c r="L1025" t="str">
        <f>'(Raw) LensesGH'!F1025</f>
        <v>Nikon F</v>
      </c>
      <c r="M1025" t="str">
        <f>'(Raw) LensesGH'!G1025</f>
        <v>APS-C</v>
      </c>
      <c r="N1025" t="str">
        <f>'(Raw) LensesGH'!H1025</f>
        <v>430g</v>
      </c>
      <c r="O1025" s="5">
        <f t="shared" si="142"/>
        <v>430</v>
      </c>
      <c r="P1025" t="str">
        <f>'(Raw) LensesGH'!I1025</f>
        <v>77.8 x 72.6mm</v>
      </c>
      <c r="Q1025" s="39">
        <f t="shared" si="143"/>
        <v>77.8</v>
      </c>
      <c r="R1025" s="39">
        <f t="shared" si="135"/>
        <v>72.599999999999994</v>
      </c>
    </row>
    <row r="1026" spans="1:18" x14ac:dyDescent="0.25">
      <c r="A1026" t="str">
        <f>'(Raw) LensesGH'!A1026</f>
        <v>Samyang 8mm T3.8 UMC Fisheye CS II VDSLR für Pentax K schwarz</v>
      </c>
      <c r="B1026" t="str">
        <f>'(Raw) LensesGH'!B1026</f>
        <v>8mm</v>
      </c>
      <c r="C1026" s="5">
        <f t="shared" si="136"/>
        <v>8</v>
      </c>
      <c r="D1026" s="5">
        <f t="shared" si="137"/>
        <v>8</v>
      </c>
      <c r="E1026" t="str">
        <f>'(Raw) LensesGH'!C1026</f>
        <v>1:3.8</v>
      </c>
      <c r="F1026" s="9">
        <f t="shared" si="138"/>
        <v>3.8</v>
      </c>
      <c r="G1026" s="9">
        <f t="shared" si="139"/>
        <v>3.8</v>
      </c>
      <c r="H1026">
        <f>'(Raw) LensesGH'!D1026</f>
        <v>0</v>
      </c>
      <c r="I1026" s="2">
        <f t="shared" si="140"/>
        <v>0</v>
      </c>
      <c r="J1026" s="2">
        <f>'(Raw) LensesGH'!E1026</f>
        <v>0</v>
      </c>
      <c r="K1026" s="40">
        <f t="shared" si="141"/>
        <v>0</v>
      </c>
      <c r="L1026" t="str">
        <f>'(Raw) LensesGH'!F1026</f>
        <v>Pentax K</v>
      </c>
      <c r="M1026" t="str">
        <f>'(Raw) LensesGH'!G1026</f>
        <v>APS-C</v>
      </c>
      <c r="N1026" t="str">
        <f>'(Raw) LensesGH'!H1026</f>
        <v>415g</v>
      </c>
      <c r="O1026" s="5">
        <f t="shared" si="142"/>
        <v>415</v>
      </c>
      <c r="P1026" t="str">
        <f>'(Raw) LensesGH'!I1026</f>
        <v>77.8 x 73.6mm</v>
      </c>
      <c r="Q1026" s="39">
        <f t="shared" si="143"/>
        <v>77.8</v>
      </c>
      <c r="R1026" s="39">
        <f t="shared" ref="R1026:R1089" si="144">getSizeLength(P1026)</f>
        <v>73.599999999999994</v>
      </c>
    </row>
    <row r="1027" spans="1:18" x14ac:dyDescent="0.25">
      <c r="A1027" t="str">
        <f>'(Raw) LensesGH'!A1027</f>
        <v>Samyang 8mm T3.8 UMC Fisheye CS II VDSLR für Samsung NX schwarz</v>
      </c>
      <c r="B1027" t="str">
        <f>'(Raw) LensesGH'!B1027</f>
        <v>8mm</v>
      </c>
      <c r="C1027" s="5">
        <f t="shared" ref="C1027:C1090" si="145">getFocalLengthStart(B1027)</f>
        <v>8</v>
      </c>
      <c r="D1027" s="5">
        <f t="shared" ref="D1027:D1090" si="146">getFocalLengthEnd(B1027)</f>
        <v>8</v>
      </c>
      <c r="E1027" t="str">
        <f>'(Raw) LensesGH'!C1027</f>
        <v>1:3.8</v>
      </c>
      <c r="F1027" s="9">
        <f t="shared" ref="F1027:F1090" si="147">getApertureStart(E1027)</f>
        <v>3.8</v>
      </c>
      <c r="G1027" s="9">
        <f t="shared" ref="G1027:G1090" si="148">getApertureEnd(F1027)</f>
        <v>3.8</v>
      </c>
      <c r="H1027">
        <f>'(Raw) LensesGH'!D1027</f>
        <v>0</v>
      </c>
      <c r="I1027" s="2">
        <f t="shared" ref="I1027:I1090" si="149">getFiltersizeAsDouble(H1027)</f>
        <v>0</v>
      </c>
      <c r="J1027" s="2">
        <f>'(Raw) LensesGH'!E1027</f>
        <v>0</v>
      </c>
      <c r="K1027" s="40">
        <f t="shared" ref="K1027:K1090" si="150">getMagnification(J1027)</f>
        <v>0</v>
      </c>
      <c r="L1027" t="str">
        <f>'(Raw) LensesGH'!F1027</f>
        <v>Samsung NX</v>
      </c>
      <c r="M1027" t="str">
        <f>'(Raw) LensesGH'!G1027</f>
        <v>APS-C</v>
      </c>
      <c r="N1027" t="str">
        <f>'(Raw) LensesGH'!H1027</f>
        <v>475g</v>
      </c>
      <c r="O1027" s="5">
        <f t="shared" ref="O1027:O1090" si="151">getWeightAsDouble(N1027)</f>
        <v>475</v>
      </c>
      <c r="P1027" t="str">
        <f>'(Raw) LensesGH'!I1027</f>
        <v>77.8 x 93.6mm</v>
      </c>
      <c r="Q1027" s="39">
        <f t="shared" ref="Q1027:Q1090" si="152">getSizeDiameter(P1027)</f>
        <v>77.8</v>
      </c>
      <c r="R1027" s="39">
        <f t="shared" si="144"/>
        <v>93.6</v>
      </c>
    </row>
    <row r="1028" spans="1:18" x14ac:dyDescent="0.25">
      <c r="A1028" t="str">
        <f>'(Raw) LensesGH'!A1028</f>
        <v>Samyang 8mm T3.8 UMC Fisheye CS II VDSLR für Sony A schwarz</v>
      </c>
      <c r="B1028" t="str">
        <f>'(Raw) LensesGH'!B1028</f>
        <v>8mm</v>
      </c>
      <c r="C1028" s="5">
        <f t="shared" si="145"/>
        <v>8</v>
      </c>
      <c r="D1028" s="5">
        <f t="shared" si="146"/>
        <v>8</v>
      </c>
      <c r="E1028" t="str">
        <f>'(Raw) LensesGH'!C1028</f>
        <v>1:3.8</v>
      </c>
      <c r="F1028" s="9">
        <f t="shared" si="147"/>
        <v>3.8</v>
      </c>
      <c r="G1028" s="9">
        <f t="shared" si="148"/>
        <v>3.8</v>
      </c>
      <c r="H1028">
        <f>'(Raw) LensesGH'!D1028</f>
        <v>0</v>
      </c>
      <c r="I1028" s="2">
        <f t="shared" si="149"/>
        <v>0</v>
      </c>
      <c r="J1028" s="2">
        <f>'(Raw) LensesGH'!E1028</f>
        <v>0</v>
      </c>
      <c r="K1028" s="40">
        <f t="shared" si="150"/>
        <v>0</v>
      </c>
      <c r="L1028" t="str">
        <f>'(Raw) LensesGH'!F1028</f>
        <v>Sony A</v>
      </c>
      <c r="M1028" t="str">
        <f>'(Raw) LensesGH'!G1028</f>
        <v>APS-C</v>
      </c>
      <c r="N1028" t="str">
        <f>'(Raw) LensesGH'!H1028</f>
        <v>435g</v>
      </c>
      <c r="O1028" s="5">
        <f t="shared" si="151"/>
        <v>435</v>
      </c>
      <c r="P1028" t="str">
        <f>'(Raw) LensesGH'!I1028</f>
        <v>77.8 x 74.6mm</v>
      </c>
      <c r="Q1028" s="39">
        <f t="shared" si="152"/>
        <v>77.8</v>
      </c>
      <c r="R1028" s="39">
        <f t="shared" si="144"/>
        <v>74.599999999999994</v>
      </c>
    </row>
    <row r="1029" spans="1:18" x14ac:dyDescent="0.25">
      <c r="A1029" t="str">
        <f>'(Raw) LensesGH'!A1029</f>
        <v>Samyang 8mm T3.8 UMC Fisheye CS II VDSLR für Sony E schwarz</v>
      </c>
      <c r="B1029" t="str">
        <f>'(Raw) LensesGH'!B1029</f>
        <v>8mm</v>
      </c>
      <c r="C1029" s="5">
        <f t="shared" si="145"/>
        <v>8</v>
      </c>
      <c r="D1029" s="5">
        <f t="shared" si="146"/>
        <v>8</v>
      </c>
      <c r="E1029" t="str">
        <f>'(Raw) LensesGH'!C1029</f>
        <v>1:3.8</v>
      </c>
      <c r="F1029" s="9">
        <f t="shared" si="147"/>
        <v>3.8</v>
      </c>
      <c r="G1029" s="9">
        <f t="shared" si="148"/>
        <v>3.8</v>
      </c>
      <c r="H1029">
        <f>'(Raw) LensesGH'!D1029</f>
        <v>0</v>
      </c>
      <c r="I1029" s="2">
        <f t="shared" si="149"/>
        <v>0</v>
      </c>
      <c r="J1029" s="2">
        <f>'(Raw) LensesGH'!E1029</f>
        <v>0</v>
      </c>
      <c r="K1029" s="40">
        <f t="shared" si="150"/>
        <v>0</v>
      </c>
      <c r="L1029" t="str">
        <f>'(Raw) LensesGH'!F1029</f>
        <v>Sony E</v>
      </c>
      <c r="M1029" t="str">
        <f>'(Raw) LensesGH'!G1029</f>
        <v>APS-C</v>
      </c>
      <c r="N1029" t="str">
        <f>'(Raw) LensesGH'!H1029</f>
        <v>465g</v>
      </c>
      <c r="O1029" s="5">
        <f t="shared" si="151"/>
        <v>465</v>
      </c>
      <c r="P1029" t="str">
        <f>'(Raw) LensesGH'!I1029</f>
        <v>77.8 x 101.1mm</v>
      </c>
      <c r="Q1029" s="39">
        <f t="shared" si="152"/>
        <v>77.8</v>
      </c>
      <c r="R1029" s="39">
        <f t="shared" si="144"/>
        <v>101.1</v>
      </c>
    </row>
    <row r="1030" spans="1:18" x14ac:dyDescent="0.25">
      <c r="A1030" t="str">
        <f>'(Raw) LensesGH'!A1030</f>
        <v>Samyang AE 16mm 2.0 ED AS UMC CS für Nikon F schwarz</v>
      </c>
      <c r="B1030" t="str">
        <f>'(Raw) LensesGH'!B1030</f>
        <v>16mm</v>
      </c>
      <c r="C1030" s="5">
        <f t="shared" si="145"/>
        <v>16</v>
      </c>
      <c r="D1030" s="5">
        <f t="shared" si="146"/>
        <v>16</v>
      </c>
      <c r="E1030" t="str">
        <f>'(Raw) LensesGH'!C1030</f>
        <v>1:2.0</v>
      </c>
      <c r="F1030" s="9">
        <f t="shared" si="147"/>
        <v>2</v>
      </c>
      <c r="G1030" s="9">
        <f t="shared" si="148"/>
        <v>2</v>
      </c>
      <c r="H1030" t="str">
        <f>'(Raw) LensesGH'!D1030</f>
        <v>77mm</v>
      </c>
      <c r="I1030" s="2">
        <f t="shared" si="149"/>
        <v>77</v>
      </c>
      <c r="J1030" s="2">
        <f>'(Raw) LensesGH'!E1030</f>
        <v>0</v>
      </c>
      <c r="K1030" s="40">
        <f t="shared" si="150"/>
        <v>0</v>
      </c>
      <c r="L1030" t="str">
        <f>'(Raw) LensesGH'!F1030</f>
        <v>Nikon F</v>
      </c>
      <c r="M1030" t="str">
        <f>'(Raw) LensesGH'!G1030</f>
        <v>APS-C</v>
      </c>
      <c r="N1030" t="str">
        <f>'(Raw) LensesGH'!H1030</f>
        <v>583g</v>
      </c>
      <c r="O1030" s="5">
        <f t="shared" si="151"/>
        <v>583</v>
      </c>
      <c r="P1030" t="str">
        <f>'(Raw) LensesGH'!I1030</f>
        <v>83 x 89.4mm</v>
      </c>
      <c r="Q1030" s="39">
        <f t="shared" si="152"/>
        <v>83</v>
      </c>
      <c r="R1030" s="39">
        <f t="shared" si="144"/>
        <v>89.4</v>
      </c>
    </row>
    <row r="1031" spans="1:18" x14ac:dyDescent="0.25">
      <c r="A1031" t="str">
        <f>'(Raw) LensesGH'!A1031</f>
        <v>Samyang AE 35mm 1.4 AS UMC für Canon EF schwarz</v>
      </c>
      <c r="B1031" t="str">
        <f>'(Raw) LensesGH'!B1031</f>
        <v>35mm</v>
      </c>
      <c r="C1031" s="5">
        <f t="shared" si="145"/>
        <v>35</v>
      </c>
      <c r="D1031" s="5">
        <f t="shared" si="146"/>
        <v>35</v>
      </c>
      <c r="E1031" t="str">
        <f>'(Raw) LensesGH'!C1031</f>
        <v>1:1.4</v>
      </c>
      <c r="F1031" s="9">
        <f t="shared" si="147"/>
        <v>1.4</v>
      </c>
      <c r="G1031" s="9">
        <f t="shared" si="148"/>
        <v>1.4</v>
      </c>
      <c r="H1031" t="str">
        <f>'(Raw) LensesGH'!D1031</f>
        <v>77mm</v>
      </c>
      <c r="I1031" s="2">
        <f t="shared" si="149"/>
        <v>77</v>
      </c>
      <c r="J1031" s="2">
        <f>'(Raw) LensesGH'!E1031</f>
        <v>0</v>
      </c>
      <c r="K1031" s="40">
        <f t="shared" si="150"/>
        <v>0</v>
      </c>
      <c r="L1031" t="str">
        <f>'(Raw) LensesGH'!F1031</f>
        <v>Canon EF</v>
      </c>
      <c r="M1031" t="str">
        <f>'(Raw) LensesGH'!G1031</f>
        <v>APS-C/ Kleinbild</v>
      </c>
      <c r="N1031" t="str">
        <f>'(Raw) LensesGH'!H1031</f>
        <v>660g</v>
      </c>
      <c r="O1031" s="5">
        <f t="shared" si="151"/>
        <v>660</v>
      </c>
      <c r="P1031" t="str">
        <f>'(Raw) LensesGH'!I1031</f>
        <v>83 x 111mm</v>
      </c>
      <c r="Q1031" s="39">
        <f t="shared" si="152"/>
        <v>83</v>
      </c>
      <c r="R1031" s="39">
        <f t="shared" si="144"/>
        <v>111</v>
      </c>
    </row>
    <row r="1032" spans="1:18" x14ac:dyDescent="0.25">
      <c r="A1032" t="str">
        <f>'(Raw) LensesGH'!A1032</f>
        <v>Samyang AE 35mm 1.4 AS UMC für Nikon F schwarz</v>
      </c>
      <c r="B1032" t="str">
        <f>'(Raw) LensesGH'!B1032</f>
        <v>35mm</v>
      </c>
      <c r="C1032" s="5">
        <f t="shared" si="145"/>
        <v>35</v>
      </c>
      <c r="D1032" s="5">
        <f t="shared" si="146"/>
        <v>35</v>
      </c>
      <c r="E1032" t="str">
        <f>'(Raw) LensesGH'!C1032</f>
        <v>1:1.4</v>
      </c>
      <c r="F1032" s="9">
        <f t="shared" si="147"/>
        <v>1.4</v>
      </c>
      <c r="G1032" s="9">
        <f t="shared" si="148"/>
        <v>1.4</v>
      </c>
      <c r="H1032" t="str">
        <f>'(Raw) LensesGH'!D1032</f>
        <v>77mm</v>
      </c>
      <c r="I1032" s="2">
        <f t="shared" si="149"/>
        <v>77</v>
      </c>
      <c r="J1032" s="2">
        <f>'(Raw) LensesGH'!E1032</f>
        <v>0</v>
      </c>
      <c r="K1032" s="40">
        <f t="shared" si="150"/>
        <v>0</v>
      </c>
      <c r="L1032" t="str">
        <f>'(Raw) LensesGH'!F1032</f>
        <v>Nikon F</v>
      </c>
      <c r="M1032" t="str">
        <f>'(Raw) LensesGH'!G1032</f>
        <v>APS-C/ Kleinbild</v>
      </c>
      <c r="N1032" t="str">
        <f>'(Raw) LensesGH'!H1032</f>
        <v>660g</v>
      </c>
      <c r="O1032" s="5">
        <f t="shared" si="151"/>
        <v>660</v>
      </c>
      <c r="P1032" t="str">
        <f>'(Raw) LensesGH'!I1032</f>
        <v>83 x 111mm</v>
      </c>
      <c r="Q1032" s="39">
        <f t="shared" si="152"/>
        <v>83</v>
      </c>
      <c r="R1032" s="39">
        <f t="shared" si="144"/>
        <v>111</v>
      </c>
    </row>
    <row r="1033" spans="1:18" x14ac:dyDescent="0.25">
      <c r="A1033" t="str">
        <f>'(Raw) LensesGH'!A1033</f>
        <v>Samyang AE 85mm 1.4 Asph IF für Nikon F schwarz</v>
      </c>
      <c r="B1033" t="str">
        <f>'(Raw) LensesGH'!B1033</f>
        <v>85mm</v>
      </c>
      <c r="C1033" s="5">
        <f t="shared" si="145"/>
        <v>85</v>
      </c>
      <c r="D1033" s="5">
        <f t="shared" si="146"/>
        <v>85</v>
      </c>
      <c r="E1033" t="str">
        <f>'(Raw) LensesGH'!C1033</f>
        <v>1:1.4</v>
      </c>
      <c r="F1033" s="9">
        <f t="shared" si="147"/>
        <v>1.4</v>
      </c>
      <c r="G1033" s="9">
        <f t="shared" si="148"/>
        <v>1.4</v>
      </c>
      <c r="H1033" t="str">
        <f>'(Raw) LensesGH'!D1033</f>
        <v>72mm</v>
      </c>
      <c r="I1033" s="2">
        <f t="shared" si="149"/>
        <v>72</v>
      </c>
      <c r="J1033" s="2">
        <f>'(Raw) LensesGH'!E1033</f>
        <v>0</v>
      </c>
      <c r="K1033" s="40">
        <f t="shared" si="150"/>
        <v>0</v>
      </c>
      <c r="L1033" t="str">
        <f>'(Raw) LensesGH'!F1033</f>
        <v>Nikon F</v>
      </c>
      <c r="M1033" t="str">
        <f>'(Raw) LensesGH'!G1033</f>
        <v>APS-C/ Kleinbild</v>
      </c>
      <c r="N1033" t="str">
        <f>'(Raw) LensesGH'!H1033</f>
        <v>513g</v>
      </c>
      <c r="O1033" s="5">
        <f t="shared" si="151"/>
        <v>513</v>
      </c>
      <c r="P1033" t="str">
        <f>'(Raw) LensesGH'!I1033</f>
        <v>78 x 72.2mm</v>
      </c>
      <c r="Q1033" s="39">
        <f t="shared" si="152"/>
        <v>78</v>
      </c>
      <c r="R1033" s="39">
        <f t="shared" si="144"/>
        <v>72.2</v>
      </c>
    </row>
    <row r="1034" spans="1:18" x14ac:dyDescent="0.25">
      <c r="A1034" t="str">
        <f>'(Raw) LensesGH'!A1034</f>
        <v>Samyang AF 14mm 2.8 FE ASP ED UMC für Sony E schwarz</v>
      </c>
      <c r="B1034" t="str">
        <f>'(Raw) LensesGH'!B1034</f>
        <v>14mm</v>
      </c>
      <c r="C1034" s="5">
        <f t="shared" si="145"/>
        <v>14</v>
      </c>
      <c r="D1034" s="5">
        <f t="shared" si="146"/>
        <v>14</v>
      </c>
      <c r="E1034" t="str">
        <f>'(Raw) LensesGH'!C1034</f>
        <v>1:2.8</v>
      </c>
      <c r="F1034" s="9">
        <f t="shared" si="147"/>
        <v>2.8</v>
      </c>
      <c r="G1034" s="9">
        <f t="shared" si="148"/>
        <v>2.8</v>
      </c>
      <c r="H1034">
        <f>'(Raw) LensesGH'!D1034</f>
        <v>0</v>
      </c>
      <c r="I1034" s="2">
        <f t="shared" si="149"/>
        <v>0</v>
      </c>
      <c r="J1034" s="2" t="str">
        <f>'(Raw) LensesGH'!E1034</f>
        <v>1:8.33</v>
      </c>
      <c r="K1034" s="40">
        <f t="shared" si="150"/>
        <v>8.33</v>
      </c>
      <c r="L1034" t="str">
        <f>'(Raw) LensesGH'!F1034</f>
        <v>Sony E</v>
      </c>
      <c r="M1034" t="str">
        <f>'(Raw) LensesGH'!G1034</f>
        <v>APS-C/ Kleinbild</v>
      </c>
      <c r="N1034" t="str">
        <f>'(Raw) LensesGH'!H1034</f>
        <v>505g</v>
      </c>
      <c r="O1034" s="5">
        <f t="shared" si="151"/>
        <v>505</v>
      </c>
      <c r="P1034" t="str">
        <f>'(Raw) LensesGH'!I1034</f>
        <v>85.5 x 97.5mm</v>
      </c>
      <c r="Q1034" s="39">
        <f t="shared" si="152"/>
        <v>85.5</v>
      </c>
      <c r="R1034" s="39">
        <f t="shared" si="144"/>
        <v>97.5</v>
      </c>
    </row>
    <row r="1035" spans="1:18" x14ac:dyDescent="0.25">
      <c r="A1035" t="str">
        <f>'(Raw) LensesGH'!A1035</f>
        <v>Samyang AF 35mm 1.4 FE für Sony E schwarz</v>
      </c>
      <c r="B1035" t="str">
        <f>'(Raw) LensesGH'!B1035</f>
        <v>35mm</v>
      </c>
      <c r="C1035" s="5">
        <f t="shared" si="145"/>
        <v>35</v>
      </c>
      <c r="D1035" s="5">
        <f t="shared" si="146"/>
        <v>35</v>
      </c>
      <c r="E1035" t="str">
        <f>'(Raw) LensesGH'!C1035</f>
        <v>1:1.4</v>
      </c>
      <c r="F1035" s="9">
        <f t="shared" si="147"/>
        <v>1.4</v>
      </c>
      <c r="G1035" s="9">
        <f t="shared" si="148"/>
        <v>1.4</v>
      </c>
      <c r="H1035" t="str">
        <f>'(Raw) LensesGH'!D1035</f>
        <v>67mm</v>
      </c>
      <c r="I1035" s="2">
        <f t="shared" si="149"/>
        <v>67</v>
      </c>
      <c r="J1035" s="2" t="str">
        <f>'(Raw) LensesGH'!E1035</f>
        <v>1:5.88</v>
      </c>
      <c r="K1035" s="40">
        <f t="shared" si="150"/>
        <v>5.88</v>
      </c>
      <c r="L1035" t="str">
        <f>'(Raw) LensesGH'!F1035</f>
        <v>Sony E</v>
      </c>
      <c r="M1035" t="str">
        <f>'(Raw) LensesGH'!G1035</f>
        <v>APS-C/ Kleinbild</v>
      </c>
      <c r="N1035" t="str">
        <f>'(Raw) LensesGH'!H1035</f>
        <v>645g</v>
      </c>
      <c r="O1035" s="5">
        <f t="shared" si="151"/>
        <v>645</v>
      </c>
      <c r="P1035" t="str">
        <f>'(Raw) LensesGH'!I1035</f>
        <v>75.9 x 115mm</v>
      </c>
      <c r="Q1035" s="39">
        <f t="shared" si="152"/>
        <v>75.900000000000006</v>
      </c>
      <c r="R1035" s="39">
        <f t="shared" si="144"/>
        <v>115</v>
      </c>
    </row>
    <row r="1036" spans="1:18" x14ac:dyDescent="0.25">
      <c r="A1036" t="str">
        <f>'(Raw) LensesGH'!A1036</f>
        <v>Samyang AF 35mm 2.8 FE für Sony E schwarz</v>
      </c>
      <c r="B1036" t="str">
        <f>'(Raw) LensesGH'!B1036</f>
        <v>35mm</v>
      </c>
      <c r="C1036" s="5">
        <f t="shared" si="145"/>
        <v>35</v>
      </c>
      <c r="D1036" s="5">
        <f t="shared" si="146"/>
        <v>35</v>
      </c>
      <c r="E1036" t="str">
        <f>'(Raw) LensesGH'!C1036</f>
        <v>1:2.8</v>
      </c>
      <c r="F1036" s="9">
        <f t="shared" si="147"/>
        <v>2.8</v>
      </c>
      <c r="G1036" s="9">
        <f t="shared" si="148"/>
        <v>2.8</v>
      </c>
      <c r="H1036" t="str">
        <f>'(Raw) LensesGH'!D1036</f>
        <v>49mm</v>
      </c>
      <c r="I1036" s="2">
        <f t="shared" si="149"/>
        <v>49</v>
      </c>
      <c r="J1036" s="2" t="str">
        <f>'(Raw) LensesGH'!E1036</f>
        <v>1:8.33</v>
      </c>
      <c r="K1036" s="40">
        <f t="shared" si="150"/>
        <v>8.33</v>
      </c>
      <c r="L1036" t="str">
        <f>'(Raw) LensesGH'!F1036</f>
        <v>Sony E</v>
      </c>
      <c r="M1036" t="str">
        <f>'(Raw) LensesGH'!G1036</f>
        <v>APS-C/ Kleinbild</v>
      </c>
      <c r="N1036" t="str">
        <f>'(Raw) LensesGH'!H1036</f>
        <v>85.6g</v>
      </c>
      <c r="O1036" s="5">
        <f t="shared" si="151"/>
        <v>85.6</v>
      </c>
      <c r="P1036" t="str">
        <f>'(Raw) LensesGH'!I1036</f>
        <v>61.8 x 33mm</v>
      </c>
      <c r="Q1036" s="39">
        <f t="shared" si="152"/>
        <v>61.8</v>
      </c>
      <c r="R1036" s="39">
        <f t="shared" si="144"/>
        <v>33</v>
      </c>
    </row>
    <row r="1037" spans="1:18" x14ac:dyDescent="0.25">
      <c r="A1037" t="str">
        <f>'(Raw) LensesGH'!A1037</f>
        <v>Samyang AF 50mm 1.4 FE für Sony E schwarz</v>
      </c>
      <c r="B1037" t="str">
        <f>'(Raw) LensesGH'!B1037</f>
        <v>50mm</v>
      </c>
      <c r="C1037" s="5">
        <f t="shared" si="145"/>
        <v>50</v>
      </c>
      <c r="D1037" s="5">
        <f t="shared" si="146"/>
        <v>50</v>
      </c>
      <c r="E1037" t="str">
        <f>'(Raw) LensesGH'!C1037</f>
        <v>1:1.4</v>
      </c>
      <c r="F1037" s="9">
        <f t="shared" si="147"/>
        <v>1.4</v>
      </c>
      <c r="G1037" s="9">
        <f t="shared" si="148"/>
        <v>1.4</v>
      </c>
      <c r="H1037" t="str">
        <f>'(Raw) LensesGH'!D1037</f>
        <v>67mm</v>
      </c>
      <c r="I1037" s="2">
        <f t="shared" si="149"/>
        <v>67</v>
      </c>
      <c r="J1037" s="2" t="str">
        <f>'(Raw) LensesGH'!E1037</f>
        <v>1:6.67</v>
      </c>
      <c r="K1037" s="40">
        <f t="shared" si="150"/>
        <v>6.67</v>
      </c>
      <c r="L1037" t="str">
        <f>'(Raw) LensesGH'!F1037</f>
        <v>Sony E</v>
      </c>
      <c r="M1037" t="str">
        <f>'(Raw) LensesGH'!G1037</f>
        <v>APS-C/ Kleinbild</v>
      </c>
      <c r="N1037" t="str">
        <f>'(Raw) LensesGH'!H1037</f>
        <v>585g</v>
      </c>
      <c r="O1037" s="5">
        <f t="shared" si="151"/>
        <v>585</v>
      </c>
      <c r="P1037" t="str">
        <f>'(Raw) LensesGH'!I1037</f>
        <v>73.5 x 97.7mm</v>
      </c>
      <c r="Q1037" s="39">
        <f t="shared" si="152"/>
        <v>73.5</v>
      </c>
      <c r="R1037" s="39">
        <f t="shared" si="144"/>
        <v>97.7</v>
      </c>
    </row>
    <row r="1038" spans="1:18" x14ac:dyDescent="0.25">
      <c r="A1038" t="str">
        <f>'(Raw) LensesGH'!A1038</f>
        <v>Samyang T-S 24mm 3.5 ED AS UMC für Canon EF schwarz</v>
      </c>
      <c r="B1038" t="str">
        <f>'(Raw) LensesGH'!B1038</f>
        <v>24mm</v>
      </c>
      <c r="C1038" s="5">
        <f t="shared" si="145"/>
        <v>24</v>
      </c>
      <c r="D1038" s="5">
        <f t="shared" si="146"/>
        <v>24</v>
      </c>
      <c r="E1038" t="str">
        <f>'(Raw) LensesGH'!C1038</f>
        <v>1:3.5</v>
      </c>
      <c r="F1038" s="9">
        <f t="shared" si="147"/>
        <v>3.5</v>
      </c>
      <c r="G1038" s="9">
        <f t="shared" si="148"/>
        <v>3.5</v>
      </c>
      <c r="H1038" t="str">
        <f>'(Raw) LensesGH'!D1038</f>
        <v>82mm</v>
      </c>
      <c r="I1038" s="2">
        <f t="shared" si="149"/>
        <v>82</v>
      </c>
      <c r="J1038" s="2">
        <f>'(Raw) LensesGH'!E1038</f>
        <v>0</v>
      </c>
      <c r="K1038" s="40">
        <f t="shared" si="150"/>
        <v>0</v>
      </c>
      <c r="L1038" t="str">
        <f>'(Raw) LensesGH'!F1038</f>
        <v>Canon EF</v>
      </c>
      <c r="M1038" t="str">
        <f>'(Raw) LensesGH'!G1038</f>
        <v>APS-C/ Kleinbild</v>
      </c>
      <c r="N1038" t="str">
        <f>'(Raw) LensesGH'!H1038</f>
        <v>680g</v>
      </c>
      <c r="O1038" s="5">
        <f t="shared" si="151"/>
        <v>680</v>
      </c>
      <c r="P1038" t="str">
        <f>'(Raw) LensesGH'!I1038</f>
        <v>86 x 112mm</v>
      </c>
      <c r="Q1038" s="39">
        <f t="shared" si="152"/>
        <v>86</v>
      </c>
      <c r="R1038" s="39">
        <f t="shared" si="144"/>
        <v>112</v>
      </c>
    </row>
    <row r="1039" spans="1:18" x14ac:dyDescent="0.25">
      <c r="A1039" t="str">
        <f>'(Raw) LensesGH'!A1039</f>
        <v>Samyang T-S 24mm 3.5 ED AS UMC für Fujifilm X schwarz</v>
      </c>
      <c r="B1039" t="str">
        <f>'(Raw) LensesGH'!B1039</f>
        <v>24mm</v>
      </c>
      <c r="C1039" s="5">
        <f t="shared" si="145"/>
        <v>24</v>
      </c>
      <c r="D1039" s="5">
        <f t="shared" si="146"/>
        <v>24</v>
      </c>
      <c r="E1039" t="str">
        <f>'(Raw) LensesGH'!C1039</f>
        <v>1:3.5</v>
      </c>
      <c r="F1039" s="9">
        <f t="shared" si="147"/>
        <v>3.5</v>
      </c>
      <c r="G1039" s="9">
        <f t="shared" si="148"/>
        <v>3.5</v>
      </c>
      <c r="H1039" t="str">
        <f>'(Raw) LensesGH'!D1039</f>
        <v>82mm</v>
      </c>
      <c r="I1039" s="2">
        <f t="shared" si="149"/>
        <v>82</v>
      </c>
      <c r="J1039" s="2">
        <f>'(Raw) LensesGH'!E1039</f>
        <v>0</v>
      </c>
      <c r="K1039" s="40">
        <f t="shared" si="150"/>
        <v>0</v>
      </c>
      <c r="L1039" t="str">
        <f>'(Raw) LensesGH'!F1039</f>
        <v>Fujifilm X</v>
      </c>
      <c r="M1039" t="str">
        <f>'(Raw) LensesGH'!G1039</f>
        <v>APS-C</v>
      </c>
      <c r="N1039" t="str">
        <f>'(Raw) LensesGH'!H1039</f>
        <v>745g</v>
      </c>
      <c r="O1039" s="5">
        <f t="shared" si="151"/>
        <v>745</v>
      </c>
      <c r="P1039" t="str">
        <f>'(Raw) LensesGH'!I1039</f>
        <v>86 x 136mm</v>
      </c>
      <c r="Q1039" s="39">
        <f t="shared" si="152"/>
        <v>86</v>
      </c>
      <c r="R1039" s="39">
        <f t="shared" si="144"/>
        <v>136</v>
      </c>
    </row>
    <row r="1040" spans="1:18" x14ac:dyDescent="0.25">
      <c r="A1040" t="str">
        <f>'(Raw) LensesGH'!A1040</f>
        <v>Samyang T-S 24mm 3.5 ED AS UMC für Nikon F schwarz</v>
      </c>
      <c r="B1040" t="str">
        <f>'(Raw) LensesGH'!B1040</f>
        <v>24mm</v>
      </c>
      <c r="C1040" s="5">
        <f t="shared" si="145"/>
        <v>24</v>
      </c>
      <c r="D1040" s="5">
        <f t="shared" si="146"/>
        <v>24</v>
      </c>
      <c r="E1040" t="str">
        <f>'(Raw) LensesGH'!C1040</f>
        <v>1:3.5</v>
      </c>
      <c r="F1040" s="9">
        <f t="shared" si="147"/>
        <v>3.5</v>
      </c>
      <c r="G1040" s="9">
        <f t="shared" si="148"/>
        <v>3.5</v>
      </c>
      <c r="H1040" t="str">
        <f>'(Raw) LensesGH'!D1040</f>
        <v>82mm</v>
      </c>
      <c r="I1040" s="2">
        <f t="shared" si="149"/>
        <v>82</v>
      </c>
      <c r="J1040" s="2">
        <f>'(Raw) LensesGH'!E1040</f>
        <v>0</v>
      </c>
      <c r="K1040" s="40">
        <f t="shared" si="150"/>
        <v>0</v>
      </c>
      <c r="L1040" t="str">
        <f>'(Raw) LensesGH'!F1040</f>
        <v>Nikon F</v>
      </c>
      <c r="M1040" t="str">
        <f>'(Raw) LensesGH'!G1040</f>
        <v>APS-C/ Kleinbild</v>
      </c>
      <c r="N1040" t="str">
        <f>'(Raw) LensesGH'!H1040</f>
        <v>680g</v>
      </c>
      <c r="O1040" s="5">
        <f t="shared" si="151"/>
        <v>680</v>
      </c>
      <c r="P1040" t="str">
        <f>'(Raw) LensesGH'!I1040</f>
        <v>86 x 112mm</v>
      </c>
      <c r="Q1040" s="39">
        <f t="shared" si="152"/>
        <v>86</v>
      </c>
      <c r="R1040" s="39">
        <f t="shared" si="144"/>
        <v>112</v>
      </c>
    </row>
    <row r="1041" spans="1:18" x14ac:dyDescent="0.25">
      <c r="A1041" t="str">
        <f>'(Raw) LensesGH'!A1041</f>
        <v>Samyang T-S 24mm 3.5 ED AS UMC für Pentax K schwarz</v>
      </c>
      <c r="B1041" t="str">
        <f>'(Raw) LensesGH'!B1041</f>
        <v>24mm</v>
      </c>
      <c r="C1041" s="5">
        <f t="shared" si="145"/>
        <v>24</v>
      </c>
      <c r="D1041" s="5">
        <f t="shared" si="146"/>
        <v>24</v>
      </c>
      <c r="E1041" t="str">
        <f>'(Raw) LensesGH'!C1041</f>
        <v>1:3.5</v>
      </c>
      <c r="F1041" s="9">
        <f t="shared" si="147"/>
        <v>3.5</v>
      </c>
      <c r="G1041" s="9">
        <f t="shared" si="148"/>
        <v>3.5</v>
      </c>
      <c r="H1041" t="str">
        <f>'(Raw) LensesGH'!D1041</f>
        <v>82mm</v>
      </c>
      <c r="I1041" s="2">
        <f t="shared" si="149"/>
        <v>82</v>
      </c>
      <c r="J1041" s="2">
        <f>'(Raw) LensesGH'!E1041</f>
        <v>0</v>
      </c>
      <c r="K1041" s="40">
        <f t="shared" si="150"/>
        <v>0</v>
      </c>
      <c r="L1041" t="str">
        <f>'(Raw) LensesGH'!F1041</f>
        <v>Pentax K</v>
      </c>
      <c r="M1041" t="str">
        <f>'(Raw) LensesGH'!G1041</f>
        <v>APS-C/ Kleinbild</v>
      </c>
      <c r="N1041" t="str">
        <f>'(Raw) LensesGH'!H1041</f>
        <v>680g</v>
      </c>
      <c r="O1041" s="5">
        <f t="shared" si="151"/>
        <v>680</v>
      </c>
      <c r="P1041" t="str">
        <f>'(Raw) LensesGH'!I1041</f>
        <v>86 x 112mm</v>
      </c>
      <c r="Q1041" s="39">
        <f t="shared" si="152"/>
        <v>86</v>
      </c>
      <c r="R1041" s="39">
        <f t="shared" si="144"/>
        <v>112</v>
      </c>
    </row>
    <row r="1042" spans="1:18" x14ac:dyDescent="0.25">
      <c r="A1042" t="str">
        <f>'(Raw) LensesGH'!A1042</f>
        <v>Samyang T-S 24mm 3.5 ED AS UMC für Sony A schwarz</v>
      </c>
      <c r="B1042" t="str">
        <f>'(Raw) LensesGH'!B1042</f>
        <v>24mm</v>
      </c>
      <c r="C1042" s="5">
        <f t="shared" si="145"/>
        <v>24</v>
      </c>
      <c r="D1042" s="5">
        <f t="shared" si="146"/>
        <v>24</v>
      </c>
      <c r="E1042" t="str">
        <f>'(Raw) LensesGH'!C1042</f>
        <v>1:3.5</v>
      </c>
      <c r="F1042" s="9">
        <f t="shared" si="147"/>
        <v>3.5</v>
      </c>
      <c r="G1042" s="9">
        <f t="shared" si="148"/>
        <v>3.5</v>
      </c>
      <c r="H1042" t="str">
        <f>'(Raw) LensesGH'!D1042</f>
        <v>82mm</v>
      </c>
      <c r="I1042" s="2">
        <f t="shared" si="149"/>
        <v>82</v>
      </c>
      <c r="J1042" s="2">
        <f>'(Raw) LensesGH'!E1042</f>
        <v>0</v>
      </c>
      <c r="K1042" s="40">
        <f t="shared" si="150"/>
        <v>0</v>
      </c>
      <c r="L1042" t="str">
        <f>'(Raw) LensesGH'!F1042</f>
        <v>Sony A</v>
      </c>
      <c r="M1042" t="str">
        <f>'(Raw) LensesGH'!G1042</f>
        <v>APS-C/ Kleinbild</v>
      </c>
      <c r="N1042" t="str">
        <f>'(Raw) LensesGH'!H1042</f>
        <v>680g</v>
      </c>
      <c r="O1042" s="5">
        <f t="shared" si="151"/>
        <v>680</v>
      </c>
      <c r="P1042" t="str">
        <f>'(Raw) LensesGH'!I1042</f>
        <v>86 x 112mm</v>
      </c>
      <c r="Q1042" s="39">
        <f t="shared" si="152"/>
        <v>86</v>
      </c>
      <c r="R1042" s="39">
        <f t="shared" si="144"/>
        <v>112</v>
      </c>
    </row>
    <row r="1043" spans="1:18" x14ac:dyDescent="0.25">
      <c r="A1043" t="str">
        <f>'(Raw) LensesGH'!A1043</f>
        <v>Samyang T-S 24mm 3.5 ED AS UMC für Sony E schwarz</v>
      </c>
      <c r="B1043" t="str">
        <f>'(Raw) LensesGH'!B1043</f>
        <v>24mm</v>
      </c>
      <c r="C1043" s="5">
        <f t="shared" si="145"/>
        <v>24</v>
      </c>
      <c r="D1043" s="5">
        <f t="shared" si="146"/>
        <v>24</v>
      </c>
      <c r="E1043" t="str">
        <f>'(Raw) LensesGH'!C1043</f>
        <v>1:3.5</v>
      </c>
      <c r="F1043" s="9">
        <f t="shared" si="147"/>
        <v>3.5</v>
      </c>
      <c r="G1043" s="9">
        <f t="shared" si="148"/>
        <v>3.5</v>
      </c>
      <c r="H1043" t="str">
        <f>'(Raw) LensesGH'!D1043</f>
        <v>82mm</v>
      </c>
      <c r="I1043" s="2">
        <f t="shared" si="149"/>
        <v>82</v>
      </c>
      <c r="J1043" s="2">
        <f>'(Raw) LensesGH'!E1043</f>
        <v>0</v>
      </c>
      <c r="K1043" s="40">
        <f t="shared" si="150"/>
        <v>0</v>
      </c>
      <c r="L1043" t="str">
        <f>'(Raw) LensesGH'!F1043</f>
        <v>Sony E</v>
      </c>
      <c r="M1043" t="str">
        <f>'(Raw) LensesGH'!G1043</f>
        <v>APS-C</v>
      </c>
      <c r="N1043" t="str">
        <f>'(Raw) LensesGH'!H1043</f>
        <v>680g</v>
      </c>
      <c r="O1043" s="5">
        <f t="shared" si="151"/>
        <v>680</v>
      </c>
      <c r="P1043" t="str">
        <f>'(Raw) LensesGH'!I1043</f>
        <v>86 x 112mm</v>
      </c>
      <c r="Q1043" s="39">
        <f t="shared" si="152"/>
        <v>86</v>
      </c>
      <c r="R1043" s="39">
        <f t="shared" si="144"/>
        <v>112</v>
      </c>
    </row>
    <row r="1044" spans="1:18" x14ac:dyDescent="0.25">
      <c r="A1044" t="str">
        <f>'(Raw) LensesGH'!A1044</f>
        <v>Samyang XEEN 135mm T2.2 für Canon EF schwarz</v>
      </c>
      <c r="B1044" t="str">
        <f>'(Raw) LensesGH'!B1044</f>
        <v>135mm</v>
      </c>
      <c r="C1044" s="5">
        <f t="shared" si="145"/>
        <v>135</v>
      </c>
      <c r="D1044" s="5">
        <f t="shared" si="146"/>
        <v>135</v>
      </c>
      <c r="E1044" t="str">
        <f>'(Raw) LensesGH'!C1044</f>
        <v>1:2.2</v>
      </c>
      <c r="F1044" s="9">
        <f t="shared" si="147"/>
        <v>2.2000000000000002</v>
      </c>
      <c r="G1044" s="9">
        <f t="shared" si="148"/>
        <v>2.2000000000000002</v>
      </c>
      <c r="H1044">
        <f>'(Raw) LensesGH'!D1044</f>
        <v>0</v>
      </c>
      <c r="I1044" s="2">
        <f t="shared" si="149"/>
        <v>0</v>
      </c>
      <c r="J1044" s="2">
        <f>'(Raw) LensesGH'!E1044</f>
        <v>0</v>
      </c>
      <c r="K1044" s="40">
        <f t="shared" si="150"/>
        <v>0</v>
      </c>
      <c r="L1044" t="str">
        <f>'(Raw) LensesGH'!F1044</f>
        <v>Canon EF</v>
      </c>
      <c r="M1044" t="str">
        <f>'(Raw) LensesGH'!G1044</f>
        <v>APS-C/ Kleinbild</v>
      </c>
      <c r="N1044" t="str">
        <f>'(Raw) LensesGH'!H1044</f>
        <v>1390g</v>
      </c>
      <c r="O1044" s="5">
        <f t="shared" si="151"/>
        <v>1390</v>
      </c>
      <c r="P1044" t="str">
        <f>'(Raw) LensesGH'!I1044</f>
        <v>117.6 x 121.7mm</v>
      </c>
      <c r="Q1044" s="39">
        <f t="shared" si="152"/>
        <v>117.6</v>
      </c>
      <c r="R1044" s="39">
        <f t="shared" si="144"/>
        <v>121.7</v>
      </c>
    </row>
    <row r="1045" spans="1:18" x14ac:dyDescent="0.25">
      <c r="A1045" t="str">
        <f>'(Raw) LensesGH'!A1045</f>
        <v>Samyang XEEN 135mm T2.2 für Micro-Four-Thirds schwarz</v>
      </c>
      <c r="B1045" t="str">
        <f>'(Raw) LensesGH'!B1045</f>
        <v>135mm</v>
      </c>
      <c r="C1045" s="5">
        <f t="shared" si="145"/>
        <v>135</v>
      </c>
      <c r="D1045" s="5">
        <f t="shared" si="146"/>
        <v>135</v>
      </c>
      <c r="E1045" t="str">
        <f>'(Raw) LensesGH'!C1045</f>
        <v>1:2.2</v>
      </c>
      <c r="F1045" s="9">
        <f t="shared" si="147"/>
        <v>2.2000000000000002</v>
      </c>
      <c r="G1045" s="9">
        <f t="shared" si="148"/>
        <v>2.2000000000000002</v>
      </c>
      <c r="H1045">
        <f>'(Raw) LensesGH'!D1045</f>
        <v>0</v>
      </c>
      <c r="I1045" s="2">
        <f t="shared" si="149"/>
        <v>0</v>
      </c>
      <c r="J1045" s="2">
        <f>'(Raw) LensesGH'!E1045</f>
        <v>0</v>
      </c>
      <c r="K1045" s="40">
        <f t="shared" si="150"/>
        <v>0</v>
      </c>
      <c r="L1045" t="str">
        <f>'(Raw) LensesGH'!F1045</f>
        <v>Micro-Four-Thirds</v>
      </c>
      <c r="M1045" t="str">
        <f>'(Raw) LensesGH'!G1045</f>
        <v>Micro-Four-Thirds</v>
      </c>
      <c r="N1045" t="str">
        <f>'(Raw) LensesGH'!H1045</f>
        <v>1410g</v>
      </c>
      <c r="O1045" s="5">
        <f t="shared" si="151"/>
        <v>1410</v>
      </c>
      <c r="P1045" t="str">
        <f>'(Raw) LensesGH'!I1045</f>
        <v>117.6 x 146.5mm</v>
      </c>
      <c r="Q1045" s="39">
        <f t="shared" si="152"/>
        <v>117.6</v>
      </c>
      <c r="R1045" s="39">
        <f t="shared" si="144"/>
        <v>146.5</v>
      </c>
    </row>
    <row r="1046" spans="1:18" x14ac:dyDescent="0.25">
      <c r="A1046" t="str">
        <f>'(Raw) LensesGH'!A1046</f>
        <v>Samyang XEEN 135mm T2.2 für Nikon F schwarz</v>
      </c>
      <c r="B1046" t="str">
        <f>'(Raw) LensesGH'!B1046</f>
        <v>135mm</v>
      </c>
      <c r="C1046" s="5">
        <f t="shared" si="145"/>
        <v>135</v>
      </c>
      <c r="D1046" s="5">
        <f t="shared" si="146"/>
        <v>135</v>
      </c>
      <c r="E1046" t="str">
        <f>'(Raw) LensesGH'!C1046</f>
        <v>1:2.2</v>
      </c>
      <c r="F1046" s="9">
        <f t="shared" si="147"/>
        <v>2.2000000000000002</v>
      </c>
      <c r="G1046" s="9">
        <f t="shared" si="148"/>
        <v>2.2000000000000002</v>
      </c>
      <c r="H1046">
        <f>'(Raw) LensesGH'!D1046</f>
        <v>0</v>
      </c>
      <c r="I1046" s="2">
        <f t="shared" si="149"/>
        <v>0</v>
      </c>
      <c r="J1046" s="2">
        <f>'(Raw) LensesGH'!E1046</f>
        <v>0</v>
      </c>
      <c r="K1046" s="40">
        <f t="shared" si="150"/>
        <v>0</v>
      </c>
      <c r="L1046" t="str">
        <f>'(Raw) LensesGH'!F1046</f>
        <v>Nikon F</v>
      </c>
      <c r="M1046" t="str">
        <f>'(Raw) LensesGH'!G1046</f>
        <v>APS-C/ Kleinbild</v>
      </c>
      <c r="N1046" t="str">
        <f>'(Raw) LensesGH'!H1046</f>
        <v>1350g</v>
      </c>
      <c r="O1046" s="5">
        <f t="shared" si="151"/>
        <v>1350</v>
      </c>
      <c r="P1046" t="str">
        <f>'(Raw) LensesGH'!I1046</f>
        <v>117.6 x 119.2mm</v>
      </c>
      <c r="Q1046" s="39">
        <f t="shared" si="152"/>
        <v>117.6</v>
      </c>
      <c r="R1046" s="39">
        <f t="shared" si="144"/>
        <v>119.2</v>
      </c>
    </row>
    <row r="1047" spans="1:18" x14ac:dyDescent="0.25">
      <c r="A1047" t="str">
        <f>'(Raw) LensesGH'!A1047</f>
        <v>Samyang XEEN 135mm T2.2 für PL schwarz</v>
      </c>
      <c r="B1047" t="str">
        <f>'(Raw) LensesGH'!B1047</f>
        <v>135mm</v>
      </c>
      <c r="C1047" s="5">
        <f t="shared" si="145"/>
        <v>135</v>
      </c>
      <c r="D1047" s="5">
        <f t="shared" si="146"/>
        <v>135</v>
      </c>
      <c r="E1047" t="str">
        <f>'(Raw) LensesGH'!C1047</f>
        <v>1:2.2</v>
      </c>
      <c r="F1047" s="9">
        <f t="shared" si="147"/>
        <v>2.2000000000000002</v>
      </c>
      <c r="G1047" s="9">
        <f t="shared" si="148"/>
        <v>2.2000000000000002</v>
      </c>
      <c r="H1047">
        <f>'(Raw) LensesGH'!D1047</f>
        <v>0</v>
      </c>
      <c r="I1047" s="2">
        <f t="shared" si="149"/>
        <v>0</v>
      </c>
      <c r="J1047" s="2">
        <f>'(Raw) LensesGH'!E1047</f>
        <v>0</v>
      </c>
      <c r="K1047" s="40">
        <f t="shared" si="150"/>
        <v>0</v>
      </c>
      <c r="L1047" t="str">
        <f>'(Raw) LensesGH'!F1047</f>
        <v>PL</v>
      </c>
      <c r="M1047" t="str">
        <f>'(Raw) LensesGH'!G1047</f>
        <v>APS-C/ Kleinbild</v>
      </c>
      <c r="N1047" t="str">
        <f>'(Raw) LensesGH'!H1047</f>
        <v>1380g</v>
      </c>
      <c r="O1047" s="5">
        <f t="shared" si="151"/>
        <v>1380</v>
      </c>
      <c r="P1047" t="str">
        <f>'(Raw) LensesGH'!I1047</f>
        <v>117.6 x 113.7mm</v>
      </c>
      <c r="Q1047" s="39">
        <f t="shared" si="152"/>
        <v>117.6</v>
      </c>
      <c r="R1047" s="39">
        <f t="shared" si="144"/>
        <v>113.7</v>
      </c>
    </row>
    <row r="1048" spans="1:18" x14ac:dyDescent="0.25">
      <c r="A1048" t="str">
        <f>'(Raw) LensesGH'!A1048</f>
        <v>Samyang XEEN 135mm T2.2 für Sony E schwarz</v>
      </c>
      <c r="B1048" t="str">
        <f>'(Raw) LensesGH'!B1048</f>
        <v>135mm</v>
      </c>
      <c r="C1048" s="5">
        <f t="shared" si="145"/>
        <v>135</v>
      </c>
      <c r="D1048" s="5">
        <f t="shared" si="146"/>
        <v>135</v>
      </c>
      <c r="E1048" t="str">
        <f>'(Raw) LensesGH'!C1048</f>
        <v>1:2.2</v>
      </c>
      <c r="F1048" s="9">
        <f t="shared" si="147"/>
        <v>2.2000000000000002</v>
      </c>
      <c r="G1048" s="9">
        <f t="shared" si="148"/>
        <v>2.2000000000000002</v>
      </c>
      <c r="H1048">
        <f>'(Raw) LensesGH'!D1048</f>
        <v>0</v>
      </c>
      <c r="I1048" s="2">
        <f t="shared" si="149"/>
        <v>0</v>
      </c>
      <c r="J1048" s="2">
        <f>'(Raw) LensesGH'!E1048</f>
        <v>0</v>
      </c>
      <c r="K1048" s="40">
        <f t="shared" si="150"/>
        <v>0</v>
      </c>
      <c r="L1048" t="str">
        <f>'(Raw) LensesGH'!F1048</f>
        <v>Sony E</v>
      </c>
      <c r="M1048" t="str">
        <f>'(Raw) LensesGH'!G1048</f>
        <v>APS-C/ Kleinbild</v>
      </c>
      <c r="N1048" t="str">
        <f>'(Raw) LensesGH'!H1048</f>
        <v>1410g</v>
      </c>
      <c r="O1048" s="5">
        <f t="shared" si="151"/>
        <v>1410</v>
      </c>
      <c r="P1048" t="str">
        <f>'(Raw) LensesGH'!I1048</f>
        <v>117.6 x 147.7mm</v>
      </c>
      <c r="Q1048" s="39">
        <f t="shared" si="152"/>
        <v>117.6</v>
      </c>
      <c r="R1048" s="39">
        <f t="shared" si="144"/>
        <v>147.69999999999999</v>
      </c>
    </row>
    <row r="1049" spans="1:18" x14ac:dyDescent="0.25">
      <c r="A1049" t="str">
        <f>'(Raw) LensesGH'!A1049</f>
        <v>Samyang XEEN 14mm T3.1 für Canon EF schwarz</v>
      </c>
      <c r="B1049" t="str">
        <f>'(Raw) LensesGH'!B1049</f>
        <v>14mm</v>
      </c>
      <c r="C1049" s="5">
        <f t="shared" si="145"/>
        <v>14</v>
      </c>
      <c r="D1049" s="5">
        <f t="shared" si="146"/>
        <v>14</v>
      </c>
      <c r="E1049" t="str">
        <f>'(Raw) LensesGH'!C1049</f>
        <v>1:3.1</v>
      </c>
      <c r="F1049" s="9">
        <f t="shared" si="147"/>
        <v>3.1</v>
      </c>
      <c r="G1049" s="9">
        <f t="shared" si="148"/>
        <v>3.1</v>
      </c>
      <c r="H1049">
        <f>'(Raw) LensesGH'!D1049</f>
        <v>0</v>
      </c>
      <c r="I1049" s="2">
        <f t="shared" si="149"/>
        <v>0</v>
      </c>
      <c r="J1049" s="2">
        <f>'(Raw) LensesGH'!E1049</f>
        <v>0</v>
      </c>
      <c r="K1049" s="40">
        <f t="shared" si="150"/>
        <v>0</v>
      </c>
      <c r="L1049" t="str">
        <f>'(Raw) LensesGH'!F1049</f>
        <v>Canon EF</v>
      </c>
      <c r="M1049" t="str">
        <f>'(Raw) LensesGH'!G1049</f>
        <v>APS-C/ Kleinbild</v>
      </c>
      <c r="N1049" t="str">
        <f>'(Raw) LensesGH'!H1049</f>
        <v>1170g</v>
      </c>
      <c r="O1049" s="5">
        <f t="shared" si="151"/>
        <v>1170</v>
      </c>
      <c r="P1049" t="str">
        <f>'(Raw) LensesGH'!I1049</f>
        <v>117.6 x 88.3mm</v>
      </c>
      <c r="Q1049" s="39">
        <f t="shared" si="152"/>
        <v>117.6</v>
      </c>
      <c r="R1049" s="39">
        <f t="shared" si="144"/>
        <v>88.3</v>
      </c>
    </row>
    <row r="1050" spans="1:18" x14ac:dyDescent="0.25">
      <c r="A1050" t="str">
        <f>'(Raw) LensesGH'!A1050</f>
        <v>Samyang XEEN 14mm T3.1 für Micro-Four-Thirds schwarz</v>
      </c>
      <c r="B1050" t="str">
        <f>'(Raw) LensesGH'!B1050</f>
        <v>14mm</v>
      </c>
      <c r="C1050" s="5">
        <f t="shared" si="145"/>
        <v>14</v>
      </c>
      <c r="D1050" s="5">
        <f t="shared" si="146"/>
        <v>14</v>
      </c>
      <c r="E1050" t="str">
        <f>'(Raw) LensesGH'!C1050</f>
        <v>1:3.1</v>
      </c>
      <c r="F1050" s="9">
        <f t="shared" si="147"/>
        <v>3.1</v>
      </c>
      <c r="G1050" s="9">
        <f t="shared" si="148"/>
        <v>3.1</v>
      </c>
      <c r="H1050">
        <f>'(Raw) LensesGH'!D1050</f>
        <v>0</v>
      </c>
      <c r="I1050" s="2">
        <f t="shared" si="149"/>
        <v>0</v>
      </c>
      <c r="J1050" s="2">
        <f>'(Raw) LensesGH'!E1050</f>
        <v>0</v>
      </c>
      <c r="K1050" s="40">
        <f t="shared" si="150"/>
        <v>0</v>
      </c>
      <c r="L1050" t="str">
        <f>'(Raw) LensesGH'!F1050</f>
        <v>Micro-Four-Thirds</v>
      </c>
      <c r="M1050" t="str">
        <f>'(Raw) LensesGH'!G1050</f>
        <v>Micro-Four-Thirds</v>
      </c>
      <c r="N1050" t="str">
        <f>'(Raw) LensesGH'!H1050</f>
        <v>1180g</v>
      </c>
      <c r="O1050" s="5">
        <f t="shared" si="151"/>
        <v>1180</v>
      </c>
      <c r="P1050" t="str">
        <f>'(Raw) LensesGH'!I1050</f>
        <v>117.6 x 113.1mm</v>
      </c>
      <c r="Q1050" s="39">
        <f t="shared" si="152"/>
        <v>117.6</v>
      </c>
      <c r="R1050" s="39">
        <f t="shared" si="144"/>
        <v>113.1</v>
      </c>
    </row>
    <row r="1051" spans="1:18" x14ac:dyDescent="0.25">
      <c r="A1051" t="str">
        <f>'(Raw) LensesGH'!A1051</f>
        <v>Samyang XEEN 14mm T3.1 für Nikon F schwarz</v>
      </c>
      <c r="B1051" t="str">
        <f>'(Raw) LensesGH'!B1051</f>
        <v>14mm</v>
      </c>
      <c r="C1051" s="5">
        <f t="shared" si="145"/>
        <v>14</v>
      </c>
      <c r="D1051" s="5">
        <f t="shared" si="146"/>
        <v>14</v>
      </c>
      <c r="E1051" t="str">
        <f>'(Raw) LensesGH'!C1051</f>
        <v>1:3.1</v>
      </c>
      <c r="F1051" s="9">
        <f t="shared" si="147"/>
        <v>3.1</v>
      </c>
      <c r="G1051" s="9">
        <f t="shared" si="148"/>
        <v>3.1</v>
      </c>
      <c r="H1051">
        <f>'(Raw) LensesGH'!D1051</f>
        <v>0</v>
      </c>
      <c r="I1051" s="2">
        <f t="shared" si="149"/>
        <v>0</v>
      </c>
      <c r="J1051" s="2">
        <f>'(Raw) LensesGH'!E1051</f>
        <v>0</v>
      </c>
      <c r="K1051" s="40">
        <f t="shared" si="150"/>
        <v>0</v>
      </c>
      <c r="L1051" t="str">
        <f>'(Raw) LensesGH'!F1051</f>
        <v>Nikon F</v>
      </c>
      <c r="M1051" t="str">
        <f>'(Raw) LensesGH'!G1051</f>
        <v>APS-C/ Kleinbild</v>
      </c>
      <c r="N1051" t="str">
        <f>'(Raw) LensesGH'!H1051</f>
        <v>1130g</v>
      </c>
      <c r="O1051" s="5">
        <f t="shared" si="151"/>
        <v>1130</v>
      </c>
      <c r="P1051" t="str">
        <f>'(Raw) LensesGH'!I1051</f>
        <v>117.6 x 85.8mm</v>
      </c>
      <c r="Q1051" s="39">
        <f t="shared" si="152"/>
        <v>117.6</v>
      </c>
      <c r="R1051" s="39">
        <f t="shared" si="144"/>
        <v>85.8</v>
      </c>
    </row>
    <row r="1052" spans="1:18" x14ac:dyDescent="0.25">
      <c r="A1052" t="str">
        <f>'(Raw) LensesGH'!A1052</f>
        <v>Samyang XEEN 14mm T3.1 für PL schwarz</v>
      </c>
      <c r="B1052" t="str">
        <f>'(Raw) LensesGH'!B1052</f>
        <v>14mm</v>
      </c>
      <c r="C1052" s="5">
        <f t="shared" si="145"/>
        <v>14</v>
      </c>
      <c r="D1052" s="5">
        <f t="shared" si="146"/>
        <v>14</v>
      </c>
      <c r="E1052" t="str">
        <f>'(Raw) LensesGH'!C1052</f>
        <v>1:3.1</v>
      </c>
      <c r="F1052" s="9">
        <f t="shared" si="147"/>
        <v>3.1</v>
      </c>
      <c r="G1052" s="9">
        <f t="shared" si="148"/>
        <v>3.1</v>
      </c>
      <c r="H1052">
        <f>'(Raw) LensesGH'!D1052</f>
        <v>0</v>
      </c>
      <c r="I1052" s="2">
        <f t="shared" si="149"/>
        <v>0</v>
      </c>
      <c r="J1052" s="2">
        <f>'(Raw) LensesGH'!E1052</f>
        <v>0</v>
      </c>
      <c r="K1052" s="40">
        <f t="shared" si="150"/>
        <v>0</v>
      </c>
      <c r="L1052" t="str">
        <f>'(Raw) LensesGH'!F1052</f>
        <v>PL</v>
      </c>
      <c r="M1052" t="str">
        <f>'(Raw) LensesGH'!G1052</f>
        <v>APS-C/ Kleinbild</v>
      </c>
      <c r="N1052" t="str">
        <f>'(Raw) LensesGH'!H1052</f>
        <v>1170g</v>
      </c>
      <c r="O1052" s="5">
        <f t="shared" si="151"/>
        <v>1170</v>
      </c>
      <c r="P1052" t="str">
        <f>'(Raw) LensesGH'!I1052</f>
        <v>117.6 x 80.3mm</v>
      </c>
      <c r="Q1052" s="39">
        <f t="shared" si="152"/>
        <v>117.6</v>
      </c>
      <c r="R1052" s="39">
        <f t="shared" si="144"/>
        <v>80.3</v>
      </c>
    </row>
    <row r="1053" spans="1:18" x14ac:dyDescent="0.25">
      <c r="A1053" t="str">
        <f>'(Raw) LensesGH'!A1053</f>
        <v>Samyang XEEN 14mm T3.1 für Sony E schwarz</v>
      </c>
      <c r="B1053" t="str">
        <f>'(Raw) LensesGH'!B1053</f>
        <v>14mm</v>
      </c>
      <c r="C1053" s="5">
        <f t="shared" si="145"/>
        <v>14</v>
      </c>
      <c r="D1053" s="5">
        <f t="shared" si="146"/>
        <v>14</v>
      </c>
      <c r="E1053" t="str">
        <f>'(Raw) LensesGH'!C1053</f>
        <v>1:3.1</v>
      </c>
      <c r="F1053" s="9">
        <f t="shared" si="147"/>
        <v>3.1</v>
      </c>
      <c r="G1053" s="9">
        <f t="shared" si="148"/>
        <v>3.1</v>
      </c>
      <c r="H1053">
        <f>'(Raw) LensesGH'!D1053</f>
        <v>0</v>
      </c>
      <c r="I1053" s="2">
        <f t="shared" si="149"/>
        <v>0</v>
      </c>
      <c r="J1053" s="2">
        <f>'(Raw) LensesGH'!E1053</f>
        <v>0</v>
      </c>
      <c r="K1053" s="40">
        <f t="shared" si="150"/>
        <v>0</v>
      </c>
      <c r="L1053" t="str">
        <f>'(Raw) LensesGH'!F1053</f>
        <v>Sony E</v>
      </c>
      <c r="M1053" t="str">
        <f>'(Raw) LensesGH'!G1053</f>
        <v>APS-C/ Kleinbild</v>
      </c>
      <c r="N1053" t="str">
        <f>'(Raw) LensesGH'!H1053</f>
        <v>1180g</v>
      </c>
      <c r="O1053" s="5">
        <f t="shared" si="151"/>
        <v>1180</v>
      </c>
      <c r="P1053" t="str">
        <f>'(Raw) LensesGH'!I1053</f>
        <v>117.6 x 114.3mm</v>
      </c>
      <c r="Q1053" s="39">
        <f t="shared" si="152"/>
        <v>117.6</v>
      </c>
      <c r="R1053" s="39">
        <f t="shared" si="144"/>
        <v>114.3</v>
      </c>
    </row>
    <row r="1054" spans="1:18" x14ac:dyDescent="0.25">
      <c r="A1054" t="str">
        <f>'(Raw) LensesGH'!A1054</f>
        <v>Samyang XEEN 16mm T2.6 für Canon EF schwarz</v>
      </c>
      <c r="B1054" t="str">
        <f>'(Raw) LensesGH'!B1054</f>
        <v>16mm</v>
      </c>
      <c r="C1054" s="5">
        <f t="shared" si="145"/>
        <v>16</v>
      </c>
      <c r="D1054" s="5">
        <f t="shared" si="146"/>
        <v>16</v>
      </c>
      <c r="E1054" t="str">
        <f>'(Raw) LensesGH'!C1054</f>
        <v>1:2.6</v>
      </c>
      <c r="F1054" s="9">
        <f t="shared" si="147"/>
        <v>2.6</v>
      </c>
      <c r="G1054" s="9">
        <f t="shared" si="148"/>
        <v>2.6</v>
      </c>
      <c r="H1054">
        <f>'(Raw) LensesGH'!D1054</f>
        <v>0</v>
      </c>
      <c r="I1054" s="2">
        <f t="shared" si="149"/>
        <v>0</v>
      </c>
      <c r="J1054" s="2">
        <f>'(Raw) LensesGH'!E1054</f>
        <v>0</v>
      </c>
      <c r="K1054" s="40">
        <f t="shared" si="150"/>
        <v>0</v>
      </c>
      <c r="L1054" t="str">
        <f>'(Raw) LensesGH'!F1054</f>
        <v>Canon EF</v>
      </c>
      <c r="M1054" t="str">
        <f>'(Raw) LensesGH'!G1054</f>
        <v>APS-C/ Kleinbild</v>
      </c>
      <c r="N1054" t="str">
        <f>'(Raw) LensesGH'!H1054</f>
        <v>1180g</v>
      </c>
      <c r="O1054" s="5">
        <f t="shared" si="151"/>
        <v>1180</v>
      </c>
      <c r="P1054" t="str">
        <f>'(Raw) LensesGH'!I1054</f>
        <v>117.6 x 95.3mm</v>
      </c>
      <c r="Q1054" s="39">
        <f t="shared" si="152"/>
        <v>117.6</v>
      </c>
      <c r="R1054" s="39">
        <f t="shared" si="144"/>
        <v>95.3</v>
      </c>
    </row>
    <row r="1055" spans="1:18" x14ac:dyDescent="0.25">
      <c r="A1055" t="str">
        <f>'(Raw) LensesGH'!A1055</f>
        <v>Samyang XEEN 16mm T2.6 für Micro-Four-Thirds schwarz</v>
      </c>
      <c r="B1055" t="str">
        <f>'(Raw) LensesGH'!B1055</f>
        <v>16mm</v>
      </c>
      <c r="C1055" s="5">
        <f t="shared" si="145"/>
        <v>16</v>
      </c>
      <c r="D1055" s="5">
        <f t="shared" si="146"/>
        <v>16</v>
      </c>
      <c r="E1055" t="str">
        <f>'(Raw) LensesGH'!C1055</f>
        <v>1:2.6</v>
      </c>
      <c r="F1055" s="9">
        <f t="shared" si="147"/>
        <v>2.6</v>
      </c>
      <c r="G1055" s="9">
        <f t="shared" si="148"/>
        <v>2.6</v>
      </c>
      <c r="H1055">
        <f>'(Raw) LensesGH'!D1055</f>
        <v>0</v>
      </c>
      <c r="I1055" s="2">
        <f t="shared" si="149"/>
        <v>0</v>
      </c>
      <c r="J1055" s="2">
        <f>'(Raw) LensesGH'!E1055</f>
        <v>0</v>
      </c>
      <c r="K1055" s="40">
        <f t="shared" si="150"/>
        <v>0</v>
      </c>
      <c r="L1055" t="str">
        <f>'(Raw) LensesGH'!F1055</f>
        <v>Micro-Four-Thirds</v>
      </c>
      <c r="M1055" t="str">
        <f>'(Raw) LensesGH'!G1055</f>
        <v>APS-C/ Kleinbild</v>
      </c>
      <c r="N1055" t="str">
        <f>'(Raw) LensesGH'!H1055</f>
        <v>1180g</v>
      </c>
      <c r="O1055" s="5">
        <f t="shared" si="151"/>
        <v>1180</v>
      </c>
      <c r="P1055" t="str">
        <f>'(Raw) LensesGH'!I1055</f>
        <v>117.6 x 120.1mm</v>
      </c>
      <c r="Q1055" s="39">
        <f t="shared" si="152"/>
        <v>117.6</v>
      </c>
      <c r="R1055" s="39">
        <f t="shared" si="144"/>
        <v>120.1</v>
      </c>
    </row>
    <row r="1056" spans="1:18" x14ac:dyDescent="0.25">
      <c r="A1056" t="str">
        <f>'(Raw) LensesGH'!A1056</f>
        <v>Samyang XEEN 16mm T2.6 für Nikon F schwarz</v>
      </c>
      <c r="B1056" t="str">
        <f>'(Raw) LensesGH'!B1056</f>
        <v>16mm</v>
      </c>
      <c r="C1056" s="5">
        <f t="shared" si="145"/>
        <v>16</v>
      </c>
      <c r="D1056" s="5">
        <f t="shared" si="146"/>
        <v>16</v>
      </c>
      <c r="E1056" t="str">
        <f>'(Raw) LensesGH'!C1056</f>
        <v>1:2.6</v>
      </c>
      <c r="F1056" s="9">
        <f t="shared" si="147"/>
        <v>2.6</v>
      </c>
      <c r="G1056" s="9">
        <f t="shared" si="148"/>
        <v>2.6</v>
      </c>
      <c r="H1056">
        <f>'(Raw) LensesGH'!D1056</f>
        <v>0</v>
      </c>
      <c r="I1056" s="2">
        <f t="shared" si="149"/>
        <v>0</v>
      </c>
      <c r="J1056" s="2">
        <f>'(Raw) LensesGH'!E1056</f>
        <v>0</v>
      </c>
      <c r="K1056" s="40">
        <f t="shared" si="150"/>
        <v>0</v>
      </c>
      <c r="L1056" t="str">
        <f>'(Raw) LensesGH'!F1056</f>
        <v>Nikon F</v>
      </c>
      <c r="M1056" t="str">
        <f>'(Raw) LensesGH'!G1056</f>
        <v>APS-C/ Kleinbild</v>
      </c>
      <c r="N1056" t="str">
        <f>'(Raw) LensesGH'!H1056</f>
        <v>1130g</v>
      </c>
      <c r="O1056" s="5">
        <f t="shared" si="151"/>
        <v>1130</v>
      </c>
      <c r="P1056" t="str">
        <f>'(Raw) LensesGH'!I1056</f>
        <v>117.6 x 92.8mm</v>
      </c>
      <c r="Q1056" s="39">
        <f t="shared" si="152"/>
        <v>117.6</v>
      </c>
      <c r="R1056" s="39">
        <f t="shared" si="144"/>
        <v>92.8</v>
      </c>
    </row>
    <row r="1057" spans="1:18" x14ac:dyDescent="0.25">
      <c r="A1057" t="str">
        <f>'(Raw) LensesGH'!A1057</f>
        <v>Samyang XEEN 16mm T2.6 für PL schwarz</v>
      </c>
      <c r="B1057" t="str">
        <f>'(Raw) LensesGH'!B1057</f>
        <v>16mm</v>
      </c>
      <c r="C1057" s="5">
        <f t="shared" si="145"/>
        <v>16</v>
      </c>
      <c r="D1057" s="5">
        <f t="shared" si="146"/>
        <v>16</v>
      </c>
      <c r="E1057" t="str">
        <f>'(Raw) LensesGH'!C1057</f>
        <v>1:2.6</v>
      </c>
      <c r="F1057" s="9">
        <f t="shared" si="147"/>
        <v>2.6</v>
      </c>
      <c r="G1057" s="9">
        <f t="shared" si="148"/>
        <v>2.6</v>
      </c>
      <c r="H1057">
        <f>'(Raw) LensesGH'!D1057</f>
        <v>0</v>
      </c>
      <c r="I1057" s="2">
        <f t="shared" si="149"/>
        <v>0</v>
      </c>
      <c r="J1057" s="2">
        <f>'(Raw) LensesGH'!E1057</f>
        <v>0</v>
      </c>
      <c r="K1057" s="40">
        <f t="shared" si="150"/>
        <v>0</v>
      </c>
      <c r="L1057" t="str">
        <f>'(Raw) LensesGH'!F1057</f>
        <v>PL</v>
      </c>
      <c r="M1057" t="str">
        <f>'(Raw) LensesGH'!G1057</f>
        <v>APS-C/ Kleinbild</v>
      </c>
      <c r="N1057" t="str">
        <f>'(Raw) LensesGH'!H1057</f>
        <v>1180g</v>
      </c>
      <c r="O1057" s="5">
        <f t="shared" si="151"/>
        <v>1180</v>
      </c>
      <c r="P1057" t="str">
        <f>'(Raw) LensesGH'!I1057</f>
        <v>117.6 x 87.3mm</v>
      </c>
      <c r="Q1057" s="39">
        <f t="shared" si="152"/>
        <v>117.6</v>
      </c>
      <c r="R1057" s="39">
        <f t="shared" si="144"/>
        <v>87.3</v>
      </c>
    </row>
    <row r="1058" spans="1:18" x14ac:dyDescent="0.25">
      <c r="A1058" t="str">
        <f>'(Raw) LensesGH'!A1058</f>
        <v>Samyang XEEN 16mm T2.6 für Sony E schwarz</v>
      </c>
      <c r="B1058" t="str">
        <f>'(Raw) LensesGH'!B1058</f>
        <v>16mm</v>
      </c>
      <c r="C1058" s="5">
        <f t="shared" si="145"/>
        <v>16</v>
      </c>
      <c r="D1058" s="5">
        <f t="shared" si="146"/>
        <v>16</v>
      </c>
      <c r="E1058" t="str">
        <f>'(Raw) LensesGH'!C1058</f>
        <v>1:2.6</v>
      </c>
      <c r="F1058" s="9">
        <f t="shared" si="147"/>
        <v>2.6</v>
      </c>
      <c r="G1058" s="9">
        <f t="shared" si="148"/>
        <v>2.6</v>
      </c>
      <c r="H1058">
        <f>'(Raw) LensesGH'!D1058</f>
        <v>0</v>
      </c>
      <c r="I1058" s="2">
        <f t="shared" si="149"/>
        <v>0</v>
      </c>
      <c r="J1058" s="2">
        <f>'(Raw) LensesGH'!E1058</f>
        <v>0</v>
      </c>
      <c r="K1058" s="40">
        <f t="shared" si="150"/>
        <v>0</v>
      </c>
      <c r="L1058" t="str">
        <f>'(Raw) LensesGH'!F1058</f>
        <v>Sony E</v>
      </c>
      <c r="M1058" t="str">
        <f>'(Raw) LensesGH'!G1058</f>
        <v>APS-C/ Kleinbild</v>
      </c>
      <c r="N1058" t="str">
        <f>'(Raw) LensesGH'!H1058</f>
        <v>1180g</v>
      </c>
      <c r="O1058" s="5">
        <f t="shared" si="151"/>
        <v>1180</v>
      </c>
      <c r="P1058" t="str">
        <f>'(Raw) LensesGH'!I1058</f>
        <v>117.6 x 121.3mm</v>
      </c>
      <c r="Q1058" s="39">
        <f t="shared" si="152"/>
        <v>117.6</v>
      </c>
      <c r="R1058" s="39">
        <f t="shared" si="144"/>
        <v>121.3</v>
      </c>
    </row>
    <row r="1059" spans="1:18" x14ac:dyDescent="0.25">
      <c r="A1059" t="str">
        <f>'(Raw) LensesGH'!A1059</f>
        <v>Samyang XEEN 20mm T1.9 für Canon EF schwarz</v>
      </c>
      <c r="B1059" t="str">
        <f>'(Raw) LensesGH'!B1059</f>
        <v>24mm</v>
      </c>
      <c r="C1059" s="5">
        <f t="shared" si="145"/>
        <v>24</v>
      </c>
      <c r="D1059" s="5">
        <f t="shared" si="146"/>
        <v>24</v>
      </c>
      <c r="E1059" t="str">
        <f>'(Raw) LensesGH'!C1059</f>
        <v>1:1.5</v>
      </c>
      <c r="F1059" s="9">
        <f t="shared" si="147"/>
        <v>1.5</v>
      </c>
      <c r="G1059" s="9">
        <f t="shared" si="148"/>
        <v>1.5</v>
      </c>
      <c r="H1059">
        <f>'(Raw) LensesGH'!D1059</f>
        <v>0</v>
      </c>
      <c r="I1059" s="2">
        <f t="shared" si="149"/>
        <v>0</v>
      </c>
      <c r="J1059" s="2">
        <f>'(Raw) LensesGH'!E1059</f>
        <v>0</v>
      </c>
      <c r="K1059" s="40">
        <f t="shared" si="150"/>
        <v>0</v>
      </c>
      <c r="L1059" t="str">
        <f>'(Raw) LensesGH'!F1059</f>
        <v>Canon EF</v>
      </c>
      <c r="M1059" t="str">
        <f>'(Raw) LensesGH'!G1059</f>
        <v>APS-C/ Kleinbild</v>
      </c>
      <c r="N1059" t="str">
        <f>'(Raw) LensesGH'!H1059</f>
        <v>1010g</v>
      </c>
      <c r="O1059" s="5">
        <f t="shared" si="151"/>
        <v>1010</v>
      </c>
      <c r="P1059" t="str">
        <f>'(Raw) LensesGH'!I1059</f>
        <v>117.6 x 95.3mm</v>
      </c>
      <c r="Q1059" s="39">
        <f t="shared" si="152"/>
        <v>117.6</v>
      </c>
      <c r="R1059" s="39">
        <f t="shared" si="144"/>
        <v>95.3</v>
      </c>
    </row>
    <row r="1060" spans="1:18" x14ac:dyDescent="0.25">
      <c r="A1060" t="str">
        <f>'(Raw) LensesGH'!A1060</f>
        <v>Samyang XEEN 20mm T1.9 für Micro-Four-Thirds schwarz</v>
      </c>
      <c r="B1060" t="str">
        <f>'(Raw) LensesGH'!B1060</f>
        <v>24mm</v>
      </c>
      <c r="C1060" s="5">
        <f t="shared" si="145"/>
        <v>24</v>
      </c>
      <c r="D1060" s="5">
        <f t="shared" si="146"/>
        <v>24</v>
      </c>
      <c r="E1060" t="str">
        <f>'(Raw) LensesGH'!C1060</f>
        <v>1:1.5</v>
      </c>
      <c r="F1060" s="9">
        <f t="shared" si="147"/>
        <v>1.5</v>
      </c>
      <c r="G1060" s="9">
        <f t="shared" si="148"/>
        <v>1.5</v>
      </c>
      <c r="H1060">
        <f>'(Raw) LensesGH'!D1060</f>
        <v>0</v>
      </c>
      <c r="I1060" s="2">
        <f t="shared" si="149"/>
        <v>0</v>
      </c>
      <c r="J1060" s="2">
        <f>'(Raw) LensesGH'!E1060</f>
        <v>0</v>
      </c>
      <c r="K1060" s="40">
        <f t="shared" si="150"/>
        <v>0</v>
      </c>
      <c r="L1060" t="str">
        <f>'(Raw) LensesGH'!F1060</f>
        <v>Micro-Four-Thirds</v>
      </c>
      <c r="M1060" t="str">
        <f>'(Raw) LensesGH'!G1060</f>
        <v>Micro-Four-Thirds</v>
      </c>
      <c r="N1060" t="str">
        <f>'(Raw) LensesGH'!H1060</f>
        <v>1000g</v>
      </c>
      <c r="O1060" s="5">
        <f t="shared" si="151"/>
        <v>1000</v>
      </c>
      <c r="P1060" t="str">
        <f>'(Raw) LensesGH'!I1060</f>
        <v>117.6 x 120.1mm</v>
      </c>
      <c r="Q1060" s="39">
        <f t="shared" si="152"/>
        <v>117.6</v>
      </c>
      <c r="R1060" s="39">
        <f t="shared" si="144"/>
        <v>120.1</v>
      </c>
    </row>
    <row r="1061" spans="1:18" x14ac:dyDescent="0.25">
      <c r="A1061" t="str">
        <f>'(Raw) LensesGH'!A1061</f>
        <v>Samyang XEEN 20mm T1.9 für Nikon F schwarz</v>
      </c>
      <c r="B1061" t="str">
        <f>'(Raw) LensesGH'!B1061</f>
        <v>24mm</v>
      </c>
      <c r="C1061" s="5">
        <f t="shared" si="145"/>
        <v>24</v>
      </c>
      <c r="D1061" s="5">
        <f t="shared" si="146"/>
        <v>24</v>
      </c>
      <c r="E1061" t="str">
        <f>'(Raw) LensesGH'!C1061</f>
        <v>1:1.5</v>
      </c>
      <c r="F1061" s="9">
        <f t="shared" si="147"/>
        <v>1.5</v>
      </c>
      <c r="G1061" s="9">
        <f t="shared" si="148"/>
        <v>1.5</v>
      </c>
      <c r="H1061">
        <f>'(Raw) LensesGH'!D1061</f>
        <v>0</v>
      </c>
      <c r="I1061" s="2">
        <f t="shared" si="149"/>
        <v>0</v>
      </c>
      <c r="J1061" s="2">
        <f>'(Raw) LensesGH'!E1061</f>
        <v>0</v>
      </c>
      <c r="K1061" s="40">
        <f t="shared" si="150"/>
        <v>0</v>
      </c>
      <c r="L1061" t="str">
        <f>'(Raw) LensesGH'!F1061</f>
        <v>Nikon F</v>
      </c>
      <c r="M1061" t="str">
        <f>'(Raw) LensesGH'!G1061</f>
        <v>APS-C/ Kleinbild</v>
      </c>
      <c r="N1061" t="str">
        <f>'(Raw) LensesGH'!H1061</f>
        <v>935g</v>
      </c>
      <c r="O1061" s="5">
        <f t="shared" si="151"/>
        <v>935</v>
      </c>
      <c r="P1061" t="str">
        <f>'(Raw) LensesGH'!I1061</f>
        <v>117.6 x 92.8mm</v>
      </c>
      <c r="Q1061" s="39">
        <f t="shared" si="152"/>
        <v>117.6</v>
      </c>
      <c r="R1061" s="39">
        <f t="shared" si="144"/>
        <v>92.8</v>
      </c>
    </row>
    <row r="1062" spans="1:18" x14ac:dyDescent="0.25">
      <c r="A1062" t="str">
        <f>'(Raw) LensesGH'!A1062</f>
        <v>Samyang XEEN 20mm T1.9 für PL schwarz</v>
      </c>
      <c r="B1062" t="str">
        <f>'(Raw) LensesGH'!B1062</f>
        <v>24mm</v>
      </c>
      <c r="C1062" s="5">
        <f t="shared" si="145"/>
        <v>24</v>
      </c>
      <c r="D1062" s="5">
        <f t="shared" si="146"/>
        <v>24</v>
      </c>
      <c r="E1062" t="str">
        <f>'(Raw) LensesGH'!C1062</f>
        <v>1:1.5</v>
      </c>
      <c r="F1062" s="9">
        <f t="shared" si="147"/>
        <v>1.5</v>
      </c>
      <c r="G1062" s="9">
        <f t="shared" si="148"/>
        <v>1.5</v>
      </c>
      <c r="H1062">
        <f>'(Raw) LensesGH'!D1062</f>
        <v>0</v>
      </c>
      <c r="I1062" s="2">
        <f t="shared" si="149"/>
        <v>0</v>
      </c>
      <c r="J1062" s="2">
        <f>'(Raw) LensesGH'!E1062</f>
        <v>0</v>
      </c>
      <c r="K1062" s="40">
        <f t="shared" si="150"/>
        <v>0</v>
      </c>
      <c r="L1062" t="str">
        <f>'(Raw) LensesGH'!F1062</f>
        <v>PL</v>
      </c>
      <c r="M1062" t="str">
        <f>'(Raw) LensesGH'!G1062</f>
        <v>APS-C/ Kleinbild</v>
      </c>
      <c r="N1062" t="str">
        <f>'(Raw) LensesGH'!H1062</f>
        <v>970g</v>
      </c>
      <c r="O1062" s="5">
        <f t="shared" si="151"/>
        <v>970</v>
      </c>
      <c r="P1062" t="str">
        <f>'(Raw) LensesGH'!I1062</f>
        <v>117.6 x 87.3mm</v>
      </c>
      <c r="Q1062" s="39">
        <f t="shared" si="152"/>
        <v>117.6</v>
      </c>
      <c r="R1062" s="39">
        <f t="shared" si="144"/>
        <v>87.3</v>
      </c>
    </row>
    <row r="1063" spans="1:18" x14ac:dyDescent="0.25">
      <c r="A1063" t="str">
        <f>'(Raw) LensesGH'!A1063</f>
        <v>Samyang XEEN 24mm T1.5 für Canon EF schwarz</v>
      </c>
      <c r="B1063" t="str">
        <f>'(Raw) LensesGH'!B1063</f>
        <v>24mm</v>
      </c>
      <c r="C1063" s="5">
        <f t="shared" si="145"/>
        <v>24</v>
      </c>
      <c r="D1063" s="5">
        <f t="shared" si="146"/>
        <v>24</v>
      </c>
      <c r="E1063" t="str">
        <f>'(Raw) LensesGH'!C1063</f>
        <v>1:1.5</v>
      </c>
      <c r="F1063" s="9">
        <f t="shared" si="147"/>
        <v>1.5</v>
      </c>
      <c r="G1063" s="9">
        <f t="shared" si="148"/>
        <v>1.5</v>
      </c>
      <c r="H1063">
        <f>'(Raw) LensesGH'!D1063</f>
        <v>0</v>
      </c>
      <c r="I1063" s="2">
        <f t="shared" si="149"/>
        <v>0</v>
      </c>
      <c r="J1063" s="2">
        <f>'(Raw) LensesGH'!E1063</f>
        <v>0</v>
      </c>
      <c r="K1063" s="40">
        <f t="shared" si="150"/>
        <v>0</v>
      </c>
      <c r="L1063" t="str">
        <f>'(Raw) LensesGH'!F1063</f>
        <v>Canon EF</v>
      </c>
      <c r="M1063" t="str">
        <f>'(Raw) LensesGH'!G1063</f>
        <v>APS-C/ Kleinbild</v>
      </c>
      <c r="N1063" t="str">
        <f>'(Raw) LensesGH'!H1063</f>
        <v>1180g</v>
      </c>
      <c r="O1063" s="5">
        <f t="shared" si="151"/>
        <v>1180</v>
      </c>
      <c r="P1063" t="str">
        <f>'(Raw) LensesGH'!I1063</f>
        <v>117.6 x 121.7mm</v>
      </c>
      <c r="Q1063" s="39">
        <f t="shared" si="152"/>
        <v>117.6</v>
      </c>
      <c r="R1063" s="39">
        <f t="shared" si="144"/>
        <v>121.7</v>
      </c>
    </row>
    <row r="1064" spans="1:18" x14ac:dyDescent="0.25">
      <c r="A1064" t="str">
        <f>'(Raw) LensesGH'!A1064</f>
        <v>Samyang XEEN 24mm T1.5 für Micro-Four-Thirds schwarz</v>
      </c>
      <c r="B1064" t="str">
        <f>'(Raw) LensesGH'!B1064</f>
        <v>24mm</v>
      </c>
      <c r="C1064" s="5">
        <f t="shared" si="145"/>
        <v>24</v>
      </c>
      <c r="D1064" s="5">
        <f t="shared" si="146"/>
        <v>24</v>
      </c>
      <c r="E1064" t="str">
        <f>'(Raw) LensesGH'!C1064</f>
        <v>1:1.5</v>
      </c>
      <c r="F1064" s="9">
        <f t="shared" si="147"/>
        <v>1.5</v>
      </c>
      <c r="G1064" s="9">
        <f t="shared" si="148"/>
        <v>1.5</v>
      </c>
      <c r="H1064">
        <f>'(Raw) LensesGH'!D1064</f>
        <v>0</v>
      </c>
      <c r="I1064" s="2">
        <f t="shared" si="149"/>
        <v>0</v>
      </c>
      <c r="J1064" s="2">
        <f>'(Raw) LensesGH'!E1064</f>
        <v>0</v>
      </c>
      <c r="K1064" s="40">
        <f t="shared" si="150"/>
        <v>0</v>
      </c>
      <c r="L1064" t="str">
        <f>'(Raw) LensesGH'!F1064</f>
        <v>Micro-Four-Thirds</v>
      </c>
      <c r="M1064" t="str">
        <f>'(Raw) LensesGH'!G1064</f>
        <v>Micro-Four-Thirds</v>
      </c>
      <c r="N1064" t="str">
        <f>'(Raw) LensesGH'!H1064</f>
        <v>1190g</v>
      </c>
      <c r="O1064" s="5">
        <f t="shared" si="151"/>
        <v>1190</v>
      </c>
      <c r="P1064" t="str">
        <f>'(Raw) LensesGH'!I1064</f>
        <v>117.6 x 146.5mm</v>
      </c>
      <c r="Q1064" s="39">
        <f t="shared" si="152"/>
        <v>117.6</v>
      </c>
      <c r="R1064" s="39">
        <f t="shared" si="144"/>
        <v>146.5</v>
      </c>
    </row>
    <row r="1065" spans="1:18" x14ac:dyDescent="0.25">
      <c r="A1065" t="str">
        <f>'(Raw) LensesGH'!A1065</f>
        <v>Samyang XEEN 24mm T1.5 für Nikon F schwarz</v>
      </c>
      <c r="B1065" t="str">
        <f>'(Raw) LensesGH'!B1065</f>
        <v>24mm</v>
      </c>
      <c r="C1065" s="5">
        <f t="shared" si="145"/>
        <v>24</v>
      </c>
      <c r="D1065" s="5">
        <f t="shared" si="146"/>
        <v>24</v>
      </c>
      <c r="E1065" t="str">
        <f>'(Raw) LensesGH'!C1065</f>
        <v>1:1.5</v>
      </c>
      <c r="F1065" s="9">
        <f t="shared" si="147"/>
        <v>1.5</v>
      </c>
      <c r="G1065" s="9">
        <f t="shared" si="148"/>
        <v>1.5</v>
      </c>
      <c r="H1065">
        <f>'(Raw) LensesGH'!D1065</f>
        <v>0</v>
      </c>
      <c r="I1065" s="2">
        <f t="shared" si="149"/>
        <v>0</v>
      </c>
      <c r="J1065" s="2">
        <f>'(Raw) LensesGH'!E1065</f>
        <v>0</v>
      </c>
      <c r="K1065" s="40">
        <f t="shared" si="150"/>
        <v>0</v>
      </c>
      <c r="L1065" t="str">
        <f>'(Raw) LensesGH'!F1065</f>
        <v>Nikon F</v>
      </c>
      <c r="M1065" t="str">
        <f>'(Raw) LensesGH'!G1065</f>
        <v>APS-C/ Kleinbild</v>
      </c>
      <c r="N1065" t="str">
        <f>'(Raw) LensesGH'!H1065</f>
        <v>1140g</v>
      </c>
      <c r="O1065" s="5">
        <f t="shared" si="151"/>
        <v>1140</v>
      </c>
      <c r="P1065" t="str">
        <f>'(Raw) LensesGH'!I1065</f>
        <v>117.6 x 119.2mm</v>
      </c>
      <c r="Q1065" s="39">
        <f t="shared" si="152"/>
        <v>117.6</v>
      </c>
      <c r="R1065" s="39">
        <f t="shared" si="144"/>
        <v>119.2</v>
      </c>
    </row>
    <row r="1066" spans="1:18" x14ac:dyDescent="0.25">
      <c r="A1066" t="str">
        <f>'(Raw) LensesGH'!A1066</f>
        <v>Samyang XEEN 24mm T1.5 für PL schwarz</v>
      </c>
      <c r="B1066" t="str">
        <f>'(Raw) LensesGH'!B1066</f>
        <v>24mm</v>
      </c>
      <c r="C1066" s="5">
        <f t="shared" si="145"/>
        <v>24</v>
      </c>
      <c r="D1066" s="5">
        <f t="shared" si="146"/>
        <v>24</v>
      </c>
      <c r="E1066" t="str">
        <f>'(Raw) LensesGH'!C1066</f>
        <v>1:1.5</v>
      </c>
      <c r="F1066" s="9">
        <f t="shared" si="147"/>
        <v>1.5</v>
      </c>
      <c r="G1066" s="9">
        <f t="shared" si="148"/>
        <v>1.5</v>
      </c>
      <c r="H1066">
        <f>'(Raw) LensesGH'!D1066</f>
        <v>0</v>
      </c>
      <c r="I1066" s="2">
        <f t="shared" si="149"/>
        <v>0</v>
      </c>
      <c r="J1066" s="2">
        <f>'(Raw) LensesGH'!E1066</f>
        <v>0</v>
      </c>
      <c r="K1066" s="40">
        <f t="shared" si="150"/>
        <v>0</v>
      </c>
      <c r="L1066" t="str">
        <f>'(Raw) LensesGH'!F1066</f>
        <v>PL</v>
      </c>
      <c r="M1066" t="str">
        <f>'(Raw) LensesGH'!G1066</f>
        <v>APS-C/ Kleinbild</v>
      </c>
      <c r="N1066" t="str">
        <f>'(Raw) LensesGH'!H1066</f>
        <v>1180g</v>
      </c>
      <c r="O1066" s="5">
        <f t="shared" si="151"/>
        <v>1180</v>
      </c>
      <c r="P1066" t="str">
        <f>'(Raw) LensesGH'!I1066</f>
        <v>117.6 x 113.7mm</v>
      </c>
      <c r="Q1066" s="39">
        <f t="shared" si="152"/>
        <v>117.6</v>
      </c>
      <c r="R1066" s="39">
        <f t="shared" si="144"/>
        <v>113.7</v>
      </c>
    </row>
    <row r="1067" spans="1:18" x14ac:dyDescent="0.25">
      <c r="A1067" t="str">
        <f>'(Raw) LensesGH'!A1067</f>
        <v>Samyang XEEN 24mm T1.5 für Sony E schwarz</v>
      </c>
      <c r="B1067" t="str">
        <f>'(Raw) LensesGH'!B1067</f>
        <v>24mm</v>
      </c>
      <c r="C1067" s="5">
        <f t="shared" si="145"/>
        <v>24</v>
      </c>
      <c r="D1067" s="5">
        <f t="shared" si="146"/>
        <v>24</v>
      </c>
      <c r="E1067" t="str">
        <f>'(Raw) LensesGH'!C1067</f>
        <v>1:1.5</v>
      </c>
      <c r="F1067" s="9">
        <f t="shared" si="147"/>
        <v>1.5</v>
      </c>
      <c r="G1067" s="9">
        <f t="shared" si="148"/>
        <v>1.5</v>
      </c>
      <c r="H1067">
        <f>'(Raw) LensesGH'!D1067</f>
        <v>0</v>
      </c>
      <c r="I1067" s="2">
        <f t="shared" si="149"/>
        <v>0</v>
      </c>
      <c r="J1067" s="2">
        <f>'(Raw) LensesGH'!E1067</f>
        <v>0</v>
      </c>
      <c r="K1067" s="40">
        <f t="shared" si="150"/>
        <v>0</v>
      </c>
      <c r="L1067" t="str">
        <f>'(Raw) LensesGH'!F1067</f>
        <v>Sony E</v>
      </c>
      <c r="M1067" t="str">
        <f>'(Raw) LensesGH'!G1067</f>
        <v>APS-C/ Kleinbild</v>
      </c>
      <c r="N1067" t="str">
        <f>'(Raw) LensesGH'!H1067</f>
        <v>1190g</v>
      </c>
      <c r="O1067" s="5">
        <f t="shared" si="151"/>
        <v>1190</v>
      </c>
      <c r="P1067" t="str">
        <f>'(Raw) LensesGH'!I1067</f>
        <v>117.6 x 147.7mm</v>
      </c>
      <c r="Q1067" s="39">
        <f t="shared" si="152"/>
        <v>117.6</v>
      </c>
      <c r="R1067" s="39">
        <f t="shared" si="144"/>
        <v>147.69999999999999</v>
      </c>
    </row>
    <row r="1068" spans="1:18" x14ac:dyDescent="0.25">
      <c r="A1068" t="str">
        <f>'(Raw) LensesGH'!A1068</f>
        <v>Samyang XEEN 35mm T1.5 für Canon EF schwarz</v>
      </c>
      <c r="B1068" t="str">
        <f>'(Raw) LensesGH'!B1068</f>
        <v>35mm</v>
      </c>
      <c r="C1068" s="5">
        <f t="shared" si="145"/>
        <v>35</v>
      </c>
      <c r="D1068" s="5">
        <f t="shared" si="146"/>
        <v>35</v>
      </c>
      <c r="E1068" t="str">
        <f>'(Raw) LensesGH'!C1068</f>
        <v>1:1.5</v>
      </c>
      <c r="F1068" s="9">
        <f t="shared" si="147"/>
        <v>1.5</v>
      </c>
      <c r="G1068" s="9">
        <f t="shared" si="148"/>
        <v>1.5</v>
      </c>
      <c r="H1068">
        <f>'(Raw) LensesGH'!D1068</f>
        <v>0</v>
      </c>
      <c r="I1068" s="2">
        <f t="shared" si="149"/>
        <v>0</v>
      </c>
      <c r="J1068" s="2">
        <f>'(Raw) LensesGH'!E1068</f>
        <v>0</v>
      </c>
      <c r="K1068" s="40">
        <f t="shared" si="150"/>
        <v>0</v>
      </c>
      <c r="L1068" t="str">
        <f>'(Raw) LensesGH'!F1068</f>
        <v>Canon EF</v>
      </c>
      <c r="M1068" t="str">
        <f>'(Raw) LensesGH'!G1068</f>
        <v>APS-C/ Kleinbild</v>
      </c>
      <c r="N1068" t="str">
        <f>'(Raw) LensesGH'!H1068</f>
        <v>1380g</v>
      </c>
      <c r="O1068" s="5">
        <f t="shared" si="151"/>
        <v>1380</v>
      </c>
      <c r="P1068" t="str">
        <f>'(Raw) LensesGH'!I1068</f>
        <v>117.6 x 121.7mm</v>
      </c>
      <c r="Q1068" s="39">
        <f t="shared" si="152"/>
        <v>117.6</v>
      </c>
      <c r="R1068" s="39">
        <f t="shared" si="144"/>
        <v>121.7</v>
      </c>
    </row>
    <row r="1069" spans="1:18" x14ac:dyDescent="0.25">
      <c r="A1069" t="str">
        <f>'(Raw) LensesGH'!A1069</f>
        <v>Samyang XEEN 35mm T1.5 für Micro-Four-Thirds schwarz</v>
      </c>
      <c r="B1069" t="str">
        <f>'(Raw) LensesGH'!B1069</f>
        <v>35mm</v>
      </c>
      <c r="C1069" s="5">
        <f t="shared" si="145"/>
        <v>35</v>
      </c>
      <c r="D1069" s="5">
        <f t="shared" si="146"/>
        <v>35</v>
      </c>
      <c r="E1069" t="str">
        <f>'(Raw) LensesGH'!C1069</f>
        <v>1:1.5</v>
      </c>
      <c r="F1069" s="9">
        <f t="shared" si="147"/>
        <v>1.5</v>
      </c>
      <c r="G1069" s="9">
        <f t="shared" si="148"/>
        <v>1.5</v>
      </c>
      <c r="H1069">
        <f>'(Raw) LensesGH'!D1069</f>
        <v>0</v>
      </c>
      <c r="I1069" s="2">
        <f t="shared" si="149"/>
        <v>0</v>
      </c>
      <c r="J1069" s="2">
        <f>'(Raw) LensesGH'!E1069</f>
        <v>0</v>
      </c>
      <c r="K1069" s="40">
        <f t="shared" si="150"/>
        <v>0</v>
      </c>
      <c r="L1069" t="str">
        <f>'(Raw) LensesGH'!F1069</f>
        <v>Micro-Four-Thirds</v>
      </c>
      <c r="M1069" t="str">
        <f>'(Raw) LensesGH'!G1069</f>
        <v>Micro-Four-Thirds</v>
      </c>
      <c r="N1069" t="str">
        <f>'(Raw) LensesGH'!H1069</f>
        <v>1380g</v>
      </c>
      <c r="O1069" s="5">
        <f t="shared" si="151"/>
        <v>1380</v>
      </c>
      <c r="P1069" t="str">
        <f>'(Raw) LensesGH'!I1069</f>
        <v>117.6 x 146.5mm</v>
      </c>
      <c r="Q1069" s="39">
        <f t="shared" si="152"/>
        <v>117.6</v>
      </c>
      <c r="R1069" s="39">
        <f t="shared" si="144"/>
        <v>146.5</v>
      </c>
    </row>
    <row r="1070" spans="1:18" x14ac:dyDescent="0.25">
      <c r="A1070" t="str">
        <f>'(Raw) LensesGH'!A1070</f>
        <v>Samyang XEEN 35mm T1.5 für Nikon F schwarz</v>
      </c>
      <c r="B1070" t="str">
        <f>'(Raw) LensesGH'!B1070</f>
        <v>35mm</v>
      </c>
      <c r="C1070" s="5">
        <f t="shared" si="145"/>
        <v>35</v>
      </c>
      <c r="D1070" s="5">
        <f t="shared" si="146"/>
        <v>35</v>
      </c>
      <c r="E1070" t="str">
        <f>'(Raw) LensesGH'!C1070</f>
        <v>1:1.5</v>
      </c>
      <c r="F1070" s="9">
        <f t="shared" si="147"/>
        <v>1.5</v>
      </c>
      <c r="G1070" s="9">
        <f t="shared" si="148"/>
        <v>1.5</v>
      </c>
      <c r="H1070">
        <f>'(Raw) LensesGH'!D1070</f>
        <v>0</v>
      </c>
      <c r="I1070" s="2">
        <f t="shared" si="149"/>
        <v>0</v>
      </c>
      <c r="J1070" s="2">
        <f>'(Raw) LensesGH'!E1070</f>
        <v>0</v>
      </c>
      <c r="K1070" s="40">
        <f t="shared" si="150"/>
        <v>0</v>
      </c>
      <c r="L1070" t="str">
        <f>'(Raw) LensesGH'!F1070</f>
        <v>Nikon F</v>
      </c>
      <c r="M1070" t="str">
        <f>'(Raw) LensesGH'!G1070</f>
        <v>APS-C/ Kleinbild</v>
      </c>
      <c r="N1070" t="str">
        <f>'(Raw) LensesGH'!H1070</f>
        <v>1320g</v>
      </c>
      <c r="O1070" s="5">
        <f t="shared" si="151"/>
        <v>1320</v>
      </c>
      <c r="P1070" t="str">
        <f>'(Raw) LensesGH'!I1070</f>
        <v>117.6 x 119.2mm</v>
      </c>
      <c r="Q1070" s="39">
        <f t="shared" si="152"/>
        <v>117.6</v>
      </c>
      <c r="R1070" s="39">
        <f t="shared" si="144"/>
        <v>119.2</v>
      </c>
    </row>
    <row r="1071" spans="1:18" x14ac:dyDescent="0.25">
      <c r="A1071" t="str">
        <f>'(Raw) LensesGH'!A1071</f>
        <v>Samyang XEEN 35mm T1.5 für PL schwarz</v>
      </c>
      <c r="B1071" t="str">
        <f>'(Raw) LensesGH'!B1071</f>
        <v>35mm</v>
      </c>
      <c r="C1071" s="5">
        <f t="shared" si="145"/>
        <v>35</v>
      </c>
      <c r="D1071" s="5">
        <f t="shared" si="146"/>
        <v>35</v>
      </c>
      <c r="E1071" t="str">
        <f>'(Raw) LensesGH'!C1071</f>
        <v>1:1.5</v>
      </c>
      <c r="F1071" s="9">
        <f t="shared" si="147"/>
        <v>1.5</v>
      </c>
      <c r="G1071" s="9">
        <f t="shared" si="148"/>
        <v>1.5</v>
      </c>
      <c r="H1071">
        <f>'(Raw) LensesGH'!D1071</f>
        <v>0</v>
      </c>
      <c r="I1071" s="2">
        <f t="shared" si="149"/>
        <v>0</v>
      </c>
      <c r="J1071" s="2">
        <f>'(Raw) LensesGH'!E1071</f>
        <v>0</v>
      </c>
      <c r="K1071" s="40">
        <f t="shared" si="150"/>
        <v>0</v>
      </c>
      <c r="L1071" t="str">
        <f>'(Raw) LensesGH'!F1071</f>
        <v>PL</v>
      </c>
      <c r="M1071" t="str">
        <f>'(Raw) LensesGH'!G1071</f>
        <v>APS-C/ Kleinbild</v>
      </c>
      <c r="N1071" t="str">
        <f>'(Raw) LensesGH'!H1071</f>
        <v>1360g</v>
      </c>
      <c r="O1071" s="5">
        <f t="shared" si="151"/>
        <v>1360</v>
      </c>
      <c r="P1071" t="str">
        <f>'(Raw) LensesGH'!I1071</f>
        <v>117.6 x 113.7mm</v>
      </c>
      <c r="Q1071" s="39">
        <f t="shared" si="152"/>
        <v>117.6</v>
      </c>
      <c r="R1071" s="39">
        <f t="shared" si="144"/>
        <v>113.7</v>
      </c>
    </row>
    <row r="1072" spans="1:18" x14ac:dyDescent="0.25">
      <c r="A1072" t="str">
        <f>'(Raw) LensesGH'!A1072</f>
        <v>Samyang XEEN 35mm T1.5 für Sony E schwarz</v>
      </c>
      <c r="B1072" t="str">
        <f>'(Raw) LensesGH'!B1072</f>
        <v>35mm</v>
      </c>
      <c r="C1072" s="5">
        <f t="shared" si="145"/>
        <v>35</v>
      </c>
      <c r="D1072" s="5">
        <f t="shared" si="146"/>
        <v>35</v>
      </c>
      <c r="E1072" t="str">
        <f>'(Raw) LensesGH'!C1072</f>
        <v>1:1.5</v>
      </c>
      <c r="F1072" s="9">
        <f t="shared" si="147"/>
        <v>1.5</v>
      </c>
      <c r="G1072" s="9">
        <f t="shared" si="148"/>
        <v>1.5</v>
      </c>
      <c r="H1072">
        <f>'(Raw) LensesGH'!D1072</f>
        <v>0</v>
      </c>
      <c r="I1072" s="2">
        <f t="shared" si="149"/>
        <v>0</v>
      </c>
      <c r="J1072" s="2">
        <f>'(Raw) LensesGH'!E1072</f>
        <v>0</v>
      </c>
      <c r="K1072" s="40">
        <f t="shared" si="150"/>
        <v>0</v>
      </c>
      <c r="L1072" t="str">
        <f>'(Raw) LensesGH'!F1072</f>
        <v>Sony E</v>
      </c>
      <c r="M1072" t="str">
        <f>'(Raw) LensesGH'!G1072</f>
        <v>APS-C/ Kleinbild</v>
      </c>
      <c r="N1072" t="str">
        <f>'(Raw) LensesGH'!H1072</f>
        <v>1380g</v>
      </c>
      <c r="O1072" s="5">
        <f t="shared" si="151"/>
        <v>1380</v>
      </c>
      <c r="P1072" t="str">
        <f>'(Raw) LensesGH'!I1072</f>
        <v>117.6 x 147.7mm</v>
      </c>
      <c r="Q1072" s="39">
        <f t="shared" si="152"/>
        <v>117.6</v>
      </c>
      <c r="R1072" s="39">
        <f t="shared" si="144"/>
        <v>147.69999999999999</v>
      </c>
    </row>
    <row r="1073" spans="1:18" x14ac:dyDescent="0.25">
      <c r="A1073" t="str">
        <f>'(Raw) LensesGH'!A1073</f>
        <v>Samyang XEEN 50mm T1.5 für Canon EF schwarz</v>
      </c>
      <c r="B1073" t="str">
        <f>'(Raw) LensesGH'!B1073</f>
        <v>50mm</v>
      </c>
      <c r="C1073" s="5">
        <f t="shared" si="145"/>
        <v>50</v>
      </c>
      <c r="D1073" s="5">
        <f t="shared" si="146"/>
        <v>50</v>
      </c>
      <c r="E1073" t="str">
        <f>'(Raw) LensesGH'!C1073</f>
        <v>1:1.5</v>
      </c>
      <c r="F1073" s="9">
        <f t="shared" si="147"/>
        <v>1.5</v>
      </c>
      <c r="G1073" s="9">
        <f t="shared" si="148"/>
        <v>1.5</v>
      </c>
      <c r="H1073">
        <f>'(Raw) LensesGH'!D1073</f>
        <v>0</v>
      </c>
      <c r="I1073" s="2">
        <f t="shared" si="149"/>
        <v>0</v>
      </c>
      <c r="J1073" s="2">
        <f>'(Raw) LensesGH'!E1073</f>
        <v>0</v>
      </c>
      <c r="K1073" s="40">
        <f t="shared" si="150"/>
        <v>0</v>
      </c>
      <c r="L1073" t="str">
        <f>'(Raw) LensesGH'!F1073</f>
        <v>Canon EF</v>
      </c>
      <c r="M1073" t="str">
        <f>'(Raw) LensesGH'!G1073</f>
        <v>APS-C/ Kleinbild</v>
      </c>
      <c r="N1073" t="str">
        <f>'(Raw) LensesGH'!H1073</f>
        <v>1160g</v>
      </c>
      <c r="O1073" s="5">
        <f t="shared" si="151"/>
        <v>1160</v>
      </c>
      <c r="P1073" t="str">
        <f>'(Raw) LensesGH'!I1073</f>
        <v>117.6 x 121.7mm</v>
      </c>
      <c r="Q1073" s="39">
        <f t="shared" si="152"/>
        <v>117.6</v>
      </c>
      <c r="R1073" s="39">
        <f t="shared" si="144"/>
        <v>121.7</v>
      </c>
    </row>
    <row r="1074" spans="1:18" x14ac:dyDescent="0.25">
      <c r="A1074" t="str">
        <f>'(Raw) LensesGH'!A1074</f>
        <v>Samyang XEEN 50mm T1.5 für Micro-Four-Thirds schwarz</v>
      </c>
      <c r="B1074" t="str">
        <f>'(Raw) LensesGH'!B1074</f>
        <v>50mm</v>
      </c>
      <c r="C1074" s="5">
        <f t="shared" si="145"/>
        <v>50</v>
      </c>
      <c r="D1074" s="5">
        <f t="shared" si="146"/>
        <v>50</v>
      </c>
      <c r="E1074" t="str">
        <f>'(Raw) LensesGH'!C1074</f>
        <v>1:1.5</v>
      </c>
      <c r="F1074" s="9">
        <f t="shared" si="147"/>
        <v>1.5</v>
      </c>
      <c r="G1074" s="9">
        <f t="shared" si="148"/>
        <v>1.5</v>
      </c>
      <c r="H1074">
        <f>'(Raw) LensesGH'!D1074</f>
        <v>0</v>
      </c>
      <c r="I1074" s="2">
        <f t="shared" si="149"/>
        <v>0</v>
      </c>
      <c r="J1074" s="2">
        <f>'(Raw) LensesGH'!E1074</f>
        <v>0</v>
      </c>
      <c r="K1074" s="40">
        <f t="shared" si="150"/>
        <v>0</v>
      </c>
      <c r="L1074" t="str">
        <f>'(Raw) LensesGH'!F1074</f>
        <v>Micro-Four-Thirds</v>
      </c>
      <c r="M1074" t="str">
        <f>'(Raw) LensesGH'!G1074</f>
        <v>Micro-Four-Thirds</v>
      </c>
      <c r="N1074" t="str">
        <f>'(Raw) LensesGH'!H1074</f>
        <v>1170g</v>
      </c>
      <c r="O1074" s="5">
        <f t="shared" si="151"/>
        <v>1170</v>
      </c>
      <c r="P1074" t="str">
        <f>'(Raw) LensesGH'!I1074</f>
        <v>117.6 x 146.5mm</v>
      </c>
      <c r="Q1074" s="39">
        <f t="shared" si="152"/>
        <v>117.6</v>
      </c>
      <c r="R1074" s="39">
        <f t="shared" si="144"/>
        <v>146.5</v>
      </c>
    </row>
    <row r="1075" spans="1:18" x14ac:dyDescent="0.25">
      <c r="A1075" t="str">
        <f>'(Raw) LensesGH'!A1075</f>
        <v>Samyang XEEN 50mm T1.5 für Nikon F schwarz</v>
      </c>
      <c r="B1075" t="str">
        <f>'(Raw) LensesGH'!B1075</f>
        <v>50mm</v>
      </c>
      <c r="C1075" s="5">
        <f t="shared" si="145"/>
        <v>50</v>
      </c>
      <c r="D1075" s="5">
        <f t="shared" si="146"/>
        <v>50</v>
      </c>
      <c r="E1075" t="str">
        <f>'(Raw) LensesGH'!C1075</f>
        <v>1:1.5</v>
      </c>
      <c r="F1075" s="9">
        <f t="shared" si="147"/>
        <v>1.5</v>
      </c>
      <c r="G1075" s="9">
        <f t="shared" si="148"/>
        <v>1.5</v>
      </c>
      <c r="H1075">
        <f>'(Raw) LensesGH'!D1075</f>
        <v>0</v>
      </c>
      <c r="I1075" s="2">
        <f t="shared" si="149"/>
        <v>0</v>
      </c>
      <c r="J1075" s="2">
        <f>'(Raw) LensesGH'!E1075</f>
        <v>0</v>
      </c>
      <c r="K1075" s="40">
        <f t="shared" si="150"/>
        <v>0</v>
      </c>
      <c r="L1075" t="str">
        <f>'(Raw) LensesGH'!F1075</f>
        <v>Nikon F</v>
      </c>
      <c r="M1075" t="str">
        <f>'(Raw) LensesGH'!G1075</f>
        <v>APS-C/ Kleinbild</v>
      </c>
      <c r="N1075" t="str">
        <f>'(Raw) LensesGH'!H1075</f>
        <v>1120g</v>
      </c>
      <c r="O1075" s="5">
        <f t="shared" si="151"/>
        <v>1120</v>
      </c>
      <c r="P1075" t="str">
        <f>'(Raw) LensesGH'!I1075</f>
        <v>117.6 x 119.2mm</v>
      </c>
      <c r="Q1075" s="39">
        <f t="shared" si="152"/>
        <v>117.6</v>
      </c>
      <c r="R1075" s="39">
        <f t="shared" si="144"/>
        <v>119.2</v>
      </c>
    </row>
    <row r="1076" spans="1:18" x14ac:dyDescent="0.25">
      <c r="A1076" t="str">
        <f>'(Raw) LensesGH'!A1076</f>
        <v>Samyang XEEN 50mm T1.5 für PL schwarz</v>
      </c>
      <c r="B1076" t="str">
        <f>'(Raw) LensesGH'!B1076</f>
        <v>50mm</v>
      </c>
      <c r="C1076" s="5">
        <f t="shared" si="145"/>
        <v>50</v>
      </c>
      <c r="D1076" s="5">
        <f t="shared" si="146"/>
        <v>50</v>
      </c>
      <c r="E1076" t="str">
        <f>'(Raw) LensesGH'!C1076</f>
        <v>1:1.5</v>
      </c>
      <c r="F1076" s="9">
        <f t="shared" si="147"/>
        <v>1.5</v>
      </c>
      <c r="G1076" s="9">
        <f t="shared" si="148"/>
        <v>1.5</v>
      </c>
      <c r="H1076">
        <f>'(Raw) LensesGH'!D1076</f>
        <v>0</v>
      </c>
      <c r="I1076" s="2">
        <f t="shared" si="149"/>
        <v>0</v>
      </c>
      <c r="J1076" s="2">
        <f>'(Raw) LensesGH'!E1076</f>
        <v>0</v>
      </c>
      <c r="K1076" s="40">
        <f t="shared" si="150"/>
        <v>0</v>
      </c>
      <c r="L1076" t="str">
        <f>'(Raw) LensesGH'!F1076</f>
        <v>PL</v>
      </c>
      <c r="M1076" t="str">
        <f>'(Raw) LensesGH'!G1076</f>
        <v>APS-C/ Kleinbild</v>
      </c>
      <c r="N1076" t="str">
        <f>'(Raw) LensesGH'!H1076</f>
        <v>1160g</v>
      </c>
      <c r="O1076" s="5">
        <f t="shared" si="151"/>
        <v>1160</v>
      </c>
      <c r="P1076" t="str">
        <f>'(Raw) LensesGH'!I1076</f>
        <v>117.6 x 113.7mm</v>
      </c>
      <c r="Q1076" s="39">
        <f t="shared" si="152"/>
        <v>117.6</v>
      </c>
      <c r="R1076" s="39">
        <f t="shared" si="144"/>
        <v>113.7</v>
      </c>
    </row>
    <row r="1077" spans="1:18" x14ac:dyDescent="0.25">
      <c r="A1077" t="str">
        <f>'(Raw) LensesGH'!A1077</f>
        <v>Samyang XEEN 50mm T1.5 für Sony E schwarz</v>
      </c>
      <c r="B1077" t="str">
        <f>'(Raw) LensesGH'!B1077</f>
        <v>50mm</v>
      </c>
      <c r="C1077" s="5">
        <f t="shared" si="145"/>
        <v>50</v>
      </c>
      <c r="D1077" s="5">
        <f t="shared" si="146"/>
        <v>50</v>
      </c>
      <c r="E1077" t="str">
        <f>'(Raw) LensesGH'!C1077</f>
        <v>1:1.5</v>
      </c>
      <c r="F1077" s="9">
        <f t="shared" si="147"/>
        <v>1.5</v>
      </c>
      <c r="G1077" s="9">
        <f t="shared" si="148"/>
        <v>1.5</v>
      </c>
      <c r="H1077">
        <f>'(Raw) LensesGH'!D1077</f>
        <v>0</v>
      </c>
      <c r="I1077" s="2">
        <f t="shared" si="149"/>
        <v>0</v>
      </c>
      <c r="J1077" s="2">
        <f>'(Raw) LensesGH'!E1077</f>
        <v>0</v>
      </c>
      <c r="K1077" s="40">
        <f t="shared" si="150"/>
        <v>0</v>
      </c>
      <c r="L1077" t="str">
        <f>'(Raw) LensesGH'!F1077</f>
        <v>Sony E</v>
      </c>
      <c r="M1077" t="str">
        <f>'(Raw) LensesGH'!G1077</f>
        <v>APS-C/ Kleinbild</v>
      </c>
      <c r="N1077" t="str">
        <f>'(Raw) LensesGH'!H1077</f>
        <v>1170g</v>
      </c>
      <c r="O1077" s="5">
        <f t="shared" si="151"/>
        <v>1170</v>
      </c>
      <c r="P1077" t="str">
        <f>'(Raw) LensesGH'!I1077</f>
        <v>117.6 x 147.7mm</v>
      </c>
      <c r="Q1077" s="39">
        <f t="shared" si="152"/>
        <v>117.6</v>
      </c>
      <c r="R1077" s="39">
        <f t="shared" si="144"/>
        <v>147.69999999999999</v>
      </c>
    </row>
    <row r="1078" spans="1:18" x14ac:dyDescent="0.25">
      <c r="A1078" t="str">
        <f>'(Raw) LensesGH'!A1078</f>
        <v>Samyang XEEN 85mm T1.5 für Canon EF schwarz</v>
      </c>
      <c r="B1078" t="str">
        <f>'(Raw) LensesGH'!B1078</f>
        <v>85mm</v>
      </c>
      <c r="C1078" s="5">
        <f t="shared" si="145"/>
        <v>85</v>
      </c>
      <c r="D1078" s="5">
        <f t="shared" si="146"/>
        <v>85</v>
      </c>
      <c r="E1078" t="str">
        <f>'(Raw) LensesGH'!C1078</f>
        <v>1:1.5</v>
      </c>
      <c r="F1078" s="9">
        <f t="shared" si="147"/>
        <v>1.5</v>
      </c>
      <c r="G1078" s="9">
        <f t="shared" si="148"/>
        <v>1.5</v>
      </c>
      <c r="H1078">
        <f>'(Raw) LensesGH'!D1078</f>
        <v>0</v>
      </c>
      <c r="I1078" s="2">
        <f t="shared" si="149"/>
        <v>0</v>
      </c>
      <c r="J1078" s="2">
        <f>'(Raw) LensesGH'!E1078</f>
        <v>0</v>
      </c>
      <c r="K1078" s="40">
        <f t="shared" si="150"/>
        <v>0</v>
      </c>
      <c r="L1078" t="str">
        <f>'(Raw) LensesGH'!F1078</f>
        <v>Canon EF</v>
      </c>
      <c r="M1078" t="str">
        <f>'(Raw) LensesGH'!G1078</f>
        <v>APS-C/ Kleinbild</v>
      </c>
      <c r="N1078" t="str">
        <f>'(Raw) LensesGH'!H1078</f>
        <v>1250g</v>
      </c>
      <c r="O1078" s="5">
        <f t="shared" si="151"/>
        <v>1250</v>
      </c>
      <c r="P1078" t="str">
        <f>'(Raw) LensesGH'!I1078</f>
        <v>117.6 x 121.7mm</v>
      </c>
      <c r="Q1078" s="39">
        <f t="shared" si="152"/>
        <v>117.6</v>
      </c>
      <c r="R1078" s="39">
        <f t="shared" si="144"/>
        <v>121.7</v>
      </c>
    </row>
    <row r="1079" spans="1:18" x14ac:dyDescent="0.25">
      <c r="A1079" t="str">
        <f>'(Raw) LensesGH'!A1079</f>
        <v>Samyang XEEN 85mm T1.5 für Micro-Four-Thirds schwarz</v>
      </c>
      <c r="B1079" t="str">
        <f>'(Raw) LensesGH'!B1079</f>
        <v>85mm</v>
      </c>
      <c r="C1079" s="5">
        <f t="shared" si="145"/>
        <v>85</v>
      </c>
      <c r="D1079" s="5">
        <f t="shared" si="146"/>
        <v>85</v>
      </c>
      <c r="E1079" t="str">
        <f>'(Raw) LensesGH'!C1079</f>
        <v>1:1.5</v>
      </c>
      <c r="F1079" s="9">
        <f t="shared" si="147"/>
        <v>1.5</v>
      </c>
      <c r="G1079" s="9">
        <f t="shared" si="148"/>
        <v>1.5</v>
      </c>
      <c r="H1079">
        <f>'(Raw) LensesGH'!D1079</f>
        <v>0</v>
      </c>
      <c r="I1079" s="2">
        <f t="shared" si="149"/>
        <v>0</v>
      </c>
      <c r="J1079" s="2">
        <f>'(Raw) LensesGH'!E1079</f>
        <v>0</v>
      </c>
      <c r="K1079" s="40">
        <f t="shared" si="150"/>
        <v>0</v>
      </c>
      <c r="L1079" t="str">
        <f>'(Raw) LensesGH'!F1079</f>
        <v>Micro-Four-Thirds</v>
      </c>
      <c r="M1079" t="str">
        <f>'(Raw) LensesGH'!G1079</f>
        <v>Micro-Four-Thirds</v>
      </c>
      <c r="N1079" t="str">
        <f>'(Raw) LensesGH'!H1079</f>
        <v>1250g</v>
      </c>
      <c r="O1079" s="5">
        <f t="shared" si="151"/>
        <v>1250</v>
      </c>
      <c r="P1079" t="str">
        <f>'(Raw) LensesGH'!I1079</f>
        <v>117.6 x 146.5mm</v>
      </c>
      <c r="Q1079" s="39">
        <f t="shared" si="152"/>
        <v>117.6</v>
      </c>
      <c r="R1079" s="39">
        <f t="shared" si="144"/>
        <v>146.5</v>
      </c>
    </row>
    <row r="1080" spans="1:18" x14ac:dyDescent="0.25">
      <c r="A1080" t="str">
        <f>'(Raw) LensesGH'!A1080</f>
        <v>Samyang XEEN 85mm T1.5 für Nikon F schwarz</v>
      </c>
      <c r="B1080" t="str">
        <f>'(Raw) LensesGH'!B1080</f>
        <v>85mm</v>
      </c>
      <c r="C1080" s="5">
        <f t="shared" si="145"/>
        <v>85</v>
      </c>
      <c r="D1080" s="5">
        <f t="shared" si="146"/>
        <v>85</v>
      </c>
      <c r="E1080" t="str">
        <f>'(Raw) LensesGH'!C1080</f>
        <v>1:1.5</v>
      </c>
      <c r="F1080" s="9">
        <f t="shared" si="147"/>
        <v>1.5</v>
      </c>
      <c r="G1080" s="9">
        <f t="shared" si="148"/>
        <v>1.5</v>
      </c>
      <c r="H1080">
        <f>'(Raw) LensesGH'!D1080</f>
        <v>0</v>
      </c>
      <c r="I1080" s="2">
        <f t="shared" si="149"/>
        <v>0</v>
      </c>
      <c r="J1080" s="2">
        <f>'(Raw) LensesGH'!E1080</f>
        <v>0</v>
      </c>
      <c r="K1080" s="40">
        <f t="shared" si="150"/>
        <v>0</v>
      </c>
      <c r="L1080" t="str">
        <f>'(Raw) LensesGH'!F1080</f>
        <v>Nikon F</v>
      </c>
      <c r="M1080" t="str">
        <f>'(Raw) LensesGH'!G1080</f>
        <v>APS-C/ Kleinbild</v>
      </c>
      <c r="N1080" t="str">
        <f>'(Raw) LensesGH'!H1080</f>
        <v>1200g</v>
      </c>
      <c r="O1080" s="5">
        <f t="shared" si="151"/>
        <v>1200</v>
      </c>
      <c r="P1080" t="str">
        <f>'(Raw) LensesGH'!I1080</f>
        <v>117.6 x 119.2mm</v>
      </c>
      <c r="Q1080" s="39">
        <f t="shared" si="152"/>
        <v>117.6</v>
      </c>
      <c r="R1080" s="39">
        <f t="shared" si="144"/>
        <v>119.2</v>
      </c>
    </row>
    <row r="1081" spans="1:18" x14ac:dyDescent="0.25">
      <c r="A1081" t="str">
        <f>'(Raw) LensesGH'!A1081</f>
        <v>Samyang XEEN 85mm T1.5 für PL schwarz</v>
      </c>
      <c r="B1081" t="str">
        <f>'(Raw) LensesGH'!B1081</f>
        <v>85mm</v>
      </c>
      <c r="C1081" s="5">
        <f t="shared" si="145"/>
        <v>85</v>
      </c>
      <c r="D1081" s="5">
        <f t="shared" si="146"/>
        <v>85</v>
      </c>
      <c r="E1081" t="str">
        <f>'(Raw) LensesGH'!C1081</f>
        <v>1:1.5</v>
      </c>
      <c r="F1081" s="9">
        <f t="shared" si="147"/>
        <v>1.5</v>
      </c>
      <c r="G1081" s="9">
        <f t="shared" si="148"/>
        <v>1.5</v>
      </c>
      <c r="H1081">
        <f>'(Raw) LensesGH'!D1081</f>
        <v>0</v>
      </c>
      <c r="I1081" s="2">
        <f t="shared" si="149"/>
        <v>0</v>
      </c>
      <c r="J1081" s="2">
        <f>'(Raw) LensesGH'!E1081</f>
        <v>0</v>
      </c>
      <c r="K1081" s="40">
        <f t="shared" si="150"/>
        <v>0</v>
      </c>
      <c r="L1081" t="str">
        <f>'(Raw) LensesGH'!F1081</f>
        <v>PL</v>
      </c>
      <c r="M1081" t="str">
        <f>'(Raw) LensesGH'!G1081</f>
        <v>APS-C/ Kleinbild</v>
      </c>
      <c r="N1081" t="str">
        <f>'(Raw) LensesGH'!H1081</f>
        <v>1250g</v>
      </c>
      <c r="O1081" s="5">
        <f t="shared" si="151"/>
        <v>1250</v>
      </c>
      <c r="P1081" t="str">
        <f>'(Raw) LensesGH'!I1081</f>
        <v>117.6 x 113.7mm</v>
      </c>
      <c r="Q1081" s="39">
        <f t="shared" si="152"/>
        <v>117.6</v>
      </c>
      <c r="R1081" s="39">
        <f t="shared" si="144"/>
        <v>113.7</v>
      </c>
    </row>
    <row r="1082" spans="1:18" x14ac:dyDescent="0.25">
      <c r="A1082" t="str">
        <f>'(Raw) LensesGH'!A1082</f>
        <v>Samyang XEEN 85mm T1.5 für Sony E schwarz</v>
      </c>
      <c r="B1082" t="str">
        <f>'(Raw) LensesGH'!B1082</f>
        <v>85mm</v>
      </c>
      <c r="C1082" s="5">
        <f t="shared" si="145"/>
        <v>85</v>
      </c>
      <c r="D1082" s="5">
        <f t="shared" si="146"/>
        <v>85</v>
      </c>
      <c r="E1082" t="str">
        <f>'(Raw) LensesGH'!C1082</f>
        <v>1:1.5</v>
      </c>
      <c r="F1082" s="9">
        <f t="shared" si="147"/>
        <v>1.5</v>
      </c>
      <c r="G1082" s="9">
        <f t="shared" si="148"/>
        <v>1.5</v>
      </c>
      <c r="H1082">
        <f>'(Raw) LensesGH'!D1082</f>
        <v>0</v>
      </c>
      <c r="I1082" s="2">
        <f t="shared" si="149"/>
        <v>0</v>
      </c>
      <c r="J1082" s="2">
        <f>'(Raw) LensesGH'!E1082</f>
        <v>0</v>
      </c>
      <c r="K1082" s="40">
        <f t="shared" si="150"/>
        <v>0</v>
      </c>
      <c r="L1082" t="str">
        <f>'(Raw) LensesGH'!F1082</f>
        <v>Sony E</v>
      </c>
      <c r="M1082" t="str">
        <f>'(Raw) LensesGH'!G1082</f>
        <v>APS-C/ Kleinbild</v>
      </c>
      <c r="N1082" t="str">
        <f>'(Raw) LensesGH'!H1082</f>
        <v>1250g</v>
      </c>
      <c r="O1082" s="5">
        <f t="shared" si="151"/>
        <v>1250</v>
      </c>
      <c r="P1082" t="str">
        <f>'(Raw) LensesGH'!I1082</f>
        <v>117.6 x 147.7mm</v>
      </c>
      <c r="Q1082" s="39">
        <f t="shared" si="152"/>
        <v>117.6</v>
      </c>
      <c r="R1082" s="39">
        <f t="shared" si="144"/>
        <v>147.69999999999999</v>
      </c>
    </row>
    <row r="1083" spans="1:18" x14ac:dyDescent="0.25">
      <c r="A1083" t="str">
        <f>'(Raw) LensesGH'!A1083</f>
        <v>Samyang XP 14mm 2.4 UMC für Canon EF schwarz</v>
      </c>
      <c r="B1083" t="str">
        <f>'(Raw) LensesGH'!B1083</f>
        <v>14mm</v>
      </c>
      <c r="C1083" s="5">
        <f t="shared" si="145"/>
        <v>14</v>
      </c>
      <c r="D1083" s="5">
        <f t="shared" si="146"/>
        <v>14</v>
      </c>
      <c r="E1083" t="str">
        <f>'(Raw) LensesGH'!C1083</f>
        <v>1:2.4</v>
      </c>
      <c r="F1083" s="9">
        <f t="shared" si="147"/>
        <v>2.4</v>
      </c>
      <c r="G1083" s="9">
        <f t="shared" si="148"/>
        <v>2.4</v>
      </c>
      <c r="H1083">
        <f>'(Raw) LensesGH'!D1083</f>
        <v>0</v>
      </c>
      <c r="I1083" s="2">
        <f t="shared" si="149"/>
        <v>0</v>
      </c>
      <c r="J1083" s="2" t="str">
        <f>'(Raw) LensesGH'!E1083</f>
        <v>1:12.50</v>
      </c>
      <c r="K1083" s="40">
        <f t="shared" si="150"/>
        <v>12.5</v>
      </c>
      <c r="L1083" t="str">
        <f>'(Raw) LensesGH'!F1083</f>
        <v>Canon EF</v>
      </c>
      <c r="M1083" t="str">
        <f>'(Raw) LensesGH'!G1083</f>
        <v>APS-C/ Kleinbild</v>
      </c>
      <c r="N1083" t="str">
        <f>'(Raw) LensesGH'!H1083</f>
        <v>791g</v>
      </c>
      <c r="O1083" s="5">
        <f t="shared" si="151"/>
        <v>791</v>
      </c>
      <c r="P1083" t="str">
        <f>'(Raw) LensesGH'!I1083</f>
        <v>95 x 109.4mm</v>
      </c>
      <c r="Q1083" s="39">
        <f t="shared" si="152"/>
        <v>95</v>
      </c>
      <c r="R1083" s="39">
        <f t="shared" si="144"/>
        <v>109.4</v>
      </c>
    </row>
    <row r="1084" spans="1:18" x14ac:dyDescent="0.25">
      <c r="A1084" t="str">
        <f>'(Raw) LensesGH'!A1084</f>
        <v>Samyang XP 14mm 2.4 UMC für Nikon F schwarz</v>
      </c>
      <c r="B1084" t="str">
        <f>'(Raw) LensesGH'!B1084</f>
        <v>14mm</v>
      </c>
      <c r="C1084" s="5">
        <f t="shared" si="145"/>
        <v>14</v>
      </c>
      <c r="D1084" s="5">
        <f t="shared" si="146"/>
        <v>14</v>
      </c>
      <c r="E1084" t="str">
        <f>'(Raw) LensesGH'!C1084</f>
        <v>1:2.4</v>
      </c>
      <c r="F1084" s="9">
        <f t="shared" si="147"/>
        <v>2.4</v>
      </c>
      <c r="G1084" s="9">
        <f t="shared" si="148"/>
        <v>2.4</v>
      </c>
      <c r="H1084">
        <f>'(Raw) LensesGH'!D1084</f>
        <v>0</v>
      </c>
      <c r="I1084" s="2">
        <f t="shared" si="149"/>
        <v>0</v>
      </c>
      <c r="J1084" s="2" t="str">
        <f>'(Raw) LensesGH'!E1084</f>
        <v>1:12.50</v>
      </c>
      <c r="K1084" s="40">
        <f t="shared" si="150"/>
        <v>12.5</v>
      </c>
      <c r="L1084" t="str">
        <f>'(Raw) LensesGH'!F1084</f>
        <v>Nikon F</v>
      </c>
      <c r="M1084" t="str">
        <f>'(Raw) LensesGH'!G1084</f>
        <v>APS-C/ Kleinbild</v>
      </c>
      <c r="N1084" t="str">
        <f>'(Raw) LensesGH'!H1084</f>
        <v>791g</v>
      </c>
      <c r="O1084" s="5">
        <f t="shared" si="151"/>
        <v>791</v>
      </c>
      <c r="P1084" t="str">
        <f>'(Raw) LensesGH'!I1084</f>
        <v>95 x 109.4mm</v>
      </c>
      <c r="Q1084" s="39">
        <f t="shared" si="152"/>
        <v>95</v>
      </c>
      <c r="R1084" s="39">
        <f t="shared" si="144"/>
        <v>109.4</v>
      </c>
    </row>
    <row r="1085" spans="1:18" x14ac:dyDescent="0.25">
      <c r="A1085" t="str">
        <f>'(Raw) LensesGH'!A1085</f>
        <v>Samyang XP 85mm 1.2 Asph UMC für Canon EF schwarz</v>
      </c>
      <c r="B1085" t="str">
        <f>'(Raw) LensesGH'!B1085</f>
        <v>85mm</v>
      </c>
      <c r="C1085" s="5">
        <f t="shared" si="145"/>
        <v>85</v>
      </c>
      <c r="D1085" s="5">
        <f t="shared" si="146"/>
        <v>85</v>
      </c>
      <c r="E1085" t="str">
        <f>'(Raw) LensesGH'!C1085</f>
        <v>1:1.2</v>
      </c>
      <c r="F1085" s="9">
        <f t="shared" si="147"/>
        <v>1.2</v>
      </c>
      <c r="G1085" s="9">
        <f t="shared" si="148"/>
        <v>1.2</v>
      </c>
      <c r="H1085" t="str">
        <f>'(Raw) LensesGH'!D1085</f>
        <v>86mm</v>
      </c>
      <c r="I1085" s="2">
        <f t="shared" si="149"/>
        <v>86</v>
      </c>
      <c r="J1085" s="2" t="str">
        <f>'(Raw) LensesGH'!E1085</f>
        <v>1:7.69</v>
      </c>
      <c r="K1085" s="40">
        <f t="shared" si="150"/>
        <v>7.69</v>
      </c>
      <c r="L1085" t="str">
        <f>'(Raw) LensesGH'!F1085</f>
        <v>Canon EF</v>
      </c>
      <c r="M1085" t="str">
        <f>'(Raw) LensesGH'!G1085</f>
        <v>APS-C/ Kleinbild</v>
      </c>
      <c r="N1085" t="str">
        <f>'(Raw) LensesGH'!H1085</f>
        <v>1050g</v>
      </c>
      <c r="O1085" s="5">
        <f t="shared" si="151"/>
        <v>1050</v>
      </c>
      <c r="P1085" t="str">
        <f>'(Raw) LensesGH'!I1085</f>
        <v>93 x 98.4mm</v>
      </c>
      <c r="Q1085" s="39">
        <f t="shared" si="152"/>
        <v>93</v>
      </c>
      <c r="R1085" s="39">
        <f t="shared" si="144"/>
        <v>98.4</v>
      </c>
    </row>
    <row r="1086" spans="1:18" x14ac:dyDescent="0.25">
      <c r="A1086" t="str">
        <f>'(Raw) LensesGH'!A1086</f>
        <v>Sigma AF 10-20mm 3.5 EX DC HSM für Canon EF schwarz</v>
      </c>
      <c r="B1086" t="str">
        <f>'(Raw) LensesGH'!B1086</f>
        <v>10 - 20mm</v>
      </c>
      <c r="C1086" s="5">
        <f t="shared" si="145"/>
        <v>10</v>
      </c>
      <c r="D1086" s="5">
        <f t="shared" si="146"/>
        <v>20</v>
      </c>
      <c r="E1086" t="str">
        <f>'(Raw) LensesGH'!C1086</f>
        <v>1:3.5</v>
      </c>
      <c r="F1086" s="9">
        <f t="shared" si="147"/>
        <v>3.5</v>
      </c>
      <c r="G1086" s="9">
        <f t="shared" si="148"/>
        <v>3.5</v>
      </c>
      <c r="H1086" t="str">
        <f>'(Raw) LensesGH'!D1086</f>
        <v>82mm</v>
      </c>
      <c r="I1086" s="2">
        <f t="shared" si="149"/>
        <v>82</v>
      </c>
      <c r="J1086" s="2" t="str">
        <f>'(Raw) LensesGH'!E1086</f>
        <v>1:6.60</v>
      </c>
      <c r="K1086" s="40">
        <f t="shared" si="150"/>
        <v>6.6</v>
      </c>
      <c r="L1086" t="str">
        <f>'(Raw) LensesGH'!F1086</f>
        <v>Canon EF-S</v>
      </c>
      <c r="M1086" t="str">
        <f>'(Raw) LensesGH'!G1086</f>
        <v>APS-C</v>
      </c>
      <c r="N1086" t="str">
        <f>'(Raw) LensesGH'!H1086</f>
        <v>520g</v>
      </c>
      <c r="O1086" s="5">
        <f t="shared" si="151"/>
        <v>520</v>
      </c>
      <c r="P1086" t="str">
        <f>'(Raw) LensesGH'!I1086</f>
        <v>87.3 x 88.2mm</v>
      </c>
      <c r="Q1086" s="39">
        <f t="shared" si="152"/>
        <v>87.3</v>
      </c>
      <c r="R1086" s="39">
        <f t="shared" si="144"/>
        <v>88.2</v>
      </c>
    </row>
    <row r="1087" spans="1:18" x14ac:dyDescent="0.25">
      <c r="A1087" t="str">
        <f>'(Raw) LensesGH'!A1087</f>
        <v>Sigma AF 10-20mm 3.5 EX DC HSM für Nikon F schwarz</v>
      </c>
      <c r="B1087" t="str">
        <f>'(Raw) LensesGH'!B1087</f>
        <v>10 - 20mm</v>
      </c>
      <c r="C1087" s="5">
        <f t="shared" si="145"/>
        <v>10</v>
      </c>
      <c r="D1087" s="5">
        <f t="shared" si="146"/>
        <v>20</v>
      </c>
      <c r="E1087" t="str">
        <f>'(Raw) LensesGH'!C1087</f>
        <v>1:3.5</v>
      </c>
      <c r="F1087" s="9">
        <f t="shared" si="147"/>
        <v>3.5</v>
      </c>
      <c r="G1087" s="9">
        <f t="shared" si="148"/>
        <v>3.5</v>
      </c>
      <c r="H1087" t="str">
        <f>'(Raw) LensesGH'!D1087</f>
        <v>82mm</v>
      </c>
      <c r="I1087" s="2">
        <f t="shared" si="149"/>
        <v>82</v>
      </c>
      <c r="J1087" s="2" t="str">
        <f>'(Raw) LensesGH'!E1087</f>
        <v>1:6.60</v>
      </c>
      <c r="K1087" s="40">
        <f t="shared" si="150"/>
        <v>6.6</v>
      </c>
      <c r="L1087" t="str">
        <f>'(Raw) LensesGH'!F1087</f>
        <v>Nikon F</v>
      </c>
      <c r="M1087" t="str">
        <f>'(Raw) LensesGH'!G1087</f>
        <v>APS-C</v>
      </c>
      <c r="N1087" t="str">
        <f>'(Raw) LensesGH'!H1087</f>
        <v>520g</v>
      </c>
      <c r="O1087" s="5">
        <f t="shared" si="151"/>
        <v>520</v>
      </c>
      <c r="P1087" t="str">
        <f>'(Raw) LensesGH'!I1087</f>
        <v>87.3 x 88.2mm</v>
      </c>
      <c r="Q1087" s="39">
        <f t="shared" si="152"/>
        <v>87.3</v>
      </c>
      <c r="R1087" s="39">
        <f t="shared" si="144"/>
        <v>88.2</v>
      </c>
    </row>
    <row r="1088" spans="1:18" x14ac:dyDescent="0.25">
      <c r="A1088" t="str">
        <f>'(Raw) LensesGH'!A1088</f>
        <v>Sigma AF 10-20mm 3.5 EX DC HSM für Pentax K schwarz</v>
      </c>
      <c r="B1088" t="str">
        <f>'(Raw) LensesGH'!B1088</f>
        <v>10 - 20mm</v>
      </c>
      <c r="C1088" s="5">
        <f t="shared" si="145"/>
        <v>10</v>
      </c>
      <c r="D1088" s="5">
        <f t="shared" si="146"/>
        <v>20</v>
      </c>
      <c r="E1088" t="str">
        <f>'(Raw) LensesGH'!C1088</f>
        <v>1:3.5</v>
      </c>
      <c r="F1088" s="9">
        <f t="shared" si="147"/>
        <v>3.5</v>
      </c>
      <c r="G1088" s="9">
        <f t="shared" si="148"/>
        <v>3.5</v>
      </c>
      <c r="H1088" t="str">
        <f>'(Raw) LensesGH'!D1088</f>
        <v>82mm</v>
      </c>
      <c r="I1088" s="2">
        <f t="shared" si="149"/>
        <v>82</v>
      </c>
      <c r="J1088" s="2" t="str">
        <f>'(Raw) LensesGH'!E1088</f>
        <v>1:6.60</v>
      </c>
      <c r="K1088" s="40">
        <f t="shared" si="150"/>
        <v>6.6</v>
      </c>
      <c r="L1088" t="str">
        <f>'(Raw) LensesGH'!F1088</f>
        <v>Pentax K</v>
      </c>
      <c r="M1088" t="str">
        <f>'(Raw) LensesGH'!G1088</f>
        <v>APS-C</v>
      </c>
      <c r="N1088" t="str">
        <f>'(Raw) LensesGH'!H1088</f>
        <v>520g</v>
      </c>
      <c r="O1088" s="5">
        <f t="shared" si="151"/>
        <v>520</v>
      </c>
      <c r="P1088" t="str">
        <f>'(Raw) LensesGH'!I1088</f>
        <v>87.3 x 88.2mm</v>
      </c>
      <c r="Q1088" s="39">
        <f t="shared" si="152"/>
        <v>87.3</v>
      </c>
      <c r="R1088" s="39">
        <f t="shared" si="144"/>
        <v>88.2</v>
      </c>
    </row>
    <row r="1089" spans="1:18" x14ac:dyDescent="0.25">
      <c r="A1089" t="str">
        <f>'(Raw) LensesGH'!A1089</f>
        <v>Sigma AF 10-20mm 3.5 EX DC HSM für Sigma schwarz</v>
      </c>
      <c r="B1089" t="str">
        <f>'(Raw) LensesGH'!B1089</f>
        <v>10 - 20mm</v>
      </c>
      <c r="C1089" s="5">
        <f t="shared" si="145"/>
        <v>10</v>
      </c>
      <c r="D1089" s="5">
        <f t="shared" si="146"/>
        <v>20</v>
      </c>
      <c r="E1089" t="str">
        <f>'(Raw) LensesGH'!C1089</f>
        <v>1:3.5</v>
      </c>
      <c r="F1089" s="9">
        <f t="shared" si="147"/>
        <v>3.5</v>
      </c>
      <c r="G1089" s="9">
        <f t="shared" si="148"/>
        <v>3.5</v>
      </c>
      <c r="H1089" t="str">
        <f>'(Raw) LensesGH'!D1089</f>
        <v>82mm</v>
      </c>
      <c r="I1089" s="2">
        <f t="shared" si="149"/>
        <v>82</v>
      </c>
      <c r="J1089" s="2" t="str">
        <f>'(Raw) LensesGH'!E1089</f>
        <v>1:6.60</v>
      </c>
      <c r="K1089" s="40">
        <f t="shared" si="150"/>
        <v>6.6</v>
      </c>
      <c r="L1089" t="str">
        <f>'(Raw) LensesGH'!F1089</f>
        <v>Sigma SA</v>
      </c>
      <c r="M1089" t="str">
        <f>'(Raw) LensesGH'!G1089</f>
        <v>APS-C</v>
      </c>
      <c r="N1089" t="str">
        <f>'(Raw) LensesGH'!H1089</f>
        <v>520g</v>
      </c>
      <c r="O1089" s="5">
        <f t="shared" si="151"/>
        <v>520</v>
      </c>
      <c r="P1089" t="str">
        <f>'(Raw) LensesGH'!I1089</f>
        <v>87.3 x 88.2mm</v>
      </c>
      <c r="Q1089" s="39">
        <f t="shared" si="152"/>
        <v>87.3</v>
      </c>
      <c r="R1089" s="39">
        <f t="shared" si="144"/>
        <v>88.2</v>
      </c>
    </row>
    <row r="1090" spans="1:18" x14ac:dyDescent="0.25">
      <c r="A1090" t="str">
        <f>'(Raw) LensesGH'!A1090</f>
        <v>Sigma AF 10-20mm 3.5 EX DC HSM für Sony A schwarz</v>
      </c>
      <c r="B1090" t="str">
        <f>'(Raw) LensesGH'!B1090</f>
        <v>10 - 20mm</v>
      </c>
      <c r="C1090" s="5">
        <f t="shared" si="145"/>
        <v>10</v>
      </c>
      <c r="D1090" s="5">
        <f t="shared" si="146"/>
        <v>20</v>
      </c>
      <c r="E1090" t="str">
        <f>'(Raw) LensesGH'!C1090</f>
        <v>1:3.5</v>
      </c>
      <c r="F1090" s="9">
        <f t="shared" si="147"/>
        <v>3.5</v>
      </c>
      <c r="G1090" s="9">
        <f t="shared" si="148"/>
        <v>3.5</v>
      </c>
      <c r="H1090" t="str">
        <f>'(Raw) LensesGH'!D1090</f>
        <v>82mm</v>
      </c>
      <c r="I1090" s="2">
        <f t="shared" si="149"/>
        <v>82</v>
      </c>
      <c r="J1090" s="2" t="str">
        <f>'(Raw) LensesGH'!E1090</f>
        <v>1:6.60</v>
      </c>
      <c r="K1090" s="40">
        <f t="shared" si="150"/>
        <v>6.6</v>
      </c>
      <c r="L1090" t="str">
        <f>'(Raw) LensesGH'!F1090</f>
        <v>Sony A</v>
      </c>
      <c r="M1090" t="str">
        <f>'(Raw) LensesGH'!G1090</f>
        <v>APS-C</v>
      </c>
      <c r="N1090" t="str">
        <f>'(Raw) LensesGH'!H1090</f>
        <v>520g</v>
      </c>
      <c r="O1090" s="5">
        <f t="shared" si="151"/>
        <v>520</v>
      </c>
      <c r="P1090" t="str">
        <f>'(Raw) LensesGH'!I1090</f>
        <v>87.3 x 88.2mm</v>
      </c>
      <c r="Q1090" s="39">
        <f t="shared" si="152"/>
        <v>87.3</v>
      </c>
      <c r="R1090" s="39">
        <f t="shared" ref="R1090:R1153" si="153">getSizeLength(P1090)</f>
        <v>88.2</v>
      </c>
    </row>
    <row r="1091" spans="1:18" x14ac:dyDescent="0.25">
      <c r="A1091" t="str">
        <f>'(Raw) LensesGH'!A1091</f>
        <v>Sigma AF 10-20mm 4.0-5.6 EX DC für Sony A schwarz</v>
      </c>
      <c r="B1091" t="str">
        <f>'(Raw) LensesGH'!B1091</f>
        <v>10 - 20mm</v>
      </c>
      <c r="C1091" s="5">
        <f t="shared" ref="C1091:C1154" si="154">getFocalLengthStart(B1091)</f>
        <v>10</v>
      </c>
      <c r="D1091" s="5">
        <f t="shared" ref="D1091:D1154" si="155">getFocalLengthEnd(B1091)</f>
        <v>20</v>
      </c>
      <c r="E1091" t="str">
        <f>'(Raw) LensesGH'!C1091</f>
        <v>1:4.0-1:5.6</v>
      </c>
      <c r="F1091" s="9">
        <f t="shared" ref="F1091:F1154" si="156">getApertureStart(E1091)</f>
        <v>4</v>
      </c>
      <c r="G1091" s="9">
        <f t="shared" ref="G1091:G1154" si="157">getApertureEnd(F1091)</f>
        <v>4</v>
      </c>
      <c r="H1091" t="str">
        <f>'(Raw) LensesGH'!D1091</f>
        <v>77mm</v>
      </c>
      <c r="I1091" s="2">
        <f t="shared" ref="I1091:I1154" si="158">getFiltersizeAsDouble(H1091)</f>
        <v>77</v>
      </c>
      <c r="J1091" s="2" t="str">
        <f>'(Raw) LensesGH'!E1091</f>
        <v>1:6.70</v>
      </c>
      <c r="K1091" s="40">
        <f t="shared" ref="K1091:K1154" si="159">getMagnification(J1091)</f>
        <v>6.7</v>
      </c>
      <c r="L1091" t="str">
        <f>'(Raw) LensesGH'!F1091</f>
        <v>Sony A</v>
      </c>
      <c r="M1091" t="str">
        <f>'(Raw) LensesGH'!G1091</f>
        <v>APS-C</v>
      </c>
      <c r="N1091" t="str">
        <f>'(Raw) LensesGH'!H1091</f>
        <v>470g</v>
      </c>
      <c r="O1091" s="5">
        <f t="shared" ref="O1091:O1154" si="160">getWeightAsDouble(N1091)</f>
        <v>470</v>
      </c>
      <c r="P1091" t="str">
        <f>'(Raw) LensesGH'!I1091</f>
        <v>83.5 x 81mm</v>
      </c>
      <c r="Q1091" s="39">
        <f t="shared" ref="Q1091:Q1154" si="161">getSizeDiameter(P1091)</f>
        <v>83.5</v>
      </c>
      <c r="R1091" s="39">
        <f t="shared" si="153"/>
        <v>81</v>
      </c>
    </row>
    <row r="1092" spans="1:18" x14ac:dyDescent="0.25">
      <c r="A1092" t="str">
        <f>'(Raw) LensesGH'!A1092</f>
        <v>Sigma AF 10-20mm 4.0-5.6 EX DC HSM für Canon EF schwarz</v>
      </c>
      <c r="B1092" t="str">
        <f>'(Raw) LensesGH'!B1092</f>
        <v>10 - 20mm</v>
      </c>
      <c r="C1092" s="5">
        <f t="shared" si="154"/>
        <v>10</v>
      </c>
      <c r="D1092" s="5">
        <f t="shared" si="155"/>
        <v>20</v>
      </c>
      <c r="E1092" t="str">
        <f>'(Raw) LensesGH'!C1092</f>
        <v>1:4.0-1:5.6</v>
      </c>
      <c r="F1092" s="9">
        <f t="shared" si="156"/>
        <v>4</v>
      </c>
      <c r="G1092" s="9">
        <f t="shared" si="157"/>
        <v>4</v>
      </c>
      <c r="H1092" t="str">
        <f>'(Raw) LensesGH'!D1092</f>
        <v>77mm</v>
      </c>
      <c r="I1092" s="2">
        <f t="shared" si="158"/>
        <v>77</v>
      </c>
      <c r="J1092" s="2" t="str">
        <f>'(Raw) LensesGH'!E1092</f>
        <v>1:6.70</v>
      </c>
      <c r="K1092" s="40">
        <f t="shared" si="159"/>
        <v>6.7</v>
      </c>
      <c r="L1092" t="str">
        <f>'(Raw) LensesGH'!F1092</f>
        <v>Canon EF-S</v>
      </c>
      <c r="M1092" t="str">
        <f>'(Raw) LensesGH'!G1092</f>
        <v>APS-C</v>
      </c>
      <c r="N1092" t="str">
        <f>'(Raw) LensesGH'!H1092</f>
        <v>470g</v>
      </c>
      <c r="O1092" s="5">
        <f t="shared" si="160"/>
        <v>470</v>
      </c>
      <c r="P1092" t="str">
        <f>'(Raw) LensesGH'!I1092</f>
        <v>83.5 x 81mm</v>
      </c>
      <c r="Q1092" s="39">
        <f t="shared" si="161"/>
        <v>83.5</v>
      </c>
      <c r="R1092" s="39">
        <f t="shared" si="153"/>
        <v>81</v>
      </c>
    </row>
    <row r="1093" spans="1:18" x14ac:dyDescent="0.25">
      <c r="A1093" t="str">
        <f>'(Raw) LensesGH'!A1093</f>
        <v>Sigma AF 10-20mm 4.0-5.6 EX DC HSM für Nikon F schwarz</v>
      </c>
      <c r="B1093" t="str">
        <f>'(Raw) LensesGH'!B1093</f>
        <v>10 - 20mm</v>
      </c>
      <c r="C1093" s="5">
        <f t="shared" si="154"/>
        <v>10</v>
      </c>
      <c r="D1093" s="5">
        <f t="shared" si="155"/>
        <v>20</v>
      </c>
      <c r="E1093" t="str">
        <f>'(Raw) LensesGH'!C1093</f>
        <v>1:4.0-1:5.6</v>
      </c>
      <c r="F1093" s="9">
        <f t="shared" si="156"/>
        <v>4</v>
      </c>
      <c r="G1093" s="9">
        <f t="shared" si="157"/>
        <v>4</v>
      </c>
      <c r="H1093" t="str">
        <f>'(Raw) LensesGH'!D1093</f>
        <v>77mm</v>
      </c>
      <c r="I1093" s="2">
        <f t="shared" si="158"/>
        <v>77</v>
      </c>
      <c r="J1093" s="2" t="str">
        <f>'(Raw) LensesGH'!E1093</f>
        <v>1:6.70</v>
      </c>
      <c r="K1093" s="40">
        <f t="shared" si="159"/>
        <v>6.7</v>
      </c>
      <c r="L1093" t="str">
        <f>'(Raw) LensesGH'!F1093</f>
        <v>Nikon F</v>
      </c>
      <c r="M1093" t="str">
        <f>'(Raw) LensesGH'!G1093</f>
        <v>APS-C</v>
      </c>
      <c r="N1093" t="str">
        <f>'(Raw) LensesGH'!H1093</f>
        <v>470g</v>
      </c>
      <c r="O1093" s="5">
        <f t="shared" si="160"/>
        <v>470</v>
      </c>
      <c r="P1093" t="str">
        <f>'(Raw) LensesGH'!I1093</f>
        <v>83.5 x 81mm</v>
      </c>
      <c r="Q1093" s="39">
        <f t="shared" si="161"/>
        <v>83.5</v>
      </c>
      <c r="R1093" s="39">
        <f t="shared" si="153"/>
        <v>81</v>
      </c>
    </row>
    <row r="1094" spans="1:18" x14ac:dyDescent="0.25">
      <c r="A1094" t="str">
        <f>'(Raw) LensesGH'!A1094</f>
        <v>Sigma AF 105mm 2.8 EX DG OS HSM Makro für Canon EF schwarz</v>
      </c>
      <c r="B1094" t="str">
        <f>'(Raw) LensesGH'!B1094</f>
        <v>105mm</v>
      </c>
      <c r="C1094" s="5">
        <f t="shared" si="154"/>
        <v>105</v>
      </c>
      <c r="D1094" s="5">
        <f t="shared" si="155"/>
        <v>105</v>
      </c>
      <c r="E1094" t="str">
        <f>'(Raw) LensesGH'!C1094</f>
        <v>1:2.8</v>
      </c>
      <c r="F1094" s="9">
        <f t="shared" si="156"/>
        <v>2.8</v>
      </c>
      <c r="G1094" s="9">
        <f t="shared" si="157"/>
        <v>2.8</v>
      </c>
      <c r="H1094" t="str">
        <f>'(Raw) LensesGH'!D1094</f>
        <v>62mm</v>
      </c>
      <c r="I1094" s="2">
        <f t="shared" si="158"/>
        <v>62</v>
      </c>
      <c r="J1094" s="2" t="str">
        <f>'(Raw) LensesGH'!E1094</f>
        <v>1:1.00</v>
      </c>
      <c r="K1094" s="40">
        <f t="shared" si="159"/>
        <v>1</v>
      </c>
      <c r="L1094" t="str">
        <f>'(Raw) LensesGH'!F1094</f>
        <v>Canon EF</v>
      </c>
      <c r="M1094" t="str">
        <f>'(Raw) LensesGH'!G1094</f>
        <v>APS-C/ Kleinbild</v>
      </c>
      <c r="N1094" t="str">
        <f>'(Raw) LensesGH'!H1094</f>
        <v>725g</v>
      </c>
      <c r="O1094" s="5">
        <f t="shared" si="160"/>
        <v>725</v>
      </c>
      <c r="P1094" t="str">
        <f>'(Raw) LensesGH'!I1094</f>
        <v>78.3 x 126.4mm</v>
      </c>
      <c r="Q1094" s="39">
        <f t="shared" si="161"/>
        <v>78.3</v>
      </c>
      <c r="R1094" s="39">
        <f t="shared" si="153"/>
        <v>126.4</v>
      </c>
    </row>
    <row r="1095" spans="1:18" x14ac:dyDescent="0.25">
      <c r="A1095" t="str">
        <f>'(Raw) LensesGH'!A1095</f>
        <v>Sigma AF 105mm 2.8 EX DG OS HSM Makro für Nikon F schwarz</v>
      </c>
      <c r="B1095" t="str">
        <f>'(Raw) LensesGH'!B1095</f>
        <v>105mm</v>
      </c>
      <c r="C1095" s="5">
        <f t="shared" si="154"/>
        <v>105</v>
      </c>
      <c r="D1095" s="5">
        <f t="shared" si="155"/>
        <v>105</v>
      </c>
      <c r="E1095" t="str">
        <f>'(Raw) LensesGH'!C1095</f>
        <v>1:2.8</v>
      </c>
      <c r="F1095" s="9">
        <f t="shared" si="156"/>
        <v>2.8</v>
      </c>
      <c r="G1095" s="9">
        <f t="shared" si="157"/>
        <v>2.8</v>
      </c>
      <c r="H1095" t="str">
        <f>'(Raw) LensesGH'!D1095</f>
        <v>62mm</v>
      </c>
      <c r="I1095" s="2">
        <f t="shared" si="158"/>
        <v>62</v>
      </c>
      <c r="J1095" s="2" t="str">
        <f>'(Raw) LensesGH'!E1095</f>
        <v>1:1.00</v>
      </c>
      <c r="K1095" s="40">
        <f t="shared" si="159"/>
        <v>1</v>
      </c>
      <c r="L1095" t="str">
        <f>'(Raw) LensesGH'!F1095</f>
        <v>Nikon F</v>
      </c>
      <c r="M1095" t="str">
        <f>'(Raw) LensesGH'!G1095</f>
        <v>APS-C/ Kleinbild</v>
      </c>
      <c r="N1095" t="str">
        <f>'(Raw) LensesGH'!H1095</f>
        <v>725g</v>
      </c>
      <c r="O1095" s="5">
        <f t="shared" si="160"/>
        <v>725</v>
      </c>
      <c r="P1095" t="str">
        <f>'(Raw) LensesGH'!I1095</f>
        <v>78.3 x 126.4mm</v>
      </c>
      <c r="Q1095" s="39">
        <f t="shared" si="161"/>
        <v>78.3</v>
      </c>
      <c r="R1095" s="39">
        <f t="shared" si="153"/>
        <v>126.4</v>
      </c>
    </row>
    <row r="1096" spans="1:18" x14ac:dyDescent="0.25">
      <c r="A1096" t="str">
        <f>'(Raw) LensesGH'!A1096</f>
        <v>Sigma AF 105mm 2.8 EX DG OS HSM Makro für Sigma schwarz</v>
      </c>
      <c r="B1096" t="str">
        <f>'(Raw) LensesGH'!B1096</f>
        <v>105mm</v>
      </c>
      <c r="C1096" s="5">
        <f t="shared" si="154"/>
        <v>105</v>
      </c>
      <c r="D1096" s="5">
        <f t="shared" si="155"/>
        <v>105</v>
      </c>
      <c r="E1096" t="str">
        <f>'(Raw) LensesGH'!C1096</f>
        <v>1:2.8</v>
      </c>
      <c r="F1096" s="9">
        <f t="shared" si="156"/>
        <v>2.8</v>
      </c>
      <c r="G1096" s="9">
        <f t="shared" si="157"/>
        <v>2.8</v>
      </c>
      <c r="H1096" t="str">
        <f>'(Raw) LensesGH'!D1096</f>
        <v>62mm</v>
      </c>
      <c r="I1096" s="2">
        <f t="shared" si="158"/>
        <v>62</v>
      </c>
      <c r="J1096" s="2" t="str">
        <f>'(Raw) LensesGH'!E1096</f>
        <v>1:1.00</v>
      </c>
      <c r="K1096" s="40">
        <f t="shared" si="159"/>
        <v>1</v>
      </c>
      <c r="L1096" t="str">
        <f>'(Raw) LensesGH'!F1096</f>
        <v>Sigma SA</v>
      </c>
      <c r="M1096" t="str">
        <f>'(Raw) LensesGH'!G1096</f>
        <v>APS-C</v>
      </c>
      <c r="N1096" t="str">
        <f>'(Raw) LensesGH'!H1096</f>
        <v>725g</v>
      </c>
      <c r="O1096" s="5">
        <f t="shared" si="160"/>
        <v>725</v>
      </c>
      <c r="P1096" t="str">
        <f>'(Raw) LensesGH'!I1096</f>
        <v>78.3 x 126.4mm</v>
      </c>
      <c r="Q1096" s="39">
        <f t="shared" si="161"/>
        <v>78.3</v>
      </c>
      <c r="R1096" s="39">
        <f t="shared" si="153"/>
        <v>126.4</v>
      </c>
    </row>
    <row r="1097" spans="1:18" x14ac:dyDescent="0.25">
      <c r="A1097" t="str">
        <f>'(Raw) LensesGH'!A1097</f>
        <v>Sigma AF 105mm 2.8 EX DG OS HSM Makro für Sony A schwarz</v>
      </c>
      <c r="B1097" t="str">
        <f>'(Raw) LensesGH'!B1097</f>
        <v>105mm</v>
      </c>
      <c r="C1097" s="5">
        <f t="shared" si="154"/>
        <v>105</v>
      </c>
      <c r="D1097" s="5">
        <f t="shared" si="155"/>
        <v>105</v>
      </c>
      <c r="E1097" t="str">
        <f>'(Raw) LensesGH'!C1097</f>
        <v>1:2.8</v>
      </c>
      <c r="F1097" s="9">
        <f t="shared" si="156"/>
        <v>2.8</v>
      </c>
      <c r="G1097" s="9">
        <f t="shared" si="157"/>
        <v>2.8</v>
      </c>
      <c r="H1097" t="str">
        <f>'(Raw) LensesGH'!D1097</f>
        <v>62mm</v>
      </c>
      <c r="I1097" s="2">
        <f t="shared" si="158"/>
        <v>62</v>
      </c>
      <c r="J1097" s="2" t="str">
        <f>'(Raw) LensesGH'!E1097</f>
        <v>1:1.00</v>
      </c>
      <c r="K1097" s="40">
        <f t="shared" si="159"/>
        <v>1</v>
      </c>
      <c r="L1097" t="str">
        <f>'(Raw) LensesGH'!F1097</f>
        <v>Sony A</v>
      </c>
      <c r="M1097" t="str">
        <f>'(Raw) LensesGH'!G1097</f>
        <v>APS-C/ Kleinbild</v>
      </c>
      <c r="N1097" t="str">
        <f>'(Raw) LensesGH'!H1097</f>
        <v>725g</v>
      </c>
      <c r="O1097" s="5">
        <f t="shared" si="160"/>
        <v>725</v>
      </c>
      <c r="P1097" t="str">
        <f>'(Raw) LensesGH'!I1097</f>
        <v>78.3 x 126.4mm</v>
      </c>
      <c r="Q1097" s="39">
        <f t="shared" si="161"/>
        <v>78.3</v>
      </c>
      <c r="R1097" s="39">
        <f t="shared" si="153"/>
        <v>126.4</v>
      </c>
    </row>
    <row r="1098" spans="1:18" x14ac:dyDescent="0.25">
      <c r="A1098" t="str">
        <f>'(Raw) LensesGH'!A1098</f>
        <v>Sigma AF 10mm 2.8 EX DC Diagonal Fisheye für Pentax K schwarz</v>
      </c>
      <c r="B1098" t="str">
        <f>'(Raw) LensesGH'!B1098</f>
        <v>10mm</v>
      </c>
      <c r="C1098" s="5">
        <f t="shared" si="154"/>
        <v>10</v>
      </c>
      <c r="D1098" s="5">
        <f t="shared" si="155"/>
        <v>10</v>
      </c>
      <c r="E1098" t="str">
        <f>'(Raw) LensesGH'!C1098</f>
        <v>1:2.8</v>
      </c>
      <c r="F1098" s="9">
        <f t="shared" si="156"/>
        <v>2.8</v>
      </c>
      <c r="G1098" s="9">
        <f t="shared" si="157"/>
        <v>2.8</v>
      </c>
      <c r="H1098">
        <f>'(Raw) LensesGH'!D1098</f>
        <v>0</v>
      </c>
      <c r="I1098" s="2">
        <f t="shared" si="158"/>
        <v>0</v>
      </c>
      <c r="J1098" s="2" t="str">
        <f>'(Raw) LensesGH'!E1098</f>
        <v>1:3.30</v>
      </c>
      <c r="K1098" s="40">
        <f t="shared" si="159"/>
        <v>3.3</v>
      </c>
      <c r="L1098" t="str">
        <f>'(Raw) LensesGH'!F1098</f>
        <v>Pentax K</v>
      </c>
      <c r="M1098" t="str">
        <f>'(Raw) LensesGH'!G1098</f>
        <v>APS-C</v>
      </c>
      <c r="N1098">
        <f>'(Raw) LensesGH'!H1098</f>
        <v>0</v>
      </c>
      <c r="O1098" s="5">
        <f t="shared" si="160"/>
        <v>0</v>
      </c>
      <c r="P1098" t="str">
        <f>'(Raw) LensesGH'!I1098</f>
        <v>75.8 x 83.1mm</v>
      </c>
      <c r="Q1098" s="39">
        <f t="shared" si="161"/>
        <v>75.8</v>
      </c>
      <c r="R1098" s="39">
        <f t="shared" si="153"/>
        <v>83.1</v>
      </c>
    </row>
    <row r="1099" spans="1:18" x14ac:dyDescent="0.25">
      <c r="A1099" t="str">
        <f>'(Raw) LensesGH'!A1099</f>
        <v>Sigma AF 10mm 2.8 EX DC Diagonal Fisheye für Sony A schwarz</v>
      </c>
      <c r="B1099" t="str">
        <f>'(Raw) LensesGH'!B1099</f>
        <v>10mm</v>
      </c>
      <c r="C1099" s="5">
        <f t="shared" si="154"/>
        <v>10</v>
      </c>
      <c r="D1099" s="5">
        <f t="shared" si="155"/>
        <v>10</v>
      </c>
      <c r="E1099" t="str">
        <f>'(Raw) LensesGH'!C1099</f>
        <v>1:2.8</v>
      </c>
      <c r="F1099" s="9">
        <f t="shared" si="156"/>
        <v>2.8</v>
      </c>
      <c r="G1099" s="9">
        <f t="shared" si="157"/>
        <v>2.8</v>
      </c>
      <c r="H1099">
        <f>'(Raw) LensesGH'!D1099</f>
        <v>0</v>
      </c>
      <c r="I1099" s="2">
        <f t="shared" si="158"/>
        <v>0</v>
      </c>
      <c r="J1099" s="2" t="str">
        <f>'(Raw) LensesGH'!E1099</f>
        <v>1:3.30</v>
      </c>
      <c r="K1099" s="40">
        <f t="shared" si="159"/>
        <v>3.3</v>
      </c>
      <c r="L1099" t="str">
        <f>'(Raw) LensesGH'!F1099</f>
        <v>Sony A</v>
      </c>
      <c r="M1099" t="str">
        <f>'(Raw) LensesGH'!G1099</f>
        <v>APS-C</v>
      </c>
      <c r="N1099">
        <f>'(Raw) LensesGH'!H1099</f>
        <v>0</v>
      </c>
      <c r="O1099" s="5">
        <f t="shared" si="160"/>
        <v>0</v>
      </c>
      <c r="P1099" t="str">
        <f>'(Raw) LensesGH'!I1099</f>
        <v>75.8 x 83.1mm</v>
      </c>
      <c r="Q1099" s="39">
        <f t="shared" si="161"/>
        <v>75.8</v>
      </c>
      <c r="R1099" s="39">
        <f t="shared" si="153"/>
        <v>83.1</v>
      </c>
    </row>
    <row r="1100" spans="1:18" x14ac:dyDescent="0.25">
      <c r="A1100" t="str">
        <f>'(Raw) LensesGH'!A1100</f>
        <v>Sigma AF 10mm 2.8 EX DC HSM Diagonal Fisheye für Canon EF schwarz</v>
      </c>
      <c r="B1100" t="str">
        <f>'(Raw) LensesGH'!B1100</f>
        <v>10mm</v>
      </c>
      <c r="C1100" s="5">
        <f t="shared" si="154"/>
        <v>10</v>
      </c>
      <c r="D1100" s="5">
        <f t="shared" si="155"/>
        <v>10</v>
      </c>
      <c r="E1100" t="str">
        <f>'(Raw) LensesGH'!C1100</f>
        <v>1:2.8</v>
      </c>
      <c r="F1100" s="9">
        <f t="shared" si="156"/>
        <v>2.8</v>
      </c>
      <c r="G1100" s="9">
        <f t="shared" si="157"/>
        <v>2.8</v>
      </c>
      <c r="H1100">
        <f>'(Raw) LensesGH'!D1100</f>
        <v>0</v>
      </c>
      <c r="I1100" s="2">
        <f t="shared" si="158"/>
        <v>0</v>
      </c>
      <c r="J1100" s="2" t="str">
        <f>'(Raw) LensesGH'!E1100</f>
        <v>1:3.30</v>
      </c>
      <c r="K1100" s="40">
        <f t="shared" si="159"/>
        <v>3.3</v>
      </c>
      <c r="L1100" t="str">
        <f>'(Raw) LensesGH'!F1100</f>
        <v>Canon EF-S</v>
      </c>
      <c r="M1100" t="str">
        <f>'(Raw) LensesGH'!G1100</f>
        <v>APS-C</v>
      </c>
      <c r="N1100">
        <f>'(Raw) LensesGH'!H1100</f>
        <v>0</v>
      </c>
      <c r="O1100" s="5">
        <f t="shared" si="160"/>
        <v>0</v>
      </c>
      <c r="P1100" t="str">
        <f>'(Raw) LensesGH'!I1100</f>
        <v>75.8 x 83.1mm</v>
      </c>
      <c r="Q1100" s="39">
        <f t="shared" si="161"/>
        <v>75.8</v>
      </c>
      <c r="R1100" s="39">
        <f t="shared" si="153"/>
        <v>83.1</v>
      </c>
    </row>
    <row r="1101" spans="1:18" x14ac:dyDescent="0.25">
      <c r="A1101" t="str">
        <f>'(Raw) LensesGH'!A1101</f>
        <v>Sigma AF 10mm 2.8 EX DC HSM Diagonal Fisheye für Nikon F schwarz</v>
      </c>
      <c r="B1101" t="str">
        <f>'(Raw) LensesGH'!B1101</f>
        <v>10mm</v>
      </c>
      <c r="C1101" s="5">
        <f t="shared" si="154"/>
        <v>10</v>
      </c>
      <c r="D1101" s="5">
        <f t="shared" si="155"/>
        <v>10</v>
      </c>
      <c r="E1101" t="str">
        <f>'(Raw) LensesGH'!C1101</f>
        <v>1:2.8</v>
      </c>
      <c r="F1101" s="9">
        <f t="shared" si="156"/>
        <v>2.8</v>
      </c>
      <c r="G1101" s="9">
        <f t="shared" si="157"/>
        <v>2.8</v>
      </c>
      <c r="H1101">
        <f>'(Raw) LensesGH'!D1101</f>
        <v>0</v>
      </c>
      <c r="I1101" s="2">
        <f t="shared" si="158"/>
        <v>0</v>
      </c>
      <c r="J1101" s="2" t="str">
        <f>'(Raw) LensesGH'!E1101</f>
        <v>1:3.30</v>
      </c>
      <c r="K1101" s="40">
        <f t="shared" si="159"/>
        <v>3.3</v>
      </c>
      <c r="L1101" t="str">
        <f>'(Raw) LensesGH'!F1101</f>
        <v>Nikon F</v>
      </c>
      <c r="M1101" t="str">
        <f>'(Raw) LensesGH'!G1101</f>
        <v>APS-C</v>
      </c>
      <c r="N1101">
        <f>'(Raw) LensesGH'!H1101</f>
        <v>0</v>
      </c>
      <c r="O1101" s="5">
        <f t="shared" si="160"/>
        <v>0</v>
      </c>
      <c r="P1101" t="str">
        <f>'(Raw) LensesGH'!I1101</f>
        <v>75.8 x 83.1mm</v>
      </c>
      <c r="Q1101" s="39">
        <f t="shared" si="161"/>
        <v>75.8</v>
      </c>
      <c r="R1101" s="39">
        <f t="shared" si="153"/>
        <v>83.1</v>
      </c>
    </row>
    <row r="1102" spans="1:18" x14ac:dyDescent="0.25">
      <c r="A1102" t="str">
        <f>'(Raw) LensesGH'!A1102</f>
        <v>Sigma AF 10mm 2.8 EX DC HSM Diagonal Fisheye für Sigma schwarz</v>
      </c>
      <c r="B1102" t="str">
        <f>'(Raw) LensesGH'!B1102</f>
        <v>10mm</v>
      </c>
      <c r="C1102" s="5">
        <f t="shared" si="154"/>
        <v>10</v>
      </c>
      <c r="D1102" s="5">
        <f t="shared" si="155"/>
        <v>10</v>
      </c>
      <c r="E1102" t="str">
        <f>'(Raw) LensesGH'!C1102</f>
        <v>1:2.8</v>
      </c>
      <c r="F1102" s="9">
        <f t="shared" si="156"/>
        <v>2.8</v>
      </c>
      <c r="G1102" s="9">
        <f t="shared" si="157"/>
        <v>2.8</v>
      </c>
      <c r="H1102">
        <f>'(Raw) LensesGH'!D1102</f>
        <v>0</v>
      </c>
      <c r="I1102" s="2">
        <f t="shared" si="158"/>
        <v>0</v>
      </c>
      <c r="J1102" s="2" t="str">
        <f>'(Raw) LensesGH'!E1102</f>
        <v>1:3.30</v>
      </c>
      <c r="K1102" s="40">
        <f t="shared" si="159"/>
        <v>3.3</v>
      </c>
      <c r="L1102" t="str">
        <f>'(Raw) LensesGH'!F1102</f>
        <v>Sigma SA</v>
      </c>
      <c r="M1102" t="str">
        <f>'(Raw) LensesGH'!G1102</f>
        <v>APS-C</v>
      </c>
      <c r="N1102">
        <f>'(Raw) LensesGH'!H1102</f>
        <v>0</v>
      </c>
      <c r="O1102" s="5">
        <f t="shared" si="160"/>
        <v>0</v>
      </c>
      <c r="P1102" t="str">
        <f>'(Raw) LensesGH'!I1102</f>
        <v>75.8 x 83.1mm</v>
      </c>
      <c r="Q1102" s="39">
        <f t="shared" si="161"/>
        <v>75.8</v>
      </c>
      <c r="R1102" s="39">
        <f t="shared" si="153"/>
        <v>83.1</v>
      </c>
    </row>
    <row r="1103" spans="1:18" x14ac:dyDescent="0.25">
      <c r="A1103" t="str">
        <f>'(Raw) LensesGH'!A1103</f>
        <v>Sigma AF 120-300mm 2.8 EX DG APO HSM OS für Canon EF schwarz</v>
      </c>
      <c r="B1103" t="str">
        <f>'(Raw) LensesGH'!B1103</f>
        <v>120 - 300mm</v>
      </c>
      <c r="C1103" s="5">
        <f t="shared" si="154"/>
        <v>120</v>
      </c>
      <c r="D1103" s="5">
        <f t="shared" si="155"/>
        <v>300</v>
      </c>
      <c r="E1103" t="str">
        <f>'(Raw) LensesGH'!C1103</f>
        <v>1:2.8</v>
      </c>
      <c r="F1103" s="9">
        <f t="shared" si="156"/>
        <v>2.8</v>
      </c>
      <c r="G1103" s="9">
        <f t="shared" si="157"/>
        <v>2.8</v>
      </c>
      <c r="H1103" t="str">
        <f>'(Raw) LensesGH'!D1103</f>
        <v>105mm</v>
      </c>
      <c r="I1103" s="2">
        <f t="shared" si="158"/>
        <v>105</v>
      </c>
      <c r="J1103" s="2" t="str">
        <f>'(Raw) LensesGH'!E1103</f>
        <v>1:8.10</v>
      </c>
      <c r="K1103" s="40">
        <f t="shared" si="159"/>
        <v>8.1</v>
      </c>
      <c r="L1103" t="str">
        <f>'(Raw) LensesGH'!F1103</f>
        <v>Canon EF</v>
      </c>
      <c r="M1103" t="str">
        <f>'(Raw) LensesGH'!G1103</f>
        <v>APS-C/ Kleinbild</v>
      </c>
      <c r="N1103" t="str">
        <f>'(Raw) LensesGH'!H1103</f>
        <v>2980g</v>
      </c>
      <c r="O1103" s="5">
        <f t="shared" si="160"/>
        <v>2980</v>
      </c>
      <c r="P1103" t="str">
        <f>'(Raw) LensesGH'!I1103</f>
        <v>114.4 x 289.2mm</v>
      </c>
      <c r="Q1103" s="39">
        <f t="shared" si="161"/>
        <v>114.4</v>
      </c>
      <c r="R1103" s="39">
        <f t="shared" si="153"/>
        <v>289.2</v>
      </c>
    </row>
    <row r="1104" spans="1:18" x14ac:dyDescent="0.25">
      <c r="A1104" t="str">
        <f>'(Raw) LensesGH'!A1104</f>
        <v>Sigma AF 120-400mm 4.5-5.6 DG APO HSM OS für Sigma schwarz</v>
      </c>
      <c r="B1104" t="str">
        <f>'(Raw) LensesGH'!B1104</f>
        <v>120 - 400mm</v>
      </c>
      <c r="C1104" s="5">
        <f t="shared" si="154"/>
        <v>120</v>
      </c>
      <c r="D1104" s="5">
        <f t="shared" si="155"/>
        <v>400</v>
      </c>
      <c r="E1104" t="str">
        <f>'(Raw) LensesGH'!C1104</f>
        <v>1:4.5-1:5.6</v>
      </c>
      <c r="F1104" s="9">
        <f t="shared" si="156"/>
        <v>4.5</v>
      </c>
      <c r="G1104" s="9">
        <f t="shared" si="157"/>
        <v>4.5</v>
      </c>
      <c r="H1104" t="str">
        <f>'(Raw) LensesGH'!D1104</f>
        <v>77mm</v>
      </c>
      <c r="I1104" s="2">
        <f t="shared" si="158"/>
        <v>77</v>
      </c>
      <c r="J1104" s="2" t="str">
        <f>'(Raw) LensesGH'!E1104</f>
        <v>1:4.20</v>
      </c>
      <c r="K1104" s="40">
        <f t="shared" si="159"/>
        <v>4.2</v>
      </c>
      <c r="L1104" t="str">
        <f>'(Raw) LensesGH'!F1104</f>
        <v>Sigma SA</v>
      </c>
      <c r="M1104" t="str">
        <f>'(Raw) LensesGH'!G1104</f>
        <v>APS-C</v>
      </c>
      <c r="N1104" t="str">
        <f>'(Raw) LensesGH'!H1104</f>
        <v>1750g</v>
      </c>
      <c r="O1104" s="5">
        <f t="shared" si="160"/>
        <v>1750</v>
      </c>
      <c r="P1104" t="str">
        <f>'(Raw) LensesGH'!I1104</f>
        <v>92 x 203.5mm</v>
      </c>
      <c r="Q1104" s="39">
        <f t="shared" si="161"/>
        <v>92</v>
      </c>
      <c r="R1104" s="39">
        <f t="shared" si="153"/>
        <v>203.5</v>
      </c>
    </row>
    <row r="1105" spans="1:18" x14ac:dyDescent="0.25">
      <c r="A1105" t="str">
        <f>'(Raw) LensesGH'!A1105</f>
        <v>Sigma AF 120-400mm 4.5-5.6 DG APO HSM OS für Sony A schwarz</v>
      </c>
      <c r="B1105" t="str">
        <f>'(Raw) LensesGH'!B1105</f>
        <v>120 - 400mm</v>
      </c>
      <c r="C1105" s="5">
        <f t="shared" si="154"/>
        <v>120</v>
      </c>
      <c r="D1105" s="5">
        <f t="shared" si="155"/>
        <v>400</v>
      </c>
      <c r="E1105" t="str">
        <f>'(Raw) LensesGH'!C1105</f>
        <v>1:4.5-1:5.6</v>
      </c>
      <c r="F1105" s="9">
        <f t="shared" si="156"/>
        <v>4.5</v>
      </c>
      <c r="G1105" s="9">
        <f t="shared" si="157"/>
        <v>4.5</v>
      </c>
      <c r="H1105" t="str">
        <f>'(Raw) LensesGH'!D1105</f>
        <v>77mm</v>
      </c>
      <c r="I1105" s="2">
        <f t="shared" si="158"/>
        <v>77</v>
      </c>
      <c r="J1105" s="2" t="str">
        <f>'(Raw) LensesGH'!E1105</f>
        <v>1:4.20</v>
      </c>
      <c r="K1105" s="40">
        <f t="shared" si="159"/>
        <v>4.2</v>
      </c>
      <c r="L1105" t="str">
        <f>'(Raw) LensesGH'!F1105</f>
        <v>Sony A</v>
      </c>
      <c r="M1105" t="str">
        <f>'(Raw) LensesGH'!G1105</f>
        <v>APS-C/ Kleinbild</v>
      </c>
      <c r="N1105" t="str">
        <f>'(Raw) LensesGH'!H1105</f>
        <v>1750g</v>
      </c>
      <c r="O1105" s="5">
        <f t="shared" si="160"/>
        <v>1750</v>
      </c>
      <c r="P1105" t="str">
        <f>'(Raw) LensesGH'!I1105</f>
        <v>92 x 203.5mm</v>
      </c>
      <c r="Q1105" s="39">
        <f t="shared" si="161"/>
        <v>92</v>
      </c>
      <c r="R1105" s="39">
        <f t="shared" si="153"/>
        <v>203.5</v>
      </c>
    </row>
    <row r="1106" spans="1:18" x14ac:dyDescent="0.25">
      <c r="A1106" t="str">
        <f>'(Raw) LensesGH'!A1106</f>
        <v>Sigma AF 12-24mm 4.5-5.6 EX DG Asp HSM IF für Canon EF schwarz</v>
      </c>
      <c r="B1106" t="str">
        <f>'(Raw) LensesGH'!B1106</f>
        <v>12 - 24mm</v>
      </c>
      <c r="C1106" s="5">
        <f t="shared" si="154"/>
        <v>12</v>
      </c>
      <c r="D1106" s="5">
        <f t="shared" si="155"/>
        <v>24</v>
      </c>
      <c r="E1106" t="str">
        <f>'(Raw) LensesGH'!C1106</f>
        <v>1:4.5-1:5.6</v>
      </c>
      <c r="F1106" s="9">
        <f t="shared" si="156"/>
        <v>4.5</v>
      </c>
      <c r="G1106" s="9">
        <f t="shared" si="157"/>
        <v>4.5</v>
      </c>
      <c r="H1106">
        <f>'(Raw) LensesGH'!D1106</f>
        <v>0</v>
      </c>
      <c r="I1106" s="2">
        <f t="shared" si="158"/>
        <v>0</v>
      </c>
      <c r="J1106" s="2" t="str">
        <f>'(Raw) LensesGH'!E1106</f>
        <v>1:7.14</v>
      </c>
      <c r="K1106" s="40">
        <f t="shared" si="159"/>
        <v>7.14</v>
      </c>
      <c r="L1106" t="str">
        <f>'(Raw) LensesGH'!F1106</f>
        <v>Canon EF</v>
      </c>
      <c r="M1106" t="str">
        <f>'(Raw) LensesGH'!G1106</f>
        <v>APS-C/ Kleinbild</v>
      </c>
      <c r="N1106" t="str">
        <f>'(Raw) LensesGH'!H1106</f>
        <v>615g</v>
      </c>
      <c r="O1106" s="5">
        <f t="shared" si="160"/>
        <v>615</v>
      </c>
      <c r="P1106" t="str">
        <f>'(Raw) LensesGH'!I1106</f>
        <v>87 x 100mm</v>
      </c>
      <c r="Q1106" s="39">
        <f t="shared" si="161"/>
        <v>87</v>
      </c>
      <c r="R1106" s="39">
        <f t="shared" si="153"/>
        <v>100</v>
      </c>
    </row>
    <row r="1107" spans="1:18" x14ac:dyDescent="0.25">
      <c r="A1107" t="str">
        <f>'(Raw) LensesGH'!A1107</f>
        <v>Sigma AF 12-24mm 4.5-5.6 II DG HSM für Canon EF schwarz</v>
      </c>
      <c r="B1107" t="str">
        <f>'(Raw) LensesGH'!B1107</f>
        <v>12 - 24mm</v>
      </c>
      <c r="C1107" s="5">
        <f t="shared" si="154"/>
        <v>12</v>
      </c>
      <c r="D1107" s="5">
        <f t="shared" si="155"/>
        <v>24</v>
      </c>
      <c r="E1107" t="str">
        <f>'(Raw) LensesGH'!C1107</f>
        <v>1:4.5-1:5.6</v>
      </c>
      <c r="F1107" s="9">
        <f t="shared" si="156"/>
        <v>4.5</v>
      </c>
      <c r="G1107" s="9">
        <f t="shared" si="157"/>
        <v>4.5</v>
      </c>
      <c r="H1107">
        <f>'(Raw) LensesGH'!D1107</f>
        <v>0</v>
      </c>
      <c r="I1107" s="2">
        <f t="shared" si="158"/>
        <v>0</v>
      </c>
      <c r="J1107" s="2" t="str">
        <f>'(Raw) LensesGH'!E1107</f>
        <v>1:6.40</v>
      </c>
      <c r="K1107" s="40">
        <f t="shared" si="159"/>
        <v>6.4</v>
      </c>
      <c r="L1107" t="str">
        <f>'(Raw) LensesGH'!F1107</f>
        <v>Canon EF</v>
      </c>
      <c r="M1107" t="str">
        <f>'(Raw) LensesGH'!G1107</f>
        <v>APS-C/ Kleinbild</v>
      </c>
      <c r="N1107" t="str">
        <f>'(Raw) LensesGH'!H1107</f>
        <v>670g</v>
      </c>
      <c r="O1107" s="5">
        <f t="shared" si="160"/>
        <v>670</v>
      </c>
      <c r="P1107" t="str">
        <f>'(Raw) LensesGH'!I1107</f>
        <v>87 x 120.2mm</v>
      </c>
      <c r="Q1107" s="39">
        <f t="shared" si="161"/>
        <v>87</v>
      </c>
      <c r="R1107" s="39">
        <f t="shared" si="153"/>
        <v>120.2</v>
      </c>
    </row>
    <row r="1108" spans="1:18" x14ac:dyDescent="0.25">
      <c r="A1108" t="str">
        <f>'(Raw) LensesGH'!A1108</f>
        <v>Sigma AF 12-24mm 4.5-5.6 II DG HSM für Nikon F schwarz</v>
      </c>
      <c r="B1108" t="str">
        <f>'(Raw) LensesGH'!B1108</f>
        <v>12 - 24mm</v>
      </c>
      <c r="C1108" s="5">
        <f t="shared" si="154"/>
        <v>12</v>
      </c>
      <c r="D1108" s="5">
        <f t="shared" si="155"/>
        <v>24</v>
      </c>
      <c r="E1108" t="str">
        <f>'(Raw) LensesGH'!C1108</f>
        <v>1:4.5-1:5.6</v>
      </c>
      <c r="F1108" s="9">
        <f t="shared" si="156"/>
        <v>4.5</v>
      </c>
      <c r="G1108" s="9">
        <f t="shared" si="157"/>
        <v>4.5</v>
      </c>
      <c r="H1108">
        <f>'(Raw) LensesGH'!D1108</f>
        <v>0</v>
      </c>
      <c r="I1108" s="2">
        <f t="shared" si="158"/>
        <v>0</v>
      </c>
      <c r="J1108" s="2" t="str">
        <f>'(Raw) LensesGH'!E1108</f>
        <v>1:6.40</v>
      </c>
      <c r="K1108" s="40">
        <f t="shared" si="159"/>
        <v>6.4</v>
      </c>
      <c r="L1108" t="str">
        <f>'(Raw) LensesGH'!F1108</f>
        <v>Nikon F</v>
      </c>
      <c r="M1108" t="str">
        <f>'(Raw) LensesGH'!G1108</f>
        <v>APS-C/ Kleinbild</v>
      </c>
      <c r="N1108" t="str">
        <f>'(Raw) LensesGH'!H1108</f>
        <v>670g</v>
      </c>
      <c r="O1108" s="5">
        <f t="shared" si="160"/>
        <v>670</v>
      </c>
      <c r="P1108" t="str">
        <f>'(Raw) LensesGH'!I1108</f>
        <v>87 x 120.2mm</v>
      </c>
      <c r="Q1108" s="39">
        <f t="shared" si="161"/>
        <v>87</v>
      </c>
      <c r="R1108" s="39">
        <f t="shared" si="153"/>
        <v>120.2</v>
      </c>
    </row>
    <row r="1109" spans="1:18" x14ac:dyDescent="0.25">
      <c r="A1109" t="str">
        <f>'(Raw) LensesGH'!A1109</f>
        <v>Sigma AF 12-24mm 4.5-5.6 II DG HSM für Sigma schwarz</v>
      </c>
      <c r="B1109" t="str">
        <f>'(Raw) LensesGH'!B1109</f>
        <v>12 - 24mm</v>
      </c>
      <c r="C1109" s="5">
        <f t="shared" si="154"/>
        <v>12</v>
      </c>
      <c r="D1109" s="5">
        <f t="shared" si="155"/>
        <v>24</v>
      </c>
      <c r="E1109" t="str">
        <f>'(Raw) LensesGH'!C1109</f>
        <v>1:4.5-1:5.6</v>
      </c>
      <c r="F1109" s="9">
        <f t="shared" si="156"/>
        <v>4.5</v>
      </c>
      <c r="G1109" s="9">
        <f t="shared" si="157"/>
        <v>4.5</v>
      </c>
      <c r="H1109">
        <f>'(Raw) LensesGH'!D1109</f>
        <v>0</v>
      </c>
      <c r="I1109" s="2">
        <f t="shared" si="158"/>
        <v>0</v>
      </c>
      <c r="J1109" s="2" t="str">
        <f>'(Raw) LensesGH'!E1109</f>
        <v>1:6.40</v>
      </c>
      <c r="K1109" s="40">
        <f t="shared" si="159"/>
        <v>6.4</v>
      </c>
      <c r="L1109" t="str">
        <f>'(Raw) LensesGH'!F1109</f>
        <v>Sigma SA</v>
      </c>
      <c r="M1109" t="str">
        <f>'(Raw) LensesGH'!G1109</f>
        <v>APS-C</v>
      </c>
      <c r="N1109" t="str">
        <f>'(Raw) LensesGH'!H1109</f>
        <v>670g</v>
      </c>
      <c r="O1109" s="5">
        <f t="shared" si="160"/>
        <v>670</v>
      </c>
      <c r="P1109" t="str">
        <f>'(Raw) LensesGH'!I1109</f>
        <v>87 x 120.2mm</v>
      </c>
      <c r="Q1109" s="39">
        <f t="shared" si="161"/>
        <v>87</v>
      </c>
      <c r="R1109" s="39">
        <f t="shared" si="153"/>
        <v>120.2</v>
      </c>
    </row>
    <row r="1110" spans="1:18" x14ac:dyDescent="0.25">
      <c r="A1110" t="str">
        <f>'(Raw) LensesGH'!A1110</f>
        <v>Sigma AF 12-24mm 4.5-5.6 II DG HSM für Sony A schwarz</v>
      </c>
      <c r="B1110" t="str">
        <f>'(Raw) LensesGH'!B1110</f>
        <v>12 - 24mm</v>
      </c>
      <c r="C1110" s="5">
        <f t="shared" si="154"/>
        <v>12</v>
      </c>
      <c r="D1110" s="5">
        <f t="shared" si="155"/>
        <v>24</v>
      </c>
      <c r="E1110" t="str">
        <f>'(Raw) LensesGH'!C1110</f>
        <v>1:4.5-1:5.6</v>
      </c>
      <c r="F1110" s="9">
        <f t="shared" si="156"/>
        <v>4.5</v>
      </c>
      <c r="G1110" s="9">
        <f t="shared" si="157"/>
        <v>4.5</v>
      </c>
      <c r="H1110">
        <f>'(Raw) LensesGH'!D1110</f>
        <v>0</v>
      </c>
      <c r="I1110" s="2">
        <f t="shared" si="158"/>
        <v>0</v>
      </c>
      <c r="J1110" s="2" t="str">
        <f>'(Raw) LensesGH'!E1110</f>
        <v>1:6.40</v>
      </c>
      <c r="K1110" s="40">
        <f t="shared" si="159"/>
        <v>6.4</v>
      </c>
      <c r="L1110" t="str">
        <f>'(Raw) LensesGH'!F1110</f>
        <v>Sony A</v>
      </c>
      <c r="M1110" t="str">
        <f>'(Raw) LensesGH'!G1110</f>
        <v>APS-C/ Kleinbild</v>
      </c>
      <c r="N1110" t="str">
        <f>'(Raw) LensesGH'!H1110</f>
        <v>670g</v>
      </c>
      <c r="O1110" s="5">
        <f t="shared" si="160"/>
        <v>670</v>
      </c>
      <c r="P1110" t="str">
        <f>'(Raw) LensesGH'!I1110</f>
        <v>87 x 120.2mm</v>
      </c>
      <c r="Q1110" s="39">
        <f t="shared" si="161"/>
        <v>87</v>
      </c>
      <c r="R1110" s="39">
        <f t="shared" si="153"/>
        <v>120.2</v>
      </c>
    </row>
    <row r="1111" spans="1:18" x14ac:dyDescent="0.25">
      <c r="A1111" t="str">
        <f>'(Raw) LensesGH'!A1111</f>
        <v>Sigma AF 150-500mm 5.0-6.3 DG APO HSM OS für Canon EF schwarz</v>
      </c>
      <c r="B1111" t="str">
        <f>'(Raw) LensesGH'!B1111</f>
        <v>150 - 500mm</v>
      </c>
      <c r="C1111" s="5">
        <f t="shared" si="154"/>
        <v>150</v>
      </c>
      <c r="D1111" s="5">
        <f t="shared" si="155"/>
        <v>500</v>
      </c>
      <c r="E1111" t="str">
        <f>'(Raw) LensesGH'!C1111</f>
        <v>1:5.0-1:6.3</v>
      </c>
      <c r="F1111" s="9">
        <f t="shared" si="156"/>
        <v>5</v>
      </c>
      <c r="G1111" s="9">
        <f t="shared" si="157"/>
        <v>5</v>
      </c>
      <c r="H1111" t="str">
        <f>'(Raw) LensesGH'!D1111</f>
        <v>86mm</v>
      </c>
      <c r="I1111" s="2">
        <f t="shared" si="158"/>
        <v>86</v>
      </c>
      <c r="J1111" s="2" t="str">
        <f>'(Raw) LensesGH'!E1111</f>
        <v>1:5.20</v>
      </c>
      <c r="K1111" s="40">
        <f t="shared" si="159"/>
        <v>5.2</v>
      </c>
      <c r="L1111" t="str">
        <f>'(Raw) LensesGH'!F1111</f>
        <v>Canon EF</v>
      </c>
      <c r="M1111" t="str">
        <f>'(Raw) LensesGH'!G1111</f>
        <v>APS-C/ Kleinbild</v>
      </c>
      <c r="N1111" t="str">
        <f>'(Raw) LensesGH'!H1111</f>
        <v>1910g</v>
      </c>
      <c r="O1111" s="5">
        <f t="shared" si="160"/>
        <v>1910</v>
      </c>
      <c r="P1111" t="str">
        <f>'(Raw) LensesGH'!I1111</f>
        <v>94.7 x 252mm</v>
      </c>
      <c r="Q1111" s="39">
        <f t="shared" si="161"/>
        <v>94.7</v>
      </c>
      <c r="R1111" s="39">
        <f t="shared" si="153"/>
        <v>252</v>
      </c>
    </row>
    <row r="1112" spans="1:18" x14ac:dyDescent="0.25">
      <c r="A1112" t="str">
        <f>'(Raw) LensesGH'!A1112</f>
        <v>Sigma AF 150-500mm 5.0-6.3 DG APO HSM OS für Nikon F schwarz</v>
      </c>
      <c r="B1112" t="str">
        <f>'(Raw) LensesGH'!B1112</f>
        <v>150 - 500mm</v>
      </c>
      <c r="C1112" s="5">
        <f t="shared" si="154"/>
        <v>150</v>
      </c>
      <c r="D1112" s="5">
        <f t="shared" si="155"/>
        <v>500</v>
      </c>
      <c r="E1112" t="str">
        <f>'(Raw) LensesGH'!C1112</f>
        <v>1:5.0-1:6.3</v>
      </c>
      <c r="F1112" s="9">
        <f t="shared" si="156"/>
        <v>5</v>
      </c>
      <c r="G1112" s="9">
        <f t="shared" si="157"/>
        <v>5</v>
      </c>
      <c r="H1112" t="str">
        <f>'(Raw) LensesGH'!D1112</f>
        <v>86mm</v>
      </c>
      <c r="I1112" s="2">
        <f t="shared" si="158"/>
        <v>86</v>
      </c>
      <c r="J1112" s="2" t="str">
        <f>'(Raw) LensesGH'!E1112</f>
        <v>1:5.20</v>
      </c>
      <c r="K1112" s="40">
        <f t="shared" si="159"/>
        <v>5.2</v>
      </c>
      <c r="L1112" t="str">
        <f>'(Raw) LensesGH'!F1112</f>
        <v>Nikon F</v>
      </c>
      <c r="M1112" t="str">
        <f>'(Raw) LensesGH'!G1112</f>
        <v>APS-C/ Kleinbild</v>
      </c>
      <c r="N1112" t="str">
        <f>'(Raw) LensesGH'!H1112</f>
        <v>1910g</v>
      </c>
      <c r="O1112" s="5">
        <f t="shared" si="160"/>
        <v>1910</v>
      </c>
      <c r="P1112" t="str">
        <f>'(Raw) LensesGH'!I1112</f>
        <v>94.7 x 252mm</v>
      </c>
      <c r="Q1112" s="39">
        <f t="shared" si="161"/>
        <v>94.7</v>
      </c>
      <c r="R1112" s="39">
        <f t="shared" si="153"/>
        <v>252</v>
      </c>
    </row>
    <row r="1113" spans="1:18" x14ac:dyDescent="0.25">
      <c r="A1113" t="str">
        <f>'(Raw) LensesGH'!A1113</f>
        <v>Sigma AF 150-500mm 5.0-6.3 DG APO HSM OS für Sigma schwarz</v>
      </c>
      <c r="B1113" t="str">
        <f>'(Raw) LensesGH'!B1113</f>
        <v>150 - 500mm</v>
      </c>
      <c r="C1113" s="5">
        <f t="shared" si="154"/>
        <v>150</v>
      </c>
      <c r="D1113" s="5">
        <f t="shared" si="155"/>
        <v>500</v>
      </c>
      <c r="E1113" t="str">
        <f>'(Raw) LensesGH'!C1113</f>
        <v>1:5.0-1:6.3</v>
      </c>
      <c r="F1113" s="9">
        <f t="shared" si="156"/>
        <v>5</v>
      </c>
      <c r="G1113" s="9">
        <f t="shared" si="157"/>
        <v>5</v>
      </c>
      <c r="H1113" t="str">
        <f>'(Raw) LensesGH'!D1113</f>
        <v>86mm</v>
      </c>
      <c r="I1113" s="2">
        <f t="shared" si="158"/>
        <v>86</v>
      </c>
      <c r="J1113" s="2" t="str">
        <f>'(Raw) LensesGH'!E1113</f>
        <v>1:5.20</v>
      </c>
      <c r="K1113" s="40">
        <f t="shared" si="159"/>
        <v>5.2</v>
      </c>
      <c r="L1113" t="str">
        <f>'(Raw) LensesGH'!F1113</f>
        <v>Sigma SA</v>
      </c>
      <c r="M1113" t="str">
        <f>'(Raw) LensesGH'!G1113</f>
        <v>APS-C</v>
      </c>
      <c r="N1113" t="str">
        <f>'(Raw) LensesGH'!H1113</f>
        <v>1910g</v>
      </c>
      <c r="O1113" s="5">
        <f t="shared" si="160"/>
        <v>1910</v>
      </c>
      <c r="P1113" t="str">
        <f>'(Raw) LensesGH'!I1113</f>
        <v>94.7 x 252mm</v>
      </c>
      <c r="Q1113" s="39">
        <f t="shared" si="161"/>
        <v>94.7</v>
      </c>
      <c r="R1113" s="39">
        <f t="shared" si="153"/>
        <v>252</v>
      </c>
    </row>
    <row r="1114" spans="1:18" x14ac:dyDescent="0.25">
      <c r="A1114" t="str">
        <f>'(Raw) LensesGH'!A1114</f>
        <v>Sigma AF 150mm 2.8 EX DG APO HSM OS für Sigma schwarz</v>
      </c>
      <c r="B1114" t="str">
        <f>'(Raw) LensesGH'!B1114</f>
        <v>150mm</v>
      </c>
      <c r="C1114" s="5">
        <f t="shared" si="154"/>
        <v>150</v>
      </c>
      <c r="D1114" s="5">
        <f t="shared" si="155"/>
        <v>150</v>
      </c>
      <c r="E1114" t="str">
        <f>'(Raw) LensesGH'!C1114</f>
        <v>1:2.8</v>
      </c>
      <c r="F1114" s="9">
        <f t="shared" si="156"/>
        <v>2.8</v>
      </c>
      <c r="G1114" s="9">
        <f t="shared" si="157"/>
        <v>2.8</v>
      </c>
      <c r="H1114" t="str">
        <f>'(Raw) LensesGH'!D1114</f>
        <v>72mm</v>
      </c>
      <c r="I1114" s="2">
        <f t="shared" si="158"/>
        <v>72</v>
      </c>
      <c r="J1114" s="2" t="str">
        <f>'(Raw) LensesGH'!E1114</f>
        <v>1:1.00</v>
      </c>
      <c r="K1114" s="40">
        <f t="shared" si="159"/>
        <v>1</v>
      </c>
      <c r="L1114" t="str">
        <f>'(Raw) LensesGH'!F1114</f>
        <v>Sigma SA</v>
      </c>
      <c r="M1114" t="str">
        <f>'(Raw) LensesGH'!G1114</f>
        <v>APS-C</v>
      </c>
      <c r="N1114">
        <f>'(Raw) LensesGH'!H1114</f>
        <v>0</v>
      </c>
      <c r="O1114" s="5">
        <f t="shared" si="160"/>
        <v>0</v>
      </c>
      <c r="P1114" t="str">
        <f>'(Raw) LensesGH'!I1114</f>
        <v>79.6 x 150mm</v>
      </c>
      <c r="Q1114" s="39">
        <f t="shared" si="161"/>
        <v>79.599999999999994</v>
      </c>
      <c r="R1114" s="39">
        <f t="shared" si="153"/>
        <v>150</v>
      </c>
    </row>
    <row r="1115" spans="1:18" x14ac:dyDescent="0.25">
      <c r="A1115" t="str">
        <f>'(Raw) LensesGH'!A1115</f>
        <v>Sigma AF 150mm 2.8 EX DG APO HSM OS für Sony A schwarz</v>
      </c>
      <c r="B1115" t="str">
        <f>'(Raw) LensesGH'!B1115</f>
        <v>150mm</v>
      </c>
      <c r="C1115" s="5">
        <f t="shared" si="154"/>
        <v>150</v>
      </c>
      <c r="D1115" s="5">
        <f t="shared" si="155"/>
        <v>150</v>
      </c>
      <c r="E1115" t="str">
        <f>'(Raw) LensesGH'!C1115</f>
        <v>1:2.8</v>
      </c>
      <c r="F1115" s="9">
        <f t="shared" si="156"/>
        <v>2.8</v>
      </c>
      <c r="G1115" s="9">
        <f t="shared" si="157"/>
        <v>2.8</v>
      </c>
      <c r="H1115" t="str">
        <f>'(Raw) LensesGH'!D1115</f>
        <v>72mm</v>
      </c>
      <c r="I1115" s="2">
        <f t="shared" si="158"/>
        <v>72</v>
      </c>
      <c r="J1115" s="2" t="str">
        <f>'(Raw) LensesGH'!E1115</f>
        <v>1:1.00</v>
      </c>
      <c r="K1115" s="40">
        <f t="shared" si="159"/>
        <v>1</v>
      </c>
      <c r="L1115" t="str">
        <f>'(Raw) LensesGH'!F1115</f>
        <v>Sony A</v>
      </c>
      <c r="M1115" t="str">
        <f>'(Raw) LensesGH'!G1115</f>
        <v>APS-C/ Kleinbild</v>
      </c>
      <c r="N1115">
        <f>'(Raw) LensesGH'!H1115</f>
        <v>0</v>
      </c>
      <c r="O1115" s="5">
        <f t="shared" si="160"/>
        <v>0</v>
      </c>
      <c r="P1115" t="str">
        <f>'(Raw) LensesGH'!I1115</f>
        <v>79.6 x 150mm</v>
      </c>
      <c r="Q1115" s="39">
        <f t="shared" si="161"/>
        <v>79.599999999999994</v>
      </c>
      <c r="R1115" s="39">
        <f t="shared" si="153"/>
        <v>150</v>
      </c>
    </row>
    <row r="1116" spans="1:18" x14ac:dyDescent="0.25">
      <c r="A1116" t="str">
        <f>'(Raw) LensesGH'!A1116</f>
        <v>Sigma AF 150mm 2.8 EX DG APO HSM OS Makro für Canon EF schwarz</v>
      </c>
      <c r="B1116" t="str">
        <f>'(Raw) LensesGH'!B1116</f>
        <v>150mm</v>
      </c>
      <c r="C1116" s="5">
        <f t="shared" si="154"/>
        <v>150</v>
      </c>
      <c r="D1116" s="5">
        <f t="shared" si="155"/>
        <v>150</v>
      </c>
      <c r="E1116" t="str">
        <f>'(Raw) LensesGH'!C1116</f>
        <v>1:2.8</v>
      </c>
      <c r="F1116" s="9">
        <f t="shared" si="156"/>
        <v>2.8</v>
      </c>
      <c r="G1116" s="9">
        <f t="shared" si="157"/>
        <v>2.8</v>
      </c>
      <c r="H1116" t="str">
        <f>'(Raw) LensesGH'!D1116</f>
        <v>72mm</v>
      </c>
      <c r="I1116" s="2">
        <f t="shared" si="158"/>
        <v>72</v>
      </c>
      <c r="J1116" s="2" t="str">
        <f>'(Raw) LensesGH'!E1116</f>
        <v>1:1.00</v>
      </c>
      <c r="K1116" s="40">
        <f t="shared" si="159"/>
        <v>1</v>
      </c>
      <c r="L1116" t="str">
        <f>'(Raw) LensesGH'!F1116</f>
        <v>Canon EF</v>
      </c>
      <c r="M1116" t="str">
        <f>'(Raw) LensesGH'!G1116</f>
        <v>APS-C/ Kleinbild</v>
      </c>
      <c r="N1116" t="str">
        <f>'(Raw) LensesGH'!H1116</f>
        <v>1180g</v>
      </c>
      <c r="O1116" s="5">
        <f t="shared" si="160"/>
        <v>1180</v>
      </c>
      <c r="P1116" t="str">
        <f>'(Raw) LensesGH'!I1116</f>
        <v>79.6 x 150mm</v>
      </c>
      <c r="Q1116" s="39">
        <f t="shared" si="161"/>
        <v>79.599999999999994</v>
      </c>
      <c r="R1116" s="39">
        <f t="shared" si="153"/>
        <v>150</v>
      </c>
    </row>
    <row r="1117" spans="1:18" x14ac:dyDescent="0.25">
      <c r="A1117" t="str">
        <f>'(Raw) LensesGH'!A1117</f>
        <v>Sigma AF 150mm 2.8 EX DG APO HSM OS Makro für Nikon F schwarz</v>
      </c>
      <c r="B1117" t="str">
        <f>'(Raw) LensesGH'!B1117</f>
        <v>150mm</v>
      </c>
      <c r="C1117" s="5">
        <f t="shared" si="154"/>
        <v>150</v>
      </c>
      <c r="D1117" s="5">
        <f t="shared" si="155"/>
        <v>150</v>
      </c>
      <c r="E1117" t="str">
        <f>'(Raw) LensesGH'!C1117</f>
        <v>1:2.8</v>
      </c>
      <c r="F1117" s="9">
        <f t="shared" si="156"/>
        <v>2.8</v>
      </c>
      <c r="G1117" s="9">
        <f t="shared" si="157"/>
        <v>2.8</v>
      </c>
      <c r="H1117" t="str">
        <f>'(Raw) LensesGH'!D1117</f>
        <v>72mm</v>
      </c>
      <c r="I1117" s="2">
        <f t="shared" si="158"/>
        <v>72</v>
      </c>
      <c r="J1117" s="2" t="str">
        <f>'(Raw) LensesGH'!E1117</f>
        <v>1:1.00</v>
      </c>
      <c r="K1117" s="40">
        <f t="shared" si="159"/>
        <v>1</v>
      </c>
      <c r="L1117" t="str">
        <f>'(Raw) LensesGH'!F1117</f>
        <v>Nikon F</v>
      </c>
      <c r="M1117" t="str">
        <f>'(Raw) LensesGH'!G1117</f>
        <v>APS-C/ Kleinbild</v>
      </c>
      <c r="N1117" t="str">
        <f>'(Raw) LensesGH'!H1117</f>
        <v>1180g</v>
      </c>
      <c r="O1117" s="5">
        <f t="shared" si="160"/>
        <v>1180</v>
      </c>
      <c r="P1117" t="str">
        <f>'(Raw) LensesGH'!I1117</f>
        <v>79.6 x 150mm</v>
      </c>
      <c r="Q1117" s="39">
        <f t="shared" si="161"/>
        <v>79.599999999999994</v>
      </c>
      <c r="R1117" s="39">
        <f t="shared" si="153"/>
        <v>150</v>
      </c>
    </row>
    <row r="1118" spans="1:18" x14ac:dyDescent="0.25">
      <c r="A1118" t="str">
        <f>'(Raw) LensesGH'!A1118</f>
        <v>Sigma AF 15mm 2.8 EX DG Diagonal Fisheye für Canon EF schwarz</v>
      </c>
      <c r="B1118" t="str">
        <f>'(Raw) LensesGH'!B1118</f>
        <v>15mm</v>
      </c>
      <c r="C1118" s="5">
        <f t="shared" si="154"/>
        <v>15</v>
      </c>
      <c r="D1118" s="5">
        <f t="shared" si="155"/>
        <v>15</v>
      </c>
      <c r="E1118" t="str">
        <f>'(Raw) LensesGH'!C1118</f>
        <v>1:2.8</v>
      </c>
      <c r="F1118" s="9">
        <f t="shared" si="156"/>
        <v>2.8</v>
      </c>
      <c r="G1118" s="9">
        <f t="shared" si="157"/>
        <v>2.8</v>
      </c>
      <c r="H1118">
        <f>'(Raw) LensesGH'!D1118</f>
        <v>0</v>
      </c>
      <c r="I1118" s="2">
        <f t="shared" si="158"/>
        <v>0</v>
      </c>
      <c r="J1118" s="2" t="str">
        <f>'(Raw) LensesGH'!E1118</f>
        <v>1:3.80</v>
      </c>
      <c r="K1118" s="40">
        <f t="shared" si="159"/>
        <v>3.8</v>
      </c>
      <c r="L1118" t="str">
        <f>'(Raw) LensesGH'!F1118</f>
        <v>Canon EF</v>
      </c>
      <c r="M1118" t="str">
        <f>'(Raw) LensesGH'!G1118</f>
        <v>APS-C/ Kleinbild</v>
      </c>
      <c r="N1118" t="str">
        <f>'(Raw) LensesGH'!H1118</f>
        <v>370g</v>
      </c>
      <c r="O1118" s="5">
        <f t="shared" si="160"/>
        <v>370</v>
      </c>
      <c r="P1118" t="str">
        <f>'(Raw) LensesGH'!I1118</f>
        <v>73.5 x 65mm</v>
      </c>
      <c r="Q1118" s="39">
        <f t="shared" si="161"/>
        <v>73.5</v>
      </c>
      <c r="R1118" s="39">
        <f t="shared" si="153"/>
        <v>65</v>
      </c>
    </row>
    <row r="1119" spans="1:18" x14ac:dyDescent="0.25">
      <c r="A1119" t="str">
        <f>'(Raw) LensesGH'!A1119</f>
        <v>Sigma AF 15mm 2.8 EX DG Diagonal Fisheye für Nikon F schwarz</v>
      </c>
      <c r="B1119" t="str">
        <f>'(Raw) LensesGH'!B1119</f>
        <v>15mm</v>
      </c>
      <c r="C1119" s="5">
        <f t="shared" si="154"/>
        <v>15</v>
      </c>
      <c r="D1119" s="5">
        <f t="shared" si="155"/>
        <v>15</v>
      </c>
      <c r="E1119" t="str">
        <f>'(Raw) LensesGH'!C1119</f>
        <v>1:2.8</v>
      </c>
      <c r="F1119" s="9">
        <f t="shared" si="156"/>
        <v>2.8</v>
      </c>
      <c r="G1119" s="9">
        <f t="shared" si="157"/>
        <v>2.8</v>
      </c>
      <c r="H1119">
        <f>'(Raw) LensesGH'!D1119</f>
        <v>0</v>
      </c>
      <c r="I1119" s="2">
        <f t="shared" si="158"/>
        <v>0</v>
      </c>
      <c r="J1119" s="2" t="str">
        <f>'(Raw) LensesGH'!E1119</f>
        <v>1:3.80</v>
      </c>
      <c r="K1119" s="40">
        <f t="shared" si="159"/>
        <v>3.8</v>
      </c>
      <c r="L1119" t="str">
        <f>'(Raw) LensesGH'!F1119</f>
        <v>Nikon F</v>
      </c>
      <c r="M1119" t="str">
        <f>'(Raw) LensesGH'!G1119</f>
        <v>APS-C/ Kleinbild</v>
      </c>
      <c r="N1119" t="str">
        <f>'(Raw) LensesGH'!H1119</f>
        <v>370g</v>
      </c>
      <c r="O1119" s="5">
        <f t="shared" si="160"/>
        <v>370</v>
      </c>
      <c r="P1119" t="str">
        <f>'(Raw) LensesGH'!I1119</f>
        <v>73.5 x 65mm</v>
      </c>
      <c r="Q1119" s="39">
        <f t="shared" si="161"/>
        <v>73.5</v>
      </c>
      <c r="R1119" s="39">
        <f t="shared" si="153"/>
        <v>65</v>
      </c>
    </row>
    <row r="1120" spans="1:18" x14ac:dyDescent="0.25">
      <c r="A1120" t="str">
        <f>'(Raw) LensesGH'!A1120</f>
        <v>Sigma AF 15mm 2.8 EX DG Diagonal Fisheye für Pentax K schwarz</v>
      </c>
      <c r="B1120" t="str">
        <f>'(Raw) LensesGH'!B1120</f>
        <v>15mm</v>
      </c>
      <c r="C1120" s="5">
        <f t="shared" si="154"/>
        <v>15</v>
      </c>
      <c r="D1120" s="5">
        <f t="shared" si="155"/>
        <v>15</v>
      </c>
      <c r="E1120" t="str">
        <f>'(Raw) LensesGH'!C1120</f>
        <v>1:2.8</v>
      </c>
      <c r="F1120" s="9">
        <f t="shared" si="156"/>
        <v>2.8</v>
      </c>
      <c r="G1120" s="9">
        <f t="shared" si="157"/>
        <v>2.8</v>
      </c>
      <c r="H1120">
        <f>'(Raw) LensesGH'!D1120</f>
        <v>0</v>
      </c>
      <c r="I1120" s="2">
        <f t="shared" si="158"/>
        <v>0</v>
      </c>
      <c r="J1120" s="2" t="str">
        <f>'(Raw) LensesGH'!E1120</f>
        <v>1:3.80</v>
      </c>
      <c r="K1120" s="40">
        <f t="shared" si="159"/>
        <v>3.8</v>
      </c>
      <c r="L1120" t="str">
        <f>'(Raw) LensesGH'!F1120</f>
        <v>Pentax K</v>
      </c>
      <c r="M1120" t="str">
        <f>'(Raw) LensesGH'!G1120</f>
        <v>APS-C/ Kleinbild</v>
      </c>
      <c r="N1120" t="str">
        <f>'(Raw) LensesGH'!H1120</f>
        <v>370g</v>
      </c>
      <c r="O1120" s="5">
        <f t="shared" si="160"/>
        <v>370</v>
      </c>
      <c r="P1120" t="str">
        <f>'(Raw) LensesGH'!I1120</f>
        <v>73.5 x 65mm</v>
      </c>
      <c r="Q1120" s="39">
        <f t="shared" si="161"/>
        <v>73.5</v>
      </c>
      <c r="R1120" s="39">
        <f t="shared" si="153"/>
        <v>65</v>
      </c>
    </row>
    <row r="1121" spans="1:18" x14ac:dyDescent="0.25">
      <c r="A1121" t="str">
        <f>'(Raw) LensesGH'!A1121</f>
        <v>Sigma AF 15mm 2.8 EX DG Diagonal Fisheye für Sigma schwarz</v>
      </c>
      <c r="B1121" t="str">
        <f>'(Raw) LensesGH'!B1121</f>
        <v>15mm</v>
      </c>
      <c r="C1121" s="5">
        <f t="shared" si="154"/>
        <v>15</v>
      </c>
      <c r="D1121" s="5">
        <f t="shared" si="155"/>
        <v>15</v>
      </c>
      <c r="E1121" t="str">
        <f>'(Raw) LensesGH'!C1121</f>
        <v>1:2.8</v>
      </c>
      <c r="F1121" s="9">
        <f t="shared" si="156"/>
        <v>2.8</v>
      </c>
      <c r="G1121" s="9">
        <f t="shared" si="157"/>
        <v>2.8</v>
      </c>
      <c r="H1121">
        <f>'(Raw) LensesGH'!D1121</f>
        <v>0</v>
      </c>
      <c r="I1121" s="2">
        <f t="shared" si="158"/>
        <v>0</v>
      </c>
      <c r="J1121" s="2" t="str">
        <f>'(Raw) LensesGH'!E1121</f>
        <v>1:3.80</v>
      </c>
      <c r="K1121" s="40">
        <f t="shared" si="159"/>
        <v>3.8</v>
      </c>
      <c r="L1121" t="str">
        <f>'(Raw) LensesGH'!F1121</f>
        <v>Sigma SA</v>
      </c>
      <c r="M1121" t="str">
        <f>'(Raw) LensesGH'!G1121</f>
        <v>APS-C</v>
      </c>
      <c r="N1121" t="str">
        <f>'(Raw) LensesGH'!H1121</f>
        <v>370g</v>
      </c>
      <c r="O1121" s="5">
        <f t="shared" si="160"/>
        <v>370</v>
      </c>
      <c r="P1121" t="str">
        <f>'(Raw) LensesGH'!I1121</f>
        <v>73.5 x 65mm</v>
      </c>
      <c r="Q1121" s="39">
        <f t="shared" si="161"/>
        <v>73.5</v>
      </c>
      <c r="R1121" s="39">
        <f t="shared" si="153"/>
        <v>65</v>
      </c>
    </row>
    <row r="1122" spans="1:18" x14ac:dyDescent="0.25">
      <c r="A1122" t="str">
        <f>'(Raw) LensesGH'!A1122</f>
        <v>Sigma AF 15mm 2.8 EX DG Diagonal Fisheye für Sony A schwarz</v>
      </c>
      <c r="B1122" t="str">
        <f>'(Raw) LensesGH'!B1122</f>
        <v>15mm</v>
      </c>
      <c r="C1122" s="5">
        <f t="shared" si="154"/>
        <v>15</v>
      </c>
      <c r="D1122" s="5">
        <f t="shared" si="155"/>
        <v>15</v>
      </c>
      <c r="E1122" t="str">
        <f>'(Raw) LensesGH'!C1122</f>
        <v>1:2.8</v>
      </c>
      <c r="F1122" s="9">
        <f t="shared" si="156"/>
        <v>2.8</v>
      </c>
      <c r="G1122" s="9">
        <f t="shared" si="157"/>
        <v>2.8</v>
      </c>
      <c r="H1122">
        <f>'(Raw) LensesGH'!D1122</f>
        <v>0</v>
      </c>
      <c r="I1122" s="2">
        <f t="shared" si="158"/>
        <v>0</v>
      </c>
      <c r="J1122" s="2" t="str">
        <f>'(Raw) LensesGH'!E1122</f>
        <v>1:3.80</v>
      </c>
      <c r="K1122" s="40">
        <f t="shared" si="159"/>
        <v>3.8</v>
      </c>
      <c r="L1122" t="str">
        <f>'(Raw) LensesGH'!F1122</f>
        <v>Sony A</v>
      </c>
      <c r="M1122" t="str">
        <f>'(Raw) LensesGH'!G1122</f>
        <v>APS-C/ Kleinbild</v>
      </c>
      <c r="N1122" t="str">
        <f>'(Raw) LensesGH'!H1122</f>
        <v>370g</v>
      </c>
      <c r="O1122" s="5">
        <f t="shared" si="160"/>
        <v>370</v>
      </c>
      <c r="P1122" t="str">
        <f>'(Raw) LensesGH'!I1122</f>
        <v>73.5 x 65mm</v>
      </c>
      <c r="Q1122" s="39">
        <f t="shared" si="161"/>
        <v>73.5</v>
      </c>
      <c r="R1122" s="39">
        <f t="shared" si="153"/>
        <v>65</v>
      </c>
    </row>
    <row r="1123" spans="1:18" x14ac:dyDescent="0.25">
      <c r="A1123" t="str">
        <f>'(Raw) LensesGH'!A1123</f>
        <v>Sigma AF 17-50mm 2.8 EX DC OS HSM für Canon EF schwarz</v>
      </c>
      <c r="B1123" t="str">
        <f>'(Raw) LensesGH'!B1123</f>
        <v>17 - 50mm</v>
      </c>
      <c r="C1123" s="5">
        <f t="shared" si="154"/>
        <v>17</v>
      </c>
      <c r="D1123" s="5">
        <f t="shared" si="155"/>
        <v>50</v>
      </c>
      <c r="E1123" t="str">
        <f>'(Raw) LensesGH'!C1123</f>
        <v>1:2.8</v>
      </c>
      <c r="F1123" s="9">
        <f t="shared" si="156"/>
        <v>2.8</v>
      </c>
      <c r="G1123" s="9">
        <f t="shared" si="157"/>
        <v>2.8</v>
      </c>
      <c r="H1123" t="str">
        <f>'(Raw) LensesGH'!D1123</f>
        <v>77mm</v>
      </c>
      <c r="I1123" s="2">
        <f t="shared" si="158"/>
        <v>77</v>
      </c>
      <c r="J1123" s="2" t="str">
        <f>'(Raw) LensesGH'!E1123</f>
        <v>1:5.00</v>
      </c>
      <c r="K1123" s="40">
        <f t="shared" si="159"/>
        <v>5</v>
      </c>
      <c r="L1123" t="str">
        <f>'(Raw) LensesGH'!F1123</f>
        <v>Canon EF-S</v>
      </c>
      <c r="M1123" t="str">
        <f>'(Raw) LensesGH'!G1123</f>
        <v>APS-C</v>
      </c>
      <c r="N1123" t="str">
        <f>'(Raw) LensesGH'!H1123</f>
        <v>565g</v>
      </c>
      <c r="O1123" s="5">
        <f t="shared" si="160"/>
        <v>565</v>
      </c>
      <c r="P1123" t="str">
        <f>'(Raw) LensesGH'!I1123</f>
        <v>83.5 x 91.8mm</v>
      </c>
      <c r="Q1123" s="39">
        <f t="shared" si="161"/>
        <v>83.5</v>
      </c>
      <c r="R1123" s="39">
        <f t="shared" si="153"/>
        <v>91.8</v>
      </c>
    </row>
    <row r="1124" spans="1:18" x14ac:dyDescent="0.25">
      <c r="A1124" t="str">
        <f>'(Raw) LensesGH'!A1124</f>
        <v>Sigma AF 17-50mm 2.8 EX DC OS HSM für Nikon F schwarz</v>
      </c>
      <c r="B1124" t="str">
        <f>'(Raw) LensesGH'!B1124</f>
        <v>17 - 50mm</v>
      </c>
      <c r="C1124" s="5">
        <f t="shared" si="154"/>
        <v>17</v>
      </c>
      <c r="D1124" s="5">
        <f t="shared" si="155"/>
        <v>50</v>
      </c>
      <c r="E1124" t="str">
        <f>'(Raw) LensesGH'!C1124</f>
        <v>1:2.8</v>
      </c>
      <c r="F1124" s="9">
        <f t="shared" si="156"/>
        <v>2.8</v>
      </c>
      <c r="G1124" s="9">
        <f t="shared" si="157"/>
        <v>2.8</v>
      </c>
      <c r="H1124" t="str">
        <f>'(Raw) LensesGH'!D1124</f>
        <v>77mm</v>
      </c>
      <c r="I1124" s="2">
        <f t="shared" si="158"/>
        <v>77</v>
      </c>
      <c r="J1124" s="2" t="str">
        <f>'(Raw) LensesGH'!E1124</f>
        <v>1:5.00</v>
      </c>
      <c r="K1124" s="40">
        <f t="shared" si="159"/>
        <v>5</v>
      </c>
      <c r="L1124" t="str">
        <f>'(Raw) LensesGH'!F1124</f>
        <v>Nikon F</v>
      </c>
      <c r="M1124" t="str">
        <f>'(Raw) LensesGH'!G1124</f>
        <v>APS-C</v>
      </c>
      <c r="N1124" t="str">
        <f>'(Raw) LensesGH'!H1124</f>
        <v>565g</v>
      </c>
      <c r="O1124" s="5">
        <f t="shared" si="160"/>
        <v>565</v>
      </c>
      <c r="P1124" t="str">
        <f>'(Raw) LensesGH'!I1124</f>
        <v>83.5 x 91.8mm</v>
      </c>
      <c r="Q1124" s="39">
        <f t="shared" si="161"/>
        <v>83.5</v>
      </c>
      <c r="R1124" s="39">
        <f t="shared" si="153"/>
        <v>91.8</v>
      </c>
    </row>
    <row r="1125" spans="1:18" x14ac:dyDescent="0.25">
      <c r="A1125" t="str">
        <f>'(Raw) LensesGH'!A1125</f>
        <v>Sigma AF 17-50mm 2.8 EX DC OS HSM für Pentax K schwarz</v>
      </c>
      <c r="B1125" t="str">
        <f>'(Raw) LensesGH'!B1125</f>
        <v>17 - 50mm</v>
      </c>
      <c r="C1125" s="5">
        <f t="shared" si="154"/>
        <v>17</v>
      </c>
      <c r="D1125" s="5">
        <f t="shared" si="155"/>
        <v>50</v>
      </c>
      <c r="E1125" t="str">
        <f>'(Raw) LensesGH'!C1125</f>
        <v>1:2.8</v>
      </c>
      <c r="F1125" s="9">
        <f t="shared" si="156"/>
        <v>2.8</v>
      </c>
      <c r="G1125" s="9">
        <f t="shared" si="157"/>
        <v>2.8</v>
      </c>
      <c r="H1125" t="str">
        <f>'(Raw) LensesGH'!D1125</f>
        <v>77mm</v>
      </c>
      <c r="I1125" s="2">
        <f t="shared" si="158"/>
        <v>77</v>
      </c>
      <c r="J1125" s="2" t="str">
        <f>'(Raw) LensesGH'!E1125</f>
        <v>1:5.00</v>
      </c>
      <c r="K1125" s="40">
        <f t="shared" si="159"/>
        <v>5</v>
      </c>
      <c r="L1125" t="str">
        <f>'(Raw) LensesGH'!F1125</f>
        <v>Pentax K</v>
      </c>
      <c r="M1125" t="str">
        <f>'(Raw) LensesGH'!G1125</f>
        <v>APS-C</v>
      </c>
      <c r="N1125" t="str">
        <f>'(Raw) LensesGH'!H1125</f>
        <v>565g</v>
      </c>
      <c r="O1125" s="5">
        <f t="shared" si="160"/>
        <v>565</v>
      </c>
      <c r="P1125" t="str">
        <f>'(Raw) LensesGH'!I1125</f>
        <v>83.5 x 91.8mm</v>
      </c>
      <c r="Q1125" s="39">
        <f t="shared" si="161"/>
        <v>83.5</v>
      </c>
      <c r="R1125" s="39">
        <f t="shared" si="153"/>
        <v>91.8</v>
      </c>
    </row>
    <row r="1126" spans="1:18" x14ac:dyDescent="0.25">
      <c r="A1126" t="str">
        <f>'(Raw) LensesGH'!A1126</f>
        <v>Sigma AF 17-50mm 2.8 EX DC OS HSM für Sigma schwarz</v>
      </c>
      <c r="B1126" t="str">
        <f>'(Raw) LensesGH'!B1126</f>
        <v>17 - 50mm</v>
      </c>
      <c r="C1126" s="5">
        <f t="shared" si="154"/>
        <v>17</v>
      </c>
      <c r="D1126" s="5">
        <f t="shared" si="155"/>
        <v>50</v>
      </c>
      <c r="E1126" t="str">
        <f>'(Raw) LensesGH'!C1126</f>
        <v>1:2.8</v>
      </c>
      <c r="F1126" s="9">
        <f t="shared" si="156"/>
        <v>2.8</v>
      </c>
      <c r="G1126" s="9">
        <f t="shared" si="157"/>
        <v>2.8</v>
      </c>
      <c r="H1126" t="str">
        <f>'(Raw) LensesGH'!D1126</f>
        <v>77mm</v>
      </c>
      <c r="I1126" s="2">
        <f t="shared" si="158"/>
        <v>77</v>
      </c>
      <c r="J1126" s="2" t="str">
        <f>'(Raw) LensesGH'!E1126</f>
        <v>1:5.00</v>
      </c>
      <c r="K1126" s="40">
        <f t="shared" si="159"/>
        <v>5</v>
      </c>
      <c r="L1126" t="str">
        <f>'(Raw) LensesGH'!F1126</f>
        <v>Sigma SA</v>
      </c>
      <c r="M1126" t="str">
        <f>'(Raw) LensesGH'!G1126</f>
        <v>APS-C</v>
      </c>
      <c r="N1126" t="str">
        <f>'(Raw) LensesGH'!H1126</f>
        <v>565g</v>
      </c>
      <c r="O1126" s="5">
        <f t="shared" si="160"/>
        <v>565</v>
      </c>
      <c r="P1126" t="str">
        <f>'(Raw) LensesGH'!I1126</f>
        <v>83.5 x 91.8mm</v>
      </c>
      <c r="Q1126" s="39">
        <f t="shared" si="161"/>
        <v>83.5</v>
      </c>
      <c r="R1126" s="39">
        <f t="shared" si="153"/>
        <v>91.8</v>
      </c>
    </row>
    <row r="1127" spans="1:18" x14ac:dyDescent="0.25">
      <c r="A1127" t="str">
        <f>'(Raw) LensesGH'!A1127</f>
        <v>Sigma AF 17-50mm 2.8 EX DC OS HSM für Sony A schwarz</v>
      </c>
      <c r="B1127" t="str">
        <f>'(Raw) LensesGH'!B1127</f>
        <v>17 - 50mm</v>
      </c>
      <c r="C1127" s="5">
        <f t="shared" si="154"/>
        <v>17</v>
      </c>
      <c r="D1127" s="5">
        <f t="shared" si="155"/>
        <v>50</v>
      </c>
      <c r="E1127" t="str">
        <f>'(Raw) LensesGH'!C1127</f>
        <v>1:2.8</v>
      </c>
      <c r="F1127" s="9">
        <f t="shared" si="156"/>
        <v>2.8</v>
      </c>
      <c r="G1127" s="9">
        <f t="shared" si="157"/>
        <v>2.8</v>
      </c>
      <c r="H1127" t="str">
        <f>'(Raw) LensesGH'!D1127</f>
        <v>77mm</v>
      </c>
      <c r="I1127" s="2">
        <f t="shared" si="158"/>
        <v>77</v>
      </c>
      <c r="J1127" s="2" t="str">
        <f>'(Raw) LensesGH'!E1127</f>
        <v>1:5.00</v>
      </c>
      <c r="K1127" s="40">
        <f t="shared" si="159"/>
        <v>5</v>
      </c>
      <c r="L1127" t="str">
        <f>'(Raw) LensesGH'!F1127</f>
        <v>Sony A</v>
      </c>
      <c r="M1127" t="str">
        <f>'(Raw) LensesGH'!G1127</f>
        <v>APS-C</v>
      </c>
      <c r="N1127" t="str">
        <f>'(Raw) LensesGH'!H1127</f>
        <v>565g</v>
      </c>
      <c r="O1127" s="5">
        <f t="shared" si="160"/>
        <v>565</v>
      </c>
      <c r="P1127" t="str">
        <f>'(Raw) LensesGH'!I1127</f>
        <v>83.5 x 91.8mm</v>
      </c>
      <c r="Q1127" s="39">
        <f t="shared" si="161"/>
        <v>83.5</v>
      </c>
      <c r="R1127" s="39">
        <f t="shared" si="153"/>
        <v>91.8</v>
      </c>
    </row>
    <row r="1128" spans="1:18" x14ac:dyDescent="0.25">
      <c r="A1128" t="str">
        <f>'(Raw) LensesGH'!A1128</f>
        <v>Sigma AF 17-70mm 2.8-4.0 DC Asp IF Makro HSM für Sony A schwarz</v>
      </c>
      <c r="B1128" t="str">
        <f>'(Raw) LensesGH'!B1128</f>
        <v>17 - 70mm</v>
      </c>
      <c r="C1128" s="5">
        <f t="shared" si="154"/>
        <v>17</v>
      </c>
      <c r="D1128" s="5">
        <f t="shared" si="155"/>
        <v>70</v>
      </c>
      <c r="E1128" t="str">
        <f>'(Raw) LensesGH'!C1128</f>
        <v>1:2.8-1:4.0</v>
      </c>
      <c r="F1128" s="9">
        <f t="shared" si="156"/>
        <v>2.8</v>
      </c>
      <c r="G1128" s="9">
        <f t="shared" si="157"/>
        <v>2.8</v>
      </c>
      <c r="H1128" t="str">
        <f>'(Raw) LensesGH'!D1128</f>
        <v>72mm</v>
      </c>
      <c r="I1128" s="2">
        <f t="shared" si="158"/>
        <v>72</v>
      </c>
      <c r="J1128" s="2" t="str">
        <f>'(Raw) LensesGH'!E1128</f>
        <v>1:2.70</v>
      </c>
      <c r="K1128" s="40">
        <f t="shared" si="159"/>
        <v>2.7</v>
      </c>
      <c r="L1128" t="str">
        <f>'(Raw) LensesGH'!F1128</f>
        <v>Sony A</v>
      </c>
      <c r="M1128" t="str">
        <f>'(Raw) LensesGH'!G1128</f>
        <v>APS-C</v>
      </c>
      <c r="N1128" t="str">
        <f>'(Raw) LensesGH'!H1128</f>
        <v>535g</v>
      </c>
      <c r="O1128" s="5">
        <f t="shared" si="160"/>
        <v>535</v>
      </c>
      <c r="P1128" t="str">
        <f>'(Raw) LensesGH'!I1128</f>
        <v>79 x 88.9mm</v>
      </c>
      <c r="Q1128" s="39">
        <f t="shared" si="161"/>
        <v>79</v>
      </c>
      <c r="R1128" s="39">
        <f t="shared" si="153"/>
        <v>88.9</v>
      </c>
    </row>
    <row r="1129" spans="1:18" x14ac:dyDescent="0.25">
      <c r="A1129" t="str">
        <f>'(Raw) LensesGH'!A1129</f>
        <v>Sigma AF 17-70mm 2.8-4.0 DC Asp IF Makro OS HSM für Canon EF schwarz</v>
      </c>
      <c r="B1129" t="str">
        <f>'(Raw) LensesGH'!B1129</f>
        <v>17 - 70mm</v>
      </c>
      <c r="C1129" s="5">
        <f t="shared" si="154"/>
        <v>17</v>
      </c>
      <c r="D1129" s="5">
        <f t="shared" si="155"/>
        <v>70</v>
      </c>
      <c r="E1129" t="str">
        <f>'(Raw) LensesGH'!C1129</f>
        <v>1:2.8-1:4.0</v>
      </c>
      <c r="F1129" s="9">
        <f t="shared" si="156"/>
        <v>2.8</v>
      </c>
      <c r="G1129" s="9">
        <f t="shared" si="157"/>
        <v>2.8</v>
      </c>
      <c r="H1129" t="str">
        <f>'(Raw) LensesGH'!D1129</f>
        <v>72mm</v>
      </c>
      <c r="I1129" s="2">
        <f t="shared" si="158"/>
        <v>72</v>
      </c>
      <c r="J1129" s="2" t="str">
        <f>'(Raw) LensesGH'!E1129</f>
        <v>1:2.70</v>
      </c>
      <c r="K1129" s="40">
        <f t="shared" si="159"/>
        <v>2.7</v>
      </c>
      <c r="L1129" t="str">
        <f>'(Raw) LensesGH'!F1129</f>
        <v>Canon EF-S</v>
      </c>
      <c r="M1129" t="str">
        <f>'(Raw) LensesGH'!G1129</f>
        <v>APS-C</v>
      </c>
      <c r="N1129" t="str">
        <f>'(Raw) LensesGH'!H1129</f>
        <v>535g</v>
      </c>
      <c r="O1129" s="5">
        <f t="shared" si="160"/>
        <v>535</v>
      </c>
      <c r="P1129" t="str">
        <f>'(Raw) LensesGH'!I1129</f>
        <v>79 x 88.9mm</v>
      </c>
      <c r="Q1129" s="39">
        <f t="shared" si="161"/>
        <v>79</v>
      </c>
      <c r="R1129" s="39">
        <f t="shared" si="153"/>
        <v>88.9</v>
      </c>
    </row>
    <row r="1130" spans="1:18" x14ac:dyDescent="0.25">
      <c r="A1130" t="str">
        <f>'(Raw) LensesGH'!A1130</f>
        <v>Sigma AF 17-70mm 2.8-4.0 DC Asp IF Makro OS HSM für Nikon F schwarz</v>
      </c>
      <c r="B1130" t="str">
        <f>'(Raw) LensesGH'!B1130</f>
        <v>17 - 70mm</v>
      </c>
      <c r="C1130" s="5">
        <f t="shared" si="154"/>
        <v>17</v>
      </c>
      <c r="D1130" s="5">
        <f t="shared" si="155"/>
        <v>70</v>
      </c>
      <c r="E1130" t="str">
        <f>'(Raw) LensesGH'!C1130</f>
        <v>1:2.8-1:4.0</v>
      </c>
      <c r="F1130" s="9">
        <f t="shared" si="156"/>
        <v>2.8</v>
      </c>
      <c r="G1130" s="9">
        <f t="shared" si="157"/>
        <v>2.8</v>
      </c>
      <c r="H1130" t="str">
        <f>'(Raw) LensesGH'!D1130</f>
        <v>72mm</v>
      </c>
      <c r="I1130" s="2">
        <f t="shared" si="158"/>
        <v>72</v>
      </c>
      <c r="J1130" s="2" t="str">
        <f>'(Raw) LensesGH'!E1130</f>
        <v>1:2.70</v>
      </c>
      <c r="K1130" s="40">
        <f t="shared" si="159"/>
        <v>2.7</v>
      </c>
      <c r="L1130" t="str">
        <f>'(Raw) LensesGH'!F1130</f>
        <v>Nikon F</v>
      </c>
      <c r="M1130" t="str">
        <f>'(Raw) LensesGH'!G1130</f>
        <v>APS-C</v>
      </c>
      <c r="N1130" t="str">
        <f>'(Raw) LensesGH'!H1130</f>
        <v>535g</v>
      </c>
      <c r="O1130" s="5">
        <f t="shared" si="160"/>
        <v>535</v>
      </c>
      <c r="P1130" t="str">
        <f>'(Raw) LensesGH'!I1130</f>
        <v>79 x 88.9mm</v>
      </c>
      <c r="Q1130" s="39">
        <f t="shared" si="161"/>
        <v>79</v>
      </c>
      <c r="R1130" s="39">
        <f t="shared" si="153"/>
        <v>88.9</v>
      </c>
    </row>
    <row r="1131" spans="1:18" x14ac:dyDescent="0.25">
      <c r="A1131" t="str">
        <f>'(Raw) LensesGH'!A1131</f>
        <v>Sigma AF 17-70mm 2.8-4.5 DC Asp IF Makro für Sony A schwarz</v>
      </c>
      <c r="B1131" t="str">
        <f>'(Raw) LensesGH'!B1131</f>
        <v>17 - 70mm</v>
      </c>
      <c r="C1131" s="5">
        <f t="shared" si="154"/>
        <v>17</v>
      </c>
      <c r="D1131" s="5">
        <f t="shared" si="155"/>
        <v>70</v>
      </c>
      <c r="E1131" t="str">
        <f>'(Raw) LensesGH'!C1131</f>
        <v>1:2.8-1:4.5</v>
      </c>
      <c r="F1131" s="9">
        <f t="shared" si="156"/>
        <v>2.8</v>
      </c>
      <c r="G1131" s="9">
        <f t="shared" si="157"/>
        <v>2.8</v>
      </c>
      <c r="H1131" t="str">
        <f>'(Raw) LensesGH'!D1131</f>
        <v>72mm</v>
      </c>
      <c r="I1131" s="2">
        <f t="shared" si="158"/>
        <v>72</v>
      </c>
      <c r="J1131" s="2" t="str">
        <f>'(Raw) LensesGH'!E1131</f>
        <v>1:2.33</v>
      </c>
      <c r="K1131" s="40">
        <f t="shared" si="159"/>
        <v>2.33</v>
      </c>
      <c r="L1131" t="str">
        <f>'(Raw) LensesGH'!F1131</f>
        <v>Sony A</v>
      </c>
      <c r="M1131" t="str">
        <f>'(Raw) LensesGH'!G1131</f>
        <v>APS-C</v>
      </c>
      <c r="N1131" t="str">
        <f>'(Raw) LensesGH'!H1131</f>
        <v>455g</v>
      </c>
      <c r="O1131" s="5">
        <f t="shared" si="160"/>
        <v>455</v>
      </c>
      <c r="P1131" t="str">
        <f>'(Raw) LensesGH'!I1131</f>
        <v>77 x 82.5mm</v>
      </c>
      <c r="Q1131" s="39">
        <f t="shared" si="161"/>
        <v>77</v>
      </c>
      <c r="R1131" s="39">
        <f t="shared" si="153"/>
        <v>82.5</v>
      </c>
    </row>
    <row r="1132" spans="1:18" x14ac:dyDescent="0.25">
      <c r="A1132" t="str">
        <f>'(Raw) LensesGH'!A1132</f>
        <v>Sigma AF 180mm 2.8 EX DG APO HSM OS Makro für Canon EF schwarz</v>
      </c>
      <c r="B1132" t="str">
        <f>'(Raw) LensesGH'!B1132</f>
        <v>180mm</v>
      </c>
      <c r="C1132" s="5">
        <f t="shared" si="154"/>
        <v>180</v>
      </c>
      <c r="D1132" s="5">
        <f t="shared" si="155"/>
        <v>180</v>
      </c>
      <c r="E1132" t="str">
        <f>'(Raw) LensesGH'!C1132</f>
        <v>1:2.8</v>
      </c>
      <c r="F1132" s="9">
        <f t="shared" si="156"/>
        <v>2.8</v>
      </c>
      <c r="G1132" s="9">
        <f t="shared" si="157"/>
        <v>2.8</v>
      </c>
      <c r="H1132" t="str">
        <f>'(Raw) LensesGH'!D1132</f>
        <v>86mm</v>
      </c>
      <c r="I1132" s="2">
        <f t="shared" si="158"/>
        <v>86</v>
      </c>
      <c r="J1132" s="2" t="str">
        <f>'(Raw) LensesGH'!E1132</f>
        <v>1:1.00</v>
      </c>
      <c r="K1132" s="40">
        <f t="shared" si="159"/>
        <v>1</v>
      </c>
      <c r="L1132" t="str">
        <f>'(Raw) LensesGH'!F1132</f>
        <v>Canon EF</v>
      </c>
      <c r="M1132" t="str">
        <f>'(Raw) LensesGH'!G1132</f>
        <v>APS-C/ Kleinbild</v>
      </c>
      <c r="N1132" t="str">
        <f>'(Raw) LensesGH'!H1132</f>
        <v>1640g</v>
      </c>
      <c r="O1132" s="5">
        <f t="shared" si="160"/>
        <v>1640</v>
      </c>
      <c r="P1132" t="str">
        <f>'(Raw) LensesGH'!I1132</f>
        <v>95 x 203.9mm</v>
      </c>
      <c r="Q1132" s="39">
        <f t="shared" si="161"/>
        <v>95</v>
      </c>
      <c r="R1132" s="39">
        <f t="shared" si="153"/>
        <v>203.9</v>
      </c>
    </row>
    <row r="1133" spans="1:18" x14ac:dyDescent="0.25">
      <c r="A1133" t="str">
        <f>'(Raw) LensesGH'!A1133</f>
        <v>Sigma AF 180mm 2.8 EX DG APO HSM OS Makro für Nikon F schwarz</v>
      </c>
      <c r="B1133" t="str">
        <f>'(Raw) LensesGH'!B1133</f>
        <v>180mm</v>
      </c>
      <c r="C1133" s="5">
        <f t="shared" si="154"/>
        <v>180</v>
      </c>
      <c r="D1133" s="5">
        <f t="shared" si="155"/>
        <v>180</v>
      </c>
      <c r="E1133" t="str">
        <f>'(Raw) LensesGH'!C1133</f>
        <v>1:2.8</v>
      </c>
      <c r="F1133" s="9">
        <f t="shared" si="156"/>
        <v>2.8</v>
      </c>
      <c r="G1133" s="9">
        <f t="shared" si="157"/>
        <v>2.8</v>
      </c>
      <c r="H1133" t="str">
        <f>'(Raw) LensesGH'!D1133</f>
        <v>86mm</v>
      </c>
      <c r="I1133" s="2">
        <f t="shared" si="158"/>
        <v>86</v>
      </c>
      <c r="J1133" s="2" t="str">
        <f>'(Raw) LensesGH'!E1133</f>
        <v>1:1.00</v>
      </c>
      <c r="K1133" s="40">
        <f t="shared" si="159"/>
        <v>1</v>
      </c>
      <c r="L1133" t="str">
        <f>'(Raw) LensesGH'!F1133</f>
        <v>Nikon F</v>
      </c>
      <c r="M1133" t="str">
        <f>'(Raw) LensesGH'!G1133</f>
        <v>APS-C/ Kleinbild</v>
      </c>
      <c r="N1133" t="str">
        <f>'(Raw) LensesGH'!H1133</f>
        <v>1640g</v>
      </c>
      <c r="O1133" s="5">
        <f t="shared" si="160"/>
        <v>1640</v>
      </c>
      <c r="P1133" t="str">
        <f>'(Raw) LensesGH'!I1133</f>
        <v>95 x 203.9mm</v>
      </c>
      <c r="Q1133" s="39">
        <f t="shared" si="161"/>
        <v>95</v>
      </c>
      <c r="R1133" s="39">
        <f t="shared" si="153"/>
        <v>203.9</v>
      </c>
    </row>
    <row r="1134" spans="1:18" x14ac:dyDescent="0.25">
      <c r="A1134" t="str">
        <f>'(Raw) LensesGH'!A1134</f>
        <v>Sigma AF 180mm 2.8 EX DG APO HSM OS Makro für Sigma schwarz</v>
      </c>
      <c r="B1134" t="str">
        <f>'(Raw) LensesGH'!B1134</f>
        <v>180mm</v>
      </c>
      <c r="C1134" s="5">
        <f t="shared" si="154"/>
        <v>180</v>
      </c>
      <c r="D1134" s="5">
        <f t="shared" si="155"/>
        <v>180</v>
      </c>
      <c r="E1134" t="str">
        <f>'(Raw) LensesGH'!C1134</f>
        <v>1:2.8</v>
      </c>
      <c r="F1134" s="9">
        <f t="shared" si="156"/>
        <v>2.8</v>
      </c>
      <c r="G1134" s="9">
        <f t="shared" si="157"/>
        <v>2.8</v>
      </c>
      <c r="H1134" t="str">
        <f>'(Raw) LensesGH'!D1134</f>
        <v>86mm</v>
      </c>
      <c r="I1134" s="2">
        <f t="shared" si="158"/>
        <v>86</v>
      </c>
      <c r="J1134" s="2" t="str">
        <f>'(Raw) LensesGH'!E1134</f>
        <v>1:1.00</v>
      </c>
      <c r="K1134" s="40">
        <f t="shared" si="159"/>
        <v>1</v>
      </c>
      <c r="L1134" t="str">
        <f>'(Raw) LensesGH'!F1134</f>
        <v>Sigma SA</v>
      </c>
      <c r="M1134" t="str">
        <f>'(Raw) LensesGH'!G1134</f>
        <v>APS-C</v>
      </c>
      <c r="N1134" t="str">
        <f>'(Raw) LensesGH'!H1134</f>
        <v>1640g</v>
      </c>
      <c r="O1134" s="5">
        <f t="shared" si="160"/>
        <v>1640</v>
      </c>
      <c r="P1134" t="str">
        <f>'(Raw) LensesGH'!I1134</f>
        <v>95 x 203.9mm</v>
      </c>
      <c r="Q1134" s="39">
        <f t="shared" si="161"/>
        <v>95</v>
      </c>
      <c r="R1134" s="39">
        <f t="shared" si="153"/>
        <v>203.9</v>
      </c>
    </row>
    <row r="1135" spans="1:18" x14ac:dyDescent="0.25">
      <c r="A1135" t="str">
        <f>'(Raw) LensesGH'!A1135</f>
        <v>Sigma AF 180mm 2.8 EX DG APO HSM OS Makro für Sony A schwarz</v>
      </c>
      <c r="B1135" t="str">
        <f>'(Raw) LensesGH'!B1135</f>
        <v>180mm</v>
      </c>
      <c r="C1135" s="5">
        <f t="shared" si="154"/>
        <v>180</v>
      </c>
      <c r="D1135" s="5">
        <f t="shared" si="155"/>
        <v>180</v>
      </c>
      <c r="E1135" t="str">
        <f>'(Raw) LensesGH'!C1135</f>
        <v>1:2.8</v>
      </c>
      <c r="F1135" s="9">
        <f t="shared" si="156"/>
        <v>2.8</v>
      </c>
      <c r="G1135" s="9">
        <f t="shared" si="157"/>
        <v>2.8</v>
      </c>
      <c r="H1135" t="str">
        <f>'(Raw) LensesGH'!D1135</f>
        <v>86mm</v>
      </c>
      <c r="I1135" s="2">
        <f t="shared" si="158"/>
        <v>86</v>
      </c>
      <c r="J1135" s="2" t="str">
        <f>'(Raw) LensesGH'!E1135</f>
        <v>1:1.00</v>
      </c>
      <c r="K1135" s="40">
        <f t="shared" si="159"/>
        <v>1</v>
      </c>
      <c r="L1135" t="str">
        <f>'(Raw) LensesGH'!F1135</f>
        <v>Sony A</v>
      </c>
      <c r="M1135" t="str">
        <f>'(Raw) LensesGH'!G1135</f>
        <v>APS-C/ Kleinbild</v>
      </c>
      <c r="N1135" t="str">
        <f>'(Raw) LensesGH'!H1135</f>
        <v>1640g</v>
      </c>
      <c r="O1135" s="5">
        <f t="shared" si="160"/>
        <v>1640</v>
      </c>
      <c r="P1135" t="str">
        <f>'(Raw) LensesGH'!I1135</f>
        <v>95 x 203.9mm</v>
      </c>
      <c r="Q1135" s="39">
        <f t="shared" si="161"/>
        <v>95</v>
      </c>
      <c r="R1135" s="39">
        <f t="shared" si="153"/>
        <v>203.9</v>
      </c>
    </row>
    <row r="1136" spans="1:18" x14ac:dyDescent="0.25">
      <c r="A1136" t="str">
        <f>'(Raw) LensesGH'!A1136</f>
        <v>Sigma AF 18-125mm 3.8-5.6 DC OS HSM für Nikon F schwarz</v>
      </c>
      <c r="B1136" t="str">
        <f>'(Raw) LensesGH'!B1136</f>
        <v>18 - 125mm</v>
      </c>
      <c r="C1136" s="5">
        <f t="shared" si="154"/>
        <v>18</v>
      </c>
      <c r="D1136" s="5">
        <f t="shared" si="155"/>
        <v>125</v>
      </c>
      <c r="E1136" t="str">
        <f>'(Raw) LensesGH'!C1136</f>
        <v>1:3.8-1:5.6</v>
      </c>
      <c r="F1136" s="9">
        <f t="shared" si="156"/>
        <v>3.8</v>
      </c>
      <c r="G1136" s="9">
        <f t="shared" si="157"/>
        <v>3.8</v>
      </c>
      <c r="H1136" t="str">
        <f>'(Raw) LensesGH'!D1136</f>
        <v>67mm</v>
      </c>
      <c r="I1136" s="2">
        <f t="shared" si="158"/>
        <v>67</v>
      </c>
      <c r="J1136" s="2" t="str">
        <f>'(Raw) LensesGH'!E1136</f>
        <v>1:3.80</v>
      </c>
      <c r="K1136" s="40">
        <f t="shared" si="159"/>
        <v>3.8</v>
      </c>
      <c r="L1136" t="str">
        <f>'(Raw) LensesGH'!F1136</f>
        <v>Nikon F</v>
      </c>
      <c r="M1136" t="str">
        <f>'(Raw) LensesGH'!G1136</f>
        <v>APS-C</v>
      </c>
      <c r="N1136" t="str">
        <f>'(Raw) LensesGH'!H1136</f>
        <v>505g</v>
      </c>
      <c r="O1136" s="5">
        <f t="shared" si="160"/>
        <v>505</v>
      </c>
      <c r="P1136" t="str">
        <f>'(Raw) LensesGH'!I1136</f>
        <v>74 x 88.5mm</v>
      </c>
      <c r="Q1136" s="39">
        <f t="shared" si="161"/>
        <v>74</v>
      </c>
      <c r="R1136" s="39">
        <f t="shared" si="153"/>
        <v>88.5</v>
      </c>
    </row>
    <row r="1137" spans="1:18" x14ac:dyDescent="0.25">
      <c r="A1137" t="str">
        <f>'(Raw) LensesGH'!A1137</f>
        <v>Sigma AF 18-125mm 3.8-5.6 DC OS HSM für Sony A schwarz</v>
      </c>
      <c r="B1137" t="str">
        <f>'(Raw) LensesGH'!B1137</f>
        <v>18 - 125mm</v>
      </c>
      <c r="C1137" s="5">
        <f t="shared" si="154"/>
        <v>18</v>
      </c>
      <c r="D1137" s="5">
        <f t="shared" si="155"/>
        <v>125</v>
      </c>
      <c r="E1137" t="str">
        <f>'(Raw) LensesGH'!C1137</f>
        <v>1:3.8-1:5.6</v>
      </c>
      <c r="F1137" s="9">
        <f t="shared" si="156"/>
        <v>3.8</v>
      </c>
      <c r="G1137" s="9">
        <f t="shared" si="157"/>
        <v>3.8</v>
      </c>
      <c r="H1137" t="str">
        <f>'(Raw) LensesGH'!D1137</f>
        <v>67mm</v>
      </c>
      <c r="I1137" s="2">
        <f t="shared" si="158"/>
        <v>67</v>
      </c>
      <c r="J1137" s="2" t="str">
        <f>'(Raw) LensesGH'!E1137</f>
        <v>1:3.80</v>
      </c>
      <c r="K1137" s="40">
        <f t="shared" si="159"/>
        <v>3.8</v>
      </c>
      <c r="L1137" t="str">
        <f>'(Raw) LensesGH'!F1137</f>
        <v>Sony A</v>
      </c>
      <c r="M1137" t="str">
        <f>'(Raw) LensesGH'!G1137</f>
        <v>APS-C</v>
      </c>
      <c r="N1137" t="str">
        <f>'(Raw) LensesGH'!H1137</f>
        <v>505g</v>
      </c>
      <c r="O1137" s="5">
        <f t="shared" si="160"/>
        <v>505</v>
      </c>
      <c r="P1137" t="str">
        <f>'(Raw) LensesGH'!I1137</f>
        <v>74 x 88.5mm</v>
      </c>
      <c r="Q1137" s="39">
        <f t="shared" si="161"/>
        <v>74</v>
      </c>
      <c r="R1137" s="39">
        <f t="shared" si="153"/>
        <v>88.5</v>
      </c>
    </row>
    <row r="1138" spans="1:18" x14ac:dyDescent="0.25">
      <c r="A1138" t="str">
        <f>'(Raw) LensesGH'!A1138</f>
        <v>Sigma AF 18-200mm 3.5-6.3 DC OS HSM für Nikon F schwarz</v>
      </c>
      <c r="B1138" t="str">
        <f>'(Raw) LensesGH'!B1138</f>
        <v>18 - 200mm</v>
      </c>
      <c r="C1138" s="5">
        <f t="shared" si="154"/>
        <v>18</v>
      </c>
      <c r="D1138" s="5">
        <f t="shared" si="155"/>
        <v>200</v>
      </c>
      <c r="E1138" t="str">
        <f>'(Raw) LensesGH'!C1138</f>
        <v>1:3.5-1:6.3</v>
      </c>
      <c r="F1138" s="9">
        <f t="shared" si="156"/>
        <v>3.5</v>
      </c>
      <c r="G1138" s="9">
        <f t="shared" si="157"/>
        <v>3.5</v>
      </c>
      <c r="H1138" t="str">
        <f>'(Raw) LensesGH'!D1138</f>
        <v>72mm</v>
      </c>
      <c r="I1138" s="2">
        <f t="shared" si="158"/>
        <v>72</v>
      </c>
      <c r="J1138" s="2">
        <f>'(Raw) LensesGH'!E1138</f>
        <v>0</v>
      </c>
      <c r="K1138" s="40">
        <f t="shared" si="159"/>
        <v>0</v>
      </c>
      <c r="L1138" t="str">
        <f>'(Raw) LensesGH'!F1138</f>
        <v>Nikon F</v>
      </c>
      <c r="M1138" t="str">
        <f>'(Raw) LensesGH'!G1138</f>
        <v>APS-C</v>
      </c>
      <c r="N1138" t="str">
        <f>'(Raw) LensesGH'!H1138</f>
        <v>610g</v>
      </c>
      <c r="O1138" s="5">
        <f t="shared" si="160"/>
        <v>610</v>
      </c>
      <c r="P1138" t="str">
        <f>'(Raw) LensesGH'!I1138</f>
        <v>79 x 100mm</v>
      </c>
      <c r="Q1138" s="39">
        <f t="shared" si="161"/>
        <v>79</v>
      </c>
      <c r="R1138" s="39">
        <f t="shared" si="153"/>
        <v>100</v>
      </c>
    </row>
    <row r="1139" spans="1:18" x14ac:dyDescent="0.25">
      <c r="A1139" t="str">
        <f>'(Raw) LensesGH'!A1139</f>
        <v>Sigma AF 18-200mm 3.5-6.3 DC OS HSM II für Nikon F schwarz</v>
      </c>
      <c r="B1139" t="str">
        <f>'(Raw) LensesGH'!B1139</f>
        <v>18 - 200mm</v>
      </c>
      <c r="C1139" s="5">
        <f t="shared" si="154"/>
        <v>18</v>
      </c>
      <c r="D1139" s="5">
        <f t="shared" si="155"/>
        <v>200</v>
      </c>
      <c r="E1139" t="str">
        <f>'(Raw) LensesGH'!C1139</f>
        <v>1:3.5-1:6.3</v>
      </c>
      <c r="F1139" s="9">
        <f t="shared" si="156"/>
        <v>3.5</v>
      </c>
      <c r="G1139" s="9">
        <f t="shared" si="157"/>
        <v>3.5</v>
      </c>
      <c r="H1139" t="str">
        <f>'(Raw) LensesGH'!D1139</f>
        <v>62mm</v>
      </c>
      <c r="I1139" s="2">
        <f t="shared" si="158"/>
        <v>62</v>
      </c>
      <c r="J1139" s="2" t="str">
        <f>'(Raw) LensesGH'!E1139</f>
        <v>1:3.80</v>
      </c>
      <c r="K1139" s="40">
        <f t="shared" si="159"/>
        <v>3.8</v>
      </c>
      <c r="L1139" t="str">
        <f>'(Raw) LensesGH'!F1139</f>
        <v>Nikon F</v>
      </c>
      <c r="M1139" t="str">
        <f>'(Raw) LensesGH'!G1139</f>
        <v>APS-C</v>
      </c>
      <c r="N1139" t="str">
        <f>'(Raw) LensesGH'!H1139</f>
        <v>490g</v>
      </c>
      <c r="O1139" s="5">
        <f t="shared" si="160"/>
        <v>490</v>
      </c>
      <c r="P1139" t="str">
        <f>'(Raw) LensesGH'!I1139</f>
        <v>75.3 x 87.7mm</v>
      </c>
      <c r="Q1139" s="39">
        <f t="shared" si="161"/>
        <v>75.3</v>
      </c>
      <c r="R1139" s="39">
        <f t="shared" si="153"/>
        <v>87.7</v>
      </c>
    </row>
    <row r="1140" spans="1:18" x14ac:dyDescent="0.25">
      <c r="A1140" t="str">
        <f>'(Raw) LensesGH'!A1140</f>
        <v>Sigma AF 18-200mm 3.5-6.3 DC OS HSM II für Pentax K schwarz</v>
      </c>
      <c r="B1140" t="str">
        <f>'(Raw) LensesGH'!B1140</f>
        <v>18 - 200mm</v>
      </c>
      <c r="C1140" s="5">
        <f t="shared" si="154"/>
        <v>18</v>
      </c>
      <c r="D1140" s="5">
        <f t="shared" si="155"/>
        <v>200</v>
      </c>
      <c r="E1140" t="str">
        <f>'(Raw) LensesGH'!C1140</f>
        <v>1:3.5-1:6.3</v>
      </c>
      <c r="F1140" s="9">
        <f t="shared" si="156"/>
        <v>3.5</v>
      </c>
      <c r="G1140" s="9">
        <f t="shared" si="157"/>
        <v>3.5</v>
      </c>
      <c r="H1140" t="str">
        <f>'(Raw) LensesGH'!D1140</f>
        <v>62mm</v>
      </c>
      <c r="I1140" s="2">
        <f t="shared" si="158"/>
        <v>62</v>
      </c>
      <c r="J1140" s="2" t="str">
        <f>'(Raw) LensesGH'!E1140</f>
        <v>1:3.80</v>
      </c>
      <c r="K1140" s="40">
        <f t="shared" si="159"/>
        <v>3.8</v>
      </c>
      <c r="L1140" t="str">
        <f>'(Raw) LensesGH'!F1140</f>
        <v>Pentax K</v>
      </c>
      <c r="M1140" t="str">
        <f>'(Raw) LensesGH'!G1140</f>
        <v>APS-C</v>
      </c>
      <c r="N1140" t="str">
        <f>'(Raw) LensesGH'!H1140</f>
        <v>490g</v>
      </c>
      <c r="O1140" s="5">
        <f t="shared" si="160"/>
        <v>490</v>
      </c>
      <c r="P1140" t="str">
        <f>'(Raw) LensesGH'!I1140</f>
        <v>75.3 x 87.7mm</v>
      </c>
      <c r="Q1140" s="39">
        <f t="shared" si="161"/>
        <v>75.3</v>
      </c>
      <c r="R1140" s="39">
        <f t="shared" si="153"/>
        <v>87.7</v>
      </c>
    </row>
    <row r="1141" spans="1:18" x14ac:dyDescent="0.25">
      <c r="A1141" t="str">
        <f>'(Raw) LensesGH'!A1141</f>
        <v>Sigma AF 18-250mm 3.5-6.3 DC Makro HSM für Pentax K schwarz</v>
      </c>
      <c r="B1141" t="str">
        <f>'(Raw) LensesGH'!B1141</f>
        <v>18 - 250mm</v>
      </c>
      <c r="C1141" s="5">
        <f t="shared" si="154"/>
        <v>18</v>
      </c>
      <c r="D1141" s="5">
        <f t="shared" si="155"/>
        <v>250</v>
      </c>
      <c r="E1141" t="str">
        <f>'(Raw) LensesGH'!C1141</f>
        <v>1:3.5-1:6.3</v>
      </c>
      <c r="F1141" s="9">
        <f t="shared" si="156"/>
        <v>3.5</v>
      </c>
      <c r="G1141" s="9">
        <f t="shared" si="157"/>
        <v>3.5</v>
      </c>
      <c r="H1141" t="str">
        <f>'(Raw) LensesGH'!D1141</f>
        <v>62mm</v>
      </c>
      <c r="I1141" s="2">
        <f t="shared" si="158"/>
        <v>62</v>
      </c>
      <c r="J1141" s="2" t="str">
        <f>'(Raw) LensesGH'!E1141</f>
        <v>1:2.90</v>
      </c>
      <c r="K1141" s="40">
        <f t="shared" si="159"/>
        <v>2.9</v>
      </c>
      <c r="L1141" t="str">
        <f>'(Raw) LensesGH'!F1141</f>
        <v>Pentax K</v>
      </c>
      <c r="M1141" t="str">
        <f>'(Raw) LensesGH'!G1141</f>
        <v>APS-C</v>
      </c>
      <c r="N1141" t="str">
        <f>'(Raw) LensesGH'!H1141</f>
        <v>470g</v>
      </c>
      <c r="O1141" s="5">
        <f t="shared" si="160"/>
        <v>470</v>
      </c>
      <c r="P1141" t="str">
        <f>'(Raw) LensesGH'!I1141</f>
        <v>73.5 x 88.6mm</v>
      </c>
      <c r="Q1141" s="39">
        <f t="shared" si="161"/>
        <v>73.5</v>
      </c>
      <c r="R1141" s="39">
        <f t="shared" si="153"/>
        <v>88.6</v>
      </c>
    </row>
    <row r="1142" spans="1:18" x14ac:dyDescent="0.25">
      <c r="A1142" t="str">
        <f>'(Raw) LensesGH'!A1142</f>
        <v>Sigma AF 18-250mm 3.5-6.3 DC Makro HSM für Sony A schwarz</v>
      </c>
      <c r="B1142" t="str">
        <f>'(Raw) LensesGH'!B1142</f>
        <v>18 - 250mm</v>
      </c>
      <c r="C1142" s="5">
        <f t="shared" si="154"/>
        <v>18</v>
      </c>
      <c r="D1142" s="5">
        <f t="shared" si="155"/>
        <v>250</v>
      </c>
      <c r="E1142" t="str">
        <f>'(Raw) LensesGH'!C1142</f>
        <v>1:3.5-1:6.3</v>
      </c>
      <c r="F1142" s="9">
        <f t="shared" si="156"/>
        <v>3.5</v>
      </c>
      <c r="G1142" s="9">
        <f t="shared" si="157"/>
        <v>3.5</v>
      </c>
      <c r="H1142" t="str">
        <f>'(Raw) LensesGH'!D1142</f>
        <v>62mm</v>
      </c>
      <c r="I1142" s="2">
        <f t="shared" si="158"/>
        <v>62</v>
      </c>
      <c r="J1142" s="2" t="str">
        <f>'(Raw) LensesGH'!E1142</f>
        <v>1:2.90</v>
      </c>
      <c r="K1142" s="40">
        <f t="shared" si="159"/>
        <v>2.9</v>
      </c>
      <c r="L1142" t="str">
        <f>'(Raw) LensesGH'!F1142</f>
        <v>Sony A</v>
      </c>
      <c r="M1142" t="str">
        <f>'(Raw) LensesGH'!G1142</f>
        <v>APS-C</v>
      </c>
      <c r="N1142" t="str">
        <f>'(Raw) LensesGH'!H1142</f>
        <v>470g</v>
      </c>
      <c r="O1142" s="5">
        <f t="shared" si="160"/>
        <v>470</v>
      </c>
      <c r="P1142" t="str">
        <f>'(Raw) LensesGH'!I1142</f>
        <v>73.5 x 88.6mm</v>
      </c>
      <c r="Q1142" s="39">
        <f t="shared" si="161"/>
        <v>73.5</v>
      </c>
      <c r="R1142" s="39">
        <f t="shared" si="153"/>
        <v>88.6</v>
      </c>
    </row>
    <row r="1143" spans="1:18" x14ac:dyDescent="0.25">
      <c r="A1143" t="str">
        <f>'(Raw) LensesGH'!A1143</f>
        <v>Sigma AF 18-250mm 3.5-6.3 DC Makro OS HSM für Canon EF schwarz</v>
      </c>
      <c r="B1143" t="str">
        <f>'(Raw) LensesGH'!B1143</f>
        <v>18 - 250mm</v>
      </c>
      <c r="C1143" s="5">
        <f t="shared" si="154"/>
        <v>18</v>
      </c>
      <c r="D1143" s="5">
        <f t="shared" si="155"/>
        <v>250</v>
      </c>
      <c r="E1143" t="str">
        <f>'(Raw) LensesGH'!C1143</f>
        <v>1:3.5-1:6.3</v>
      </c>
      <c r="F1143" s="9">
        <f t="shared" si="156"/>
        <v>3.5</v>
      </c>
      <c r="G1143" s="9">
        <f t="shared" si="157"/>
        <v>3.5</v>
      </c>
      <c r="H1143" t="str">
        <f>'(Raw) LensesGH'!D1143</f>
        <v>62mm</v>
      </c>
      <c r="I1143" s="2">
        <f t="shared" si="158"/>
        <v>62</v>
      </c>
      <c r="J1143" s="2" t="str">
        <f>'(Raw) LensesGH'!E1143</f>
        <v>1:2.90</v>
      </c>
      <c r="K1143" s="40">
        <f t="shared" si="159"/>
        <v>2.9</v>
      </c>
      <c r="L1143" t="str">
        <f>'(Raw) LensesGH'!F1143</f>
        <v>Canon EF-S</v>
      </c>
      <c r="M1143" t="str">
        <f>'(Raw) LensesGH'!G1143</f>
        <v>APS-C</v>
      </c>
      <c r="N1143" t="str">
        <f>'(Raw) LensesGH'!H1143</f>
        <v>470g</v>
      </c>
      <c r="O1143" s="5">
        <f t="shared" si="160"/>
        <v>470</v>
      </c>
      <c r="P1143" t="str">
        <f>'(Raw) LensesGH'!I1143</f>
        <v>73.5 x 88.6mm</v>
      </c>
      <c r="Q1143" s="39">
        <f t="shared" si="161"/>
        <v>73.5</v>
      </c>
      <c r="R1143" s="39">
        <f t="shared" si="153"/>
        <v>88.6</v>
      </c>
    </row>
    <row r="1144" spans="1:18" x14ac:dyDescent="0.25">
      <c r="A1144" t="str">
        <f>'(Raw) LensesGH'!A1144</f>
        <v>Sigma AF 18-250mm 3.5-6.3 DC Makro OS HSM für Nikon F schwarz</v>
      </c>
      <c r="B1144" t="str">
        <f>'(Raw) LensesGH'!B1144</f>
        <v>18 - 250mm</v>
      </c>
      <c r="C1144" s="5">
        <f t="shared" si="154"/>
        <v>18</v>
      </c>
      <c r="D1144" s="5">
        <f t="shared" si="155"/>
        <v>250</v>
      </c>
      <c r="E1144" t="str">
        <f>'(Raw) LensesGH'!C1144</f>
        <v>1:3.5-1:6.3</v>
      </c>
      <c r="F1144" s="9">
        <f t="shared" si="156"/>
        <v>3.5</v>
      </c>
      <c r="G1144" s="9">
        <f t="shared" si="157"/>
        <v>3.5</v>
      </c>
      <c r="H1144" t="str">
        <f>'(Raw) LensesGH'!D1144</f>
        <v>62mm</v>
      </c>
      <c r="I1144" s="2">
        <f t="shared" si="158"/>
        <v>62</v>
      </c>
      <c r="J1144" s="2" t="str">
        <f>'(Raw) LensesGH'!E1144</f>
        <v>1:2.90</v>
      </c>
      <c r="K1144" s="40">
        <f t="shared" si="159"/>
        <v>2.9</v>
      </c>
      <c r="L1144" t="str">
        <f>'(Raw) LensesGH'!F1144</f>
        <v>Nikon F</v>
      </c>
      <c r="M1144" t="str">
        <f>'(Raw) LensesGH'!G1144</f>
        <v>APS-C</v>
      </c>
      <c r="N1144" t="str">
        <f>'(Raw) LensesGH'!H1144</f>
        <v>470g</v>
      </c>
      <c r="O1144" s="5">
        <f t="shared" si="160"/>
        <v>470</v>
      </c>
      <c r="P1144" t="str">
        <f>'(Raw) LensesGH'!I1144</f>
        <v>73.5 x 88.6mm</v>
      </c>
      <c r="Q1144" s="39">
        <f t="shared" si="161"/>
        <v>73.5</v>
      </c>
      <c r="R1144" s="39">
        <f t="shared" si="153"/>
        <v>88.6</v>
      </c>
    </row>
    <row r="1145" spans="1:18" x14ac:dyDescent="0.25">
      <c r="A1145" t="str">
        <f>'(Raw) LensesGH'!A1145</f>
        <v>Sigma AF 18-250mm 3.5-6.3 DC Makro OS HSM für Sigma schwarz</v>
      </c>
      <c r="B1145" t="str">
        <f>'(Raw) LensesGH'!B1145</f>
        <v>18 - 250mm</v>
      </c>
      <c r="C1145" s="5">
        <f t="shared" si="154"/>
        <v>18</v>
      </c>
      <c r="D1145" s="5">
        <f t="shared" si="155"/>
        <v>250</v>
      </c>
      <c r="E1145" t="str">
        <f>'(Raw) LensesGH'!C1145</f>
        <v>1:3.5-1:6.3</v>
      </c>
      <c r="F1145" s="9">
        <f t="shared" si="156"/>
        <v>3.5</v>
      </c>
      <c r="G1145" s="9">
        <f t="shared" si="157"/>
        <v>3.5</v>
      </c>
      <c r="H1145" t="str">
        <f>'(Raw) LensesGH'!D1145</f>
        <v>62mm</v>
      </c>
      <c r="I1145" s="2">
        <f t="shared" si="158"/>
        <v>62</v>
      </c>
      <c r="J1145" s="2" t="str">
        <f>'(Raw) LensesGH'!E1145</f>
        <v>1:2.90</v>
      </c>
      <c r="K1145" s="40">
        <f t="shared" si="159"/>
        <v>2.9</v>
      </c>
      <c r="L1145" t="str">
        <f>'(Raw) LensesGH'!F1145</f>
        <v>Sigma SA</v>
      </c>
      <c r="M1145" t="str">
        <f>'(Raw) LensesGH'!G1145</f>
        <v>APS-C</v>
      </c>
      <c r="N1145" t="str">
        <f>'(Raw) LensesGH'!H1145</f>
        <v>470g</v>
      </c>
      <c r="O1145" s="5">
        <f t="shared" si="160"/>
        <v>470</v>
      </c>
      <c r="P1145" t="str">
        <f>'(Raw) LensesGH'!I1145</f>
        <v>73.5 x 88.6mm</v>
      </c>
      <c r="Q1145" s="39">
        <f t="shared" si="161"/>
        <v>73.5</v>
      </c>
      <c r="R1145" s="39">
        <f t="shared" si="153"/>
        <v>88.6</v>
      </c>
    </row>
    <row r="1146" spans="1:18" x14ac:dyDescent="0.25">
      <c r="A1146" t="str">
        <f>'(Raw) LensesGH'!A1146</f>
        <v>Sigma AF 18-250mm 3.5-6.3 DC OS HSM für Canon EF schwarz</v>
      </c>
      <c r="B1146" t="str">
        <f>'(Raw) LensesGH'!B1146</f>
        <v>18 - 250mm</v>
      </c>
      <c r="C1146" s="5">
        <f t="shared" si="154"/>
        <v>18</v>
      </c>
      <c r="D1146" s="5">
        <f t="shared" si="155"/>
        <v>250</v>
      </c>
      <c r="E1146" t="str">
        <f>'(Raw) LensesGH'!C1146</f>
        <v>1:3.5-1:6.3</v>
      </c>
      <c r="F1146" s="9">
        <f t="shared" si="156"/>
        <v>3.5</v>
      </c>
      <c r="G1146" s="9">
        <f t="shared" si="157"/>
        <v>3.5</v>
      </c>
      <c r="H1146" t="str">
        <f>'(Raw) LensesGH'!D1146</f>
        <v>72mm</v>
      </c>
      <c r="I1146" s="2">
        <f t="shared" si="158"/>
        <v>72</v>
      </c>
      <c r="J1146" s="2" t="str">
        <f>'(Raw) LensesGH'!E1146</f>
        <v>1:3.40</v>
      </c>
      <c r="K1146" s="40">
        <f t="shared" si="159"/>
        <v>3.4</v>
      </c>
      <c r="L1146" t="str">
        <f>'(Raw) LensesGH'!F1146</f>
        <v>Canon EF-S</v>
      </c>
      <c r="M1146" t="str">
        <f>'(Raw) LensesGH'!G1146</f>
        <v>APS-C</v>
      </c>
      <c r="N1146" t="str">
        <f>'(Raw) LensesGH'!H1146</f>
        <v>630g</v>
      </c>
      <c r="O1146" s="5">
        <f t="shared" si="160"/>
        <v>630</v>
      </c>
      <c r="P1146" t="str">
        <f>'(Raw) LensesGH'!I1146</f>
        <v>79 x 101mm</v>
      </c>
      <c r="Q1146" s="39">
        <f t="shared" si="161"/>
        <v>79</v>
      </c>
      <c r="R1146" s="39">
        <f t="shared" si="153"/>
        <v>101</v>
      </c>
    </row>
    <row r="1147" spans="1:18" x14ac:dyDescent="0.25">
      <c r="A1147" t="str">
        <f>'(Raw) LensesGH'!A1147</f>
        <v>Sigma AF 18-250mm 3.5-6.3 DC OS HSM für Nikon F schwarz</v>
      </c>
      <c r="B1147" t="str">
        <f>'(Raw) LensesGH'!B1147</f>
        <v>18 - 250mm</v>
      </c>
      <c r="C1147" s="5">
        <f t="shared" si="154"/>
        <v>18</v>
      </c>
      <c r="D1147" s="5">
        <f t="shared" si="155"/>
        <v>250</v>
      </c>
      <c r="E1147" t="str">
        <f>'(Raw) LensesGH'!C1147</f>
        <v>1:3.5-1:6.3</v>
      </c>
      <c r="F1147" s="9">
        <f t="shared" si="156"/>
        <v>3.5</v>
      </c>
      <c r="G1147" s="9">
        <f t="shared" si="157"/>
        <v>3.5</v>
      </c>
      <c r="H1147" t="str">
        <f>'(Raw) LensesGH'!D1147</f>
        <v>72mm</v>
      </c>
      <c r="I1147" s="2">
        <f t="shared" si="158"/>
        <v>72</v>
      </c>
      <c r="J1147" s="2" t="str">
        <f>'(Raw) LensesGH'!E1147</f>
        <v>1:3.40</v>
      </c>
      <c r="K1147" s="40">
        <f t="shared" si="159"/>
        <v>3.4</v>
      </c>
      <c r="L1147" t="str">
        <f>'(Raw) LensesGH'!F1147</f>
        <v>Nikon F</v>
      </c>
      <c r="M1147" t="str">
        <f>'(Raw) LensesGH'!G1147</f>
        <v>APS-C</v>
      </c>
      <c r="N1147" t="str">
        <f>'(Raw) LensesGH'!H1147</f>
        <v>630g</v>
      </c>
      <c r="O1147" s="5">
        <f t="shared" si="160"/>
        <v>630</v>
      </c>
      <c r="P1147" t="str">
        <f>'(Raw) LensesGH'!I1147</f>
        <v>79 x 101mm</v>
      </c>
      <c r="Q1147" s="39">
        <f t="shared" si="161"/>
        <v>79</v>
      </c>
      <c r="R1147" s="39">
        <f t="shared" si="153"/>
        <v>101</v>
      </c>
    </row>
    <row r="1148" spans="1:18" x14ac:dyDescent="0.25">
      <c r="A1148" t="str">
        <f>'(Raw) LensesGH'!A1148</f>
        <v>Sigma AF 18-250mm 3.5-6.3 DC OS HSM für Sigma schwarz</v>
      </c>
      <c r="B1148" t="str">
        <f>'(Raw) LensesGH'!B1148</f>
        <v>18 - 250mm</v>
      </c>
      <c r="C1148" s="5">
        <f t="shared" si="154"/>
        <v>18</v>
      </c>
      <c r="D1148" s="5">
        <f t="shared" si="155"/>
        <v>250</v>
      </c>
      <c r="E1148" t="str">
        <f>'(Raw) LensesGH'!C1148</f>
        <v>1:3.5-1:6.3</v>
      </c>
      <c r="F1148" s="9">
        <f t="shared" si="156"/>
        <v>3.5</v>
      </c>
      <c r="G1148" s="9">
        <f t="shared" si="157"/>
        <v>3.5</v>
      </c>
      <c r="H1148" t="str">
        <f>'(Raw) LensesGH'!D1148</f>
        <v>72mm</v>
      </c>
      <c r="I1148" s="2">
        <f t="shared" si="158"/>
        <v>72</v>
      </c>
      <c r="J1148" s="2" t="str">
        <f>'(Raw) LensesGH'!E1148</f>
        <v>1:3.40</v>
      </c>
      <c r="K1148" s="40">
        <f t="shared" si="159"/>
        <v>3.4</v>
      </c>
      <c r="L1148" t="str">
        <f>'(Raw) LensesGH'!F1148</f>
        <v>Sigma SA</v>
      </c>
      <c r="M1148" t="str">
        <f>'(Raw) LensesGH'!G1148</f>
        <v>APS-C</v>
      </c>
      <c r="N1148" t="str">
        <f>'(Raw) LensesGH'!H1148</f>
        <v>630g</v>
      </c>
      <c r="O1148" s="5">
        <f t="shared" si="160"/>
        <v>630</v>
      </c>
      <c r="P1148" t="str">
        <f>'(Raw) LensesGH'!I1148</f>
        <v>79 x 101mm</v>
      </c>
      <c r="Q1148" s="39">
        <f t="shared" si="161"/>
        <v>79</v>
      </c>
      <c r="R1148" s="39">
        <f t="shared" si="153"/>
        <v>101</v>
      </c>
    </row>
    <row r="1149" spans="1:18" x14ac:dyDescent="0.25">
      <c r="A1149" t="str">
        <f>'(Raw) LensesGH'!A1149</f>
        <v>Sigma AF 19mm 2.8 EX DN für Micro-Four-Thirds schwarz</v>
      </c>
      <c r="B1149" t="str">
        <f>'(Raw) LensesGH'!B1149</f>
        <v>19mm</v>
      </c>
      <c r="C1149" s="5">
        <f t="shared" si="154"/>
        <v>19</v>
      </c>
      <c r="D1149" s="5">
        <f t="shared" si="155"/>
        <v>19</v>
      </c>
      <c r="E1149" t="str">
        <f>'(Raw) LensesGH'!C1149</f>
        <v>1:2.8</v>
      </c>
      <c r="F1149" s="9">
        <f t="shared" si="156"/>
        <v>2.8</v>
      </c>
      <c r="G1149" s="9">
        <f t="shared" si="157"/>
        <v>2.8</v>
      </c>
      <c r="H1149" t="str">
        <f>'(Raw) LensesGH'!D1149</f>
        <v>46mm</v>
      </c>
      <c r="I1149" s="2">
        <f t="shared" si="158"/>
        <v>46</v>
      </c>
      <c r="J1149" s="2" t="str">
        <f>'(Raw) LensesGH'!E1149</f>
        <v>1:7.40</v>
      </c>
      <c r="K1149" s="40">
        <f t="shared" si="159"/>
        <v>7.4</v>
      </c>
      <c r="L1149" t="str">
        <f>'(Raw) LensesGH'!F1149</f>
        <v>Micro-Four-Thirds</v>
      </c>
      <c r="M1149" t="str">
        <f>'(Raw) LensesGH'!G1149</f>
        <v>Four-Thirds</v>
      </c>
      <c r="N1149" t="str">
        <f>'(Raw) LensesGH'!H1149</f>
        <v>140g</v>
      </c>
      <c r="O1149" s="5">
        <f t="shared" si="160"/>
        <v>140</v>
      </c>
      <c r="P1149" t="str">
        <f>'(Raw) LensesGH'!I1149</f>
        <v>60.6 x 45.7mm</v>
      </c>
      <c r="Q1149" s="39">
        <f t="shared" si="161"/>
        <v>60.6</v>
      </c>
      <c r="R1149" s="39">
        <f t="shared" si="153"/>
        <v>45.7</v>
      </c>
    </row>
    <row r="1150" spans="1:18" x14ac:dyDescent="0.25">
      <c r="A1150" t="str">
        <f>'(Raw) LensesGH'!A1150</f>
        <v>Sigma AF 200-500mm 2.8 DG Asp APO für Canon EF grün</v>
      </c>
      <c r="B1150" t="str">
        <f>'(Raw) LensesGH'!B1150</f>
        <v>200 - 500mm</v>
      </c>
      <c r="C1150" s="5">
        <f t="shared" si="154"/>
        <v>200</v>
      </c>
      <c r="D1150" s="5">
        <f t="shared" si="155"/>
        <v>500</v>
      </c>
      <c r="E1150" t="str">
        <f>'(Raw) LensesGH'!C1150</f>
        <v>1:2.8</v>
      </c>
      <c r="F1150" s="9">
        <f t="shared" si="156"/>
        <v>2.8</v>
      </c>
      <c r="G1150" s="9">
        <f t="shared" si="157"/>
        <v>2.8</v>
      </c>
      <c r="H1150" t="str">
        <f>'(Raw) LensesGH'!D1150</f>
        <v>72mm</v>
      </c>
      <c r="I1150" s="2">
        <f t="shared" si="158"/>
        <v>72</v>
      </c>
      <c r="J1150" s="2" t="str">
        <f>'(Raw) LensesGH'!E1150</f>
        <v>1:7.70</v>
      </c>
      <c r="K1150" s="40">
        <f t="shared" si="159"/>
        <v>7.7</v>
      </c>
      <c r="L1150" t="str">
        <f>'(Raw) LensesGH'!F1150</f>
        <v>Canon EF</v>
      </c>
      <c r="M1150" t="str">
        <f>'(Raw) LensesGH'!G1150</f>
        <v>APS-C/ Kleinbild</v>
      </c>
      <c r="N1150" t="str">
        <f>'(Raw) LensesGH'!H1150</f>
        <v>15700g</v>
      </c>
      <c r="O1150" s="5">
        <f t="shared" si="160"/>
        <v>15700</v>
      </c>
      <c r="P1150" t="str">
        <f>'(Raw) LensesGH'!I1150</f>
        <v>236.5 x 726mm</v>
      </c>
      <c r="Q1150" s="39">
        <f t="shared" si="161"/>
        <v>236.5</v>
      </c>
      <c r="R1150" s="39">
        <f t="shared" si="153"/>
        <v>726</v>
      </c>
    </row>
    <row r="1151" spans="1:18" x14ac:dyDescent="0.25">
      <c r="A1151" t="str">
        <f>'(Raw) LensesGH'!A1151</f>
        <v>Sigma AF 200-500mm 2.8 DG Asp APO für Nikon F grün</v>
      </c>
      <c r="B1151" t="str">
        <f>'(Raw) LensesGH'!B1151</f>
        <v>200 - 500mm</v>
      </c>
      <c r="C1151" s="5">
        <f t="shared" si="154"/>
        <v>200</v>
      </c>
      <c r="D1151" s="5">
        <f t="shared" si="155"/>
        <v>500</v>
      </c>
      <c r="E1151" t="str">
        <f>'(Raw) LensesGH'!C1151</f>
        <v>1:2.8</v>
      </c>
      <c r="F1151" s="9">
        <f t="shared" si="156"/>
        <v>2.8</v>
      </c>
      <c r="G1151" s="9">
        <f t="shared" si="157"/>
        <v>2.8</v>
      </c>
      <c r="H1151" t="str">
        <f>'(Raw) LensesGH'!D1151</f>
        <v>72mm</v>
      </c>
      <c r="I1151" s="2">
        <f t="shared" si="158"/>
        <v>72</v>
      </c>
      <c r="J1151" s="2" t="str">
        <f>'(Raw) LensesGH'!E1151</f>
        <v>1:7.70</v>
      </c>
      <c r="K1151" s="40">
        <f t="shared" si="159"/>
        <v>7.7</v>
      </c>
      <c r="L1151" t="str">
        <f>'(Raw) LensesGH'!F1151</f>
        <v>Nikon F</v>
      </c>
      <c r="M1151" t="str">
        <f>'(Raw) LensesGH'!G1151</f>
        <v>APS-C/ Kleinbild</v>
      </c>
      <c r="N1151" t="str">
        <f>'(Raw) LensesGH'!H1151</f>
        <v>15700g</v>
      </c>
      <c r="O1151" s="5">
        <f t="shared" si="160"/>
        <v>15700</v>
      </c>
      <c r="P1151" t="str">
        <f>'(Raw) LensesGH'!I1151</f>
        <v>236.5 x 726mm</v>
      </c>
      <c r="Q1151" s="39">
        <f t="shared" si="161"/>
        <v>236.5</v>
      </c>
      <c r="R1151" s="39">
        <f t="shared" si="153"/>
        <v>726</v>
      </c>
    </row>
    <row r="1152" spans="1:18" x14ac:dyDescent="0.25">
      <c r="A1152" t="str">
        <f>'(Raw) LensesGH'!A1152</f>
        <v>Sigma AF 200-500mm 2.8 DG Asp APO für Sigma grün</v>
      </c>
      <c r="B1152" t="str">
        <f>'(Raw) LensesGH'!B1152</f>
        <v>200 - 500mm</v>
      </c>
      <c r="C1152" s="5">
        <f t="shared" si="154"/>
        <v>200</v>
      </c>
      <c r="D1152" s="5">
        <f t="shared" si="155"/>
        <v>500</v>
      </c>
      <c r="E1152" t="str">
        <f>'(Raw) LensesGH'!C1152</f>
        <v>1:2.8</v>
      </c>
      <c r="F1152" s="9">
        <f t="shared" si="156"/>
        <v>2.8</v>
      </c>
      <c r="G1152" s="9">
        <f t="shared" si="157"/>
        <v>2.8</v>
      </c>
      <c r="H1152" t="str">
        <f>'(Raw) LensesGH'!D1152</f>
        <v>72mm</v>
      </c>
      <c r="I1152" s="2">
        <f t="shared" si="158"/>
        <v>72</v>
      </c>
      <c r="J1152" s="2" t="str">
        <f>'(Raw) LensesGH'!E1152</f>
        <v>1:7.70</v>
      </c>
      <c r="K1152" s="40">
        <f t="shared" si="159"/>
        <v>7.7</v>
      </c>
      <c r="L1152" t="str">
        <f>'(Raw) LensesGH'!F1152</f>
        <v>Sigma SA</v>
      </c>
      <c r="M1152" t="str">
        <f>'(Raw) LensesGH'!G1152</f>
        <v>APS-C</v>
      </c>
      <c r="N1152" t="str">
        <f>'(Raw) LensesGH'!H1152</f>
        <v>15700g</v>
      </c>
      <c r="O1152" s="5">
        <f t="shared" si="160"/>
        <v>15700</v>
      </c>
      <c r="P1152" t="str">
        <f>'(Raw) LensesGH'!I1152</f>
        <v>236.5 x 726mm</v>
      </c>
      <c r="Q1152" s="39">
        <f t="shared" si="161"/>
        <v>236.5</v>
      </c>
      <c r="R1152" s="39">
        <f t="shared" si="153"/>
        <v>726</v>
      </c>
    </row>
    <row r="1153" spans="1:18" x14ac:dyDescent="0.25">
      <c r="A1153" t="str">
        <f>'(Raw) LensesGH'!A1153</f>
        <v>Sigma AF 20-40mm 2.8 EX DG Asp IF für Canon EF schwarz</v>
      </c>
      <c r="B1153" t="str">
        <f>'(Raw) LensesGH'!B1153</f>
        <v>20 - 40mm</v>
      </c>
      <c r="C1153" s="5">
        <f t="shared" si="154"/>
        <v>20</v>
      </c>
      <c r="D1153" s="5">
        <f t="shared" si="155"/>
        <v>40</v>
      </c>
      <c r="E1153" t="str">
        <f>'(Raw) LensesGH'!C1153</f>
        <v>1:2.8</v>
      </c>
      <c r="F1153" s="9">
        <f t="shared" si="156"/>
        <v>2.8</v>
      </c>
      <c r="G1153" s="9">
        <f t="shared" si="157"/>
        <v>2.8</v>
      </c>
      <c r="H1153" t="str">
        <f>'(Raw) LensesGH'!D1153</f>
        <v>82mm</v>
      </c>
      <c r="I1153" s="2">
        <f t="shared" si="158"/>
        <v>82</v>
      </c>
      <c r="J1153" s="2" t="str">
        <f>'(Raw) LensesGH'!E1153</f>
        <v>1:4.76</v>
      </c>
      <c r="K1153" s="40">
        <f t="shared" si="159"/>
        <v>4.76</v>
      </c>
      <c r="L1153" t="str">
        <f>'(Raw) LensesGH'!F1153</f>
        <v>Canon EF</v>
      </c>
      <c r="M1153" t="str">
        <f>'(Raw) LensesGH'!G1153</f>
        <v>APS-C/ Kleinbild</v>
      </c>
      <c r="N1153" t="str">
        <f>'(Raw) LensesGH'!H1153</f>
        <v>595g</v>
      </c>
      <c r="O1153" s="5">
        <f t="shared" si="160"/>
        <v>595</v>
      </c>
      <c r="P1153" t="str">
        <f>'(Raw) LensesGH'!I1153</f>
        <v>89 x 107.8mm</v>
      </c>
      <c r="Q1153" s="39">
        <f t="shared" si="161"/>
        <v>89</v>
      </c>
      <c r="R1153" s="39">
        <f t="shared" si="153"/>
        <v>107.8</v>
      </c>
    </row>
    <row r="1154" spans="1:18" x14ac:dyDescent="0.25">
      <c r="A1154" t="str">
        <f>'(Raw) LensesGH'!A1154</f>
        <v>Sigma AF 20mm 1.8 EX DG Asp RF für Canon EF schwarz</v>
      </c>
      <c r="B1154" t="str">
        <f>'(Raw) LensesGH'!B1154</f>
        <v>20mm</v>
      </c>
      <c r="C1154" s="5">
        <f t="shared" si="154"/>
        <v>20</v>
      </c>
      <c r="D1154" s="5">
        <f t="shared" si="155"/>
        <v>20</v>
      </c>
      <c r="E1154" t="str">
        <f>'(Raw) LensesGH'!C1154</f>
        <v>1:1.8</v>
      </c>
      <c r="F1154" s="9">
        <f t="shared" si="156"/>
        <v>1.8</v>
      </c>
      <c r="G1154" s="9">
        <f t="shared" si="157"/>
        <v>1.8</v>
      </c>
      <c r="H1154" t="str">
        <f>'(Raw) LensesGH'!D1154</f>
        <v>82mm</v>
      </c>
      <c r="I1154" s="2">
        <f t="shared" si="158"/>
        <v>82</v>
      </c>
      <c r="J1154" s="2" t="str">
        <f>'(Raw) LensesGH'!E1154</f>
        <v>1:4.00</v>
      </c>
      <c r="K1154" s="40">
        <f t="shared" si="159"/>
        <v>4</v>
      </c>
      <c r="L1154" t="str">
        <f>'(Raw) LensesGH'!F1154</f>
        <v>Canon EF</v>
      </c>
      <c r="M1154" t="str">
        <f>'(Raw) LensesGH'!G1154</f>
        <v>APS-C/ Kleinbild</v>
      </c>
      <c r="N1154" t="str">
        <f>'(Raw) LensesGH'!H1154</f>
        <v>500g</v>
      </c>
      <c r="O1154" s="5">
        <f t="shared" si="160"/>
        <v>500</v>
      </c>
      <c r="P1154" t="str">
        <f>'(Raw) LensesGH'!I1154</f>
        <v>88.6 x 87mm</v>
      </c>
      <c r="Q1154" s="39">
        <f t="shared" si="161"/>
        <v>88.6</v>
      </c>
      <c r="R1154" s="39">
        <f t="shared" ref="R1154:R1217" si="162">getSizeLength(P1154)</f>
        <v>87</v>
      </c>
    </row>
    <row r="1155" spans="1:18" x14ac:dyDescent="0.25">
      <c r="A1155" t="str">
        <f>'(Raw) LensesGH'!A1155</f>
        <v>Sigma AF 20mm 1.8 EX DG Asp RF für Nikon F schwarz</v>
      </c>
      <c r="B1155" t="str">
        <f>'(Raw) LensesGH'!B1155</f>
        <v>20mm</v>
      </c>
      <c r="C1155" s="5">
        <f t="shared" ref="C1155:C1218" si="163">getFocalLengthStart(B1155)</f>
        <v>20</v>
      </c>
      <c r="D1155" s="5">
        <f t="shared" ref="D1155:D1218" si="164">getFocalLengthEnd(B1155)</f>
        <v>20</v>
      </c>
      <c r="E1155" t="str">
        <f>'(Raw) LensesGH'!C1155</f>
        <v>1:1.8</v>
      </c>
      <c r="F1155" s="9">
        <f t="shared" ref="F1155:F1218" si="165">getApertureStart(E1155)</f>
        <v>1.8</v>
      </c>
      <c r="G1155" s="9">
        <f t="shared" ref="G1155:G1218" si="166">getApertureEnd(F1155)</f>
        <v>1.8</v>
      </c>
      <c r="H1155" t="str">
        <f>'(Raw) LensesGH'!D1155</f>
        <v>82mm</v>
      </c>
      <c r="I1155" s="2">
        <f t="shared" ref="I1155:I1218" si="167">getFiltersizeAsDouble(H1155)</f>
        <v>82</v>
      </c>
      <c r="J1155" s="2" t="str">
        <f>'(Raw) LensesGH'!E1155</f>
        <v>1:4.00</v>
      </c>
      <c r="K1155" s="40">
        <f t="shared" ref="K1155:K1218" si="168">getMagnification(J1155)</f>
        <v>4</v>
      </c>
      <c r="L1155" t="str">
        <f>'(Raw) LensesGH'!F1155</f>
        <v>Nikon F</v>
      </c>
      <c r="M1155" t="str">
        <f>'(Raw) LensesGH'!G1155</f>
        <v>APS-C/ Kleinbild</v>
      </c>
      <c r="N1155" t="str">
        <f>'(Raw) LensesGH'!H1155</f>
        <v>500g</v>
      </c>
      <c r="O1155" s="5">
        <f t="shared" ref="O1155:O1218" si="169">getWeightAsDouble(N1155)</f>
        <v>500</v>
      </c>
      <c r="P1155" t="str">
        <f>'(Raw) LensesGH'!I1155</f>
        <v>88.6 x 87mm</v>
      </c>
      <c r="Q1155" s="39">
        <f t="shared" ref="Q1155:Q1218" si="170">getSizeDiameter(P1155)</f>
        <v>88.6</v>
      </c>
      <c r="R1155" s="39">
        <f t="shared" si="162"/>
        <v>87</v>
      </c>
    </row>
    <row r="1156" spans="1:18" x14ac:dyDescent="0.25">
      <c r="A1156" t="str">
        <f>'(Raw) LensesGH'!A1156</f>
        <v>Sigma AF 20mm 1.8 EX DG Asp RF für Sony A schwarz</v>
      </c>
      <c r="B1156" t="str">
        <f>'(Raw) LensesGH'!B1156</f>
        <v>20mm</v>
      </c>
      <c r="C1156" s="5">
        <f t="shared" si="163"/>
        <v>20</v>
      </c>
      <c r="D1156" s="5">
        <f t="shared" si="164"/>
        <v>20</v>
      </c>
      <c r="E1156" t="str">
        <f>'(Raw) LensesGH'!C1156</f>
        <v>1:1.8</v>
      </c>
      <c r="F1156" s="9">
        <f t="shared" si="165"/>
        <v>1.8</v>
      </c>
      <c r="G1156" s="9">
        <f t="shared" si="166"/>
        <v>1.8</v>
      </c>
      <c r="H1156" t="str">
        <f>'(Raw) LensesGH'!D1156</f>
        <v>82mm</v>
      </c>
      <c r="I1156" s="2">
        <f t="shared" si="167"/>
        <v>82</v>
      </c>
      <c r="J1156" s="2" t="str">
        <f>'(Raw) LensesGH'!E1156</f>
        <v>1:4.00</v>
      </c>
      <c r="K1156" s="40">
        <f t="shared" si="168"/>
        <v>4</v>
      </c>
      <c r="L1156" t="str">
        <f>'(Raw) LensesGH'!F1156</f>
        <v>Sony A</v>
      </c>
      <c r="M1156" t="str">
        <f>'(Raw) LensesGH'!G1156</f>
        <v>APS-C/ Kleinbild</v>
      </c>
      <c r="N1156" t="str">
        <f>'(Raw) LensesGH'!H1156</f>
        <v>500g</v>
      </c>
      <c r="O1156" s="5">
        <f t="shared" si="169"/>
        <v>500</v>
      </c>
      <c r="P1156" t="str">
        <f>'(Raw) LensesGH'!I1156</f>
        <v>88.6 x 87mm</v>
      </c>
      <c r="Q1156" s="39">
        <f t="shared" si="170"/>
        <v>88.6</v>
      </c>
      <c r="R1156" s="39">
        <f t="shared" si="162"/>
        <v>87</v>
      </c>
    </row>
    <row r="1157" spans="1:18" x14ac:dyDescent="0.25">
      <c r="A1157" t="str">
        <f>'(Raw) LensesGH'!A1157</f>
        <v>Sigma AF 24-70mm 2.8 EX DG HSM für Nikon F schwarz</v>
      </c>
      <c r="B1157" t="str">
        <f>'(Raw) LensesGH'!B1157</f>
        <v>24 - 70mm</v>
      </c>
      <c r="C1157" s="5">
        <f t="shared" si="163"/>
        <v>24</v>
      </c>
      <c r="D1157" s="5">
        <f t="shared" si="164"/>
        <v>70</v>
      </c>
      <c r="E1157" t="str">
        <f>'(Raw) LensesGH'!C1157</f>
        <v>1:2.8</v>
      </c>
      <c r="F1157" s="9">
        <f t="shared" si="165"/>
        <v>2.8</v>
      </c>
      <c r="G1157" s="9">
        <f t="shared" si="166"/>
        <v>2.8</v>
      </c>
      <c r="H1157" t="str">
        <f>'(Raw) LensesGH'!D1157</f>
        <v>82mm</v>
      </c>
      <c r="I1157" s="2">
        <f t="shared" si="167"/>
        <v>82</v>
      </c>
      <c r="J1157" s="2" t="str">
        <f>'(Raw) LensesGH'!E1157</f>
        <v>1:5.30</v>
      </c>
      <c r="K1157" s="40">
        <f t="shared" si="168"/>
        <v>5.3</v>
      </c>
      <c r="L1157" t="str">
        <f>'(Raw) LensesGH'!F1157</f>
        <v>Nikon F</v>
      </c>
      <c r="M1157" t="str">
        <f>'(Raw) LensesGH'!G1157</f>
        <v>APS-C/ Kleinbild</v>
      </c>
      <c r="N1157" t="str">
        <f>'(Raw) LensesGH'!H1157</f>
        <v>790g</v>
      </c>
      <c r="O1157" s="5">
        <f t="shared" si="169"/>
        <v>790</v>
      </c>
      <c r="P1157" t="str">
        <f>'(Raw) LensesGH'!I1157</f>
        <v>88.6 x 94.7mm</v>
      </c>
      <c r="Q1157" s="39">
        <f t="shared" si="170"/>
        <v>88.6</v>
      </c>
      <c r="R1157" s="39">
        <f t="shared" si="162"/>
        <v>94.7</v>
      </c>
    </row>
    <row r="1158" spans="1:18" x14ac:dyDescent="0.25">
      <c r="A1158" t="str">
        <f>'(Raw) LensesGH'!A1158</f>
        <v>Sigma AF 24-70mm 2.8 EX DG HSM für Sony A schwarz</v>
      </c>
      <c r="B1158" t="str">
        <f>'(Raw) LensesGH'!B1158</f>
        <v>24 - 70mm</v>
      </c>
      <c r="C1158" s="5">
        <f t="shared" si="163"/>
        <v>24</v>
      </c>
      <c r="D1158" s="5">
        <f t="shared" si="164"/>
        <v>70</v>
      </c>
      <c r="E1158" t="str">
        <f>'(Raw) LensesGH'!C1158</f>
        <v>1:2.8</v>
      </c>
      <c r="F1158" s="9">
        <f t="shared" si="165"/>
        <v>2.8</v>
      </c>
      <c r="G1158" s="9">
        <f t="shared" si="166"/>
        <v>2.8</v>
      </c>
      <c r="H1158" t="str">
        <f>'(Raw) LensesGH'!D1158</f>
        <v>82mm</v>
      </c>
      <c r="I1158" s="2">
        <f t="shared" si="167"/>
        <v>82</v>
      </c>
      <c r="J1158" s="2" t="str">
        <f>'(Raw) LensesGH'!E1158</f>
        <v>1:5.30</v>
      </c>
      <c r="K1158" s="40">
        <f t="shared" si="168"/>
        <v>5.3</v>
      </c>
      <c r="L1158" t="str">
        <f>'(Raw) LensesGH'!F1158</f>
        <v>Sony A</v>
      </c>
      <c r="M1158" t="str">
        <f>'(Raw) LensesGH'!G1158</f>
        <v>APS-C/ Kleinbild</v>
      </c>
      <c r="N1158" t="str">
        <f>'(Raw) LensesGH'!H1158</f>
        <v>790g</v>
      </c>
      <c r="O1158" s="5">
        <f t="shared" si="169"/>
        <v>790</v>
      </c>
      <c r="P1158" t="str">
        <f>'(Raw) LensesGH'!I1158</f>
        <v>88.6 x 94.7mm</v>
      </c>
      <c r="Q1158" s="39">
        <f t="shared" si="170"/>
        <v>88.6</v>
      </c>
      <c r="R1158" s="39">
        <f t="shared" si="162"/>
        <v>94.7</v>
      </c>
    </row>
    <row r="1159" spans="1:18" x14ac:dyDescent="0.25">
      <c r="A1159" t="str">
        <f>'(Raw) LensesGH'!A1159</f>
        <v>Sigma AF 24mm 1.8 EX DG Asp Makro für Sigma schwarz</v>
      </c>
      <c r="B1159" t="str">
        <f>'(Raw) LensesGH'!B1159</f>
        <v>24mm</v>
      </c>
      <c r="C1159" s="5">
        <f t="shared" si="163"/>
        <v>24</v>
      </c>
      <c r="D1159" s="5">
        <f t="shared" si="164"/>
        <v>24</v>
      </c>
      <c r="E1159" t="str">
        <f>'(Raw) LensesGH'!C1159</f>
        <v>1:1.8</v>
      </c>
      <c r="F1159" s="9">
        <f t="shared" si="165"/>
        <v>1.8</v>
      </c>
      <c r="G1159" s="9">
        <f t="shared" si="166"/>
        <v>1.8</v>
      </c>
      <c r="H1159" t="str">
        <f>'(Raw) LensesGH'!D1159</f>
        <v>77mm</v>
      </c>
      <c r="I1159" s="2">
        <f t="shared" si="167"/>
        <v>77</v>
      </c>
      <c r="J1159" s="2" t="str">
        <f>'(Raw) LensesGH'!E1159</f>
        <v>1:2.70</v>
      </c>
      <c r="K1159" s="40">
        <f t="shared" si="168"/>
        <v>2.7</v>
      </c>
      <c r="L1159" t="str">
        <f>'(Raw) LensesGH'!F1159</f>
        <v>Sigma SA</v>
      </c>
      <c r="M1159" t="str">
        <f>'(Raw) LensesGH'!G1159</f>
        <v>APS-C</v>
      </c>
      <c r="N1159" t="str">
        <f>'(Raw) LensesGH'!H1159</f>
        <v>485g</v>
      </c>
      <c r="O1159" s="5">
        <f t="shared" si="169"/>
        <v>485</v>
      </c>
      <c r="P1159" t="str">
        <f>'(Raw) LensesGH'!I1159</f>
        <v>83.6 x 80mm</v>
      </c>
      <c r="Q1159" s="39">
        <f t="shared" si="170"/>
        <v>83.6</v>
      </c>
      <c r="R1159" s="39">
        <f t="shared" si="162"/>
        <v>80</v>
      </c>
    </row>
    <row r="1160" spans="1:18" x14ac:dyDescent="0.25">
      <c r="A1160" t="str">
        <f>'(Raw) LensesGH'!A1160</f>
        <v>Sigma AF 28-105mm 2.8-4.0 Asp IF für Sony A schwarz</v>
      </c>
      <c r="B1160" t="str">
        <f>'(Raw) LensesGH'!B1160</f>
        <v>28 - 105mm</v>
      </c>
      <c r="C1160" s="5">
        <f t="shared" si="163"/>
        <v>28</v>
      </c>
      <c r="D1160" s="5">
        <f t="shared" si="164"/>
        <v>105</v>
      </c>
      <c r="E1160" t="str">
        <f>'(Raw) LensesGH'!C1160</f>
        <v>1:2.8-1:4.0</v>
      </c>
      <c r="F1160" s="9">
        <f t="shared" si="165"/>
        <v>2.8</v>
      </c>
      <c r="G1160" s="9">
        <f t="shared" si="166"/>
        <v>2.8</v>
      </c>
      <c r="H1160" t="str">
        <f>'(Raw) LensesGH'!D1160</f>
        <v>72mm</v>
      </c>
      <c r="I1160" s="2">
        <f t="shared" si="167"/>
        <v>72</v>
      </c>
      <c r="J1160" s="2">
        <f>'(Raw) LensesGH'!E1160</f>
        <v>0</v>
      </c>
      <c r="K1160" s="40">
        <f t="shared" si="168"/>
        <v>0</v>
      </c>
      <c r="L1160" t="str">
        <f>'(Raw) LensesGH'!F1160</f>
        <v>Sony A</v>
      </c>
      <c r="M1160" t="str">
        <f>'(Raw) LensesGH'!G1160</f>
        <v>APS-C</v>
      </c>
      <c r="N1160" t="str">
        <f>'(Raw) LensesGH'!H1160</f>
        <v>405g</v>
      </c>
      <c r="O1160" s="5">
        <f t="shared" si="169"/>
        <v>405</v>
      </c>
      <c r="P1160" t="str">
        <f>'(Raw) LensesGH'!I1160</f>
        <v>79.5 x 77mm</v>
      </c>
      <c r="Q1160" s="39">
        <f t="shared" si="170"/>
        <v>79.5</v>
      </c>
      <c r="R1160" s="39">
        <f t="shared" si="162"/>
        <v>77</v>
      </c>
    </row>
    <row r="1161" spans="1:18" x14ac:dyDescent="0.25">
      <c r="A1161" t="str">
        <f>'(Raw) LensesGH'!A1161</f>
        <v>Sigma AF 28mm 1.8 EX DG Asp Makro für Sony A schwarz</v>
      </c>
      <c r="B1161" t="str">
        <f>'(Raw) LensesGH'!B1161</f>
        <v>28mm</v>
      </c>
      <c r="C1161" s="5">
        <f t="shared" si="163"/>
        <v>28</v>
      </c>
      <c r="D1161" s="5">
        <f t="shared" si="164"/>
        <v>28</v>
      </c>
      <c r="E1161" t="str">
        <f>'(Raw) LensesGH'!C1161</f>
        <v>1:1.8</v>
      </c>
      <c r="F1161" s="9">
        <f t="shared" si="165"/>
        <v>1.8</v>
      </c>
      <c r="G1161" s="9">
        <f t="shared" si="166"/>
        <v>1.8</v>
      </c>
      <c r="H1161" t="str">
        <f>'(Raw) LensesGH'!D1161</f>
        <v>77mm</v>
      </c>
      <c r="I1161" s="2">
        <f t="shared" si="167"/>
        <v>77</v>
      </c>
      <c r="J1161" s="2" t="str">
        <f>'(Raw) LensesGH'!E1161</f>
        <v>1:2.90</v>
      </c>
      <c r="K1161" s="40">
        <f t="shared" si="168"/>
        <v>2.9</v>
      </c>
      <c r="L1161" t="str">
        <f>'(Raw) LensesGH'!F1161</f>
        <v>Sony A</v>
      </c>
      <c r="M1161" t="str">
        <f>'(Raw) LensesGH'!G1161</f>
        <v>APS-C/ Kleinbild</v>
      </c>
      <c r="N1161" t="str">
        <f>'(Raw) LensesGH'!H1161</f>
        <v>485g</v>
      </c>
      <c r="O1161" s="5">
        <f t="shared" si="169"/>
        <v>485</v>
      </c>
      <c r="P1161" t="str">
        <f>'(Raw) LensesGH'!I1161</f>
        <v>83.6 x 80mm</v>
      </c>
      <c r="Q1161" s="39">
        <f t="shared" si="170"/>
        <v>83.6</v>
      </c>
      <c r="R1161" s="39">
        <f t="shared" si="162"/>
        <v>80</v>
      </c>
    </row>
    <row r="1162" spans="1:18" x14ac:dyDescent="0.25">
      <c r="A1162" t="str">
        <f>'(Raw) LensesGH'!A1162</f>
        <v>Sigma AF 300-800mm 5.6 EX DG APO HSM IF für Canon EF schwarz</v>
      </c>
      <c r="B1162" t="str">
        <f>'(Raw) LensesGH'!B1162</f>
        <v>300 - 800mm</v>
      </c>
      <c r="C1162" s="5">
        <f t="shared" si="163"/>
        <v>300</v>
      </c>
      <c r="D1162" s="5">
        <f t="shared" si="164"/>
        <v>800</v>
      </c>
      <c r="E1162" t="str">
        <f>'(Raw) LensesGH'!C1162</f>
        <v>1:5.6</v>
      </c>
      <c r="F1162" s="9">
        <f t="shared" si="165"/>
        <v>5.6</v>
      </c>
      <c r="G1162" s="9">
        <f t="shared" si="166"/>
        <v>5.6</v>
      </c>
      <c r="H1162" t="str">
        <f>'(Raw) LensesGH'!D1162</f>
        <v>46mm</v>
      </c>
      <c r="I1162" s="2">
        <f t="shared" si="167"/>
        <v>46</v>
      </c>
      <c r="J1162" s="2" t="str">
        <f>'(Raw) LensesGH'!E1162</f>
        <v>1:6.90</v>
      </c>
      <c r="K1162" s="40">
        <f t="shared" si="168"/>
        <v>6.9</v>
      </c>
      <c r="L1162" t="str">
        <f>'(Raw) LensesGH'!F1162</f>
        <v>Canon EF</v>
      </c>
      <c r="M1162" t="str">
        <f>'(Raw) LensesGH'!G1162</f>
        <v>APS-C/ Kleinbild</v>
      </c>
      <c r="N1162" t="str">
        <f>'(Raw) LensesGH'!H1162</f>
        <v>5880g</v>
      </c>
      <c r="O1162" s="5">
        <f t="shared" si="169"/>
        <v>5880</v>
      </c>
      <c r="P1162" t="str">
        <f>'(Raw) LensesGH'!I1162</f>
        <v>156.5 x 544mm</v>
      </c>
      <c r="Q1162" s="39">
        <f t="shared" si="170"/>
        <v>156.5</v>
      </c>
      <c r="R1162" s="39">
        <f t="shared" si="162"/>
        <v>544</v>
      </c>
    </row>
    <row r="1163" spans="1:18" x14ac:dyDescent="0.25">
      <c r="A1163" t="str">
        <f>'(Raw) LensesGH'!A1163</f>
        <v>Sigma AF 300-800mm 5.6 EX DG APO HSM IF für Nikon F schwarz</v>
      </c>
      <c r="B1163" t="str">
        <f>'(Raw) LensesGH'!B1163</f>
        <v>300 - 800mm</v>
      </c>
      <c r="C1163" s="5">
        <f t="shared" si="163"/>
        <v>300</v>
      </c>
      <c r="D1163" s="5">
        <f t="shared" si="164"/>
        <v>800</v>
      </c>
      <c r="E1163" t="str">
        <f>'(Raw) LensesGH'!C1163</f>
        <v>1:5.6</v>
      </c>
      <c r="F1163" s="9">
        <f t="shared" si="165"/>
        <v>5.6</v>
      </c>
      <c r="G1163" s="9">
        <f t="shared" si="166"/>
        <v>5.6</v>
      </c>
      <c r="H1163" t="str">
        <f>'(Raw) LensesGH'!D1163</f>
        <v>46mm</v>
      </c>
      <c r="I1163" s="2">
        <f t="shared" si="167"/>
        <v>46</v>
      </c>
      <c r="J1163" s="2" t="str">
        <f>'(Raw) LensesGH'!E1163</f>
        <v>1:6.90</v>
      </c>
      <c r="K1163" s="40">
        <f t="shared" si="168"/>
        <v>6.9</v>
      </c>
      <c r="L1163" t="str">
        <f>'(Raw) LensesGH'!F1163</f>
        <v>Nikon F</v>
      </c>
      <c r="M1163" t="str">
        <f>'(Raw) LensesGH'!G1163</f>
        <v>APS-C/ Kleinbild</v>
      </c>
      <c r="N1163" t="str">
        <f>'(Raw) LensesGH'!H1163</f>
        <v>5880g</v>
      </c>
      <c r="O1163" s="5">
        <f t="shared" si="169"/>
        <v>5880</v>
      </c>
      <c r="P1163" t="str">
        <f>'(Raw) LensesGH'!I1163</f>
        <v>156.5 x 544mm</v>
      </c>
      <c r="Q1163" s="39">
        <f t="shared" si="170"/>
        <v>156.5</v>
      </c>
      <c r="R1163" s="39">
        <f t="shared" si="162"/>
        <v>544</v>
      </c>
    </row>
    <row r="1164" spans="1:18" x14ac:dyDescent="0.25">
      <c r="A1164" t="str">
        <f>'(Raw) LensesGH'!A1164</f>
        <v>Sigma AF 300-800mm 5.6 EX DG APO HSM IF für Sigma schwarz</v>
      </c>
      <c r="B1164" t="str">
        <f>'(Raw) LensesGH'!B1164</f>
        <v>300 - 800mm</v>
      </c>
      <c r="C1164" s="5">
        <f t="shared" si="163"/>
        <v>300</v>
      </c>
      <c r="D1164" s="5">
        <f t="shared" si="164"/>
        <v>800</v>
      </c>
      <c r="E1164" t="str">
        <f>'(Raw) LensesGH'!C1164</f>
        <v>1:5.6</v>
      </c>
      <c r="F1164" s="9">
        <f t="shared" si="165"/>
        <v>5.6</v>
      </c>
      <c r="G1164" s="9">
        <f t="shared" si="166"/>
        <v>5.6</v>
      </c>
      <c r="H1164" t="str">
        <f>'(Raw) LensesGH'!D1164</f>
        <v>46mm</v>
      </c>
      <c r="I1164" s="2">
        <f t="shared" si="167"/>
        <v>46</v>
      </c>
      <c r="J1164" s="2" t="str">
        <f>'(Raw) LensesGH'!E1164</f>
        <v>1:6.90</v>
      </c>
      <c r="K1164" s="40">
        <f t="shared" si="168"/>
        <v>6.9</v>
      </c>
      <c r="L1164" t="str">
        <f>'(Raw) LensesGH'!F1164</f>
        <v>Sigma SA</v>
      </c>
      <c r="M1164" t="str">
        <f>'(Raw) LensesGH'!G1164</f>
        <v>APS-C</v>
      </c>
      <c r="N1164" t="str">
        <f>'(Raw) LensesGH'!H1164</f>
        <v>5880g</v>
      </c>
      <c r="O1164" s="5">
        <f t="shared" si="169"/>
        <v>5880</v>
      </c>
      <c r="P1164" t="str">
        <f>'(Raw) LensesGH'!I1164</f>
        <v>156.5 x 544mm</v>
      </c>
      <c r="Q1164" s="39">
        <f t="shared" si="170"/>
        <v>156.5</v>
      </c>
      <c r="R1164" s="39">
        <f t="shared" si="162"/>
        <v>544</v>
      </c>
    </row>
    <row r="1165" spans="1:18" x14ac:dyDescent="0.25">
      <c r="A1165" t="str">
        <f>'(Raw) LensesGH'!A1165</f>
        <v>Sigma AF 300mm 2.8 EX DG APO HSM IF für Canon EF schwarz</v>
      </c>
      <c r="B1165" t="str">
        <f>'(Raw) LensesGH'!B1165</f>
        <v>300mm</v>
      </c>
      <c r="C1165" s="5">
        <f t="shared" si="163"/>
        <v>300</v>
      </c>
      <c r="D1165" s="5">
        <f t="shared" si="164"/>
        <v>300</v>
      </c>
      <c r="E1165" t="str">
        <f>'(Raw) LensesGH'!C1165</f>
        <v>1:2.8</v>
      </c>
      <c r="F1165" s="9">
        <f t="shared" si="165"/>
        <v>2.8</v>
      </c>
      <c r="G1165" s="9">
        <f t="shared" si="166"/>
        <v>2.8</v>
      </c>
      <c r="H1165" t="str">
        <f>'(Raw) LensesGH'!D1165</f>
        <v>46mm</v>
      </c>
      <c r="I1165" s="2">
        <f t="shared" si="167"/>
        <v>46</v>
      </c>
      <c r="J1165" s="2" t="str">
        <f>'(Raw) LensesGH'!E1165</f>
        <v>1:7.50</v>
      </c>
      <c r="K1165" s="40">
        <f t="shared" si="168"/>
        <v>7.5</v>
      </c>
      <c r="L1165" t="str">
        <f>'(Raw) LensesGH'!F1165</f>
        <v>Canon EF</v>
      </c>
      <c r="M1165" t="str">
        <f>'(Raw) LensesGH'!G1165</f>
        <v>APS-C/ Kleinbild</v>
      </c>
      <c r="N1165" t="str">
        <f>'(Raw) LensesGH'!H1165</f>
        <v>2400g</v>
      </c>
      <c r="O1165" s="5">
        <f t="shared" si="169"/>
        <v>2400</v>
      </c>
      <c r="P1165" t="str">
        <f>'(Raw) LensesGH'!I1165</f>
        <v>119 x 214.5mm</v>
      </c>
      <c r="Q1165" s="39">
        <f t="shared" si="170"/>
        <v>119</v>
      </c>
      <c r="R1165" s="39">
        <f t="shared" si="162"/>
        <v>214.5</v>
      </c>
    </row>
    <row r="1166" spans="1:18" x14ac:dyDescent="0.25">
      <c r="A1166" t="str">
        <f>'(Raw) LensesGH'!A1166</f>
        <v>Sigma AF 300mm 2.8 EX DG APO HSM IF für Nikon F schwarz</v>
      </c>
      <c r="B1166" t="str">
        <f>'(Raw) LensesGH'!B1166</f>
        <v>300mm</v>
      </c>
      <c r="C1166" s="5">
        <f t="shared" si="163"/>
        <v>300</v>
      </c>
      <c r="D1166" s="5">
        <f t="shared" si="164"/>
        <v>300</v>
      </c>
      <c r="E1166" t="str">
        <f>'(Raw) LensesGH'!C1166</f>
        <v>1:2.8</v>
      </c>
      <c r="F1166" s="9">
        <f t="shared" si="165"/>
        <v>2.8</v>
      </c>
      <c r="G1166" s="9">
        <f t="shared" si="166"/>
        <v>2.8</v>
      </c>
      <c r="H1166" t="str">
        <f>'(Raw) LensesGH'!D1166</f>
        <v>46mm</v>
      </c>
      <c r="I1166" s="2">
        <f t="shared" si="167"/>
        <v>46</v>
      </c>
      <c r="J1166" s="2" t="str">
        <f>'(Raw) LensesGH'!E1166</f>
        <v>1:7.50</v>
      </c>
      <c r="K1166" s="40">
        <f t="shared" si="168"/>
        <v>7.5</v>
      </c>
      <c r="L1166" t="str">
        <f>'(Raw) LensesGH'!F1166</f>
        <v>Nikon F</v>
      </c>
      <c r="M1166" t="str">
        <f>'(Raw) LensesGH'!G1166</f>
        <v>APS-C/ Kleinbild</v>
      </c>
      <c r="N1166" t="str">
        <f>'(Raw) LensesGH'!H1166</f>
        <v>2400g</v>
      </c>
      <c r="O1166" s="5">
        <f t="shared" si="169"/>
        <v>2400</v>
      </c>
      <c r="P1166" t="str">
        <f>'(Raw) LensesGH'!I1166</f>
        <v>119 x 214.5mm</v>
      </c>
      <c r="Q1166" s="39">
        <f t="shared" si="170"/>
        <v>119</v>
      </c>
      <c r="R1166" s="39">
        <f t="shared" si="162"/>
        <v>214.5</v>
      </c>
    </row>
    <row r="1167" spans="1:18" x14ac:dyDescent="0.25">
      <c r="A1167" t="str">
        <f>'(Raw) LensesGH'!A1167</f>
        <v>Sigma AF 300mm 2.8 EX DG APO HSM IF für Sigma schwarz</v>
      </c>
      <c r="B1167" t="str">
        <f>'(Raw) LensesGH'!B1167</f>
        <v>300mm</v>
      </c>
      <c r="C1167" s="5">
        <f t="shared" si="163"/>
        <v>300</v>
      </c>
      <c r="D1167" s="5">
        <f t="shared" si="164"/>
        <v>300</v>
      </c>
      <c r="E1167" t="str">
        <f>'(Raw) LensesGH'!C1167</f>
        <v>1:2.8</v>
      </c>
      <c r="F1167" s="9">
        <f t="shared" si="165"/>
        <v>2.8</v>
      </c>
      <c r="G1167" s="9">
        <f t="shared" si="166"/>
        <v>2.8</v>
      </c>
      <c r="H1167" t="str">
        <f>'(Raw) LensesGH'!D1167</f>
        <v>46mm</v>
      </c>
      <c r="I1167" s="2">
        <f t="shared" si="167"/>
        <v>46</v>
      </c>
      <c r="J1167" s="2" t="str">
        <f>'(Raw) LensesGH'!E1167</f>
        <v>1:7.50</v>
      </c>
      <c r="K1167" s="40">
        <f t="shared" si="168"/>
        <v>7.5</v>
      </c>
      <c r="L1167" t="str">
        <f>'(Raw) LensesGH'!F1167</f>
        <v>Sigma SA</v>
      </c>
      <c r="M1167" t="str">
        <f>'(Raw) LensesGH'!G1167</f>
        <v>APS-C</v>
      </c>
      <c r="N1167" t="str">
        <f>'(Raw) LensesGH'!H1167</f>
        <v>2400g</v>
      </c>
      <c r="O1167" s="5">
        <f t="shared" si="169"/>
        <v>2400</v>
      </c>
      <c r="P1167" t="str">
        <f>'(Raw) LensesGH'!I1167</f>
        <v>119 x 214.5mm</v>
      </c>
      <c r="Q1167" s="39">
        <f t="shared" si="170"/>
        <v>119</v>
      </c>
      <c r="R1167" s="39">
        <f t="shared" si="162"/>
        <v>214.5</v>
      </c>
    </row>
    <row r="1168" spans="1:18" x14ac:dyDescent="0.25">
      <c r="A1168" t="str">
        <f>'(Raw) LensesGH'!A1168</f>
        <v>Sigma AF 300mm 2.8 EX DG APO IF für Pentax K schwarz</v>
      </c>
      <c r="B1168" t="str">
        <f>'(Raw) LensesGH'!B1168</f>
        <v>300mm</v>
      </c>
      <c r="C1168" s="5">
        <f t="shared" si="163"/>
        <v>300</v>
      </c>
      <c r="D1168" s="5">
        <f t="shared" si="164"/>
        <v>300</v>
      </c>
      <c r="E1168" t="str">
        <f>'(Raw) LensesGH'!C1168</f>
        <v>1:2.8</v>
      </c>
      <c r="F1168" s="9">
        <f t="shared" si="165"/>
        <v>2.8</v>
      </c>
      <c r="G1168" s="9">
        <f t="shared" si="166"/>
        <v>2.8</v>
      </c>
      <c r="H1168" t="str">
        <f>'(Raw) LensesGH'!D1168</f>
        <v>46mm</v>
      </c>
      <c r="I1168" s="2">
        <f t="shared" si="167"/>
        <v>46</v>
      </c>
      <c r="J1168" s="2" t="str">
        <f>'(Raw) LensesGH'!E1168</f>
        <v>1:7.50</v>
      </c>
      <c r="K1168" s="40">
        <f t="shared" si="168"/>
        <v>7.5</v>
      </c>
      <c r="L1168" t="str">
        <f>'(Raw) LensesGH'!F1168</f>
        <v>Pentax K</v>
      </c>
      <c r="M1168" t="str">
        <f>'(Raw) LensesGH'!G1168</f>
        <v>APS-C/ Kleinbild</v>
      </c>
      <c r="N1168" t="str">
        <f>'(Raw) LensesGH'!H1168</f>
        <v>2400g</v>
      </c>
      <c r="O1168" s="5">
        <f t="shared" si="169"/>
        <v>2400</v>
      </c>
      <c r="P1168" t="str">
        <f>'(Raw) LensesGH'!I1168</f>
        <v>119 x 214.5mm</v>
      </c>
      <c r="Q1168" s="39">
        <f t="shared" si="170"/>
        <v>119</v>
      </c>
      <c r="R1168" s="39">
        <f t="shared" si="162"/>
        <v>214.5</v>
      </c>
    </row>
    <row r="1169" spans="1:18" x14ac:dyDescent="0.25">
      <c r="A1169" t="str">
        <f>'(Raw) LensesGH'!A1169</f>
        <v>Sigma AF 300mm 2.8 EX DG APO IF für Sony A schwarz</v>
      </c>
      <c r="B1169" t="str">
        <f>'(Raw) LensesGH'!B1169</f>
        <v>300mm</v>
      </c>
      <c r="C1169" s="5">
        <f t="shared" si="163"/>
        <v>300</v>
      </c>
      <c r="D1169" s="5">
        <f t="shared" si="164"/>
        <v>300</v>
      </c>
      <c r="E1169" t="str">
        <f>'(Raw) LensesGH'!C1169</f>
        <v>1:2.8</v>
      </c>
      <c r="F1169" s="9">
        <f t="shared" si="165"/>
        <v>2.8</v>
      </c>
      <c r="G1169" s="9">
        <f t="shared" si="166"/>
        <v>2.8</v>
      </c>
      <c r="H1169" t="str">
        <f>'(Raw) LensesGH'!D1169</f>
        <v>46mm</v>
      </c>
      <c r="I1169" s="2">
        <f t="shared" si="167"/>
        <v>46</v>
      </c>
      <c r="J1169" s="2" t="str">
        <f>'(Raw) LensesGH'!E1169</f>
        <v>1:7.50</v>
      </c>
      <c r="K1169" s="40">
        <f t="shared" si="168"/>
        <v>7.5</v>
      </c>
      <c r="L1169" t="str">
        <f>'(Raw) LensesGH'!F1169</f>
        <v>Sony A</v>
      </c>
      <c r="M1169" t="str">
        <f>'(Raw) LensesGH'!G1169</f>
        <v>APS-C/ Kleinbild</v>
      </c>
      <c r="N1169" t="str">
        <f>'(Raw) LensesGH'!H1169</f>
        <v>2400g</v>
      </c>
      <c r="O1169" s="5">
        <f t="shared" si="169"/>
        <v>2400</v>
      </c>
      <c r="P1169" t="str">
        <f>'(Raw) LensesGH'!I1169</f>
        <v>119 x 214.5mm</v>
      </c>
      <c r="Q1169" s="39">
        <f t="shared" si="170"/>
        <v>119</v>
      </c>
      <c r="R1169" s="39">
        <f t="shared" si="162"/>
        <v>214.5</v>
      </c>
    </row>
    <row r="1170" spans="1:18" x14ac:dyDescent="0.25">
      <c r="A1170" t="str">
        <f>'(Raw) LensesGH'!A1170</f>
        <v>Sigma AF 30mm 1.4 EX DC für Sony A schwarz</v>
      </c>
      <c r="B1170" t="str">
        <f>'(Raw) LensesGH'!B1170</f>
        <v>30mm</v>
      </c>
      <c r="C1170" s="5">
        <f t="shared" si="163"/>
        <v>30</v>
      </c>
      <c r="D1170" s="5">
        <f t="shared" si="164"/>
        <v>30</v>
      </c>
      <c r="E1170" t="str">
        <f>'(Raw) LensesGH'!C1170</f>
        <v>1:1.4</v>
      </c>
      <c r="F1170" s="9">
        <f t="shared" si="165"/>
        <v>1.4</v>
      </c>
      <c r="G1170" s="9">
        <f t="shared" si="166"/>
        <v>1.4</v>
      </c>
      <c r="H1170" t="str">
        <f>'(Raw) LensesGH'!D1170</f>
        <v>62mm</v>
      </c>
      <c r="I1170" s="2">
        <f t="shared" si="167"/>
        <v>62</v>
      </c>
      <c r="J1170" s="2" t="str">
        <f>'(Raw) LensesGH'!E1170</f>
        <v>1:10.40</v>
      </c>
      <c r="K1170" s="40">
        <f t="shared" si="168"/>
        <v>10.4</v>
      </c>
      <c r="L1170" t="str">
        <f>'(Raw) LensesGH'!F1170</f>
        <v>Sony A</v>
      </c>
      <c r="M1170" t="str">
        <f>'(Raw) LensesGH'!G1170</f>
        <v>APS-C</v>
      </c>
      <c r="N1170" t="str">
        <f>'(Raw) LensesGH'!H1170</f>
        <v>430g</v>
      </c>
      <c r="O1170" s="5">
        <f t="shared" si="169"/>
        <v>430</v>
      </c>
      <c r="P1170" t="str">
        <f>'(Raw) LensesGH'!I1170</f>
        <v>76.6 x 59mm</v>
      </c>
      <c r="Q1170" s="39">
        <f t="shared" si="170"/>
        <v>76.599999999999994</v>
      </c>
      <c r="R1170" s="39">
        <f t="shared" si="162"/>
        <v>59</v>
      </c>
    </row>
    <row r="1171" spans="1:18" x14ac:dyDescent="0.25">
      <c r="A1171" t="str">
        <f>'(Raw) LensesGH'!A1171</f>
        <v>Sigma AF 30mm 1.4 EX DC HSM für Nikon F schwarz</v>
      </c>
      <c r="B1171" t="str">
        <f>'(Raw) LensesGH'!B1171</f>
        <v>30mm</v>
      </c>
      <c r="C1171" s="5">
        <f t="shared" si="163"/>
        <v>30</v>
      </c>
      <c r="D1171" s="5">
        <f t="shared" si="164"/>
        <v>30</v>
      </c>
      <c r="E1171" t="str">
        <f>'(Raw) LensesGH'!C1171</f>
        <v>1:1.4</v>
      </c>
      <c r="F1171" s="9">
        <f t="shared" si="165"/>
        <v>1.4</v>
      </c>
      <c r="G1171" s="9">
        <f t="shared" si="166"/>
        <v>1.4</v>
      </c>
      <c r="H1171" t="str">
        <f>'(Raw) LensesGH'!D1171</f>
        <v>62mm</v>
      </c>
      <c r="I1171" s="2">
        <f t="shared" si="167"/>
        <v>62</v>
      </c>
      <c r="J1171" s="2" t="str">
        <f>'(Raw) LensesGH'!E1171</f>
        <v>1:10.40</v>
      </c>
      <c r="K1171" s="40">
        <f t="shared" si="168"/>
        <v>10.4</v>
      </c>
      <c r="L1171" t="str">
        <f>'(Raw) LensesGH'!F1171</f>
        <v>Nikon F</v>
      </c>
      <c r="M1171" t="str">
        <f>'(Raw) LensesGH'!G1171</f>
        <v>APS-C</v>
      </c>
      <c r="N1171" t="str">
        <f>'(Raw) LensesGH'!H1171</f>
        <v>430g</v>
      </c>
      <c r="O1171" s="5">
        <f t="shared" si="169"/>
        <v>430</v>
      </c>
      <c r="P1171" t="str">
        <f>'(Raw) LensesGH'!I1171</f>
        <v>76.6 x 59mm</v>
      </c>
      <c r="Q1171" s="39">
        <f t="shared" si="170"/>
        <v>76.599999999999994</v>
      </c>
      <c r="R1171" s="39">
        <f t="shared" si="162"/>
        <v>59</v>
      </c>
    </row>
    <row r="1172" spans="1:18" x14ac:dyDescent="0.25">
      <c r="A1172" t="str">
        <f>'(Raw) LensesGH'!A1172</f>
        <v>Sigma AF 30mm 2.8 EX DN für Micro-Four-Thirds schwarz</v>
      </c>
      <c r="B1172" t="str">
        <f>'(Raw) LensesGH'!B1172</f>
        <v>30mm</v>
      </c>
      <c r="C1172" s="5">
        <f t="shared" si="163"/>
        <v>30</v>
      </c>
      <c r="D1172" s="5">
        <f t="shared" si="164"/>
        <v>30</v>
      </c>
      <c r="E1172" t="str">
        <f>'(Raw) LensesGH'!C1172</f>
        <v>1:2.8</v>
      </c>
      <c r="F1172" s="9">
        <f t="shared" si="165"/>
        <v>2.8</v>
      </c>
      <c r="G1172" s="9">
        <f t="shared" si="166"/>
        <v>2.8</v>
      </c>
      <c r="H1172" t="str">
        <f>'(Raw) LensesGH'!D1172</f>
        <v>46mm</v>
      </c>
      <c r="I1172" s="2">
        <f t="shared" si="167"/>
        <v>46</v>
      </c>
      <c r="J1172" s="2" t="str">
        <f>'(Raw) LensesGH'!E1172</f>
        <v>1:11.11</v>
      </c>
      <c r="K1172" s="40">
        <f t="shared" si="168"/>
        <v>11.11</v>
      </c>
      <c r="L1172" t="str">
        <f>'(Raw) LensesGH'!F1172</f>
        <v>Micro-Four-Thirds</v>
      </c>
      <c r="M1172" t="str">
        <f>'(Raw) LensesGH'!G1172</f>
        <v>Four-Thirds</v>
      </c>
      <c r="N1172" t="str">
        <f>'(Raw) LensesGH'!H1172</f>
        <v>135g</v>
      </c>
      <c r="O1172" s="5">
        <f t="shared" si="169"/>
        <v>135</v>
      </c>
      <c r="P1172" t="str">
        <f>'(Raw) LensesGH'!I1172</f>
        <v>60.6 x 38.6mm</v>
      </c>
      <c r="Q1172" s="39">
        <f t="shared" si="170"/>
        <v>60.6</v>
      </c>
      <c r="R1172" s="39">
        <f t="shared" si="162"/>
        <v>38.6</v>
      </c>
    </row>
    <row r="1173" spans="1:18" x14ac:dyDescent="0.25">
      <c r="A1173" t="str">
        <f>'(Raw) LensesGH'!A1173</f>
        <v>Sigma AF 4.5mm 2.8 EX DC HSM Zirkular Fisheye für Canon EF schwarz</v>
      </c>
      <c r="B1173" t="str">
        <f>'(Raw) LensesGH'!B1173</f>
        <v>4.5mm</v>
      </c>
      <c r="C1173" s="5">
        <f t="shared" si="163"/>
        <v>4.5</v>
      </c>
      <c r="D1173" s="5">
        <f t="shared" si="164"/>
        <v>4.5</v>
      </c>
      <c r="E1173" t="str">
        <f>'(Raw) LensesGH'!C1173</f>
        <v>1:2.8</v>
      </c>
      <c r="F1173" s="9">
        <f t="shared" si="165"/>
        <v>2.8</v>
      </c>
      <c r="G1173" s="9">
        <f t="shared" si="166"/>
        <v>2.8</v>
      </c>
      <c r="H1173">
        <f>'(Raw) LensesGH'!D1173</f>
        <v>0</v>
      </c>
      <c r="I1173" s="2">
        <f t="shared" si="167"/>
        <v>0</v>
      </c>
      <c r="J1173" s="2" t="str">
        <f>'(Raw) LensesGH'!E1173</f>
        <v>1:6.00</v>
      </c>
      <c r="K1173" s="40">
        <f t="shared" si="168"/>
        <v>6</v>
      </c>
      <c r="L1173" t="str">
        <f>'(Raw) LensesGH'!F1173</f>
        <v>Canon EF-S</v>
      </c>
      <c r="M1173" t="str">
        <f>'(Raw) LensesGH'!G1173</f>
        <v>APS-C</v>
      </c>
      <c r="N1173" t="str">
        <f>'(Raw) LensesGH'!H1173</f>
        <v>470g</v>
      </c>
      <c r="O1173" s="5">
        <f t="shared" si="169"/>
        <v>470</v>
      </c>
      <c r="P1173" t="str">
        <f>'(Raw) LensesGH'!I1173</f>
        <v>76.2 x 77.8mm</v>
      </c>
      <c r="Q1173" s="39">
        <f t="shared" si="170"/>
        <v>76.2</v>
      </c>
      <c r="R1173" s="39">
        <f t="shared" si="162"/>
        <v>77.8</v>
      </c>
    </row>
    <row r="1174" spans="1:18" x14ac:dyDescent="0.25">
      <c r="A1174" t="str">
        <f>'(Raw) LensesGH'!A1174</f>
        <v>Sigma AF 4.5mm 2.8 EX DC HSM Zirkular Fisheye für Nikon F schwarz</v>
      </c>
      <c r="B1174" t="str">
        <f>'(Raw) LensesGH'!B1174</f>
        <v>4.5mm</v>
      </c>
      <c r="C1174" s="5">
        <f t="shared" si="163"/>
        <v>4.5</v>
      </c>
      <c r="D1174" s="5">
        <f t="shared" si="164"/>
        <v>4.5</v>
      </c>
      <c r="E1174" t="str">
        <f>'(Raw) LensesGH'!C1174</f>
        <v>1:2.8</v>
      </c>
      <c r="F1174" s="9">
        <f t="shared" si="165"/>
        <v>2.8</v>
      </c>
      <c r="G1174" s="9">
        <f t="shared" si="166"/>
        <v>2.8</v>
      </c>
      <c r="H1174">
        <f>'(Raw) LensesGH'!D1174</f>
        <v>0</v>
      </c>
      <c r="I1174" s="2">
        <f t="shared" si="167"/>
        <v>0</v>
      </c>
      <c r="J1174" s="2" t="str">
        <f>'(Raw) LensesGH'!E1174</f>
        <v>1:6.00</v>
      </c>
      <c r="K1174" s="40">
        <f t="shared" si="168"/>
        <v>6</v>
      </c>
      <c r="L1174" t="str">
        <f>'(Raw) LensesGH'!F1174</f>
        <v>Nikon F</v>
      </c>
      <c r="M1174" t="str">
        <f>'(Raw) LensesGH'!G1174</f>
        <v>APS-C</v>
      </c>
      <c r="N1174" t="str">
        <f>'(Raw) LensesGH'!H1174</f>
        <v>470g</v>
      </c>
      <c r="O1174" s="5">
        <f t="shared" si="169"/>
        <v>470</v>
      </c>
      <c r="P1174" t="str">
        <f>'(Raw) LensesGH'!I1174</f>
        <v>76.2 x 77.8mm</v>
      </c>
      <c r="Q1174" s="39">
        <f t="shared" si="170"/>
        <v>76.2</v>
      </c>
      <c r="R1174" s="39">
        <f t="shared" si="162"/>
        <v>77.8</v>
      </c>
    </row>
    <row r="1175" spans="1:18" x14ac:dyDescent="0.25">
      <c r="A1175" t="str">
        <f>'(Raw) LensesGH'!A1175</f>
        <v>Sigma AF 4.5mm 2.8 EX DC HSM Zirkular Fisheye für Sigma schwarz</v>
      </c>
      <c r="B1175" t="str">
        <f>'(Raw) LensesGH'!B1175</f>
        <v>4.5mm</v>
      </c>
      <c r="C1175" s="5">
        <f t="shared" si="163"/>
        <v>4.5</v>
      </c>
      <c r="D1175" s="5">
        <f t="shared" si="164"/>
        <v>4.5</v>
      </c>
      <c r="E1175" t="str">
        <f>'(Raw) LensesGH'!C1175</f>
        <v>1:2.8</v>
      </c>
      <c r="F1175" s="9">
        <f t="shared" si="165"/>
        <v>2.8</v>
      </c>
      <c r="G1175" s="9">
        <f t="shared" si="166"/>
        <v>2.8</v>
      </c>
      <c r="H1175">
        <f>'(Raw) LensesGH'!D1175</f>
        <v>0</v>
      </c>
      <c r="I1175" s="2">
        <f t="shared" si="167"/>
        <v>0</v>
      </c>
      <c r="J1175" s="2" t="str">
        <f>'(Raw) LensesGH'!E1175</f>
        <v>1:6.00</v>
      </c>
      <c r="K1175" s="40">
        <f t="shared" si="168"/>
        <v>6</v>
      </c>
      <c r="L1175" t="str">
        <f>'(Raw) LensesGH'!F1175</f>
        <v>Sigma SA</v>
      </c>
      <c r="M1175" t="str">
        <f>'(Raw) LensesGH'!G1175</f>
        <v>APS-C</v>
      </c>
      <c r="N1175" t="str">
        <f>'(Raw) LensesGH'!H1175</f>
        <v>470g</v>
      </c>
      <c r="O1175" s="5">
        <f t="shared" si="169"/>
        <v>470</v>
      </c>
      <c r="P1175" t="str">
        <f>'(Raw) LensesGH'!I1175</f>
        <v>76.2 x 77.8mm</v>
      </c>
      <c r="Q1175" s="39">
        <f t="shared" si="170"/>
        <v>76.2</v>
      </c>
      <c r="R1175" s="39">
        <f t="shared" si="162"/>
        <v>77.8</v>
      </c>
    </row>
    <row r="1176" spans="1:18" x14ac:dyDescent="0.25">
      <c r="A1176" t="str">
        <f>'(Raw) LensesGH'!A1176</f>
        <v>Sigma AF 4.5mm 2.8 EX DC Zirkular Fisheye für Pentax K schwarz</v>
      </c>
      <c r="B1176" t="str">
        <f>'(Raw) LensesGH'!B1176</f>
        <v>4.5mm</v>
      </c>
      <c r="C1176" s="5">
        <f t="shared" si="163"/>
        <v>4.5</v>
      </c>
      <c r="D1176" s="5">
        <f t="shared" si="164"/>
        <v>4.5</v>
      </c>
      <c r="E1176" t="str">
        <f>'(Raw) LensesGH'!C1176</f>
        <v>1:2.8</v>
      </c>
      <c r="F1176" s="9">
        <f t="shared" si="165"/>
        <v>2.8</v>
      </c>
      <c r="G1176" s="9">
        <f t="shared" si="166"/>
        <v>2.8</v>
      </c>
      <c r="H1176">
        <f>'(Raw) LensesGH'!D1176</f>
        <v>0</v>
      </c>
      <c r="I1176" s="2">
        <f t="shared" si="167"/>
        <v>0</v>
      </c>
      <c r="J1176" s="2" t="str">
        <f>'(Raw) LensesGH'!E1176</f>
        <v>1:6.00</v>
      </c>
      <c r="K1176" s="40">
        <f t="shared" si="168"/>
        <v>6</v>
      </c>
      <c r="L1176" t="str">
        <f>'(Raw) LensesGH'!F1176</f>
        <v>Pentax K</v>
      </c>
      <c r="M1176" t="str">
        <f>'(Raw) LensesGH'!G1176</f>
        <v>APS-C</v>
      </c>
      <c r="N1176" t="str">
        <f>'(Raw) LensesGH'!H1176</f>
        <v>470g</v>
      </c>
      <c r="O1176" s="5">
        <f t="shared" si="169"/>
        <v>470</v>
      </c>
      <c r="P1176" t="str">
        <f>'(Raw) LensesGH'!I1176</f>
        <v>76.2 x 77.8mm</v>
      </c>
      <c r="Q1176" s="39">
        <f t="shared" si="170"/>
        <v>76.2</v>
      </c>
      <c r="R1176" s="39">
        <f t="shared" si="162"/>
        <v>77.8</v>
      </c>
    </row>
    <row r="1177" spans="1:18" x14ac:dyDescent="0.25">
      <c r="A1177" t="str">
        <f>'(Raw) LensesGH'!A1177</f>
        <v>Sigma AF 4.5mm 2.8 EX DC Zirkular Fisheye für Sony A schwarz</v>
      </c>
      <c r="B1177" t="str">
        <f>'(Raw) LensesGH'!B1177</f>
        <v>4.5mm</v>
      </c>
      <c r="C1177" s="5">
        <f t="shared" si="163"/>
        <v>4.5</v>
      </c>
      <c r="D1177" s="5">
        <f t="shared" si="164"/>
        <v>4.5</v>
      </c>
      <c r="E1177" t="str">
        <f>'(Raw) LensesGH'!C1177</f>
        <v>1:2.8</v>
      </c>
      <c r="F1177" s="9">
        <f t="shared" si="165"/>
        <v>2.8</v>
      </c>
      <c r="G1177" s="9">
        <f t="shared" si="166"/>
        <v>2.8</v>
      </c>
      <c r="H1177">
        <f>'(Raw) LensesGH'!D1177</f>
        <v>0</v>
      </c>
      <c r="I1177" s="2">
        <f t="shared" si="167"/>
        <v>0</v>
      </c>
      <c r="J1177" s="2" t="str">
        <f>'(Raw) LensesGH'!E1177</f>
        <v>1:6.00</v>
      </c>
      <c r="K1177" s="40">
        <f t="shared" si="168"/>
        <v>6</v>
      </c>
      <c r="L1177" t="str">
        <f>'(Raw) LensesGH'!F1177</f>
        <v>Sony A</v>
      </c>
      <c r="M1177" t="str">
        <f>'(Raw) LensesGH'!G1177</f>
        <v>APS-C</v>
      </c>
      <c r="N1177" t="str">
        <f>'(Raw) LensesGH'!H1177</f>
        <v>470g</v>
      </c>
      <c r="O1177" s="5">
        <f t="shared" si="169"/>
        <v>470</v>
      </c>
      <c r="P1177" t="str">
        <f>'(Raw) LensesGH'!I1177</f>
        <v>76.2 x 77.8mm</v>
      </c>
      <c r="Q1177" s="39">
        <f t="shared" si="170"/>
        <v>76.2</v>
      </c>
      <c r="R1177" s="39">
        <f t="shared" si="162"/>
        <v>77.8</v>
      </c>
    </row>
    <row r="1178" spans="1:18" x14ac:dyDescent="0.25">
      <c r="A1178" t="str">
        <f>'(Raw) LensesGH'!A1178</f>
        <v>Sigma AF 500mm 4.5 EX DG APO HSM IF für Canon EF schwarz</v>
      </c>
      <c r="B1178" t="str">
        <f>'(Raw) LensesGH'!B1178</f>
        <v>500mm</v>
      </c>
      <c r="C1178" s="5">
        <f t="shared" si="163"/>
        <v>500</v>
      </c>
      <c r="D1178" s="5">
        <f t="shared" si="164"/>
        <v>500</v>
      </c>
      <c r="E1178" t="str">
        <f>'(Raw) LensesGH'!C1178</f>
        <v>1:4.5</v>
      </c>
      <c r="F1178" s="9">
        <f t="shared" si="165"/>
        <v>4.5</v>
      </c>
      <c r="G1178" s="9">
        <f t="shared" si="166"/>
        <v>4.5</v>
      </c>
      <c r="H1178" t="str">
        <f>'(Raw) LensesGH'!D1178</f>
        <v>46mm</v>
      </c>
      <c r="I1178" s="2">
        <f t="shared" si="167"/>
        <v>46</v>
      </c>
      <c r="J1178" s="2" t="str">
        <f>'(Raw) LensesGH'!E1178</f>
        <v>1:7.70</v>
      </c>
      <c r="K1178" s="40">
        <f t="shared" si="168"/>
        <v>7.7</v>
      </c>
      <c r="L1178" t="str">
        <f>'(Raw) LensesGH'!F1178</f>
        <v>Canon EF</v>
      </c>
      <c r="M1178" t="str">
        <f>'(Raw) LensesGH'!G1178</f>
        <v>APS-C/ Kleinbild</v>
      </c>
      <c r="N1178" t="str">
        <f>'(Raw) LensesGH'!H1178</f>
        <v>3150g</v>
      </c>
      <c r="O1178" s="5">
        <f t="shared" si="169"/>
        <v>3150</v>
      </c>
      <c r="P1178" t="str">
        <f>'(Raw) LensesGH'!I1178</f>
        <v>123 x 350mm</v>
      </c>
      <c r="Q1178" s="39">
        <f t="shared" si="170"/>
        <v>123</v>
      </c>
      <c r="R1178" s="39">
        <f t="shared" si="162"/>
        <v>350</v>
      </c>
    </row>
    <row r="1179" spans="1:18" x14ac:dyDescent="0.25">
      <c r="A1179" t="str">
        <f>'(Raw) LensesGH'!A1179</f>
        <v>Sigma AF 500mm 4.5 EX DG APO HSM IF für Nikon F schwarz</v>
      </c>
      <c r="B1179" t="str">
        <f>'(Raw) LensesGH'!B1179</f>
        <v>500mm</v>
      </c>
      <c r="C1179" s="5">
        <f t="shared" si="163"/>
        <v>500</v>
      </c>
      <c r="D1179" s="5">
        <f t="shared" si="164"/>
        <v>500</v>
      </c>
      <c r="E1179" t="str">
        <f>'(Raw) LensesGH'!C1179</f>
        <v>1:4.5</v>
      </c>
      <c r="F1179" s="9">
        <f t="shared" si="165"/>
        <v>4.5</v>
      </c>
      <c r="G1179" s="9">
        <f t="shared" si="166"/>
        <v>4.5</v>
      </c>
      <c r="H1179" t="str">
        <f>'(Raw) LensesGH'!D1179</f>
        <v>46mm</v>
      </c>
      <c r="I1179" s="2">
        <f t="shared" si="167"/>
        <v>46</v>
      </c>
      <c r="J1179" s="2" t="str">
        <f>'(Raw) LensesGH'!E1179</f>
        <v>1:7.70</v>
      </c>
      <c r="K1179" s="40">
        <f t="shared" si="168"/>
        <v>7.7</v>
      </c>
      <c r="L1179" t="str">
        <f>'(Raw) LensesGH'!F1179</f>
        <v>Nikon F</v>
      </c>
      <c r="M1179" t="str">
        <f>'(Raw) LensesGH'!G1179</f>
        <v>APS-C/ Kleinbild</v>
      </c>
      <c r="N1179" t="str">
        <f>'(Raw) LensesGH'!H1179</f>
        <v>3150g</v>
      </c>
      <c r="O1179" s="5">
        <f t="shared" si="169"/>
        <v>3150</v>
      </c>
      <c r="P1179" t="str">
        <f>'(Raw) LensesGH'!I1179</f>
        <v>123 x 350mm</v>
      </c>
      <c r="Q1179" s="39">
        <f t="shared" si="170"/>
        <v>123</v>
      </c>
      <c r="R1179" s="39">
        <f t="shared" si="162"/>
        <v>350</v>
      </c>
    </row>
    <row r="1180" spans="1:18" x14ac:dyDescent="0.25">
      <c r="A1180" t="str">
        <f>'(Raw) LensesGH'!A1180</f>
        <v>Sigma AF 500mm 4.5 EX DG APO HSM IF für Sigma schwarz</v>
      </c>
      <c r="B1180" t="str">
        <f>'(Raw) LensesGH'!B1180</f>
        <v>500mm</v>
      </c>
      <c r="C1180" s="5">
        <f t="shared" si="163"/>
        <v>500</v>
      </c>
      <c r="D1180" s="5">
        <f t="shared" si="164"/>
        <v>500</v>
      </c>
      <c r="E1180" t="str">
        <f>'(Raw) LensesGH'!C1180</f>
        <v>1:4.5</v>
      </c>
      <c r="F1180" s="9">
        <f t="shared" si="165"/>
        <v>4.5</v>
      </c>
      <c r="G1180" s="9">
        <f t="shared" si="166"/>
        <v>4.5</v>
      </c>
      <c r="H1180" t="str">
        <f>'(Raw) LensesGH'!D1180</f>
        <v>46mm</v>
      </c>
      <c r="I1180" s="2">
        <f t="shared" si="167"/>
        <v>46</v>
      </c>
      <c r="J1180" s="2" t="str">
        <f>'(Raw) LensesGH'!E1180</f>
        <v>1:7.70</v>
      </c>
      <c r="K1180" s="40">
        <f t="shared" si="168"/>
        <v>7.7</v>
      </c>
      <c r="L1180" t="str">
        <f>'(Raw) LensesGH'!F1180</f>
        <v>Sigma SA</v>
      </c>
      <c r="M1180" t="str">
        <f>'(Raw) LensesGH'!G1180</f>
        <v>APS-C</v>
      </c>
      <c r="N1180" t="str">
        <f>'(Raw) LensesGH'!H1180</f>
        <v>3150g</v>
      </c>
      <c r="O1180" s="5">
        <f t="shared" si="169"/>
        <v>3150</v>
      </c>
      <c r="P1180" t="str">
        <f>'(Raw) LensesGH'!I1180</f>
        <v>123 x 350mm</v>
      </c>
      <c r="Q1180" s="39">
        <f t="shared" si="170"/>
        <v>123</v>
      </c>
      <c r="R1180" s="39">
        <f t="shared" si="162"/>
        <v>350</v>
      </c>
    </row>
    <row r="1181" spans="1:18" x14ac:dyDescent="0.25">
      <c r="A1181" t="str">
        <f>'(Raw) LensesGH'!A1181</f>
        <v>Sigma AF 500mm 4.5 EX DG APO IF für Sony A schwarz</v>
      </c>
      <c r="B1181" t="str">
        <f>'(Raw) LensesGH'!B1181</f>
        <v>500mm</v>
      </c>
      <c r="C1181" s="5">
        <f t="shared" si="163"/>
        <v>500</v>
      </c>
      <c r="D1181" s="5">
        <f t="shared" si="164"/>
        <v>500</v>
      </c>
      <c r="E1181" t="str">
        <f>'(Raw) LensesGH'!C1181</f>
        <v>1:4.5</v>
      </c>
      <c r="F1181" s="9">
        <f t="shared" si="165"/>
        <v>4.5</v>
      </c>
      <c r="G1181" s="9">
        <f t="shared" si="166"/>
        <v>4.5</v>
      </c>
      <c r="H1181" t="str">
        <f>'(Raw) LensesGH'!D1181</f>
        <v>46mm</v>
      </c>
      <c r="I1181" s="2">
        <f t="shared" si="167"/>
        <v>46</v>
      </c>
      <c r="J1181" s="2" t="str">
        <f>'(Raw) LensesGH'!E1181</f>
        <v>1:7.70</v>
      </c>
      <c r="K1181" s="40">
        <f t="shared" si="168"/>
        <v>7.7</v>
      </c>
      <c r="L1181" t="str">
        <f>'(Raw) LensesGH'!F1181</f>
        <v>Sony A</v>
      </c>
      <c r="M1181" t="str">
        <f>'(Raw) LensesGH'!G1181</f>
        <v>APS-C/ Kleinbild</v>
      </c>
      <c r="N1181" t="str">
        <f>'(Raw) LensesGH'!H1181</f>
        <v>3150g</v>
      </c>
      <c r="O1181" s="5">
        <f t="shared" si="169"/>
        <v>3150</v>
      </c>
      <c r="P1181" t="str">
        <f>'(Raw) LensesGH'!I1181</f>
        <v>123 x 350mm</v>
      </c>
      <c r="Q1181" s="39">
        <f t="shared" si="170"/>
        <v>123</v>
      </c>
      <c r="R1181" s="39">
        <f t="shared" si="162"/>
        <v>350</v>
      </c>
    </row>
    <row r="1182" spans="1:18" x14ac:dyDescent="0.25">
      <c r="A1182" t="str">
        <f>'(Raw) LensesGH'!A1182</f>
        <v>Sigma AF 50-200mm 4.0-5.6 DC OS HSM für Nikon F schwarz</v>
      </c>
      <c r="B1182" t="str">
        <f>'(Raw) LensesGH'!B1182</f>
        <v>50 - 200mm</v>
      </c>
      <c r="C1182" s="5">
        <f t="shared" si="163"/>
        <v>50</v>
      </c>
      <c r="D1182" s="5">
        <f t="shared" si="164"/>
        <v>200</v>
      </c>
      <c r="E1182" t="str">
        <f>'(Raw) LensesGH'!C1182</f>
        <v>1:4.0-1:5.6</v>
      </c>
      <c r="F1182" s="9">
        <f t="shared" si="165"/>
        <v>4</v>
      </c>
      <c r="G1182" s="9">
        <f t="shared" si="166"/>
        <v>4</v>
      </c>
      <c r="H1182" t="str">
        <f>'(Raw) LensesGH'!D1182</f>
        <v>55mm</v>
      </c>
      <c r="I1182" s="2">
        <f t="shared" si="167"/>
        <v>55</v>
      </c>
      <c r="J1182" s="2" t="str">
        <f>'(Raw) LensesGH'!E1182</f>
        <v>1:4.50</v>
      </c>
      <c r="K1182" s="40">
        <f t="shared" si="168"/>
        <v>4.5</v>
      </c>
      <c r="L1182" t="str">
        <f>'(Raw) LensesGH'!F1182</f>
        <v>Nikon F</v>
      </c>
      <c r="M1182" t="str">
        <f>'(Raw) LensesGH'!G1182</f>
        <v>APS-C</v>
      </c>
      <c r="N1182" t="str">
        <f>'(Raw) LensesGH'!H1182</f>
        <v>420g</v>
      </c>
      <c r="O1182" s="5">
        <f t="shared" si="169"/>
        <v>420</v>
      </c>
      <c r="P1182" t="str">
        <f>'(Raw) LensesGH'!I1182</f>
        <v>74 x 101.9mm</v>
      </c>
      <c r="Q1182" s="39">
        <f t="shared" si="170"/>
        <v>74</v>
      </c>
      <c r="R1182" s="39">
        <f t="shared" si="162"/>
        <v>101.9</v>
      </c>
    </row>
    <row r="1183" spans="1:18" x14ac:dyDescent="0.25">
      <c r="A1183" t="str">
        <f>'(Raw) LensesGH'!A1183</f>
        <v>Sigma AF 50-200mm 4.0-5.6 DC OS HSM für Pentax K schwarz</v>
      </c>
      <c r="B1183" t="str">
        <f>'(Raw) LensesGH'!B1183</f>
        <v>50 - 200mm</v>
      </c>
      <c r="C1183" s="5">
        <f t="shared" si="163"/>
        <v>50</v>
      </c>
      <c r="D1183" s="5">
        <f t="shared" si="164"/>
        <v>200</v>
      </c>
      <c r="E1183" t="str">
        <f>'(Raw) LensesGH'!C1183</f>
        <v>1:4.0-1:5.6</v>
      </c>
      <c r="F1183" s="9">
        <f t="shared" si="165"/>
        <v>4</v>
      </c>
      <c r="G1183" s="9">
        <f t="shared" si="166"/>
        <v>4</v>
      </c>
      <c r="H1183" t="str">
        <f>'(Raw) LensesGH'!D1183</f>
        <v>55mm</v>
      </c>
      <c r="I1183" s="2">
        <f t="shared" si="167"/>
        <v>55</v>
      </c>
      <c r="J1183" s="2" t="str">
        <f>'(Raw) LensesGH'!E1183</f>
        <v>1:4.50</v>
      </c>
      <c r="K1183" s="40">
        <f t="shared" si="168"/>
        <v>4.5</v>
      </c>
      <c r="L1183" t="str">
        <f>'(Raw) LensesGH'!F1183</f>
        <v>Pentax K</v>
      </c>
      <c r="M1183" t="str">
        <f>'(Raw) LensesGH'!G1183</f>
        <v>APS-C</v>
      </c>
      <c r="N1183" t="str">
        <f>'(Raw) LensesGH'!H1183</f>
        <v>420g</v>
      </c>
      <c r="O1183" s="5">
        <f t="shared" si="169"/>
        <v>420</v>
      </c>
      <c r="P1183" t="str">
        <f>'(Raw) LensesGH'!I1183</f>
        <v>74 x 101.9mm</v>
      </c>
      <c r="Q1183" s="39">
        <f t="shared" si="170"/>
        <v>74</v>
      </c>
      <c r="R1183" s="39">
        <f t="shared" si="162"/>
        <v>101.9</v>
      </c>
    </row>
    <row r="1184" spans="1:18" x14ac:dyDescent="0.25">
      <c r="A1184" t="str">
        <f>'(Raw) LensesGH'!A1184</f>
        <v>Sigma AF 50-200mm 4.0-5.6 DC OS HSM für Sony A schwarz</v>
      </c>
      <c r="B1184" t="str">
        <f>'(Raw) LensesGH'!B1184</f>
        <v>50 - 200mm</v>
      </c>
      <c r="C1184" s="5">
        <f t="shared" si="163"/>
        <v>50</v>
      </c>
      <c r="D1184" s="5">
        <f t="shared" si="164"/>
        <v>200</v>
      </c>
      <c r="E1184" t="str">
        <f>'(Raw) LensesGH'!C1184</f>
        <v>1:4.0-1:5.6</v>
      </c>
      <c r="F1184" s="9">
        <f t="shared" si="165"/>
        <v>4</v>
      </c>
      <c r="G1184" s="9">
        <f t="shared" si="166"/>
        <v>4</v>
      </c>
      <c r="H1184" t="str">
        <f>'(Raw) LensesGH'!D1184</f>
        <v>55mm</v>
      </c>
      <c r="I1184" s="2">
        <f t="shared" si="167"/>
        <v>55</v>
      </c>
      <c r="J1184" s="2" t="str">
        <f>'(Raw) LensesGH'!E1184</f>
        <v>1:4.50</v>
      </c>
      <c r="K1184" s="40">
        <f t="shared" si="168"/>
        <v>4.5</v>
      </c>
      <c r="L1184" t="str">
        <f>'(Raw) LensesGH'!F1184</f>
        <v>Sony A</v>
      </c>
      <c r="M1184" t="str">
        <f>'(Raw) LensesGH'!G1184</f>
        <v>APS-C</v>
      </c>
      <c r="N1184" t="str">
        <f>'(Raw) LensesGH'!H1184</f>
        <v>420g</v>
      </c>
      <c r="O1184" s="5">
        <f t="shared" si="169"/>
        <v>420</v>
      </c>
      <c r="P1184" t="str">
        <f>'(Raw) LensesGH'!I1184</f>
        <v>74 x 101.9mm</v>
      </c>
      <c r="Q1184" s="39">
        <f t="shared" si="170"/>
        <v>74</v>
      </c>
      <c r="R1184" s="39">
        <f t="shared" si="162"/>
        <v>101.9</v>
      </c>
    </row>
    <row r="1185" spans="1:18" x14ac:dyDescent="0.25">
      <c r="A1185" t="str">
        <f>'(Raw) LensesGH'!A1185</f>
        <v>Sigma AF 50-500mm 4.0-6.3 EX DG APO HSM RF für Canon EF schwarz</v>
      </c>
      <c r="B1185" t="str">
        <f>'(Raw) LensesGH'!B1185</f>
        <v>50 - 500mm</v>
      </c>
      <c r="C1185" s="5">
        <f t="shared" si="163"/>
        <v>50</v>
      </c>
      <c r="D1185" s="5">
        <f t="shared" si="164"/>
        <v>500</v>
      </c>
      <c r="E1185" t="str">
        <f>'(Raw) LensesGH'!C1185</f>
        <v>1:4.0-1:6.3</v>
      </c>
      <c r="F1185" s="9">
        <f t="shared" si="165"/>
        <v>4</v>
      </c>
      <c r="G1185" s="9">
        <f t="shared" si="166"/>
        <v>4</v>
      </c>
      <c r="H1185" t="str">
        <f>'(Raw) LensesGH'!D1185</f>
        <v>86mm</v>
      </c>
      <c r="I1185" s="2">
        <f t="shared" si="167"/>
        <v>86</v>
      </c>
      <c r="J1185" s="2" t="str">
        <f>'(Raw) LensesGH'!E1185</f>
        <v>1:3.13</v>
      </c>
      <c r="K1185" s="40">
        <f t="shared" si="168"/>
        <v>3.13</v>
      </c>
      <c r="L1185" t="str">
        <f>'(Raw) LensesGH'!F1185</f>
        <v>Canon EF</v>
      </c>
      <c r="M1185" t="str">
        <f>'(Raw) LensesGH'!G1185</f>
        <v>APS-C/ Kleinbild</v>
      </c>
      <c r="N1185" t="str">
        <f>'(Raw) LensesGH'!H1185</f>
        <v>1840g</v>
      </c>
      <c r="O1185" s="5">
        <f t="shared" si="169"/>
        <v>1840</v>
      </c>
      <c r="P1185" t="str">
        <f>'(Raw) LensesGH'!I1185</f>
        <v>95 x 218.5mm</v>
      </c>
      <c r="Q1185" s="39">
        <f t="shared" si="170"/>
        <v>95</v>
      </c>
      <c r="R1185" s="39">
        <f t="shared" si="162"/>
        <v>218.5</v>
      </c>
    </row>
    <row r="1186" spans="1:18" x14ac:dyDescent="0.25">
      <c r="A1186" t="str">
        <f>'(Raw) LensesGH'!A1186</f>
        <v>Sigma AF 50-500mm 4.0-6.3 EX DG APO HSM RF für Nikon F schwarz</v>
      </c>
      <c r="B1186" t="str">
        <f>'(Raw) LensesGH'!B1186</f>
        <v>50 - 500mm</v>
      </c>
      <c r="C1186" s="5">
        <f t="shared" si="163"/>
        <v>50</v>
      </c>
      <c r="D1186" s="5">
        <f t="shared" si="164"/>
        <v>500</v>
      </c>
      <c r="E1186" t="str">
        <f>'(Raw) LensesGH'!C1186</f>
        <v>1:4.0-1:6.3</v>
      </c>
      <c r="F1186" s="9">
        <f t="shared" si="165"/>
        <v>4</v>
      </c>
      <c r="G1186" s="9">
        <f t="shared" si="166"/>
        <v>4</v>
      </c>
      <c r="H1186" t="str">
        <f>'(Raw) LensesGH'!D1186</f>
        <v>86mm</v>
      </c>
      <c r="I1186" s="2">
        <f t="shared" si="167"/>
        <v>86</v>
      </c>
      <c r="J1186" s="2" t="str">
        <f>'(Raw) LensesGH'!E1186</f>
        <v>1:3.13</v>
      </c>
      <c r="K1186" s="40">
        <f t="shared" si="168"/>
        <v>3.13</v>
      </c>
      <c r="L1186" t="str">
        <f>'(Raw) LensesGH'!F1186</f>
        <v>Nikon F</v>
      </c>
      <c r="M1186" t="str">
        <f>'(Raw) LensesGH'!G1186</f>
        <v>APS-C/ Kleinbild</v>
      </c>
      <c r="N1186" t="str">
        <f>'(Raw) LensesGH'!H1186</f>
        <v>1840g</v>
      </c>
      <c r="O1186" s="5">
        <f t="shared" si="169"/>
        <v>1840</v>
      </c>
      <c r="P1186" t="str">
        <f>'(Raw) LensesGH'!I1186</f>
        <v>95 x 218.5mm</v>
      </c>
      <c r="Q1186" s="39">
        <f t="shared" si="170"/>
        <v>95</v>
      </c>
      <c r="R1186" s="39">
        <f t="shared" si="162"/>
        <v>218.5</v>
      </c>
    </row>
    <row r="1187" spans="1:18" x14ac:dyDescent="0.25">
      <c r="A1187" t="str">
        <f>'(Raw) LensesGH'!A1187</f>
        <v>Sigma AF 50-500mm 4.5-6.3 DG APO OS HSM für Canon EF schwarz</v>
      </c>
      <c r="B1187" t="str">
        <f>'(Raw) LensesGH'!B1187</f>
        <v>50 - 500mm</v>
      </c>
      <c r="C1187" s="5">
        <f t="shared" si="163"/>
        <v>50</v>
      </c>
      <c r="D1187" s="5">
        <f t="shared" si="164"/>
        <v>500</v>
      </c>
      <c r="E1187" t="str">
        <f>'(Raw) LensesGH'!C1187</f>
        <v>1:4.5-1:6.3</v>
      </c>
      <c r="F1187" s="9">
        <f t="shared" si="165"/>
        <v>4.5</v>
      </c>
      <c r="G1187" s="9">
        <f t="shared" si="166"/>
        <v>4.5</v>
      </c>
      <c r="H1187" t="str">
        <f>'(Raw) LensesGH'!D1187</f>
        <v>95mm</v>
      </c>
      <c r="I1187" s="2">
        <f t="shared" si="167"/>
        <v>95</v>
      </c>
      <c r="J1187" s="2" t="str">
        <f>'(Raw) LensesGH'!E1187</f>
        <v>1:3.10</v>
      </c>
      <c r="K1187" s="40">
        <f t="shared" si="168"/>
        <v>3.1</v>
      </c>
      <c r="L1187" t="str">
        <f>'(Raw) LensesGH'!F1187</f>
        <v>Canon EF</v>
      </c>
      <c r="M1187" t="str">
        <f>'(Raw) LensesGH'!G1187</f>
        <v>APS-C/ Kleinbild</v>
      </c>
      <c r="N1187" t="str">
        <f>'(Raw) LensesGH'!H1187</f>
        <v>1970g</v>
      </c>
      <c r="O1187" s="5">
        <f t="shared" si="169"/>
        <v>1970</v>
      </c>
      <c r="P1187" t="str">
        <f>'(Raw) LensesGH'!I1187</f>
        <v>104.4 x 219mm</v>
      </c>
      <c r="Q1187" s="39">
        <f t="shared" si="170"/>
        <v>104.4</v>
      </c>
      <c r="R1187" s="39">
        <f t="shared" si="162"/>
        <v>219</v>
      </c>
    </row>
    <row r="1188" spans="1:18" x14ac:dyDescent="0.25">
      <c r="A1188" t="str">
        <f>'(Raw) LensesGH'!A1188</f>
        <v>Sigma AF 50-500mm 4.5-6.3 DG APO OS HSM für Nikon F schwarz</v>
      </c>
      <c r="B1188" t="str">
        <f>'(Raw) LensesGH'!B1188</f>
        <v>50 - 500mm</v>
      </c>
      <c r="C1188" s="5">
        <f t="shared" si="163"/>
        <v>50</v>
      </c>
      <c r="D1188" s="5">
        <f t="shared" si="164"/>
        <v>500</v>
      </c>
      <c r="E1188" t="str">
        <f>'(Raw) LensesGH'!C1188</f>
        <v>1:4.5-1:6.3</v>
      </c>
      <c r="F1188" s="9">
        <f t="shared" si="165"/>
        <v>4.5</v>
      </c>
      <c r="G1188" s="9">
        <f t="shared" si="166"/>
        <v>4.5</v>
      </c>
      <c r="H1188" t="str">
        <f>'(Raw) LensesGH'!D1188</f>
        <v>95mm</v>
      </c>
      <c r="I1188" s="2">
        <f t="shared" si="167"/>
        <v>95</v>
      </c>
      <c r="J1188" s="2" t="str">
        <f>'(Raw) LensesGH'!E1188</f>
        <v>1:3.10</v>
      </c>
      <c r="K1188" s="40">
        <f t="shared" si="168"/>
        <v>3.1</v>
      </c>
      <c r="L1188" t="str">
        <f>'(Raw) LensesGH'!F1188</f>
        <v>Nikon F</v>
      </c>
      <c r="M1188" t="str">
        <f>'(Raw) LensesGH'!G1188</f>
        <v>APS-C/ Kleinbild</v>
      </c>
      <c r="N1188" t="str">
        <f>'(Raw) LensesGH'!H1188</f>
        <v>1970g</v>
      </c>
      <c r="O1188" s="5">
        <f t="shared" si="169"/>
        <v>1970</v>
      </c>
      <c r="P1188" t="str">
        <f>'(Raw) LensesGH'!I1188</f>
        <v>104.4 x 219mm</v>
      </c>
      <c r="Q1188" s="39">
        <f t="shared" si="170"/>
        <v>104.4</v>
      </c>
      <c r="R1188" s="39">
        <f t="shared" si="162"/>
        <v>219</v>
      </c>
    </row>
    <row r="1189" spans="1:18" x14ac:dyDescent="0.25">
      <c r="A1189" t="str">
        <f>'(Raw) LensesGH'!A1189</f>
        <v>Sigma AF 50-500mm 4.5-6.3 DG APO OS HSM für Pentax K schwarz</v>
      </c>
      <c r="B1189" t="str">
        <f>'(Raw) LensesGH'!B1189</f>
        <v>50 - 500mm</v>
      </c>
      <c r="C1189" s="5">
        <f t="shared" si="163"/>
        <v>50</v>
      </c>
      <c r="D1189" s="5">
        <f t="shared" si="164"/>
        <v>500</v>
      </c>
      <c r="E1189" t="str">
        <f>'(Raw) LensesGH'!C1189</f>
        <v>1:4.5-1:6.3</v>
      </c>
      <c r="F1189" s="9">
        <f t="shared" si="165"/>
        <v>4.5</v>
      </c>
      <c r="G1189" s="9">
        <f t="shared" si="166"/>
        <v>4.5</v>
      </c>
      <c r="H1189" t="str">
        <f>'(Raw) LensesGH'!D1189</f>
        <v>95mm</v>
      </c>
      <c r="I1189" s="2">
        <f t="shared" si="167"/>
        <v>95</v>
      </c>
      <c r="J1189" s="2" t="str">
        <f>'(Raw) LensesGH'!E1189</f>
        <v>1:3.10</v>
      </c>
      <c r="K1189" s="40">
        <f t="shared" si="168"/>
        <v>3.1</v>
      </c>
      <c r="L1189" t="str">
        <f>'(Raw) LensesGH'!F1189</f>
        <v>Pentax K</v>
      </c>
      <c r="M1189" t="str">
        <f>'(Raw) LensesGH'!G1189</f>
        <v>APS-C/ Kleinbild</v>
      </c>
      <c r="N1189" t="str">
        <f>'(Raw) LensesGH'!H1189</f>
        <v>1970g</v>
      </c>
      <c r="O1189" s="5">
        <f t="shared" si="169"/>
        <v>1970</v>
      </c>
      <c r="P1189" t="str">
        <f>'(Raw) LensesGH'!I1189</f>
        <v>104.4 x 219mm</v>
      </c>
      <c r="Q1189" s="39">
        <f t="shared" si="170"/>
        <v>104.4</v>
      </c>
      <c r="R1189" s="39">
        <f t="shared" si="162"/>
        <v>219</v>
      </c>
    </row>
    <row r="1190" spans="1:18" x14ac:dyDescent="0.25">
      <c r="A1190" t="str">
        <f>'(Raw) LensesGH'!A1190</f>
        <v>Sigma AF 50-500mm 4.5-6.3 DG APO OS HSM für Sigma schwarz</v>
      </c>
      <c r="B1190" t="str">
        <f>'(Raw) LensesGH'!B1190</f>
        <v>50 - 500mm</v>
      </c>
      <c r="C1190" s="5">
        <f t="shared" si="163"/>
        <v>50</v>
      </c>
      <c r="D1190" s="5">
        <f t="shared" si="164"/>
        <v>500</v>
      </c>
      <c r="E1190" t="str">
        <f>'(Raw) LensesGH'!C1190</f>
        <v>1:4.5-1:6.3</v>
      </c>
      <c r="F1190" s="9">
        <f t="shared" si="165"/>
        <v>4.5</v>
      </c>
      <c r="G1190" s="9">
        <f t="shared" si="166"/>
        <v>4.5</v>
      </c>
      <c r="H1190" t="str">
        <f>'(Raw) LensesGH'!D1190</f>
        <v>95mm</v>
      </c>
      <c r="I1190" s="2">
        <f t="shared" si="167"/>
        <v>95</v>
      </c>
      <c r="J1190" s="2" t="str">
        <f>'(Raw) LensesGH'!E1190</f>
        <v>1:3.10</v>
      </c>
      <c r="K1190" s="40">
        <f t="shared" si="168"/>
        <v>3.1</v>
      </c>
      <c r="L1190" t="str">
        <f>'(Raw) LensesGH'!F1190</f>
        <v>Sigma SA</v>
      </c>
      <c r="M1190" t="str">
        <f>'(Raw) LensesGH'!G1190</f>
        <v>APS-C</v>
      </c>
      <c r="N1190" t="str">
        <f>'(Raw) LensesGH'!H1190</f>
        <v>1970g</v>
      </c>
      <c r="O1190" s="5">
        <f t="shared" si="169"/>
        <v>1970</v>
      </c>
      <c r="P1190" t="str">
        <f>'(Raw) LensesGH'!I1190</f>
        <v>104.4 x 219mm</v>
      </c>
      <c r="Q1190" s="39">
        <f t="shared" si="170"/>
        <v>104.4</v>
      </c>
      <c r="R1190" s="39">
        <f t="shared" si="162"/>
        <v>219</v>
      </c>
    </row>
    <row r="1191" spans="1:18" x14ac:dyDescent="0.25">
      <c r="A1191" t="str">
        <f>'(Raw) LensesGH'!A1191</f>
        <v>Sigma AF 50-500mm 4.5-6.3 DG APO OS HSM für Sony A schwarz</v>
      </c>
      <c r="B1191" t="str">
        <f>'(Raw) LensesGH'!B1191</f>
        <v>50 - 500mm</v>
      </c>
      <c r="C1191" s="5">
        <f t="shared" si="163"/>
        <v>50</v>
      </c>
      <c r="D1191" s="5">
        <f t="shared" si="164"/>
        <v>500</v>
      </c>
      <c r="E1191" t="str">
        <f>'(Raw) LensesGH'!C1191</f>
        <v>1:4.5-1:6.3</v>
      </c>
      <c r="F1191" s="9">
        <f t="shared" si="165"/>
        <v>4.5</v>
      </c>
      <c r="G1191" s="9">
        <f t="shared" si="166"/>
        <v>4.5</v>
      </c>
      <c r="H1191" t="str">
        <f>'(Raw) LensesGH'!D1191</f>
        <v>95mm</v>
      </c>
      <c r="I1191" s="2">
        <f t="shared" si="167"/>
        <v>95</v>
      </c>
      <c r="J1191" s="2" t="str">
        <f>'(Raw) LensesGH'!E1191</f>
        <v>1:3.10</v>
      </c>
      <c r="K1191" s="40">
        <f t="shared" si="168"/>
        <v>3.1</v>
      </c>
      <c r="L1191" t="str">
        <f>'(Raw) LensesGH'!F1191</f>
        <v>Sony A</v>
      </c>
      <c r="M1191" t="str">
        <f>'(Raw) LensesGH'!G1191</f>
        <v>APS-C/ Kleinbild</v>
      </c>
      <c r="N1191" t="str">
        <f>'(Raw) LensesGH'!H1191</f>
        <v>1970g</v>
      </c>
      <c r="O1191" s="5">
        <f t="shared" si="169"/>
        <v>1970</v>
      </c>
      <c r="P1191" t="str">
        <f>'(Raw) LensesGH'!I1191</f>
        <v>104.4 x 219mm</v>
      </c>
      <c r="Q1191" s="39">
        <f t="shared" si="170"/>
        <v>104.4</v>
      </c>
      <c r="R1191" s="39">
        <f t="shared" si="162"/>
        <v>219</v>
      </c>
    </row>
    <row r="1192" spans="1:18" x14ac:dyDescent="0.25">
      <c r="A1192" t="str">
        <f>'(Raw) LensesGH'!A1192</f>
        <v>Sigma AF 50mm 1.4 EX DG HSM für Canon EF schwarz</v>
      </c>
      <c r="B1192" t="str">
        <f>'(Raw) LensesGH'!B1192</f>
        <v>50mm</v>
      </c>
      <c r="C1192" s="5">
        <f t="shared" si="163"/>
        <v>50</v>
      </c>
      <c r="D1192" s="5">
        <f t="shared" si="164"/>
        <v>50</v>
      </c>
      <c r="E1192" t="str">
        <f>'(Raw) LensesGH'!C1192</f>
        <v>1:1.4</v>
      </c>
      <c r="F1192" s="9">
        <f t="shared" si="165"/>
        <v>1.4</v>
      </c>
      <c r="G1192" s="9">
        <f t="shared" si="166"/>
        <v>1.4</v>
      </c>
      <c r="H1192" t="str">
        <f>'(Raw) LensesGH'!D1192</f>
        <v>77mm</v>
      </c>
      <c r="I1192" s="2">
        <f t="shared" si="167"/>
        <v>77</v>
      </c>
      <c r="J1192" s="2" t="str">
        <f>'(Raw) LensesGH'!E1192</f>
        <v>1:7.40</v>
      </c>
      <c r="K1192" s="40">
        <f t="shared" si="168"/>
        <v>7.4</v>
      </c>
      <c r="L1192" t="str">
        <f>'(Raw) LensesGH'!F1192</f>
        <v>Canon EF</v>
      </c>
      <c r="M1192" t="str">
        <f>'(Raw) LensesGH'!G1192</f>
        <v>APS-C/ Kleinbild</v>
      </c>
      <c r="N1192" t="str">
        <f>'(Raw) LensesGH'!H1192</f>
        <v>505g</v>
      </c>
      <c r="O1192" s="5">
        <f t="shared" si="169"/>
        <v>505</v>
      </c>
      <c r="P1192" t="str">
        <f>'(Raw) LensesGH'!I1192</f>
        <v>84.5 x 68.2mm</v>
      </c>
      <c r="Q1192" s="39">
        <f t="shared" si="170"/>
        <v>84.5</v>
      </c>
      <c r="R1192" s="39">
        <f t="shared" si="162"/>
        <v>68.2</v>
      </c>
    </row>
    <row r="1193" spans="1:18" x14ac:dyDescent="0.25">
      <c r="A1193" t="str">
        <f>'(Raw) LensesGH'!A1193</f>
        <v>Sigma AF 50mm 1.4 EX DG HSM für Nikon F schwarz</v>
      </c>
      <c r="B1193" t="str">
        <f>'(Raw) LensesGH'!B1193</f>
        <v>50mm</v>
      </c>
      <c r="C1193" s="5">
        <f t="shared" si="163"/>
        <v>50</v>
      </c>
      <c r="D1193" s="5">
        <f t="shared" si="164"/>
        <v>50</v>
      </c>
      <c r="E1193" t="str">
        <f>'(Raw) LensesGH'!C1193</f>
        <v>1:1.4</v>
      </c>
      <c r="F1193" s="9">
        <f t="shared" si="165"/>
        <v>1.4</v>
      </c>
      <c r="G1193" s="9">
        <f t="shared" si="166"/>
        <v>1.4</v>
      </c>
      <c r="H1193" t="str">
        <f>'(Raw) LensesGH'!D1193</f>
        <v>77mm</v>
      </c>
      <c r="I1193" s="2">
        <f t="shared" si="167"/>
        <v>77</v>
      </c>
      <c r="J1193" s="2" t="str">
        <f>'(Raw) LensesGH'!E1193</f>
        <v>1:7.40</v>
      </c>
      <c r="K1193" s="40">
        <f t="shared" si="168"/>
        <v>7.4</v>
      </c>
      <c r="L1193" t="str">
        <f>'(Raw) LensesGH'!F1193</f>
        <v>Nikon F</v>
      </c>
      <c r="M1193" t="str">
        <f>'(Raw) LensesGH'!G1193</f>
        <v>APS-C/ Kleinbild</v>
      </c>
      <c r="N1193" t="str">
        <f>'(Raw) LensesGH'!H1193</f>
        <v>505g</v>
      </c>
      <c r="O1193" s="5">
        <f t="shared" si="169"/>
        <v>505</v>
      </c>
      <c r="P1193" t="str">
        <f>'(Raw) LensesGH'!I1193</f>
        <v>84.5 x 68.2mm</v>
      </c>
      <c r="Q1193" s="39">
        <f t="shared" si="170"/>
        <v>84.5</v>
      </c>
      <c r="R1193" s="39">
        <f t="shared" si="162"/>
        <v>68.2</v>
      </c>
    </row>
    <row r="1194" spans="1:18" x14ac:dyDescent="0.25">
      <c r="A1194" t="str">
        <f>'(Raw) LensesGH'!A1194</f>
        <v>Sigma AF 50mm 1.4 EX DG HSM für Sony A schwarz</v>
      </c>
      <c r="B1194" t="str">
        <f>'(Raw) LensesGH'!B1194</f>
        <v>50mm</v>
      </c>
      <c r="C1194" s="5">
        <f t="shared" si="163"/>
        <v>50</v>
      </c>
      <c r="D1194" s="5">
        <f t="shared" si="164"/>
        <v>50</v>
      </c>
      <c r="E1194" t="str">
        <f>'(Raw) LensesGH'!C1194</f>
        <v>1:1.4</v>
      </c>
      <c r="F1194" s="9">
        <f t="shared" si="165"/>
        <v>1.4</v>
      </c>
      <c r="G1194" s="9">
        <f t="shared" si="166"/>
        <v>1.4</v>
      </c>
      <c r="H1194" t="str">
        <f>'(Raw) LensesGH'!D1194</f>
        <v>77mm</v>
      </c>
      <c r="I1194" s="2">
        <f t="shared" si="167"/>
        <v>77</v>
      </c>
      <c r="J1194" s="2" t="str">
        <f>'(Raw) LensesGH'!E1194</f>
        <v>1:7.40</v>
      </c>
      <c r="K1194" s="40">
        <f t="shared" si="168"/>
        <v>7.4</v>
      </c>
      <c r="L1194" t="str">
        <f>'(Raw) LensesGH'!F1194</f>
        <v>Sony A</v>
      </c>
      <c r="M1194" t="str">
        <f>'(Raw) LensesGH'!G1194</f>
        <v>APS-C/ Kleinbild</v>
      </c>
      <c r="N1194" t="str">
        <f>'(Raw) LensesGH'!H1194</f>
        <v>505g</v>
      </c>
      <c r="O1194" s="5">
        <f t="shared" si="169"/>
        <v>505</v>
      </c>
      <c r="P1194" t="str">
        <f>'(Raw) LensesGH'!I1194</f>
        <v>84.5 x 68.2mm</v>
      </c>
      <c r="Q1194" s="39">
        <f t="shared" si="170"/>
        <v>84.5</v>
      </c>
      <c r="R1194" s="39">
        <f t="shared" si="162"/>
        <v>68.2</v>
      </c>
    </row>
    <row r="1195" spans="1:18" x14ac:dyDescent="0.25">
      <c r="A1195" t="str">
        <f>'(Raw) LensesGH'!A1195</f>
        <v>Sigma AF 50mm 2.8 EX DG Makro für Nikon F schwarz</v>
      </c>
      <c r="B1195" t="str">
        <f>'(Raw) LensesGH'!B1195</f>
        <v>50mm</v>
      </c>
      <c r="C1195" s="5">
        <f t="shared" si="163"/>
        <v>50</v>
      </c>
      <c r="D1195" s="5">
        <f t="shared" si="164"/>
        <v>50</v>
      </c>
      <c r="E1195" t="str">
        <f>'(Raw) LensesGH'!C1195</f>
        <v>1:2.8</v>
      </c>
      <c r="F1195" s="9">
        <f t="shared" si="165"/>
        <v>2.8</v>
      </c>
      <c r="G1195" s="9">
        <f t="shared" si="166"/>
        <v>2.8</v>
      </c>
      <c r="H1195" t="str">
        <f>'(Raw) LensesGH'!D1195</f>
        <v>55mm</v>
      </c>
      <c r="I1195" s="2">
        <f t="shared" si="167"/>
        <v>55</v>
      </c>
      <c r="J1195" s="2" t="str">
        <f>'(Raw) LensesGH'!E1195</f>
        <v>1:1.00</v>
      </c>
      <c r="K1195" s="40">
        <f t="shared" si="168"/>
        <v>1</v>
      </c>
      <c r="L1195" t="str">
        <f>'(Raw) LensesGH'!F1195</f>
        <v>Nikon F</v>
      </c>
      <c r="M1195" t="str">
        <f>'(Raw) LensesGH'!G1195</f>
        <v>APS-C/ Kleinbild</v>
      </c>
      <c r="N1195" t="str">
        <f>'(Raw) LensesGH'!H1195</f>
        <v>315g</v>
      </c>
      <c r="O1195" s="5">
        <f t="shared" si="169"/>
        <v>315</v>
      </c>
      <c r="P1195" t="str">
        <f>'(Raw) LensesGH'!I1195</f>
        <v>71.4 x 64mm</v>
      </c>
      <c r="Q1195" s="39">
        <f t="shared" si="170"/>
        <v>71.400000000000006</v>
      </c>
      <c r="R1195" s="39">
        <f t="shared" si="162"/>
        <v>64</v>
      </c>
    </row>
    <row r="1196" spans="1:18" x14ac:dyDescent="0.25">
      <c r="A1196" t="str">
        <f>'(Raw) LensesGH'!A1196</f>
        <v>Sigma AF 50mm 2.8 EX DG Makro für Sigma schwarz</v>
      </c>
      <c r="B1196" t="str">
        <f>'(Raw) LensesGH'!B1196</f>
        <v>50mm</v>
      </c>
      <c r="C1196" s="5">
        <f t="shared" si="163"/>
        <v>50</v>
      </c>
      <c r="D1196" s="5">
        <f t="shared" si="164"/>
        <v>50</v>
      </c>
      <c r="E1196" t="str">
        <f>'(Raw) LensesGH'!C1196</f>
        <v>1:2.8</v>
      </c>
      <c r="F1196" s="9">
        <f t="shared" si="165"/>
        <v>2.8</v>
      </c>
      <c r="G1196" s="9">
        <f t="shared" si="166"/>
        <v>2.8</v>
      </c>
      <c r="H1196" t="str">
        <f>'(Raw) LensesGH'!D1196</f>
        <v>55mm</v>
      </c>
      <c r="I1196" s="2">
        <f t="shared" si="167"/>
        <v>55</v>
      </c>
      <c r="J1196" s="2" t="str">
        <f>'(Raw) LensesGH'!E1196</f>
        <v>1:1.00</v>
      </c>
      <c r="K1196" s="40">
        <f t="shared" si="168"/>
        <v>1</v>
      </c>
      <c r="L1196" t="str">
        <f>'(Raw) LensesGH'!F1196</f>
        <v>Sigma SA</v>
      </c>
      <c r="M1196" t="str">
        <f>'(Raw) LensesGH'!G1196</f>
        <v>APS-C</v>
      </c>
      <c r="N1196" t="str">
        <f>'(Raw) LensesGH'!H1196</f>
        <v>315g</v>
      </c>
      <c r="O1196" s="5">
        <f t="shared" si="169"/>
        <v>315</v>
      </c>
      <c r="P1196" t="str">
        <f>'(Raw) LensesGH'!I1196</f>
        <v>71.4 x 64mm</v>
      </c>
      <c r="Q1196" s="39">
        <f t="shared" si="170"/>
        <v>71.400000000000006</v>
      </c>
      <c r="R1196" s="39">
        <f t="shared" si="162"/>
        <v>64</v>
      </c>
    </row>
    <row r="1197" spans="1:18" x14ac:dyDescent="0.25">
      <c r="A1197" t="str">
        <f>'(Raw) LensesGH'!A1197</f>
        <v>Sigma AF 50mm 2.8 EX DG Makro für Sony A schwarz</v>
      </c>
      <c r="B1197" t="str">
        <f>'(Raw) LensesGH'!B1197</f>
        <v>50mm</v>
      </c>
      <c r="C1197" s="5">
        <f t="shared" si="163"/>
        <v>50</v>
      </c>
      <c r="D1197" s="5">
        <f t="shared" si="164"/>
        <v>50</v>
      </c>
      <c r="E1197" t="str">
        <f>'(Raw) LensesGH'!C1197</f>
        <v>1:2.8</v>
      </c>
      <c r="F1197" s="9">
        <f t="shared" si="165"/>
        <v>2.8</v>
      </c>
      <c r="G1197" s="9">
        <f t="shared" si="166"/>
        <v>2.8</v>
      </c>
      <c r="H1197" t="str">
        <f>'(Raw) LensesGH'!D1197</f>
        <v>55mm</v>
      </c>
      <c r="I1197" s="2">
        <f t="shared" si="167"/>
        <v>55</v>
      </c>
      <c r="J1197" s="2" t="str">
        <f>'(Raw) LensesGH'!E1197</f>
        <v>1:1.00</v>
      </c>
      <c r="K1197" s="40">
        <f t="shared" si="168"/>
        <v>1</v>
      </c>
      <c r="L1197" t="str">
        <f>'(Raw) LensesGH'!F1197</f>
        <v>Sony A</v>
      </c>
      <c r="M1197" t="str">
        <f>'(Raw) LensesGH'!G1197</f>
        <v>APS-C/ Kleinbild</v>
      </c>
      <c r="N1197" t="str">
        <f>'(Raw) LensesGH'!H1197</f>
        <v>315g</v>
      </c>
      <c r="O1197" s="5">
        <f t="shared" si="169"/>
        <v>315</v>
      </c>
      <c r="P1197" t="str">
        <f>'(Raw) LensesGH'!I1197</f>
        <v>71.4 x 64mm</v>
      </c>
      <c r="Q1197" s="39">
        <f t="shared" si="170"/>
        <v>71.400000000000006</v>
      </c>
      <c r="R1197" s="39">
        <f t="shared" si="162"/>
        <v>64</v>
      </c>
    </row>
    <row r="1198" spans="1:18" x14ac:dyDescent="0.25">
      <c r="A1198" t="str">
        <f>'(Raw) LensesGH'!A1198</f>
        <v>Sigma AF 55-200mm 4.0-5.6 DC für Sigma schwarz</v>
      </c>
      <c r="B1198" t="str">
        <f>'(Raw) LensesGH'!B1198</f>
        <v>55 - 200mm</v>
      </c>
      <c r="C1198" s="5">
        <f t="shared" si="163"/>
        <v>55</v>
      </c>
      <c r="D1198" s="5">
        <f t="shared" si="164"/>
        <v>200</v>
      </c>
      <c r="E1198" t="str">
        <f>'(Raw) LensesGH'!C1198</f>
        <v>1:4.0-1:5.6</v>
      </c>
      <c r="F1198" s="9">
        <f t="shared" si="165"/>
        <v>4</v>
      </c>
      <c r="G1198" s="9">
        <f t="shared" si="166"/>
        <v>4</v>
      </c>
      <c r="H1198" t="str">
        <f>'(Raw) LensesGH'!D1198</f>
        <v>55mm</v>
      </c>
      <c r="I1198" s="2">
        <f t="shared" si="167"/>
        <v>55</v>
      </c>
      <c r="J1198" s="2" t="str">
        <f>'(Raw) LensesGH'!E1198</f>
        <v>1:5.56</v>
      </c>
      <c r="K1198" s="40">
        <f t="shared" si="168"/>
        <v>5.56</v>
      </c>
      <c r="L1198" t="str">
        <f>'(Raw) LensesGH'!F1198</f>
        <v>Sigma SA</v>
      </c>
      <c r="M1198" t="str">
        <f>'(Raw) LensesGH'!G1198</f>
        <v>APS-C</v>
      </c>
      <c r="N1198" t="str">
        <f>'(Raw) LensesGH'!H1198</f>
        <v>310g</v>
      </c>
      <c r="O1198" s="5">
        <f t="shared" si="169"/>
        <v>310</v>
      </c>
      <c r="P1198" t="str">
        <f>'(Raw) LensesGH'!I1198</f>
        <v>71 x 84.6mm</v>
      </c>
      <c r="Q1198" s="39">
        <f t="shared" si="170"/>
        <v>71</v>
      </c>
      <c r="R1198" s="39">
        <f t="shared" si="162"/>
        <v>84.6</v>
      </c>
    </row>
    <row r="1199" spans="1:18" x14ac:dyDescent="0.25">
      <c r="A1199" t="str">
        <f>'(Raw) LensesGH'!A1199</f>
        <v>Sigma AF 70-200mm 2.8 EX DG APO HSM OS für Canon EF schwarz</v>
      </c>
      <c r="B1199" t="str">
        <f>'(Raw) LensesGH'!B1199</f>
        <v>70 - 200mm</v>
      </c>
      <c r="C1199" s="5">
        <f t="shared" si="163"/>
        <v>70</v>
      </c>
      <c r="D1199" s="5">
        <f t="shared" si="164"/>
        <v>200</v>
      </c>
      <c r="E1199" t="str">
        <f>'(Raw) LensesGH'!C1199</f>
        <v>1:2.8</v>
      </c>
      <c r="F1199" s="9">
        <f t="shared" si="165"/>
        <v>2.8</v>
      </c>
      <c r="G1199" s="9">
        <f t="shared" si="166"/>
        <v>2.8</v>
      </c>
      <c r="H1199" t="str">
        <f>'(Raw) LensesGH'!D1199</f>
        <v>77mm</v>
      </c>
      <c r="I1199" s="2">
        <f t="shared" si="167"/>
        <v>77</v>
      </c>
      <c r="J1199" s="2" t="str">
        <f>'(Raw) LensesGH'!E1199</f>
        <v>1:8.00</v>
      </c>
      <c r="K1199" s="40">
        <f t="shared" si="168"/>
        <v>8</v>
      </c>
      <c r="L1199" t="str">
        <f>'(Raw) LensesGH'!F1199</f>
        <v>Canon EF</v>
      </c>
      <c r="M1199" t="str">
        <f>'(Raw) LensesGH'!G1199</f>
        <v>APS-C/ Kleinbild</v>
      </c>
      <c r="N1199" t="str">
        <f>'(Raw) LensesGH'!H1199</f>
        <v>1430g</v>
      </c>
      <c r="O1199" s="5">
        <f t="shared" si="169"/>
        <v>1430</v>
      </c>
      <c r="P1199" t="str">
        <f>'(Raw) LensesGH'!I1199</f>
        <v>86.4 x 197.6mm</v>
      </c>
      <c r="Q1199" s="39">
        <f t="shared" si="170"/>
        <v>86.4</v>
      </c>
      <c r="R1199" s="39">
        <f t="shared" si="162"/>
        <v>197.6</v>
      </c>
    </row>
    <row r="1200" spans="1:18" x14ac:dyDescent="0.25">
      <c r="A1200" t="str">
        <f>'(Raw) LensesGH'!A1200</f>
        <v>Sigma AF 70-200mm 2.8 EX DG APO HSM OS für Nikon F schwarz</v>
      </c>
      <c r="B1200" t="str">
        <f>'(Raw) LensesGH'!B1200</f>
        <v>70 - 200mm</v>
      </c>
      <c r="C1200" s="5">
        <f t="shared" si="163"/>
        <v>70</v>
      </c>
      <c r="D1200" s="5">
        <f t="shared" si="164"/>
        <v>200</v>
      </c>
      <c r="E1200" t="str">
        <f>'(Raw) LensesGH'!C1200</f>
        <v>1:2.8</v>
      </c>
      <c r="F1200" s="9">
        <f t="shared" si="165"/>
        <v>2.8</v>
      </c>
      <c r="G1200" s="9">
        <f t="shared" si="166"/>
        <v>2.8</v>
      </c>
      <c r="H1200" t="str">
        <f>'(Raw) LensesGH'!D1200</f>
        <v>77mm</v>
      </c>
      <c r="I1200" s="2">
        <f t="shared" si="167"/>
        <v>77</v>
      </c>
      <c r="J1200" s="2" t="str">
        <f>'(Raw) LensesGH'!E1200</f>
        <v>1:8.00</v>
      </c>
      <c r="K1200" s="40">
        <f t="shared" si="168"/>
        <v>8</v>
      </c>
      <c r="L1200" t="str">
        <f>'(Raw) LensesGH'!F1200</f>
        <v>Nikon F</v>
      </c>
      <c r="M1200" t="str">
        <f>'(Raw) LensesGH'!G1200</f>
        <v>APS-C/ Kleinbild</v>
      </c>
      <c r="N1200" t="str">
        <f>'(Raw) LensesGH'!H1200</f>
        <v>1430g</v>
      </c>
      <c r="O1200" s="5">
        <f t="shared" si="169"/>
        <v>1430</v>
      </c>
      <c r="P1200" t="str">
        <f>'(Raw) LensesGH'!I1200</f>
        <v>86.4 x 197.6mm</v>
      </c>
      <c r="Q1200" s="39">
        <f t="shared" si="170"/>
        <v>86.4</v>
      </c>
      <c r="R1200" s="39">
        <f t="shared" si="162"/>
        <v>197.6</v>
      </c>
    </row>
    <row r="1201" spans="1:18" x14ac:dyDescent="0.25">
      <c r="A1201" t="str">
        <f>'(Raw) LensesGH'!A1201</f>
        <v>Sigma AF 70-200mm 2.8 EX DG APO HSM OS für Sigma schwarz</v>
      </c>
      <c r="B1201" t="str">
        <f>'(Raw) LensesGH'!B1201</f>
        <v>70 - 200mm</v>
      </c>
      <c r="C1201" s="5">
        <f t="shared" si="163"/>
        <v>70</v>
      </c>
      <c r="D1201" s="5">
        <f t="shared" si="164"/>
        <v>200</v>
      </c>
      <c r="E1201" t="str">
        <f>'(Raw) LensesGH'!C1201</f>
        <v>1:2.8</v>
      </c>
      <c r="F1201" s="9">
        <f t="shared" si="165"/>
        <v>2.8</v>
      </c>
      <c r="G1201" s="9">
        <f t="shared" si="166"/>
        <v>2.8</v>
      </c>
      <c r="H1201" t="str">
        <f>'(Raw) LensesGH'!D1201</f>
        <v>77mm</v>
      </c>
      <c r="I1201" s="2">
        <f t="shared" si="167"/>
        <v>77</v>
      </c>
      <c r="J1201" s="2" t="str">
        <f>'(Raw) LensesGH'!E1201</f>
        <v>1:8.00</v>
      </c>
      <c r="K1201" s="40">
        <f t="shared" si="168"/>
        <v>8</v>
      </c>
      <c r="L1201" t="str">
        <f>'(Raw) LensesGH'!F1201</f>
        <v>Sigma SA</v>
      </c>
      <c r="M1201" t="str">
        <f>'(Raw) LensesGH'!G1201</f>
        <v>APS-C</v>
      </c>
      <c r="N1201" t="str">
        <f>'(Raw) LensesGH'!H1201</f>
        <v>1430g</v>
      </c>
      <c r="O1201" s="5">
        <f t="shared" si="169"/>
        <v>1430</v>
      </c>
      <c r="P1201" t="str">
        <f>'(Raw) LensesGH'!I1201</f>
        <v>86.4 x 197.6mm</v>
      </c>
      <c r="Q1201" s="39">
        <f t="shared" si="170"/>
        <v>86.4</v>
      </c>
      <c r="R1201" s="39">
        <f t="shared" si="162"/>
        <v>197.6</v>
      </c>
    </row>
    <row r="1202" spans="1:18" x14ac:dyDescent="0.25">
      <c r="A1202" t="str">
        <f>'(Raw) LensesGH'!A1202</f>
        <v>Sigma AF 70-200mm 2.8 EX DG APO HSM OS für Sony A schwarz</v>
      </c>
      <c r="B1202" t="str">
        <f>'(Raw) LensesGH'!B1202</f>
        <v>70 - 200mm</v>
      </c>
      <c r="C1202" s="5">
        <f t="shared" si="163"/>
        <v>70</v>
      </c>
      <c r="D1202" s="5">
        <f t="shared" si="164"/>
        <v>200</v>
      </c>
      <c r="E1202" t="str">
        <f>'(Raw) LensesGH'!C1202</f>
        <v>1:2.8</v>
      </c>
      <c r="F1202" s="9">
        <f t="shared" si="165"/>
        <v>2.8</v>
      </c>
      <c r="G1202" s="9">
        <f t="shared" si="166"/>
        <v>2.8</v>
      </c>
      <c r="H1202" t="str">
        <f>'(Raw) LensesGH'!D1202</f>
        <v>77mm</v>
      </c>
      <c r="I1202" s="2">
        <f t="shared" si="167"/>
        <v>77</v>
      </c>
      <c r="J1202" s="2" t="str">
        <f>'(Raw) LensesGH'!E1202</f>
        <v>1:8.00</v>
      </c>
      <c r="K1202" s="40">
        <f t="shared" si="168"/>
        <v>8</v>
      </c>
      <c r="L1202" t="str">
        <f>'(Raw) LensesGH'!F1202</f>
        <v>Sony A</v>
      </c>
      <c r="M1202" t="str">
        <f>'(Raw) LensesGH'!G1202</f>
        <v>APS-C/ Kleinbild</v>
      </c>
      <c r="N1202" t="str">
        <f>'(Raw) LensesGH'!H1202</f>
        <v>1430g</v>
      </c>
      <c r="O1202" s="5">
        <f t="shared" si="169"/>
        <v>1430</v>
      </c>
      <c r="P1202" t="str">
        <f>'(Raw) LensesGH'!I1202</f>
        <v>86.4 x 197.6mm</v>
      </c>
      <c r="Q1202" s="39">
        <f t="shared" si="170"/>
        <v>86.4</v>
      </c>
      <c r="R1202" s="39">
        <f t="shared" si="162"/>
        <v>197.6</v>
      </c>
    </row>
    <row r="1203" spans="1:18" x14ac:dyDescent="0.25">
      <c r="A1203" t="str">
        <f>'(Raw) LensesGH'!A1203</f>
        <v>Sigma AF 70-300mm 4.0-5.6 DG APO Makro für Canon EF schwarz</v>
      </c>
      <c r="B1203" t="str">
        <f>'(Raw) LensesGH'!B1203</f>
        <v>70 - 300mm</v>
      </c>
      <c r="C1203" s="5">
        <f t="shared" si="163"/>
        <v>70</v>
      </c>
      <c r="D1203" s="5">
        <f t="shared" si="164"/>
        <v>300</v>
      </c>
      <c r="E1203" t="str">
        <f>'(Raw) LensesGH'!C1203</f>
        <v>1:4.0-1:5.6</v>
      </c>
      <c r="F1203" s="9">
        <f t="shared" si="165"/>
        <v>4</v>
      </c>
      <c r="G1203" s="9">
        <f t="shared" si="166"/>
        <v>4</v>
      </c>
      <c r="H1203" t="str">
        <f>'(Raw) LensesGH'!D1203</f>
        <v>58mm</v>
      </c>
      <c r="I1203" s="2">
        <f t="shared" si="167"/>
        <v>58</v>
      </c>
      <c r="J1203" s="2" t="str">
        <f>'(Raw) LensesGH'!E1203</f>
        <v>1:4.10</v>
      </c>
      <c r="K1203" s="40">
        <f t="shared" si="168"/>
        <v>4.0999999999999996</v>
      </c>
      <c r="L1203" t="str">
        <f>'(Raw) LensesGH'!F1203</f>
        <v>Canon EF</v>
      </c>
      <c r="M1203" t="str">
        <f>'(Raw) LensesGH'!G1203</f>
        <v>APS-C/ Kleinbild</v>
      </c>
      <c r="N1203" t="str">
        <f>'(Raw) LensesGH'!H1203</f>
        <v>550g</v>
      </c>
      <c r="O1203" s="5">
        <f t="shared" si="169"/>
        <v>550</v>
      </c>
      <c r="P1203" t="str">
        <f>'(Raw) LensesGH'!I1203</f>
        <v>76.6 x 122mm</v>
      </c>
      <c r="Q1203" s="39">
        <f t="shared" si="170"/>
        <v>76.599999999999994</v>
      </c>
      <c r="R1203" s="39">
        <f t="shared" si="162"/>
        <v>122</v>
      </c>
    </row>
    <row r="1204" spans="1:18" x14ac:dyDescent="0.25">
      <c r="A1204" t="str">
        <f>'(Raw) LensesGH'!A1204</f>
        <v>Sigma AF 70-300mm 4.0-5.6 DG APO Makro für Nikon F schwarz</v>
      </c>
      <c r="B1204" t="str">
        <f>'(Raw) LensesGH'!B1204</f>
        <v>70 - 300mm</v>
      </c>
      <c r="C1204" s="5">
        <f t="shared" si="163"/>
        <v>70</v>
      </c>
      <c r="D1204" s="5">
        <f t="shared" si="164"/>
        <v>300</v>
      </c>
      <c r="E1204" t="str">
        <f>'(Raw) LensesGH'!C1204</f>
        <v>1:4.0-1:5.6</v>
      </c>
      <c r="F1204" s="9">
        <f t="shared" si="165"/>
        <v>4</v>
      </c>
      <c r="G1204" s="9">
        <f t="shared" si="166"/>
        <v>4</v>
      </c>
      <c r="H1204" t="str">
        <f>'(Raw) LensesGH'!D1204</f>
        <v>58mm</v>
      </c>
      <c r="I1204" s="2">
        <f t="shared" si="167"/>
        <v>58</v>
      </c>
      <c r="J1204" s="2" t="str">
        <f>'(Raw) LensesGH'!E1204</f>
        <v>1:4.10</v>
      </c>
      <c r="K1204" s="40">
        <f t="shared" si="168"/>
        <v>4.0999999999999996</v>
      </c>
      <c r="L1204" t="str">
        <f>'(Raw) LensesGH'!F1204</f>
        <v>Nikon F</v>
      </c>
      <c r="M1204" t="str">
        <f>'(Raw) LensesGH'!G1204</f>
        <v>APS-C/ Kleinbild</v>
      </c>
      <c r="N1204" t="str">
        <f>'(Raw) LensesGH'!H1204</f>
        <v>550g</v>
      </c>
      <c r="O1204" s="5">
        <f t="shared" si="169"/>
        <v>550</v>
      </c>
      <c r="P1204" t="str">
        <f>'(Raw) LensesGH'!I1204</f>
        <v>76.6 x 122mm</v>
      </c>
      <c r="Q1204" s="39">
        <f t="shared" si="170"/>
        <v>76.599999999999994</v>
      </c>
      <c r="R1204" s="39">
        <f t="shared" si="162"/>
        <v>122</v>
      </c>
    </row>
    <row r="1205" spans="1:18" x14ac:dyDescent="0.25">
      <c r="A1205" t="str">
        <f>'(Raw) LensesGH'!A1205</f>
        <v>Sigma AF 70-300mm 4.0-5.6 DG APO Makro für Pentax K schwarz</v>
      </c>
      <c r="B1205" t="str">
        <f>'(Raw) LensesGH'!B1205</f>
        <v>70 - 300mm</v>
      </c>
      <c r="C1205" s="5">
        <f t="shared" si="163"/>
        <v>70</v>
      </c>
      <c r="D1205" s="5">
        <f t="shared" si="164"/>
        <v>300</v>
      </c>
      <c r="E1205" t="str">
        <f>'(Raw) LensesGH'!C1205</f>
        <v>1:4.0-1:5.6</v>
      </c>
      <c r="F1205" s="9">
        <f t="shared" si="165"/>
        <v>4</v>
      </c>
      <c r="G1205" s="9">
        <f t="shared" si="166"/>
        <v>4</v>
      </c>
      <c r="H1205" t="str">
        <f>'(Raw) LensesGH'!D1205</f>
        <v>58mm</v>
      </c>
      <c r="I1205" s="2">
        <f t="shared" si="167"/>
        <v>58</v>
      </c>
      <c r="J1205" s="2" t="str">
        <f>'(Raw) LensesGH'!E1205</f>
        <v>1:4.10</v>
      </c>
      <c r="K1205" s="40">
        <f t="shared" si="168"/>
        <v>4.0999999999999996</v>
      </c>
      <c r="L1205" t="str">
        <f>'(Raw) LensesGH'!F1205</f>
        <v>Pentax K</v>
      </c>
      <c r="M1205" t="str">
        <f>'(Raw) LensesGH'!G1205</f>
        <v>APS-C/ Kleinbild</v>
      </c>
      <c r="N1205" t="str">
        <f>'(Raw) LensesGH'!H1205</f>
        <v>550g</v>
      </c>
      <c r="O1205" s="5">
        <f t="shared" si="169"/>
        <v>550</v>
      </c>
      <c r="P1205" t="str">
        <f>'(Raw) LensesGH'!I1205</f>
        <v>76.6 x 122mm</v>
      </c>
      <c r="Q1205" s="39">
        <f t="shared" si="170"/>
        <v>76.599999999999994</v>
      </c>
      <c r="R1205" s="39">
        <f t="shared" si="162"/>
        <v>122</v>
      </c>
    </row>
    <row r="1206" spans="1:18" x14ac:dyDescent="0.25">
      <c r="A1206" t="str">
        <f>'(Raw) LensesGH'!A1206</f>
        <v>Sigma AF 70-300mm 4.0-5.6 DG APO Makro für Sigma schwarz</v>
      </c>
      <c r="B1206" t="str">
        <f>'(Raw) LensesGH'!B1206</f>
        <v>70 - 300mm</v>
      </c>
      <c r="C1206" s="5">
        <f t="shared" si="163"/>
        <v>70</v>
      </c>
      <c r="D1206" s="5">
        <f t="shared" si="164"/>
        <v>300</v>
      </c>
      <c r="E1206" t="str">
        <f>'(Raw) LensesGH'!C1206</f>
        <v>1:4.0-1:5.6</v>
      </c>
      <c r="F1206" s="9">
        <f t="shared" si="165"/>
        <v>4</v>
      </c>
      <c r="G1206" s="9">
        <f t="shared" si="166"/>
        <v>4</v>
      </c>
      <c r="H1206" t="str">
        <f>'(Raw) LensesGH'!D1206</f>
        <v>58mm</v>
      </c>
      <c r="I1206" s="2">
        <f t="shared" si="167"/>
        <v>58</v>
      </c>
      <c r="J1206" s="2" t="str">
        <f>'(Raw) LensesGH'!E1206</f>
        <v>1:4.10</v>
      </c>
      <c r="K1206" s="40">
        <f t="shared" si="168"/>
        <v>4.0999999999999996</v>
      </c>
      <c r="L1206" t="str">
        <f>'(Raw) LensesGH'!F1206</f>
        <v>Sigma SA</v>
      </c>
      <c r="M1206" t="str">
        <f>'(Raw) LensesGH'!G1206</f>
        <v>APS-C</v>
      </c>
      <c r="N1206" t="str">
        <f>'(Raw) LensesGH'!H1206</f>
        <v>550g</v>
      </c>
      <c r="O1206" s="5">
        <f t="shared" si="169"/>
        <v>550</v>
      </c>
      <c r="P1206" t="str">
        <f>'(Raw) LensesGH'!I1206</f>
        <v>76.6 x 122mm</v>
      </c>
      <c r="Q1206" s="39">
        <f t="shared" si="170"/>
        <v>76.599999999999994</v>
      </c>
      <c r="R1206" s="39">
        <f t="shared" si="162"/>
        <v>122</v>
      </c>
    </row>
    <row r="1207" spans="1:18" x14ac:dyDescent="0.25">
      <c r="A1207" t="str">
        <f>'(Raw) LensesGH'!A1207</f>
        <v>Sigma AF 70-300mm 4.0-5.6 DG APO Makro für Sony A schwarz</v>
      </c>
      <c r="B1207" t="str">
        <f>'(Raw) LensesGH'!B1207</f>
        <v>70 - 300mm</v>
      </c>
      <c r="C1207" s="5">
        <f t="shared" si="163"/>
        <v>70</v>
      </c>
      <c r="D1207" s="5">
        <f t="shared" si="164"/>
        <v>300</v>
      </c>
      <c r="E1207" t="str">
        <f>'(Raw) LensesGH'!C1207</f>
        <v>1:4.0-1:5.6</v>
      </c>
      <c r="F1207" s="9">
        <f t="shared" si="165"/>
        <v>4</v>
      </c>
      <c r="G1207" s="9">
        <f t="shared" si="166"/>
        <v>4</v>
      </c>
      <c r="H1207" t="str">
        <f>'(Raw) LensesGH'!D1207</f>
        <v>58mm</v>
      </c>
      <c r="I1207" s="2">
        <f t="shared" si="167"/>
        <v>58</v>
      </c>
      <c r="J1207" s="2" t="str">
        <f>'(Raw) LensesGH'!E1207</f>
        <v>1:4.10</v>
      </c>
      <c r="K1207" s="40">
        <f t="shared" si="168"/>
        <v>4.0999999999999996</v>
      </c>
      <c r="L1207" t="str">
        <f>'(Raw) LensesGH'!F1207</f>
        <v>Sony A</v>
      </c>
      <c r="M1207" t="str">
        <f>'(Raw) LensesGH'!G1207</f>
        <v>APS-C/ Kleinbild</v>
      </c>
      <c r="N1207" t="str">
        <f>'(Raw) LensesGH'!H1207</f>
        <v>550g</v>
      </c>
      <c r="O1207" s="5">
        <f t="shared" si="169"/>
        <v>550</v>
      </c>
      <c r="P1207" t="str">
        <f>'(Raw) LensesGH'!I1207</f>
        <v>76.6 x 122mm</v>
      </c>
      <c r="Q1207" s="39">
        <f t="shared" si="170"/>
        <v>76.599999999999994</v>
      </c>
      <c r="R1207" s="39">
        <f t="shared" si="162"/>
        <v>122</v>
      </c>
    </row>
    <row r="1208" spans="1:18" x14ac:dyDescent="0.25">
      <c r="A1208" t="str">
        <f>'(Raw) LensesGH'!A1208</f>
        <v>Sigma AF 70-300mm 4.0-5.6 DG APO Makro mit AF-Motor für Nikon F schwarz</v>
      </c>
      <c r="B1208" t="str">
        <f>'(Raw) LensesGH'!B1208</f>
        <v>70 - 300mm</v>
      </c>
      <c r="C1208" s="5">
        <f t="shared" si="163"/>
        <v>70</v>
      </c>
      <c r="D1208" s="5">
        <f t="shared" si="164"/>
        <v>300</v>
      </c>
      <c r="E1208" t="str">
        <f>'(Raw) LensesGH'!C1208</f>
        <v>1:4.0-1:5.6</v>
      </c>
      <c r="F1208" s="9">
        <f t="shared" si="165"/>
        <v>4</v>
      </c>
      <c r="G1208" s="9">
        <f t="shared" si="166"/>
        <v>4</v>
      </c>
      <c r="H1208" t="str">
        <f>'(Raw) LensesGH'!D1208</f>
        <v>58mm</v>
      </c>
      <c r="I1208" s="2">
        <f t="shared" si="167"/>
        <v>58</v>
      </c>
      <c r="J1208" s="2" t="str">
        <f>'(Raw) LensesGH'!E1208</f>
        <v>1:4.10</v>
      </c>
      <c r="K1208" s="40">
        <f t="shared" si="168"/>
        <v>4.0999999999999996</v>
      </c>
      <c r="L1208" t="str">
        <f>'(Raw) LensesGH'!F1208</f>
        <v>Nikon F</v>
      </c>
      <c r="M1208" t="str">
        <f>'(Raw) LensesGH'!G1208</f>
        <v>APS-C/ Kleinbild</v>
      </c>
      <c r="N1208" t="str">
        <f>'(Raw) LensesGH'!H1208</f>
        <v>550g</v>
      </c>
      <c r="O1208" s="5">
        <f t="shared" si="169"/>
        <v>550</v>
      </c>
      <c r="P1208" t="str">
        <f>'(Raw) LensesGH'!I1208</f>
        <v>76.6 x 122mm</v>
      </c>
      <c r="Q1208" s="39">
        <f t="shared" si="170"/>
        <v>76.599999999999994</v>
      </c>
      <c r="R1208" s="39">
        <f t="shared" si="162"/>
        <v>122</v>
      </c>
    </row>
    <row r="1209" spans="1:18" x14ac:dyDescent="0.25">
      <c r="A1209" t="str">
        <f>'(Raw) LensesGH'!A1209</f>
        <v>Sigma AF 70-300mm 4.0-5.6 DG Makro für Canon EF schwarz</v>
      </c>
      <c r="B1209" t="str">
        <f>'(Raw) LensesGH'!B1209</f>
        <v>70 - 300mm</v>
      </c>
      <c r="C1209" s="5">
        <f t="shared" si="163"/>
        <v>70</v>
      </c>
      <c r="D1209" s="5">
        <f t="shared" si="164"/>
        <v>300</v>
      </c>
      <c r="E1209" t="str">
        <f>'(Raw) LensesGH'!C1209</f>
        <v>1:4.0-1:5.6</v>
      </c>
      <c r="F1209" s="9">
        <f t="shared" si="165"/>
        <v>4</v>
      </c>
      <c r="G1209" s="9">
        <f t="shared" si="166"/>
        <v>4</v>
      </c>
      <c r="H1209" t="str">
        <f>'(Raw) LensesGH'!D1209</f>
        <v>58mm</v>
      </c>
      <c r="I1209" s="2">
        <f t="shared" si="167"/>
        <v>58</v>
      </c>
      <c r="J1209" s="2" t="str">
        <f>'(Raw) LensesGH'!E1209</f>
        <v>1:4.10</v>
      </c>
      <c r="K1209" s="40">
        <f t="shared" si="168"/>
        <v>4.0999999999999996</v>
      </c>
      <c r="L1209" t="str">
        <f>'(Raw) LensesGH'!F1209</f>
        <v>Canon EF</v>
      </c>
      <c r="M1209" t="str">
        <f>'(Raw) LensesGH'!G1209</f>
        <v>APS-C/ Kleinbild</v>
      </c>
      <c r="N1209" t="str">
        <f>'(Raw) LensesGH'!H1209</f>
        <v>530g</v>
      </c>
      <c r="O1209" s="5">
        <f t="shared" si="169"/>
        <v>530</v>
      </c>
      <c r="P1209" t="str">
        <f>'(Raw) LensesGH'!I1209</f>
        <v>76.6 x 119.5mm</v>
      </c>
      <c r="Q1209" s="39">
        <f t="shared" si="170"/>
        <v>76.599999999999994</v>
      </c>
      <c r="R1209" s="39">
        <f t="shared" si="162"/>
        <v>119.5</v>
      </c>
    </row>
    <row r="1210" spans="1:18" x14ac:dyDescent="0.25">
      <c r="A1210" t="str">
        <f>'(Raw) LensesGH'!A1210</f>
        <v>Sigma AF 70-300mm 4.0-5.6 DG Makro für Nikon F schwarz</v>
      </c>
      <c r="B1210" t="str">
        <f>'(Raw) LensesGH'!B1210</f>
        <v>70 - 300mm</v>
      </c>
      <c r="C1210" s="5">
        <f t="shared" si="163"/>
        <v>70</v>
      </c>
      <c r="D1210" s="5">
        <f t="shared" si="164"/>
        <v>300</v>
      </c>
      <c r="E1210" t="str">
        <f>'(Raw) LensesGH'!C1210</f>
        <v>1:4.0-1:5.6</v>
      </c>
      <c r="F1210" s="9">
        <f t="shared" si="165"/>
        <v>4</v>
      </c>
      <c r="G1210" s="9">
        <f t="shared" si="166"/>
        <v>4</v>
      </c>
      <c r="H1210" t="str">
        <f>'(Raw) LensesGH'!D1210</f>
        <v>58mm</v>
      </c>
      <c r="I1210" s="2">
        <f t="shared" si="167"/>
        <v>58</v>
      </c>
      <c r="J1210" s="2" t="str">
        <f>'(Raw) LensesGH'!E1210</f>
        <v>1:4.10</v>
      </c>
      <c r="K1210" s="40">
        <f t="shared" si="168"/>
        <v>4.0999999999999996</v>
      </c>
      <c r="L1210" t="str">
        <f>'(Raw) LensesGH'!F1210</f>
        <v>Nikon F</v>
      </c>
      <c r="M1210" t="str">
        <f>'(Raw) LensesGH'!G1210</f>
        <v>APS-C/ Kleinbild</v>
      </c>
      <c r="N1210" t="str">
        <f>'(Raw) LensesGH'!H1210</f>
        <v>530g</v>
      </c>
      <c r="O1210" s="5">
        <f t="shared" si="169"/>
        <v>530</v>
      </c>
      <c r="P1210" t="str">
        <f>'(Raw) LensesGH'!I1210</f>
        <v>76.6 x 119.5mm</v>
      </c>
      <c r="Q1210" s="39">
        <f t="shared" si="170"/>
        <v>76.599999999999994</v>
      </c>
      <c r="R1210" s="39">
        <f t="shared" si="162"/>
        <v>119.5</v>
      </c>
    </row>
    <row r="1211" spans="1:18" x14ac:dyDescent="0.25">
      <c r="A1211" t="str">
        <f>'(Raw) LensesGH'!A1211</f>
        <v>Sigma AF 70-300mm 4.0-5.6 DG Makro für Pentax K schwarz</v>
      </c>
      <c r="B1211" t="str">
        <f>'(Raw) LensesGH'!B1211</f>
        <v>70 - 300mm</v>
      </c>
      <c r="C1211" s="5">
        <f t="shared" si="163"/>
        <v>70</v>
      </c>
      <c r="D1211" s="5">
        <f t="shared" si="164"/>
        <v>300</v>
      </c>
      <c r="E1211" t="str">
        <f>'(Raw) LensesGH'!C1211</f>
        <v>1:4.0-1:5.6</v>
      </c>
      <c r="F1211" s="9">
        <f t="shared" si="165"/>
        <v>4</v>
      </c>
      <c r="G1211" s="9">
        <f t="shared" si="166"/>
        <v>4</v>
      </c>
      <c r="H1211" t="str">
        <f>'(Raw) LensesGH'!D1211</f>
        <v>58mm</v>
      </c>
      <c r="I1211" s="2">
        <f t="shared" si="167"/>
        <v>58</v>
      </c>
      <c r="J1211" s="2" t="str">
        <f>'(Raw) LensesGH'!E1211</f>
        <v>1:4.10</v>
      </c>
      <c r="K1211" s="40">
        <f t="shared" si="168"/>
        <v>4.0999999999999996</v>
      </c>
      <c r="L1211" t="str">
        <f>'(Raw) LensesGH'!F1211</f>
        <v>Pentax K</v>
      </c>
      <c r="M1211" t="str">
        <f>'(Raw) LensesGH'!G1211</f>
        <v>APS-C/ Kleinbild</v>
      </c>
      <c r="N1211" t="str">
        <f>'(Raw) LensesGH'!H1211</f>
        <v>530g</v>
      </c>
      <c r="O1211" s="5">
        <f t="shared" si="169"/>
        <v>530</v>
      </c>
      <c r="P1211" t="str">
        <f>'(Raw) LensesGH'!I1211</f>
        <v>76.6 x 119.5mm</v>
      </c>
      <c r="Q1211" s="39">
        <f t="shared" si="170"/>
        <v>76.599999999999994</v>
      </c>
      <c r="R1211" s="39">
        <f t="shared" si="162"/>
        <v>119.5</v>
      </c>
    </row>
    <row r="1212" spans="1:18" x14ac:dyDescent="0.25">
      <c r="A1212" t="str">
        <f>'(Raw) LensesGH'!A1212</f>
        <v>Sigma AF 70-300mm 4.0-5.6 DG Makro für Sigma schwarz</v>
      </c>
      <c r="B1212" t="str">
        <f>'(Raw) LensesGH'!B1212</f>
        <v>70 - 300mm</v>
      </c>
      <c r="C1212" s="5">
        <f t="shared" si="163"/>
        <v>70</v>
      </c>
      <c r="D1212" s="5">
        <f t="shared" si="164"/>
        <v>300</v>
      </c>
      <c r="E1212" t="str">
        <f>'(Raw) LensesGH'!C1212</f>
        <v>1:4.0-1:5.6</v>
      </c>
      <c r="F1212" s="9">
        <f t="shared" si="165"/>
        <v>4</v>
      </c>
      <c r="G1212" s="9">
        <f t="shared" si="166"/>
        <v>4</v>
      </c>
      <c r="H1212" t="str">
        <f>'(Raw) LensesGH'!D1212</f>
        <v>58mm</v>
      </c>
      <c r="I1212" s="2">
        <f t="shared" si="167"/>
        <v>58</v>
      </c>
      <c r="J1212" s="2" t="str">
        <f>'(Raw) LensesGH'!E1212</f>
        <v>1:4.10</v>
      </c>
      <c r="K1212" s="40">
        <f t="shared" si="168"/>
        <v>4.0999999999999996</v>
      </c>
      <c r="L1212" t="str">
        <f>'(Raw) LensesGH'!F1212</f>
        <v>Sigma SA</v>
      </c>
      <c r="M1212" t="str">
        <f>'(Raw) LensesGH'!G1212</f>
        <v>APS-C</v>
      </c>
      <c r="N1212" t="str">
        <f>'(Raw) LensesGH'!H1212</f>
        <v>530g</v>
      </c>
      <c r="O1212" s="5">
        <f t="shared" si="169"/>
        <v>530</v>
      </c>
      <c r="P1212" t="str">
        <f>'(Raw) LensesGH'!I1212</f>
        <v>76.6 x 119.5mm</v>
      </c>
      <c r="Q1212" s="39">
        <f t="shared" si="170"/>
        <v>76.599999999999994</v>
      </c>
      <c r="R1212" s="39">
        <f t="shared" si="162"/>
        <v>119.5</v>
      </c>
    </row>
    <row r="1213" spans="1:18" x14ac:dyDescent="0.25">
      <c r="A1213" t="str">
        <f>'(Raw) LensesGH'!A1213</f>
        <v>Sigma AF 70-300mm 4.0-5.6 DG Makro für Sony A schwarz</v>
      </c>
      <c r="B1213" t="str">
        <f>'(Raw) LensesGH'!B1213</f>
        <v>70 - 300mm</v>
      </c>
      <c r="C1213" s="5">
        <f t="shared" si="163"/>
        <v>70</v>
      </c>
      <c r="D1213" s="5">
        <f t="shared" si="164"/>
        <v>300</v>
      </c>
      <c r="E1213" t="str">
        <f>'(Raw) LensesGH'!C1213</f>
        <v>1:4.0-1:5.6</v>
      </c>
      <c r="F1213" s="9">
        <f t="shared" si="165"/>
        <v>4</v>
      </c>
      <c r="G1213" s="9">
        <f t="shared" si="166"/>
        <v>4</v>
      </c>
      <c r="H1213" t="str">
        <f>'(Raw) LensesGH'!D1213</f>
        <v>58mm</v>
      </c>
      <c r="I1213" s="2">
        <f t="shared" si="167"/>
        <v>58</v>
      </c>
      <c r="J1213" s="2" t="str">
        <f>'(Raw) LensesGH'!E1213</f>
        <v>1:4.10</v>
      </c>
      <c r="K1213" s="40">
        <f t="shared" si="168"/>
        <v>4.0999999999999996</v>
      </c>
      <c r="L1213" t="str">
        <f>'(Raw) LensesGH'!F1213</f>
        <v>Sony A</v>
      </c>
      <c r="M1213" t="str">
        <f>'(Raw) LensesGH'!G1213</f>
        <v>APS-C/ Kleinbild</v>
      </c>
      <c r="N1213" t="str">
        <f>'(Raw) LensesGH'!H1213</f>
        <v>530g</v>
      </c>
      <c r="O1213" s="5">
        <f t="shared" si="169"/>
        <v>530</v>
      </c>
      <c r="P1213" t="str">
        <f>'(Raw) LensesGH'!I1213</f>
        <v>76.6 x 119.5mm</v>
      </c>
      <c r="Q1213" s="39">
        <f t="shared" si="170"/>
        <v>76.599999999999994</v>
      </c>
      <c r="R1213" s="39">
        <f t="shared" si="162"/>
        <v>119.5</v>
      </c>
    </row>
    <row r="1214" spans="1:18" x14ac:dyDescent="0.25">
      <c r="A1214" t="str">
        <f>'(Raw) LensesGH'!A1214</f>
        <v>Sigma AF 70-300mm 4.0-5.6 DG Makro mit AF-Motor für Nikon F schwarz</v>
      </c>
      <c r="B1214" t="str">
        <f>'(Raw) LensesGH'!B1214</f>
        <v>70 - 300mm</v>
      </c>
      <c r="C1214" s="5">
        <f t="shared" si="163"/>
        <v>70</v>
      </c>
      <c r="D1214" s="5">
        <f t="shared" si="164"/>
        <v>300</v>
      </c>
      <c r="E1214" t="str">
        <f>'(Raw) LensesGH'!C1214</f>
        <v>1:4.0-1:5.6</v>
      </c>
      <c r="F1214" s="9">
        <f t="shared" si="165"/>
        <v>4</v>
      </c>
      <c r="G1214" s="9">
        <f t="shared" si="166"/>
        <v>4</v>
      </c>
      <c r="H1214" t="str">
        <f>'(Raw) LensesGH'!D1214</f>
        <v>58mm</v>
      </c>
      <c r="I1214" s="2">
        <f t="shared" si="167"/>
        <v>58</v>
      </c>
      <c r="J1214" s="2" t="str">
        <f>'(Raw) LensesGH'!E1214</f>
        <v>1:4.10</v>
      </c>
      <c r="K1214" s="40">
        <f t="shared" si="168"/>
        <v>4.0999999999999996</v>
      </c>
      <c r="L1214" t="str">
        <f>'(Raw) LensesGH'!F1214</f>
        <v>Nikon F</v>
      </c>
      <c r="M1214" t="str">
        <f>'(Raw) LensesGH'!G1214</f>
        <v>APS-C/ Kleinbild</v>
      </c>
      <c r="N1214" t="str">
        <f>'(Raw) LensesGH'!H1214</f>
        <v>540g</v>
      </c>
      <c r="O1214" s="5">
        <f t="shared" si="169"/>
        <v>540</v>
      </c>
      <c r="P1214" t="str">
        <f>'(Raw) LensesGH'!I1214</f>
        <v>76.6 x 119.5mm</v>
      </c>
      <c r="Q1214" s="39">
        <f t="shared" si="170"/>
        <v>76.599999999999994</v>
      </c>
      <c r="R1214" s="39">
        <f t="shared" si="162"/>
        <v>119.5</v>
      </c>
    </row>
    <row r="1215" spans="1:18" x14ac:dyDescent="0.25">
      <c r="A1215" t="str">
        <f>'(Raw) LensesGH'!A1215</f>
        <v>Sigma AF 70-300mm 4.0-5.6 DG OS für Canon EF schwarz</v>
      </c>
      <c r="B1215" t="str">
        <f>'(Raw) LensesGH'!B1215</f>
        <v>70 - 300mm</v>
      </c>
      <c r="C1215" s="5">
        <f t="shared" si="163"/>
        <v>70</v>
      </c>
      <c r="D1215" s="5">
        <f t="shared" si="164"/>
        <v>300</v>
      </c>
      <c r="E1215" t="str">
        <f>'(Raw) LensesGH'!C1215</f>
        <v>1:4.0-1:5.6</v>
      </c>
      <c r="F1215" s="9">
        <f t="shared" si="165"/>
        <v>4</v>
      </c>
      <c r="G1215" s="9">
        <f t="shared" si="166"/>
        <v>4</v>
      </c>
      <c r="H1215" t="str">
        <f>'(Raw) LensesGH'!D1215</f>
        <v>62mm</v>
      </c>
      <c r="I1215" s="2">
        <f t="shared" si="167"/>
        <v>62</v>
      </c>
      <c r="J1215" s="2" t="str">
        <f>'(Raw) LensesGH'!E1215</f>
        <v>1:3.90</v>
      </c>
      <c r="K1215" s="40">
        <f t="shared" si="168"/>
        <v>3.9</v>
      </c>
      <c r="L1215" t="str">
        <f>'(Raw) LensesGH'!F1215</f>
        <v>Canon EF</v>
      </c>
      <c r="M1215" t="str">
        <f>'(Raw) LensesGH'!G1215</f>
        <v>APS-C/ Kleinbild</v>
      </c>
      <c r="N1215" t="str">
        <f>'(Raw) LensesGH'!H1215</f>
        <v>610g</v>
      </c>
      <c r="O1215" s="5">
        <f t="shared" si="169"/>
        <v>610</v>
      </c>
      <c r="P1215" t="str">
        <f>'(Raw) LensesGH'!I1215</f>
        <v>76.5 x 126.5mm</v>
      </c>
      <c r="Q1215" s="39">
        <f t="shared" si="170"/>
        <v>76.5</v>
      </c>
      <c r="R1215" s="39">
        <f t="shared" si="162"/>
        <v>126.5</v>
      </c>
    </row>
    <row r="1216" spans="1:18" x14ac:dyDescent="0.25">
      <c r="A1216" t="str">
        <f>'(Raw) LensesGH'!A1216</f>
        <v>Sigma AF 70-300mm 4.0-5.6 DG OS für Nikon F schwarz</v>
      </c>
      <c r="B1216" t="str">
        <f>'(Raw) LensesGH'!B1216</f>
        <v>70 - 300mm</v>
      </c>
      <c r="C1216" s="5">
        <f t="shared" si="163"/>
        <v>70</v>
      </c>
      <c r="D1216" s="5">
        <f t="shared" si="164"/>
        <v>300</v>
      </c>
      <c r="E1216" t="str">
        <f>'(Raw) LensesGH'!C1216</f>
        <v>1:4.0-1:5.6</v>
      </c>
      <c r="F1216" s="9">
        <f t="shared" si="165"/>
        <v>4</v>
      </c>
      <c r="G1216" s="9">
        <f t="shared" si="166"/>
        <v>4</v>
      </c>
      <c r="H1216" t="str">
        <f>'(Raw) LensesGH'!D1216</f>
        <v>62mm</v>
      </c>
      <c r="I1216" s="2">
        <f t="shared" si="167"/>
        <v>62</v>
      </c>
      <c r="J1216" s="2" t="str">
        <f>'(Raw) LensesGH'!E1216</f>
        <v>1:3.90</v>
      </c>
      <c r="K1216" s="40">
        <f t="shared" si="168"/>
        <v>3.9</v>
      </c>
      <c r="L1216" t="str">
        <f>'(Raw) LensesGH'!F1216</f>
        <v>Nikon F</v>
      </c>
      <c r="M1216" t="str">
        <f>'(Raw) LensesGH'!G1216</f>
        <v>APS-C/ Kleinbild</v>
      </c>
      <c r="N1216" t="str">
        <f>'(Raw) LensesGH'!H1216</f>
        <v>610g</v>
      </c>
      <c r="O1216" s="5">
        <f t="shared" si="169"/>
        <v>610</v>
      </c>
      <c r="P1216" t="str">
        <f>'(Raw) LensesGH'!I1216</f>
        <v>76.5 x 126.5mm</v>
      </c>
      <c r="Q1216" s="39">
        <f t="shared" si="170"/>
        <v>76.5</v>
      </c>
      <c r="R1216" s="39">
        <f t="shared" si="162"/>
        <v>126.5</v>
      </c>
    </row>
    <row r="1217" spans="1:18" x14ac:dyDescent="0.25">
      <c r="A1217" t="str">
        <f>'(Raw) LensesGH'!A1217</f>
        <v>Sigma AF 70-300mm 4.0-5.6 DG OS für Pentax K schwarz</v>
      </c>
      <c r="B1217" t="str">
        <f>'(Raw) LensesGH'!B1217</f>
        <v>70 - 300mm</v>
      </c>
      <c r="C1217" s="5">
        <f t="shared" si="163"/>
        <v>70</v>
      </c>
      <c r="D1217" s="5">
        <f t="shared" si="164"/>
        <v>300</v>
      </c>
      <c r="E1217" t="str">
        <f>'(Raw) LensesGH'!C1217</f>
        <v>1:4.0-1:5.6</v>
      </c>
      <c r="F1217" s="9">
        <f t="shared" si="165"/>
        <v>4</v>
      </c>
      <c r="G1217" s="9">
        <f t="shared" si="166"/>
        <v>4</v>
      </c>
      <c r="H1217" t="str">
        <f>'(Raw) LensesGH'!D1217</f>
        <v>62mm</v>
      </c>
      <c r="I1217" s="2">
        <f t="shared" si="167"/>
        <v>62</v>
      </c>
      <c r="J1217" s="2" t="str">
        <f>'(Raw) LensesGH'!E1217</f>
        <v>1:3.90</v>
      </c>
      <c r="K1217" s="40">
        <f t="shared" si="168"/>
        <v>3.9</v>
      </c>
      <c r="L1217" t="str">
        <f>'(Raw) LensesGH'!F1217</f>
        <v>Pentax K</v>
      </c>
      <c r="M1217" t="str">
        <f>'(Raw) LensesGH'!G1217</f>
        <v>APS-C/ Kleinbild</v>
      </c>
      <c r="N1217" t="str">
        <f>'(Raw) LensesGH'!H1217</f>
        <v>610g</v>
      </c>
      <c r="O1217" s="5">
        <f t="shared" si="169"/>
        <v>610</v>
      </c>
      <c r="P1217" t="str">
        <f>'(Raw) LensesGH'!I1217</f>
        <v>76.5 x 126.5mm</v>
      </c>
      <c r="Q1217" s="39">
        <f t="shared" si="170"/>
        <v>76.5</v>
      </c>
      <c r="R1217" s="39">
        <f t="shared" si="162"/>
        <v>126.5</v>
      </c>
    </row>
    <row r="1218" spans="1:18" x14ac:dyDescent="0.25">
      <c r="A1218" t="str">
        <f>'(Raw) LensesGH'!A1218</f>
        <v>Sigma AF 70-300mm 4.0-5.6 DG OS für Sigma schwarz</v>
      </c>
      <c r="B1218" t="str">
        <f>'(Raw) LensesGH'!B1218</f>
        <v>70 - 300mm</v>
      </c>
      <c r="C1218" s="5">
        <f t="shared" si="163"/>
        <v>70</v>
      </c>
      <c r="D1218" s="5">
        <f t="shared" si="164"/>
        <v>300</v>
      </c>
      <c r="E1218" t="str">
        <f>'(Raw) LensesGH'!C1218</f>
        <v>1:4.0-1:5.6</v>
      </c>
      <c r="F1218" s="9">
        <f t="shared" si="165"/>
        <v>4</v>
      </c>
      <c r="G1218" s="9">
        <f t="shared" si="166"/>
        <v>4</v>
      </c>
      <c r="H1218" t="str">
        <f>'(Raw) LensesGH'!D1218</f>
        <v>62mm</v>
      </c>
      <c r="I1218" s="2">
        <f t="shared" si="167"/>
        <v>62</v>
      </c>
      <c r="J1218" s="2" t="str">
        <f>'(Raw) LensesGH'!E1218</f>
        <v>1:3.90</v>
      </c>
      <c r="K1218" s="40">
        <f t="shared" si="168"/>
        <v>3.9</v>
      </c>
      <c r="L1218" t="str">
        <f>'(Raw) LensesGH'!F1218</f>
        <v>Sigma SA</v>
      </c>
      <c r="M1218" t="str">
        <f>'(Raw) LensesGH'!G1218</f>
        <v>APS-C</v>
      </c>
      <c r="N1218" t="str">
        <f>'(Raw) LensesGH'!H1218</f>
        <v>610g</v>
      </c>
      <c r="O1218" s="5">
        <f t="shared" si="169"/>
        <v>610</v>
      </c>
      <c r="P1218" t="str">
        <f>'(Raw) LensesGH'!I1218</f>
        <v>76.5 x 126.5mm</v>
      </c>
      <c r="Q1218" s="39">
        <f t="shared" si="170"/>
        <v>76.5</v>
      </c>
      <c r="R1218" s="39">
        <f t="shared" ref="R1218:R1281" si="171">getSizeLength(P1218)</f>
        <v>126.5</v>
      </c>
    </row>
    <row r="1219" spans="1:18" x14ac:dyDescent="0.25">
      <c r="A1219" t="str">
        <f>'(Raw) LensesGH'!A1219</f>
        <v>Sigma AF 70-300mm 4.0-5.6 DG OS für Sony A schwarz</v>
      </c>
      <c r="B1219" t="str">
        <f>'(Raw) LensesGH'!B1219</f>
        <v>70 - 300mm</v>
      </c>
      <c r="C1219" s="5">
        <f t="shared" ref="C1219:C1282" si="172">getFocalLengthStart(B1219)</f>
        <v>70</v>
      </c>
      <c r="D1219" s="5">
        <f t="shared" ref="D1219:D1282" si="173">getFocalLengthEnd(B1219)</f>
        <v>300</v>
      </c>
      <c r="E1219" t="str">
        <f>'(Raw) LensesGH'!C1219</f>
        <v>1:4.0-1:5.6</v>
      </c>
      <c r="F1219" s="9">
        <f t="shared" ref="F1219:F1282" si="174">getApertureStart(E1219)</f>
        <v>4</v>
      </c>
      <c r="G1219" s="9">
        <f t="shared" ref="G1219:G1282" si="175">getApertureEnd(F1219)</f>
        <v>4</v>
      </c>
      <c r="H1219" t="str">
        <f>'(Raw) LensesGH'!D1219</f>
        <v>62mm</v>
      </c>
      <c r="I1219" s="2">
        <f t="shared" ref="I1219:I1282" si="176">getFiltersizeAsDouble(H1219)</f>
        <v>62</v>
      </c>
      <c r="J1219" s="2" t="str">
        <f>'(Raw) LensesGH'!E1219</f>
        <v>1:3.90</v>
      </c>
      <c r="K1219" s="40">
        <f t="shared" ref="K1219:K1282" si="177">getMagnification(J1219)</f>
        <v>3.9</v>
      </c>
      <c r="L1219" t="str">
        <f>'(Raw) LensesGH'!F1219</f>
        <v>Sony A</v>
      </c>
      <c r="M1219" t="str">
        <f>'(Raw) LensesGH'!G1219</f>
        <v>APS-C/ Kleinbild</v>
      </c>
      <c r="N1219" t="str">
        <f>'(Raw) LensesGH'!H1219</f>
        <v>610g</v>
      </c>
      <c r="O1219" s="5">
        <f t="shared" ref="O1219:O1282" si="178">getWeightAsDouble(N1219)</f>
        <v>610</v>
      </c>
      <c r="P1219" t="str">
        <f>'(Raw) LensesGH'!I1219</f>
        <v>76.5 x 126.5mm</v>
      </c>
      <c r="Q1219" s="39">
        <f t="shared" ref="Q1219:Q1282" si="179">getSizeDiameter(P1219)</f>
        <v>76.5</v>
      </c>
      <c r="R1219" s="39">
        <f t="shared" si="171"/>
        <v>126.5</v>
      </c>
    </row>
    <row r="1220" spans="1:18" x14ac:dyDescent="0.25">
      <c r="A1220" t="str">
        <f>'(Raw) LensesGH'!A1220</f>
        <v>Sigma AF 70mm 2.8 EX DG Makro für Canon EF schwarz</v>
      </c>
      <c r="B1220" t="str">
        <f>'(Raw) LensesGH'!B1220</f>
        <v>70mm</v>
      </c>
      <c r="C1220" s="5">
        <f t="shared" si="172"/>
        <v>70</v>
      </c>
      <c r="D1220" s="5">
        <f t="shared" si="173"/>
        <v>70</v>
      </c>
      <c r="E1220" t="str">
        <f>'(Raw) LensesGH'!C1220</f>
        <v>1:2.8</v>
      </c>
      <c r="F1220" s="9">
        <f t="shared" si="174"/>
        <v>2.8</v>
      </c>
      <c r="G1220" s="9">
        <f t="shared" si="175"/>
        <v>2.8</v>
      </c>
      <c r="H1220" t="str">
        <f>'(Raw) LensesGH'!D1220</f>
        <v>62mm</v>
      </c>
      <c r="I1220" s="2">
        <f t="shared" si="176"/>
        <v>62</v>
      </c>
      <c r="J1220" s="2" t="str">
        <f>'(Raw) LensesGH'!E1220</f>
        <v>1:1.00</v>
      </c>
      <c r="K1220" s="40">
        <f t="shared" si="177"/>
        <v>1</v>
      </c>
      <c r="L1220" t="str">
        <f>'(Raw) LensesGH'!F1220</f>
        <v>Canon EF</v>
      </c>
      <c r="M1220" t="str">
        <f>'(Raw) LensesGH'!G1220</f>
        <v>APS-C/ Kleinbild</v>
      </c>
      <c r="N1220" t="str">
        <f>'(Raw) LensesGH'!H1220</f>
        <v>527g</v>
      </c>
      <c r="O1220" s="5">
        <f t="shared" si="178"/>
        <v>527</v>
      </c>
      <c r="P1220" t="str">
        <f>'(Raw) LensesGH'!I1220</f>
        <v>76 x 95mm</v>
      </c>
      <c r="Q1220" s="39">
        <f t="shared" si="179"/>
        <v>76</v>
      </c>
      <c r="R1220" s="39">
        <f t="shared" si="171"/>
        <v>95</v>
      </c>
    </row>
    <row r="1221" spans="1:18" x14ac:dyDescent="0.25">
      <c r="A1221" t="str">
        <f>'(Raw) LensesGH'!A1221</f>
        <v>Sigma AF 70mm 2.8 EX DG Makro für Nikon F schwarz</v>
      </c>
      <c r="B1221" t="str">
        <f>'(Raw) LensesGH'!B1221</f>
        <v>70mm</v>
      </c>
      <c r="C1221" s="5">
        <f t="shared" si="172"/>
        <v>70</v>
      </c>
      <c r="D1221" s="5">
        <f t="shared" si="173"/>
        <v>70</v>
      </c>
      <c r="E1221" t="str">
        <f>'(Raw) LensesGH'!C1221</f>
        <v>1:2.8</v>
      </c>
      <c r="F1221" s="9">
        <f t="shared" si="174"/>
        <v>2.8</v>
      </c>
      <c r="G1221" s="9">
        <f t="shared" si="175"/>
        <v>2.8</v>
      </c>
      <c r="H1221" t="str">
        <f>'(Raw) LensesGH'!D1221</f>
        <v>62mm</v>
      </c>
      <c r="I1221" s="2">
        <f t="shared" si="176"/>
        <v>62</v>
      </c>
      <c r="J1221" s="2" t="str">
        <f>'(Raw) LensesGH'!E1221</f>
        <v>1:1.00</v>
      </c>
      <c r="K1221" s="40">
        <f t="shared" si="177"/>
        <v>1</v>
      </c>
      <c r="L1221" t="str">
        <f>'(Raw) LensesGH'!F1221</f>
        <v>Nikon F</v>
      </c>
      <c r="M1221" t="str">
        <f>'(Raw) LensesGH'!G1221</f>
        <v>APS-C/ Kleinbild</v>
      </c>
      <c r="N1221" t="str">
        <f>'(Raw) LensesGH'!H1221</f>
        <v>527g</v>
      </c>
      <c r="O1221" s="5">
        <f t="shared" si="178"/>
        <v>527</v>
      </c>
      <c r="P1221" t="str">
        <f>'(Raw) LensesGH'!I1221</f>
        <v>76 x 95mm</v>
      </c>
      <c r="Q1221" s="39">
        <f t="shared" si="179"/>
        <v>76</v>
      </c>
      <c r="R1221" s="39">
        <f t="shared" si="171"/>
        <v>95</v>
      </c>
    </row>
    <row r="1222" spans="1:18" x14ac:dyDescent="0.25">
      <c r="A1222" t="str">
        <f>'(Raw) LensesGH'!A1222</f>
        <v>Sigma AF 70mm 2.8 EX DG Makro für Sigma schwarz</v>
      </c>
      <c r="B1222" t="str">
        <f>'(Raw) LensesGH'!B1222</f>
        <v>70mm</v>
      </c>
      <c r="C1222" s="5">
        <f t="shared" si="172"/>
        <v>70</v>
      </c>
      <c r="D1222" s="5">
        <f t="shared" si="173"/>
        <v>70</v>
      </c>
      <c r="E1222" t="str">
        <f>'(Raw) LensesGH'!C1222</f>
        <v>1:2.8</v>
      </c>
      <c r="F1222" s="9">
        <f t="shared" si="174"/>
        <v>2.8</v>
      </c>
      <c r="G1222" s="9">
        <f t="shared" si="175"/>
        <v>2.8</v>
      </c>
      <c r="H1222" t="str">
        <f>'(Raw) LensesGH'!D1222</f>
        <v>62mm</v>
      </c>
      <c r="I1222" s="2">
        <f t="shared" si="176"/>
        <v>62</v>
      </c>
      <c r="J1222" s="2" t="str">
        <f>'(Raw) LensesGH'!E1222</f>
        <v>1:1.00</v>
      </c>
      <c r="K1222" s="40">
        <f t="shared" si="177"/>
        <v>1</v>
      </c>
      <c r="L1222" t="str">
        <f>'(Raw) LensesGH'!F1222</f>
        <v>Sigma SA</v>
      </c>
      <c r="M1222" t="str">
        <f>'(Raw) LensesGH'!G1222</f>
        <v>APS-C</v>
      </c>
      <c r="N1222" t="str">
        <f>'(Raw) LensesGH'!H1222</f>
        <v>527g</v>
      </c>
      <c r="O1222" s="5">
        <f t="shared" si="178"/>
        <v>527</v>
      </c>
      <c r="P1222" t="str">
        <f>'(Raw) LensesGH'!I1222</f>
        <v>76 x 95mm</v>
      </c>
      <c r="Q1222" s="39">
        <f t="shared" si="179"/>
        <v>76</v>
      </c>
      <c r="R1222" s="39">
        <f t="shared" si="171"/>
        <v>95</v>
      </c>
    </row>
    <row r="1223" spans="1:18" x14ac:dyDescent="0.25">
      <c r="A1223" t="str">
        <f>'(Raw) LensesGH'!A1223</f>
        <v>Sigma AF 70mm 2.8 EX DG Makro für Sony A schwarz</v>
      </c>
      <c r="B1223" t="str">
        <f>'(Raw) LensesGH'!B1223</f>
        <v>70mm</v>
      </c>
      <c r="C1223" s="5">
        <f t="shared" si="172"/>
        <v>70</v>
      </c>
      <c r="D1223" s="5">
        <f t="shared" si="173"/>
        <v>70</v>
      </c>
      <c r="E1223" t="str">
        <f>'(Raw) LensesGH'!C1223</f>
        <v>1:2.8</v>
      </c>
      <c r="F1223" s="9">
        <f t="shared" si="174"/>
        <v>2.8</v>
      </c>
      <c r="G1223" s="9">
        <f t="shared" si="175"/>
        <v>2.8</v>
      </c>
      <c r="H1223" t="str">
        <f>'(Raw) LensesGH'!D1223</f>
        <v>62mm</v>
      </c>
      <c r="I1223" s="2">
        <f t="shared" si="176"/>
        <v>62</v>
      </c>
      <c r="J1223" s="2" t="str">
        <f>'(Raw) LensesGH'!E1223</f>
        <v>1:1.00</v>
      </c>
      <c r="K1223" s="40">
        <f t="shared" si="177"/>
        <v>1</v>
      </c>
      <c r="L1223" t="str">
        <f>'(Raw) LensesGH'!F1223</f>
        <v>Sony A</v>
      </c>
      <c r="M1223" t="str">
        <f>'(Raw) LensesGH'!G1223</f>
        <v>APS-C/ Kleinbild</v>
      </c>
      <c r="N1223" t="str">
        <f>'(Raw) LensesGH'!H1223</f>
        <v>527g</v>
      </c>
      <c r="O1223" s="5">
        <f t="shared" si="178"/>
        <v>527</v>
      </c>
      <c r="P1223" t="str">
        <f>'(Raw) LensesGH'!I1223</f>
        <v>76 x 95mm</v>
      </c>
      <c r="Q1223" s="39">
        <f t="shared" si="179"/>
        <v>76</v>
      </c>
      <c r="R1223" s="39">
        <f t="shared" si="171"/>
        <v>95</v>
      </c>
    </row>
    <row r="1224" spans="1:18" x14ac:dyDescent="0.25">
      <c r="A1224" t="str">
        <f>'(Raw) LensesGH'!A1224</f>
        <v>Sigma AF 800mm 5.6 EX DG APO HSM IF für Canon EF schwarz</v>
      </c>
      <c r="B1224" t="str">
        <f>'(Raw) LensesGH'!B1224</f>
        <v>800mm</v>
      </c>
      <c r="C1224" s="5">
        <f t="shared" si="172"/>
        <v>800</v>
      </c>
      <c r="D1224" s="5">
        <f t="shared" si="173"/>
        <v>800</v>
      </c>
      <c r="E1224" t="str">
        <f>'(Raw) LensesGH'!C1224</f>
        <v>1:5.6</v>
      </c>
      <c r="F1224" s="9">
        <f t="shared" si="174"/>
        <v>5.6</v>
      </c>
      <c r="G1224" s="9">
        <f t="shared" si="175"/>
        <v>5.6</v>
      </c>
      <c r="H1224" t="str">
        <f>'(Raw) LensesGH'!D1224</f>
        <v>46mm</v>
      </c>
      <c r="I1224" s="2">
        <f t="shared" si="176"/>
        <v>46</v>
      </c>
      <c r="J1224" s="2" t="str">
        <f>'(Raw) LensesGH'!E1224</f>
        <v>1:8.80</v>
      </c>
      <c r="K1224" s="40">
        <f t="shared" si="177"/>
        <v>8.8000000000000007</v>
      </c>
      <c r="L1224" t="str">
        <f>'(Raw) LensesGH'!F1224</f>
        <v>Canon EF</v>
      </c>
      <c r="M1224" t="str">
        <f>'(Raw) LensesGH'!G1224</f>
        <v>APS-C/ Kleinbild</v>
      </c>
      <c r="N1224" t="str">
        <f>'(Raw) LensesGH'!H1224</f>
        <v>4900g</v>
      </c>
      <c r="O1224" s="5">
        <f t="shared" si="178"/>
        <v>4900</v>
      </c>
      <c r="P1224" t="str">
        <f>'(Raw) LensesGH'!I1224</f>
        <v>156.5 x 521mm</v>
      </c>
      <c r="Q1224" s="39">
        <f t="shared" si="179"/>
        <v>156.5</v>
      </c>
      <c r="R1224" s="39">
        <f t="shared" si="171"/>
        <v>521</v>
      </c>
    </row>
    <row r="1225" spans="1:18" x14ac:dyDescent="0.25">
      <c r="A1225" t="str">
        <f>'(Raw) LensesGH'!A1225</f>
        <v>Sigma AF 800mm 5.6 EX DG APO HSM IF für Nikon F schwarz</v>
      </c>
      <c r="B1225" t="str">
        <f>'(Raw) LensesGH'!B1225</f>
        <v>800mm</v>
      </c>
      <c r="C1225" s="5">
        <f t="shared" si="172"/>
        <v>800</v>
      </c>
      <c r="D1225" s="5">
        <f t="shared" si="173"/>
        <v>800</v>
      </c>
      <c r="E1225" t="str">
        <f>'(Raw) LensesGH'!C1225</f>
        <v>1:5.6</v>
      </c>
      <c r="F1225" s="9">
        <f t="shared" si="174"/>
        <v>5.6</v>
      </c>
      <c r="G1225" s="9">
        <f t="shared" si="175"/>
        <v>5.6</v>
      </c>
      <c r="H1225" t="str">
        <f>'(Raw) LensesGH'!D1225</f>
        <v>46mm</v>
      </c>
      <c r="I1225" s="2">
        <f t="shared" si="176"/>
        <v>46</v>
      </c>
      <c r="J1225" s="2" t="str">
        <f>'(Raw) LensesGH'!E1225</f>
        <v>1:8.80</v>
      </c>
      <c r="K1225" s="40">
        <f t="shared" si="177"/>
        <v>8.8000000000000007</v>
      </c>
      <c r="L1225" t="str">
        <f>'(Raw) LensesGH'!F1225</f>
        <v>Nikon F</v>
      </c>
      <c r="M1225" t="str">
        <f>'(Raw) LensesGH'!G1225</f>
        <v>APS-C/ Kleinbild</v>
      </c>
      <c r="N1225" t="str">
        <f>'(Raw) LensesGH'!H1225</f>
        <v>4900g</v>
      </c>
      <c r="O1225" s="5">
        <f t="shared" si="178"/>
        <v>4900</v>
      </c>
      <c r="P1225" t="str">
        <f>'(Raw) LensesGH'!I1225</f>
        <v>156.5 x 521mm</v>
      </c>
      <c r="Q1225" s="39">
        <f t="shared" si="179"/>
        <v>156.5</v>
      </c>
      <c r="R1225" s="39">
        <f t="shared" si="171"/>
        <v>521</v>
      </c>
    </row>
    <row r="1226" spans="1:18" x14ac:dyDescent="0.25">
      <c r="A1226" t="str">
        <f>'(Raw) LensesGH'!A1226</f>
        <v>Sigma AF 800mm 5.6 EX DG APO HSM IF für Sigma schwarz</v>
      </c>
      <c r="B1226" t="str">
        <f>'(Raw) LensesGH'!B1226</f>
        <v>800mm</v>
      </c>
      <c r="C1226" s="5">
        <f t="shared" si="172"/>
        <v>800</v>
      </c>
      <c r="D1226" s="5">
        <f t="shared" si="173"/>
        <v>800</v>
      </c>
      <c r="E1226" t="str">
        <f>'(Raw) LensesGH'!C1226</f>
        <v>1:5.6</v>
      </c>
      <c r="F1226" s="9">
        <f t="shared" si="174"/>
        <v>5.6</v>
      </c>
      <c r="G1226" s="9">
        <f t="shared" si="175"/>
        <v>5.6</v>
      </c>
      <c r="H1226" t="str">
        <f>'(Raw) LensesGH'!D1226</f>
        <v>46mm</v>
      </c>
      <c r="I1226" s="2">
        <f t="shared" si="176"/>
        <v>46</v>
      </c>
      <c r="J1226" s="2" t="str">
        <f>'(Raw) LensesGH'!E1226</f>
        <v>1:8.80</v>
      </c>
      <c r="K1226" s="40">
        <f t="shared" si="177"/>
        <v>8.8000000000000007</v>
      </c>
      <c r="L1226" t="str">
        <f>'(Raw) LensesGH'!F1226</f>
        <v>Sigma SA</v>
      </c>
      <c r="M1226" t="str">
        <f>'(Raw) LensesGH'!G1226</f>
        <v>APS-C</v>
      </c>
      <c r="N1226" t="str">
        <f>'(Raw) LensesGH'!H1226</f>
        <v>4900g</v>
      </c>
      <c r="O1226" s="5">
        <f t="shared" si="178"/>
        <v>4900</v>
      </c>
      <c r="P1226" t="str">
        <f>'(Raw) LensesGH'!I1226</f>
        <v>156.5 x 521mm</v>
      </c>
      <c r="Q1226" s="39">
        <f t="shared" si="179"/>
        <v>156.5</v>
      </c>
      <c r="R1226" s="39">
        <f t="shared" si="171"/>
        <v>521</v>
      </c>
    </row>
    <row r="1227" spans="1:18" x14ac:dyDescent="0.25">
      <c r="A1227" t="str">
        <f>'(Raw) LensesGH'!A1227</f>
        <v>Sigma AF 8-16mm 4.5-5.6 DC HSM für Canon EF schwarz</v>
      </c>
      <c r="B1227" t="str">
        <f>'(Raw) LensesGH'!B1227</f>
        <v>8 - 16mm</v>
      </c>
      <c r="C1227" s="5">
        <f t="shared" si="172"/>
        <v>8</v>
      </c>
      <c r="D1227" s="5">
        <f t="shared" si="173"/>
        <v>16</v>
      </c>
      <c r="E1227" t="str">
        <f>'(Raw) LensesGH'!C1227</f>
        <v>1:4.5-1:5.6</v>
      </c>
      <c r="F1227" s="9">
        <f t="shared" si="174"/>
        <v>4.5</v>
      </c>
      <c r="G1227" s="9">
        <f t="shared" si="175"/>
        <v>4.5</v>
      </c>
      <c r="H1227">
        <f>'(Raw) LensesGH'!D1227</f>
        <v>0</v>
      </c>
      <c r="I1227" s="2">
        <f t="shared" si="176"/>
        <v>0</v>
      </c>
      <c r="J1227" s="2" t="str">
        <f>'(Raw) LensesGH'!E1227</f>
        <v>1:7.80</v>
      </c>
      <c r="K1227" s="40">
        <f t="shared" si="177"/>
        <v>7.8</v>
      </c>
      <c r="L1227" t="str">
        <f>'(Raw) LensesGH'!F1227</f>
        <v>Canon EF-S</v>
      </c>
      <c r="M1227" t="str">
        <f>'(Raw) LensesGH'!G1227</f>
        <v>APS-C</v>
      </c>
      <c r="N1227" t="str">
        <f>'(Raw) LensesGH'!H1227</f>
        <v>545g</v>
      </c>
      <c r="O1227" s="5">
        <f t="shared" si="178"/>
        <v>545</v>
      </c>
      <c r="P1227" t="str">
        <f>'(Raw) LensesGH'!I1227</f>
        <v>75 x 105.7mm</v>
      </c>
      <c r="Q1227" s="39">
        <f t="shared" si="179"/>
        <v>75</v>
      </c>
      <c r="R1227" s="39">
        <f t="shared" si="171"/>
        <v>105.7</v>
      </c>
    </row>
    <row r="1228" spans="1:18" x14ac:dyDescent="0.25">
      <c r="A1228" t="str">
        <f>'(Raw) LensesGH'!A1228</f>
        <v>Sigma AF 8-16mm 4.5-5.6 DC HSM für Nikon F schwarz</v>
      </c>
      <c r="B1228" t="str">
        <f>'(Raw) LensesGH'!B1228</f>
        <v>8 - 16mm</v>
      </c>
      <c r="C1228" s="5">
        <f t="shared" si="172"/>
        <v>8</v>
      </c>
      <c r="D1228" s="5">
        <f t="shared" si="173"/>
        <v>16</v>
      </c>
      <c r="E1228" t="str">
        <f>'(Raw) LensesGH'!C1228</f>
        <v>1:4.5-1:5.6</v>
      </c>
      <c r="F1228" s="9">
        <f t="shared" si="174"/>
        <v>4.5</v>
      </c>
      <c r="G1228" s="9">
        <f t="shared" si="175"/>
        <v>4.5</v>
      </c>
      <c r="H1228">
        <f>'(Raw) LensesGH'!D1228</f>
        <v>0</v>
      </c>
      <c r="I1228" s="2">
        <f t="shared" si="176"/>
        <v>0</v>
      </c>
      <c r="J1228" s="2" t="str">
        <f>'(Raw) LensesGH'!E1228</f>
        <v>1:7.80</v>
      </c>
      <c r="K1228" s="40">
        <f t="shared" si="177"/>
        <v>7.8</v>
      </c>
      <c r="L1228" t="str">
        <f>'(Raw) LensesGH'!F1228</f>
        <v>Nikon F</v>
      </c>
      <c r="M1228" t="str">
        <f>'(Raw) LensesGH'!G1228</f>
        <v>APS-C</v>
      </c>
      <c r="N1228" t="str">
        <f>'(Raw) LensesGH'!H1228</f>
        <v>545g</v>
      </c>
      <c r="O1228" s="5">
        <f t="shared" si="178"/>
        <v>545</v>
      </c>
      <c r="P1228" t="str">
        <f>'(Raw) LensesGH'!I1228</f>
        <v>75 x 105.7mm</v>
      </c>
      <c r="Q1228" s="39">
        <f t="shared" si="179"/>
        <v>75</v>
      </c>
      <c r="R1228" s="39">
        <f t="shared" si="171"/>
        <v>105.7</v>
      </c>
    </row>
    <row r="1229" spans="1:18" x14ac:dyDescent="0.25">
      <c r="A1229" t="str">
        <f>'(Raw) LensesGH'!A1229</f>
        <v>Sigma AF 8-16mm 4.5-5.6 DC HSM für Pentax K schwarz</v>
      </c>
      <c r="B1229" t="str">
        <f>'(Raw) LensesGH'!B1229</f>
        <v>8 - 16mm</v>
      </c>
      <c r="C1229" s="5">
        <f t="shared" si="172"/>
        <v>8</v>
      </c>
      <c r="D1229" s="5">
        <f t="shared" si="173"/>
        <v>16</v>
      </c>
      <c r="E1229" t="str">
        <f>'(Raw) LensesGH'!C1229</f>
        <v>1:4.5-1:5.6</v>
      </c>
      <c r="F1229" s="9">
        <f t="shared" si="174"/>
        <v>4.5</v>
      </c>
      <c r="G1229" s="9">
        <f t="shared" si="175"/>
        <v>4.5</v>
      </c>
      <c r="H1229">
        <f>'(Raw) LensesGH'!D1229</f>
        <v>0</v>
      </c>
      <c r="I1229" s="2">
        <f t="shared" si="176"/>
        <v>0</v>
      </c>
      <c r="J1229" s="2" t="str">
        <f>'(Raw) LensesGH'!E1229</f>
        <v>1:7.80</v>
      </c>
      <c r="K1229" s="40">
        <f t="shared" si="177"/>
        <v>7.8</v>
      </c>
      <c r="L1229" t="str">
        <f>'(Raw) LensesGH'!F1229</f>
        <v>Pentax K</v>
      </c>
      <c r="M1229" t="str">
        <f>'(Raw) LensesGH'!G1229</f>
        <v>APS-C</v>
      </c>
      <c r="N1229" t="str">
        <f>'(Raw) LensesGH'!H1229</f>
        <v>545g</v>
      </c>
      <c r="O1229" s="5">
        <f t="shared" si="178"/>
        <v>545</v>
      </c>
      <c r="P1229" t="str">
        <f>'(Raw) LensesGH'!I1229</f>
        <v>75 x 105.7mm</v>
      </c>
      <c r="Q1229" s="39">
        <f t="shared" si="179"/>
        <v>75</v>
      </c>
      <c r="R1229" s="39">
        <f t="shared" si="171"/>
        <v>105.7</v>
      </c>
    </row>
    <row r="1230" spans="1:18" x14ac:dyDescent="0.25">
      <c r="A1230" t="str">
        <f>'(Raw) LensesGH'!A1230</f>
        <v>Sigma AF 8-16mm 4.5-5.6 DC HSM für Sigma schwarz</v>
      </c>
      <c r="B1230" t="str">
        <f>'(Raw) LensesGH'!B1230</f>
        <v>8 - 16mm</v>
      </c>
      <c r="C1230" s="5">
        <f t="shared" si="172"/>
        <v>8</v>
      </c>
      <c r="D1230" s="5">
        <f t="shared" si="173"/>
        <v>16</v>
      </c>
      <c r="E1230" t="str">
        <f>'(Raw) LensesGH'!C1230</f>
        <v>1:4.5-1:5.6</v>
      </c>
      <c r="F1230" s="9">
        <f t="shared" si="174"/>
        <v>4.5</v>
      </c>
      <c r="G1230" s="9">
        <f t="shared" si="175"/>
        <v>4.5</v>
      </c>
      <c r="H1230">
        <f>'(Raw) LensesGH'!D1230</f>
        <v>0</v>
      </c>
      <c r="I1230" s="2">
        <f t="shared" si="176"/>
        <v>0</v>
      </c>
      <c r="J1230" s="2" t="str">
        <f>'(Raw) LensesGH'!E1230</f>
        <v>1:7.80</v>
      </c>
      <c r="K1230" s="40">
        <f t="shared" si="177"/>
        <v>7.8</v>
      </c>
      <c r="L1230" t="str">
        <f>'(Raw) LensesGH'!F1230</f>
        <v>Sigma SA</v>
      </c>
      <c r="M1230" t="str">
        <f>'(Raw) LensesGH'!G1230</f>
        <v>APS-C</v>
      </c>
      <c r="N1230" t="str">
        <f>'(Raw) LensesGH'!H1230</f>
        <v>545g</v>
      </c>
      <c r="O1230" s="5">
        <f t="shared" si="178"/>
        <v>545</v>
      </c>
      <c r="P1230" t="str">
        <f>'(Raw) LensesGH'!I1230</f>
        <v>75 x 105.7mm</v>
      </c>
      <c r="Q1230" s="39">
        <f t="shared" si="179"/>
        <v>75</v>
      </c>
      <c r="R1230" s="39">
        <f t="shared" si="171"/>
        <v>105.7</v>
      </c>
    </row>
    <row r="1231" spans="1:18" x14ac:dyDescent="0.25">
      <c r="A1231" t="str">
        <f>'(Raw) LensesGH'!A1231</f>
        <v>Sigma AF 8-16mm 4.5-5.6 DC HSM für Sony A schwarz</v>
      </c>
      <c r="B1231" t="str">
        <f>'(Raw) LensesGH'!B1231</f>
        <v>8 - 16mm</v>
      </c>
      <c r="C1231" s="5">
        <f t="shared" si="172"/>
        <v>8</v>
      </c>
      <c r="D1231" s="5">
        <f t="shared" si="173"/>
        <v>16</v>
      </c>
      <c r="E1231" t="str">
        <f>'(Raw) LensesGH'!C1231</f>
        <v>1:4.5-1:5.6</v>
      </c>
      <c r="F1231" s="9">
        <f t="shared" si="174"/>
        <v>4.5</v>
      </c>
      <c r="G1231" s="9">
        <f t="shared" si="175"/>
        <v>4.5</v>
      </c>
      <c r="H1231">
        <f>'(Raw) LensesGH'!D1231</f>
        <v>0</v>
      </c>
      <c r="I1231" s="2">
        <f t="shared" si="176"/>
        <v>0</v>
      </c>
      <c r="J1231" s="2" t="str">
        <f>'(Raw) LensesGH'!E1231</f>
        <v>1:7.80</v>
      </c>
      <c r="K1231" s="40">
        <f t="shared" si="177"/>
        <v>7.8</v>
      </c>
      <c r="L1231" t="str">
        <f>'(Raw) LensesGH'!F1231</f>
        <v>Sony A</v>
      </c>
      <c r="M1231" t="str">
        <f>'(Raw) LensesGH'!G1231</f>
        <v>APS-C</v>
      </c>
      <c r="N1231" t="str">
        <f>'(Raw) LensesGH'!H1231</f>
        <v>545g</v>
      </c>
      <c r="O1231" s="5">
        <f t="shared" si="178"/>
        <v>545</v>
      </c>
      <c r="P1231" t="str">
        <f>'(Raw) LensesGH'!I1231</f>
        <v>75 x 105.7mm</v>
      </c>
      <c r="Q1231" s="39">
        <f t="shared" si="179"/>
        <v>75</v>
      </c>
      <c r="R1231" s="39">
        <f t="shared" si="171"/>
        <v>105.7</v>
      </c>
    </row>
    <row r="1232" spans="1:18" x14ac:dyDescent="0.25">
      <c r="A1232" t="str">
        <f>'(Raw) LensesGH'!A1232</f>
        <v>Sigma AF 85mm 1.4 EX DG HSM für Canon EF schwarz</v>
      </c>
      <c r="B1232" t="str">
        <f>'(Raw) LensesGH'!B1232</f>
        <v>85mm</v>
      </c>
      <c r="C1232" s="5">
        <f t="shared" si="172"/>
        <v>85</v>
      </c>
      <c r="D1232" s="5">
        <f t="shared" si="173"/>
        <v>85</v>
      </c>
      <c r="E1232" t="str">
        <f>'(Raw) LensesGH'!C1232</f>
        <v>1:1.4</v>
      </c>
      <c r="F1232" s="9">
        <f t="shared" si="174"/>
        <v>1.4</v>
      </c>
      <c r="G1232" s="9">
        <f t="shared" si="175"/>
        <v>1.4</v>
      </c>
      <c r="H1232" t="str">
        <f>'(Raw) LensesGH'!D1232</f>
        <v>77mm</v>
      </c>
      <c r="I1232" s="2">
        <f t="shared" si="176"/>
        <v>77</v>
      </c>
      <c r="J1232" s="2" t="str">
        <f>'(Raw) LensesGH'!E1232</f>
        <v>1:8.60</v>
      </c>
      <c r="K1232" s="40">
        <f t="shared" si="177"/>
        <v>8.6</v>
      </c>
      <c r="L1232" t="str">
        <f>'(Raw) LensesGH'!F1232</f>
        <v>Canon EF</v>
      </c>
      <c r="M1232" t="str">
        <f>'(Raw) LensesGH'!G1232</f>
        <v>APS-C/ Kleinbild</v>
      </c>
      <c r="N1232" t="str">
        <f>'(Raw) LensesGH'!H1232</f>
        <v>719g</v>
      </c>
      <c r="O1232" s="5">
        <f t="shared" si="178"/>
        <v>719</v>
      </c>
      <c r="P1232" t="str">
        <f>'(Raw) LensesGH'!I1232</f>
        <v>84.7 x 87.6mm</v>
      </c>
      <c r="Q1232" s="39">
        <f t="shared" si="179"/>
        <v>84.7</v>
      </c>
      <c r="R1232" s="39">
        <f t="shared" si="171"/>
        <v>87.6</v>
      </c>
    </row>
    <row r="1233" spans="1:18" x14ac:dyDescent="0.25">
      <c r="A1233" t="str">
        <f>'(Raw) LensesGH'!A1233</f>
        <v>Sigma AF 85mm 1.4 EX DG HSM für Nikon F schwarz</v>
      </c>
      <c r="B1233" t="str">
        <f>'(Raw) LensesGH'!B1233</f>
        <v>85mm</v>
      </c>
      <c r="C1233" s="5">
        <f t="shared" si="172"/>
        <v>85</v>
      </c>
      <c r="D1233" s="5">
        <f t="shared" si="173"/>
        <v>85</v>
      </c>
      <c r="E1233" t="str">
        <f>'(Raw) LensesGH'!C1233</f>
        <v>1:1.4</v>
      </c>
      <c r="F1233" s="9">
        <f t="shared" si="174"/>
        <v>1.4</v>
      </c>
      <c r="G1233" s="9">
        <f t="shared" si="175"/>
        <v>1.4</v>
      </c>
      <c r="H1233" t="str">
        <f>'(Raw) LensesGH'!D1233</f>
        <v>77mm</v>
      </c>
      <c r="I1233" s="2">
        <f t="shared" si="176"/>
        <v>77</v>
      </c>
      <c r="J1233" s="2" t="str">
        <f>'(Raw) LensesGH'!E1233</f>
        <v>1:8.60</v>
      </c>
      <c r="K1233" s="40">
        <f t="shared" si="177"/>
        <v>8.6</v>
      </c>
      <c r="L1233" t="str">
        <f>'(Raw) LensesGH'!F1233</f>
        <v>Nikon F</v>
      </c>
      <c r="M1233" t="str">
        <f>'(Raw) LensesGH'!G1233</f>
        <v>APS-C/ Kleinbild</v>
      </c>
      <c r="N1233" t="str">
        <f>'(Raw) LensesGH'!H1233</f>
        <v>719g</v>
      </c>
      <c r="O1233" s="5">
        <f t="shared" si="178"/>
        <v>719</v>
      </c>
      <c r="P1233" t="str">
        <f>'(Raw) LensesGH'!I1233</f>
        <v>84.7 x 87.6mm</v>
      </c>
      <c r="Q1233" s="39">
        <f t="shared" si="179"/>
        <v>84.7</v>
      </c>
      <c r="R1233" s="39">
        <f t="shared" si="171"/>
        <v>87.6</v>
      </c>
    </row>
    <row r="1234" spans="1:18" x14ac:dyDescent="0.25">
      <c r="A1234" t="str">
        <f>'(Raw) LensesGH'!A1234</f>
        <v>Sigma AF 85mm 1.4 EX DG HSM für Pentax K schwarz</v>
      </c>
      <c r="B1234" t="str">
        <f>'(Raw) LensesGH'!B1234</f>
        <v>85mm</v>
      </c>
      <c r="C1234" s="5">
        <f t="shared" si="172"/>
        <v>85</v>
      </c>
      <c r="D1234" s="5">
        <f t="shared" si="173"/>
        <v>85</v>
      </c>
      <c r="E1234" t="str">
        <f>'(Raw) LensesGH'!C1234</f>
        <v>1:1.4</v>
      </c>
      <c r="F1234" s="9">
        <f t="shared" si="174"/>
        <v>1.4</v>
      </c>
      <c r="G1234" s="9">
        <f t="shared" si="175"/>
        <v>1.4</v>
      </c>
      <c r="H1234" t="str">
        <f>'(Raw) LensesGH'!D1234</f>
        <v>77mm</v>
      </c>
      <c r="I1234" s="2">
        <f t="shared" si="176"/>
        <v>77</v>
      </c>
      <c r="J1234" s="2" t="str">
        <f>'(Raw) LensesGH'!E1234</f>
        <v>1:8.60</v>
      </c>
      <c r="K1234" s="40">
        <f t="shared" si="177"/>
        <v>8.6</v>
      </c>
      <c r="L1234" t="str">
        <f>'(Raw) LensesGH'!F1234</f>
        <v>Pentax K</v>
      </c>
      <c r="M1234" t="str">
        <f>'(Raw) LensesGH'!G1234</f>
        <v>APS-C/ Kleinbild</v>
      </c>
      <c r="N1234" t="str">
        <f>'(Raw) LensesGH'!H1234</f>
        <v>719g</v>
      </c>
      <c r="O1234" s="5">
        <f t="shared" si="178"/>
        <v>719</v>
      </c>
      <c r="P1234" t="str">
        <f>'(Raw) LensesGH'!I1234</f>
        <v>84.7 x 87.6mm</v>
      </c>
      <c r="Q1234" s="39">
        <f t="shared" si="179"/>
        <v>84.7</v>
      </c>
      <c r="R1234" s="39">
        <f t="shared" si="171"/>
        <v>87.6</v>
      </c>
    </row>
    <row r="1235" spans="1:18" x14ac:dyDescent="0.25">
      <c r="A1235" t="str">
        <f>'(Raw) LensesGH'!A1235</f>
        <v>Sigma AF 85mm 1.4 EX DG HSM für Sigma schwarz</v>
      </c>
      <c r="B1235" t="str">
        <f>'(Raw) LensesGH'!B1235</f>
        <v>85mm</v>
      </c>
      <c r="C1235" s="5">
        <f t="shared" si="172"/>
        <v>85</v>
      </c>
      <c r="D1235" s="5">
        <f t="shared" si="173"/>
        <v>85</v>
      </c>
      <c r="E1235" t="str">
        <f>'(Raw) LensesGH'!C1235</f>
        <v>1:1.4</v>
      </c>
      <c r="F1235" s="9">
        <f t="shared" si="174"/>
        <v>1.4</v>
      </c>
      <c r="G1235" s="9">
        <f t="shared" si="175"/>
        <v>1.4</v>
      </c>
      <c r="H1235" t="str">
        <f>'(Raw) LensesGH'!D1235</f>
        <v>77mm</v>
      </c>
      <c r="I1235" s="2">
        <f t="shared" si="176"/>
        <v>77</v>
      </c>
      <c r="J1235" s="2" t="str">
        <f>'(Raw) LensesGH'!E1235</f>
        <v>1:8.60</v>
      </c>
      <c r="K1235" s="40">
        <f t="shared" si="177"/>
        <v>8.6</v>
      </c>
      <c r="L1235" t="str">
        <f>'(Raw) LensesGH'!F1235</f>
        <v>Sigma SA</v>
      </c>
      <c r="M1235" t="str">
        <f>'(Raw) LensesGH'!G1235</f>
        <v>APS-C</v>
      </c>
      <c r="N1235" t="str">
        <f>'(Raw) LensesGH'!H1235</f>
        <v>719g</v>
      </c>
      <c r="O1235" s="5">
        <f t="shared" si="178"/>
        <v>719</v>
      </c>
      <c r="P1235" t="str">
        <f>'(Raw) LensesGH'!I1235</f>
        <v>84.7 x 87.6mm</v>
      </c>
      <c r="Q1235" s="39">
        <f t="shared" si="179"/>
        <v>84.7</v>
      </c>
      <c r="R1235" s="39">
        <f t="shared" si="171"/>
        <v>87.6</v>
      </c>
    </row>
    <row r="1236" spans="1:18" x14ac:dyDescent="0.25">
      <c r="A1236" t="str">
        <f>'(Raw) LensesGH'!A1236</f>
        <v>Sigma AF 85mm 1.4 EX DG HSM für Sony A schwarz</v>
      </c>
      <c r="B1236" t="str">
        <f>'(Raw) LensesGH'!B1236</f>
        <v>85mm</v>
      </c>
      <c r="C1236" s="5">
        <f t="shared" si="172"/>
        <v>85</v>
      </c>
      <c r="D1236" s="5">
        <f t="shared" si="173"/>
        <v>85</v>
      </c>
      <c r="E1236" t="str">
        <f>'(Raw) LensesGH'!C1236</f>
        <v>1:1.4</v>
      </c>
      <c r="F1236" s="9">
        <f t="shared" si="174"/>
        <v>1.4</v>
      </c>
      <c r="G1236" s="9">
        <f t="shared" si="175"/>
        <v>1.4</v>
      </c>
      <c r="H1236" t="str">
        <f>'(Raw) LensesGH'!D1236</f>
        <v>77mm</v>
      </c>
      <c r="I1236" s="2">
        <f t="shared" si="176"/>
        <v>77</v>
      </c>
      <c r="J1236" s="2" t="str">
        <f>'(Raw) LensesGH'!E1236</f>
        <v>1:8.60</v>
      </c>
      <c r="K1236" s="40">
        <f t="shared" si="177"/>
        <v>8.6</v>
      </c>
      <c r="L1236" t="str">
        <f>'(Raw) LensesGH'!F1236</f>
        <v>Sony A</v>
      </c>
      <c r="M1236" t="str">
        <f>'(Raw) LensesGH'!G1236</f>
        <v>APS-C/ Kleinbild</v>
      </c>
      <c r="N1236" t="str">
        <f>'(Raw) LensesGH'!H1236</f>
        <v>719g</v>
      </c>
      <c r="O1236" s="5">
        <f t="shared" si="178"/>
        <v>719</v>
      </c>
      <c r="P1236" t="str">
        <f>'(Raw) LensesGH'!I1236</f>
        <v>84.7 x 87.6mm</v>
      </c>
      <c r="Q1236" s="39">
        <f t="shared" si="179"/>
        <v>84.7</v>
      </c>
      <c r="R1236" s="39">
        <f t="shared" si="171"/>
        <v>87.6</v>
      </c>
    </row>
    <row r="1237" spans="1:18" x14ac:dyDescent="0.25">
      <c r="A1237" t="str">
        <f>'(Raw) LensesGH'!A1237</f>
        <v>Sigma AF 8mm 3.5 EX DG Zirkular Fisheye für Canon EF schwarz</v>
      </c>
      <c r="B1237" t="str">
        <f>'(Raw) LensesGH'!B1237</f>
        <v>8mm</v>
      </c>
      <c r="C1237" s="5">
        <f t="shared" si="172"/>
        <v>8</v>
      </c>
      <c r="D1237" s="5">
        <f t="shared" si="173"/>
        <v>8</v>
      </c>
      <c r="E1237" t="str">
        <f>'(Raw) LensesGH'!C1237</f>
        <v>1:3.5</v>
      </c>
      <c r="F1237" s="9">
        <f t="shared" si="174"/>
        <v>3.5</v>
      </c>
      <c r="G1237" s="9">
        <f t="shared" si="175"/>
        <v>3.5</v>
      </c>
      <c r="H1237">
        <f>'(Raw) LensesGH'!D1237</f>
        <v>0</v>
      </c>
      <c r="I1237" s="2">
        <f t="shared" si="176"/>
        <v>0</v>
      </c>
      <c r="J1237" s="2" t="str">
        <f>'(Raw) LensesGH'!E1237</f>
        <v>1:4.60</v>
      </c>
      <c r="K1237" s="40">
        <f t="shared" si="177"/>
        <v>4.5999999999999996</v>
      </c>
      <c r="L1237" t="str">
        <f>'(Raw) LensesGH'!F1237</f>
        <v>Canon EF</v>
      </c>
      <c r="M1237" t="str">
        <f>'(Raw) LensesGH'!G1237</f>
        <v>APS-C/ Kleinbild</v>
      </c>
      <c r="N1237" t="str">
        <f>'(Raw) LensesGH'!H1237</f>
        <v>400g</v>
      </c>
      <c r="O1237" s="5">
        <f t="shared" si="178"/>
        <v>400</v>
      </c>
      <c r="P1237" t="str">
        <f>'(Raw) LensesGH'!I1237</f>
        <v>73.5 x 68.6mm</v>
      </c>
      <c r="Q1237" s="39">
        <f t="shared" si="179"/>
        <v>73.5</v>
      </c>
      <c r="R1237" s="39">
        <f t="shared" si="171"/>
        <v>68.599999999999994</v>
      </c>
    </row>
    <row r="1238" spans="1:18" x14ac:dyDescent="0.25">
      <c r="A1238" t="str">
        <f>'(Raw) LensesGH'!A1238</f>
        <v>Sigma AF 8mm 3.5 EX DG Zirkular Fisheye für Nikon F schwarz</v>
      </c>
      <c r="B1238" t="str">
        <f>'(Raw) LensesGH'!B1238</f>
        <v>8mm</v>
      </c>
      <c r="C1238" s="5">
        <f t="shared" si="172"/>
        <v>8</v>
      </c>
      <c r="D1238" s="5">
        <f t="shared" si="173"/>
        <v>8</v>
      </c>
      <c r="E1238" t="str">
        <f>'(Raw) LensesGH'!C1238</f>
        <v>1:3.5</v>
      </c>
      <c r="F1238" s="9">
        <f t="shared" si="174"/>
        <v>3.5</v>
      </c>
      <c r="G1238" s="9">
        <f t="shared" si="175"/>
        <v>3.5</v>
      </c>
      <c r="H1238">
        <f>'(Raw) LensesGH'!D1238</f>
        <v>0</v>
      </c>
      <c r="I1238" s="2">
        <f t="shared" si="176"/>
        <v>0</v>
      </c>
      <c r="J1238" s="2" t="str">
        <f>'(Raw) LensesGH'!E1238</f>
        <v>1:4.60</v>
      </c>
      <c r="K1238" s="40">
        <f t="shared" si="177"/>
        <v>4.5999999999999996</v>
      </c>
      <c r="L1238" t="str">
        <f>'(Raw) LensesGH'!F1238</f>
        <v>Nikon F</v>
      </c>
      <c r="M1238" t="str">
        <f>'(Raw) LensesGH'!G1238</f>
        <v>APS-C/ Kleinbild</v>
      </c>
      <c r="N1238" t="str">
        <f>'(Raw) LensesGH'!H1238</f>
        <v>400g</v>
      </c>
      <c r="O1238" s="5">
        <f t="shared" si="178"/>
        <v>400</v>
      </c>
      <c r="P1238" t="str">
        <f>'(Raw) LensesGH'!I1238</f>
        <v>73.5 x 68.6mm</v>
      </c>
      <c r="Q1238" s="39">
        <f t="shared" si="179"/>
        <v>73.5</v>
      </c>
      <c r="R1238" s="39">
        <f t="shared" si="171"/>
        <v>68.599999999999994</v>
      </c>
    </row>
    <row r="1239" spans="1:18" x14ac:dyDescent="0.25">
      <c r="A1239" t="str">
        <f>'(Raw) LensesGH'!A1239</f>
        <v>Sigma AF 8mm 3.5 EX DG Zirkular Fisheye für Sigma schwarz</v>
      </c>
      <c r="B1239" t="str">
        <f>'(Raw) LensesGH'!B1239</f>
        <v>8mm</v>
      </c>
      <c r="C1239" s="5">
        <f t="shared" si="172"/>
        <v>8</v>
      </c>
      <c r="D1239" s="5">
        <f t="shared" si="173"/>
        <v>8</v>
      </c>
      <c r="E1239" t="str">
        <f>'(Raw) LensesGH'!C1239</f>
        <v>1:3.5</v>
      </c>
      <c r="F1239" s="9">
        <f t="shared" si="174"/>
        <v>3.5</v>
      </c>
      <c r="G1239" s="9">
        <f t="shared" si="175"/>
        <v>3.5</v>
      </c>
      <c r="H1239">
        <f>'(Raw) LensesGH'!D1239</f>
        <v>0</v>
      </c>
      <c r="I1239" s="2">
        <f t="shared" si="176"/>
        <v>0</v>
      </c>
      <c r="J1239" s="2" t="str">
        <f>'(Raw) LensesGH'!E1239</f>
        <v>1:4.60</v>
      </c>
      <c r="K1239" s="40">
        <f t="shared" si="177"/>
        <v>4.5999999999999996</v>
      </c>
      <c r="L1239" t="str">
        <f>'(Raw) LensesGH'!F1239</f>
        <v>Sigma SA</v>
      </c>
      <c r="M1239" t="str">
        <f>'(Raw) LensesGH'!G1239</f>
        <v>APS-C</v>
      </c>
      <c r="N1239" t="str">
        <f>'(Raw) LensesGH'!H1239</f>
        <v>400g</v>
      </c>
      <c r="O1239" s="5">
        <f t="shared" si="178"/>
        <v>400</v>
      </c>
      <c r="P1239" t="str">
        <f>'(Raw) LensesGH'!I1239</f>
        <v>73.5 x 68.6mm</v>
      </c>
      <c r="Q1239" s="39">
        <f t="shared" si="179"/>
        <v>73.5</v>
      </c>
      <c r="R1239" s="39">
        <f t="shared" si="171"/>
        <v>68.599999999999994</v>
      </c>
    </row>
    <row r="1240" spans="1:18" x14ac:dyDescent="0.25">
      <c r="A1240" t="str">
        <f>'(Raw) LensesGH'!A1240</f>
        <v>Sigma Art AF 12-24mm 4.0 DG HSM für Canon EF schwarz</v>
      </c>
      <c r="B1240" t="str">
        <f>'(Raw) LensesGH'!B1240</f>
        <v>12 - 24mm</v>
      </c>
      <c r="C1240" s="5">
        <f t="shared" si="172"/>
        <v>12</v>
      </c>
      <c r="D1240" s="5">
        <f t="shared" si="173"/>
        <v>24</v>
      </c>
      <c r="E1240" t="str">
        <f>'(Raw) LensesGH'!C1240</f>
        <v>1:4.0</v>
      </c>
      <c r="F1240" s="9">
        <f t="shared" si="174"/>
        <v>4</v>
      </c>
      <c r="G1240" s="9">
        <f t="shared" si="175"/>
        <v>4</v>
      </c>
      <c r="H1240">
        <f>'(Raw) LensesGH'!D1240</f>
        <v>0</v>
      </c>
      <c r="I1240" s="2">
        <f t="shared" si="176"/>
        <v>0</v>
      </c>
      <c r="J1240" s="2" t="str">
        <f>'(Raw) LensesGH'!E1240</f>
        <v>1:4.90</v>
      </c>
      <c r="K1240" s="40">
        <f t="shared" si="177"/>
        <v>4.9000000000000004</v>
      </c>
      <c r="L1240" t="str">
        <f>'(Raw) LensesGH'!F1240</f>
        <v>Canon EF</v>
      </c>
      <c r="M1240" t="str">
        <f>'(Raw) LensesGH'!G1240</f>
        <v>APS-C/ Kleinbild</v>
      </c>
      <c r="N1240" t="str">
        <f>'(Raw) LensesGH'!H1240</f>
        <v>1150g</v>
      </c>
      <c r="O1240" s="5">
        <f t="shared" si="178"/>
        <v>1150</v>
      </c>
      <c r="P1240" t="str">
        <f>'(Raw) LensesGH'!I1240</f>
        <v>102 x 131.5mm</v>
      </c>
      <c r="Q1240" s="39">
        <f t="shared" si="179"/>
        <v>102</v>
      </c>
      <c r="R1240" s="39">
        <f>getSizeLength(P1240)</f>
        <v>131.5</v>
      </c>
    </row>
    <row r="1241" spans="1:18" x14ac:dyDescent="0.25">
      <c r="A1241" t="str">
        <f>'(Raw) LensesGH'!A1241</f>
        <v>Sigma Art AF 12-24mm 4.0 DG HSM für Nikon F schwarz</v>
      </c>
      <c r="B1241" t="str">
        <f>'(Raw) LensesGH'!B1241</f>
        <v>12 - 24mm</v>
      </c>
      <c r="C1241" s="5">
        <f t="shared" si="172"/>
        <v>12</v>
      </c>
      <c r="D1241" s="5">
        <f t="shared" si="173"/>
        <v>24</v>
      </c>
      <c r="E1241" t="str">
        <f>'(Raw) LensesGH'!C1241</f>
        <v>1:4.0</v>
      </c>
      <c r="F1241" s="9">
        <f t="shared" si="174"/>
        <v>4</v>
      </c>
      <c r="G1241" s="9">
        <f t="shared" si="175"/>
        <v>4</v>
      </c>
      <c r="H1241">
        <f>'(Raw) LensesGH'!D1241</f>
        <v>0</v>
      </c>
      <c r="I1241" s="2">
        <f t="shared" si="176"/>
        <v>0</v>
      </c>
      <c r="J1241" s="2" t="str">
        <f>'(Raw) LensesGH'!E1241</f>
        <v>1:4.90</v>
      </c>
      <c r="K1241" s="40">
        <f t="shared" si="177"/>
        <v>4.9000000000000004</v>
      </c>
      <c r="L1241" t="str">
        <f>'(Raw) LensesGH'!F1241</f>
        <v>Nikon F</v>
      </c>
      <c r="M1241" t="str">
        <f>'(Raw) LensesGH'!G1241</f>
        <v>APS-C/ Kleinbild</v>
      </c>
      <c r="N1241" t="str">
        <f>'(Raw) LensesGH'!H1241</f>
        <v>1150g</v>
      </c>
      <c r="O1241" s="5">
        <f t="shared" si="178"/>
        <v>1150</v>
      </c>
      <c r="P1241" t="str">
        <f>'(Raw) LensesGH'!I1241</f>
        <v>102 x 131.5mm</v>
      </c>
      <c r="Q1241" s="39">
        <f t="shared" si="179"/>
        <v>102</v>
      </c>
      <c r="R1241" s="39">
        <f t="shared" si="171"/>
        <v>131.5</v>
      </c>
    </row>
    <row r="1242" spans="1:18" x14ac:dyDescent="0.25">
      <c r="A1242" t="str">
        <f>'(Raw) LensesGH'!A1242</f>
        <v>Sigma Art AF 12-24mm 4.0 DG HSM für Sigma schwarz</v>
      </c>
      <c r="B1242" t="str">
        <f>'(Raw) LensesGH'!B1242</f>
        <v>12 - 24mm</v>
      </c>
      <c r="C1242" s="5">
        <f t="shared" si="172"/>
        <v>12</v>
      </c>
      <c r="D1242" s="5">
        <f t="shared" si="173"/>
        <v>24</v>
      </c>
      <c r="E1242" t="str">
        <f>'(Raw) LensesGH'!C1242</f>
        <v>1:4.0</v>
      </c>
      <c r="F1242" s="9">
        <f t="shared" si="174"/>
        <v>4</v>
      </c>
      <c r="G1242" s="9">
        <f t="shared" si="175"/>
        <v>4</v>
      </c>
      <c r="H1242">
        <f>'(Raw) LensesGH'!D1242</f>
        <v>0</v>
      </c>
      <c r="I1242" s="2">
        <f t="shared" si="176"/>
        <v>0</v>
      </c>
      <c r="J1242" s="2" t="str">
        <f>'(Raw) LensesGH'!E1242</f>
        <v>1:4.90</v>
      </c>
      <c r="K1242" s="40">
        <f t="shared" si="177"/>
        <v>4.9000000000000004</v>
      </c>
      <c r="L1242" t="str">
        <f>'(Raw) LensesGH'!F1242</f>
        <v>Sigma SA</v>
      </c>
      <c r="M1242" t="str">
        <f>'(Raw) LensesGH'!G1242</f>
        <v>APS-C/ Kleinbild</v>
      </c>
      <c r="N1242" t="str">
        <f>'(Raw) LensesGH'!H1242</f>
        <v>1150g</v>
      </c>
      <c r="O1242" s="5">
        <f t="shared" si="178"/>
        <v>1150</v>
      </c>
      <c r="P1242" t="str">
        <f>'(Raw) LensesGH'!I1242</f>
        <v>102 x 131.5mm</v>
      </c>
      <c r="Q1242" s="39">
        <f t="shared" si="179"/>
        <v>102</v>
      </c>
      <c r="R1242" s="39">
        <f t="shared" si="171"/>
        <v>131.5</v>
      </c>
    </row>
    <row r="1243" spans="1:18" x14ac:dyDescent="0.25">
      <c r="A1243" t="str">
        <f>'(Raw) LensesGH'!A1243</f>
        <v>Sigma Art AF 135mm 1.8 DG HSM für Canon EF schwarz</v>
      </c>
      <c r="B1243" t="str">
        <f>'(Raw) LensesGH'!B1243</f>
        <v>135mm</v>
      </c>
      <c r="C1243" s="5">
        <f t="shared" si="172"/>
        <v>135</v>
      </c>
      <c r="D1243" s="5">
        <f t="shared" si="173"/>
        <v>135</v>
      </c>
      <c r="E1243" t="str">
        <f>'(Raw) LensesGH'!C1243</f>
        <v>1:1.8</v>
      </c>
      <c r="F1243" s="9">
        <f t="shared" si="174"/>
        <v>1.8</v>
      </c>
      <c r="G1243" s="9">
        <f t="shared" si="175"/>
        <v>1.8</v>
      </c>
      <c r="H1243" t="str">
        <f>'(Raw) LensesGH'!D1243</f>
        <v>82mm</v>
      </c>
      <c r="I1243" s="2">
        <f t="shared" si="176"/>
        <v>82</v>
      </c>
      <c r="J1243" s="2" t="str">
        <f>'(Raw) LensesGH'!E1243</f>
        <v>1:5.00</v>
      </c>
      <c r="K1243" s="40">
        <f t="shared" si="177"/>
        <v>5</v>
      </c>
      <c r="L1243" t="str">
        <f>'(Raw) LensesGH'!F1243</f>
        <v>Canon EF</v>
      </c>
      <c r="M1243" t="str">
        <f>'(Raw) LensesGH'!G1243</f>
        <v>APS-C/ Kleinbild</v>
      </c>
      <c r="N1243" t="str">
        <f>'(Raw) LensesGH'!H1243</f>
        <v>1130g</v>
      </c>
      <c r="O1243" s="5">
        <f t="shared" si="178"/>
        <v>1130</v>
      </c>
      <c r="P1243" t="str">
        <f>'(Raw) LensesGH'!I1243</f>
        <v>91.4 x 114.9mm</v>
      </c>
      <c r="Q1243" s="39">
        <f t="shared" si="179"/>
        <v>91.4</v>
      </c>
      <c r="R1243" s="39">
        <f t="shared" si="171"/>
        <v>114.9</v>
      </c>
    </row>
    <row r="1244" spans="1:18" x14ac:dyDescent="0.25">
      <c r="A1244" t="str">
        <f>'(Raw) LensesGH'!A1244</f>
        <v>Sigma Art AF 135mm 1.8 DG HSM für Nikon F schwarz</v>
      </c>
      <c r="B1244" t="str">
        <f>'(Raw) LensesGH'!B1244</f>
        <v>135mm</v>
      </c>
      <c r="C1244" s="5">
        <f t="shared" si="172"/>
        <v>135</v>
      </c>
      <c r="D1244" s="5">
        <f t="shared" si="173"/>
        <v>135</v>
      </c>
      <c r="E1244" t="str">
        <f>'(Raw) LensesGH'!C1244</f>
        <v>1:1.8</v>
      </c>
      <c r="F1244" s="9">
        <f t="shared" si="174"/>
        <v>1.8</v>
      </c>
      <c r="G1244" s="9">
        <f t="shared" si="175"/>
        <v>1.8</v>
      </c>
      <c r="H1244" t="str">
        <f>'(Raw) LensesGH'!D1244</f>
        <v>82mm</v>
      </c>
      <c r="I1244" s="2">
        <f t="shared" si="176"/>
        <v>82</v>
      </c>
      <c r="J1244" s="2" t="str">
        <f>'(Raw) LensesGH'!E1244</f>
        <v>1:5.00</v>
      </c>
      <c r="K1244" s="40">
        <f t="shared" si="177"/>
        <v>5</v>
      </c>
      <c r="L1244" t="str">
        <f>'(Raw) LensesGH'!F1244</f>
        <v>Nikon F</v>
      </c>
      <c r="M1244" t="str">
        <f>'(Raw) LensesGH'!G1244</f>
        <v>APS-C/ Kleinbild</v>
      </c>
      <c r="N1244" t="str">
        <f>'(Raw) LensesGH'!H1244</f>
        <v>1130g</v>
      </c>
      <c r="O1244" s="5">
        <f t="shared" si="178"/>
        <v>1130</v>
      </c>
      <c r="P1244" t="str">
        <f>'(Raw) LensesGH'!I1244</f>
        <v>91.4 x 114.9mm</v>
      </c>
      <c r="Q1244" s="39">
        <f t="shared" si="179"/>
        <v>91.4</v>
      </c>
      <c r="R1244" s="39">
        <f t="shared" si="171"/>
        <v>114.9</v>
      </c>
    </row>
    <row r="1245" spans="1:18" x14ac:dyDescent="0.25">
      <c r="A1245" t="str">
        <f>'(Raw) LensesGH'!A1245</f>
        <v>Sigma Art AF 135mm 1.8 DG HSM für Sigma schwarz</v>
      </c>
      <c r="B1245" t="str">
        <f>'(Raw) LensesGH'!B1245</f>
        <v>135mm</v>
      </c>
      <c r="C1245" s="5">
        <f t="shared" si="172"/>
        <v>135</v>
      </c>
      <c r="D1245" s="5">
        <f t="shared" si="173"/>
        <v>135</v>
      </c>
      <c r="E1245" t="str">
        <f>'(Raw) LensesGH'!C1245</f>
        <v>1:1.8</v>
      </c>
      <c r="F1245" s="9">
        <f t="shared" si="174"/>
        <v>1.8</v>
      </c>
      <c r="G1245" s="9">
        <f t="shared" si="175"/>
        <v>1.8</v>
      </c>
      <c r="H1245" t="str">
        <f>'(Raw) LensesGH'!D1245</f>
        <v>82mm</v>
      </c>
      <c r="I1245" s="2">
        <f t="shared" si="176"/>
        <v>82</v>
      </c>
      <c r="J1245" s="2" t="str">
        <f>'(Raw) LensesGH'!E1245</f>
        <v>1:5.00</v>
      </c>
      <c r="K1245" s="40">
        <f t="shared" si="177"/>
        <v>5</v>
      </c>
      <c r="L1245" t="str">
        <f>'(Raw) LensesGH'!F1245</f>
        <v>Sigma SA</v>
      </c>
      <c r="M1245" t="str">
        <f>'(Raw) LensesGH'!G1245</f>
        <v>APS-C/ Kleinbild</v>
      </c>
      <c r="N1245" t="str">
        <f>'(Raw) LensesGH'!H1245</f>
        <v>1130g</v>
      </c>
      <c r="O1245" s="5">
        <f t="shared" si="178"/>
        <v>1130</v>
      </c>
      <c r="P1245" t="str">
        <f>'(Raw) LensesGH'!I1245</f>
        <v>91.4 x 114.9mm</v>
      </c>
      <c r="Q1245" s="39">
        <f t="shared" si="179"/>
        <v>91.4</v>
      </c>
      <c r="R1245" s="39">
        <f t="shared" si="171"/>
        <v>114.9</v>
      </c>
    </row>
    <row r="1246" spans="1:18" x14ac:dyDescent="0.25">
      <c r="A1246" t="str">
        <f>'(Raw) LensesGH'!A1246</f>
        <v>Sigma Art AF 14mm 1.8 DG HSM für Canon EF schwarz</v>
      </c>
      <c r="B1246" t="str">
        <f>'(Raw) LensesGH'!B1246</f>
        <v>14mm</v>
      </c>
      <c r="C1246" s="5">
        <f t="shared" si="172"/>
        <v>14</v>
      </c>
      <c r="D1246" s="5">
        <f t="shared" si="173"/>
        <v>14</v>
      </c>
      <c r="E1246" t="str">
        <f>'(Raw) LensesGH'!C1246</f>
        <v>1:1.8</v>
      </c>
      <c r="F1246" s="9">
        <f t="shared" si="174"/>
        <v>1.8</v>
      </c>
      <c r="G1246" s="9">
        <f t="shared" si="175"/>
        <v>1.8</v>
      </c>
      <c r="H1246">
        <f>'(Raw) LensesGH'!D1246</f>
        <v>0</v>
      </c>
      <c r="I1246" s="2">
        <f t="shared" si="176"/>
        <v>0</v>
      </c>
      <c r="J1246" s="2" t="str">
        <f>'(Raw) LensesGH'!E1246</f>
        <v>1:9.80</v>
      </c>
      <c r="K1246" s="40">
        <f t="shared" si="177"/>
        <v>9.8000000000000007</v>
      </c>
      <c r="L1246" t="str">
        <f>'(Raw) LensesGH'!F1246</f>
        <v>Canon EF</v>
      </c>
      <c r="M1246" t="str">
        <f>'(Raw) LensesGH'!G1246</f>
        <v>APS-C/ Kleinbild</v>
      </c>
      <c r="N1246" t="str">
        <f>'(Raw) LensesGH'!H1246</f>
        <v>1170g</v>
      </c>
      <c r="O1246" s="5">
        <f t="shared" si="178"/>
        <v>1170</v>
      </c>
      <c r="P1246" t="str">
        <f>'(Raw) LensesGH'!I1246</f>
        <v>95.4 x 126mm</v>
      </c>
      <c r="Q1246" s="39">
        <f t="shared" si="179"/>
        <v>95.4</v>
      </c>
      <c r="R1246" s="39">
        <f t="shared" si="171"/>
        <v>126</v>
      </c>
    </row>
    <row r="1247" spans="1:18" x14ac:dyDescent="0.25">
      <c r="A1247" t="str">
        <f>'(Raw) LensesGH'!A1247</f>
        <v>Sigma Art AF 14mm 1.8 DG HSM für Nikon F schwarz</v>
      </c>
      <c r="B1247" t="str">
        <f>'(Raw) LensesGH'!B1247</f>
        <v>14mm</v>
      </c>
      <c r="C1247" s="5">
        <f t="shared" si="172"/>
        <v>14</v>
      </c>
      <c r="D1247" s="5">
        <f t="shared" si="173"/>
        <v>14</v>
      </c>
      <c r="E1247" t="str">
        <f>'(Raw) LensesGH'!C1247</f>
        <v>1:1.8</v>
      </c>
      <c r="F1247" s="9">
        <f t="shared" si="174"/>
        <v>1.8</v>
      </c>
      <c r="G1247" s="9">
        <f t="shared" si="175"/>
        <v>1.8</v>
      </c>
      <c r="H1247">
        <f>'(Raw) LensesGH'!D1247</f>
        <v>0</v>
      </c>
      <c r="I1247" s="2">
        <f t="shared" si="176"/>
        <v>0</v>
      </c>
      <c r="J1247" s="2" t="str">
        <f>'(Raw) LensesGH'!E1247</f>
        <v>1:9.80</v>
      </c>
      <c r="K1247" s="40">
        <f t="shared" si="177"/>
        <v>9.8000000000000007</v>
      </c>
      <c r="L1247" t="str">
        <f>'(Raw) LensesGH'!F1247</f>
        <v>Nikon F</v>
      </c>
      <c r="M1247" t="str">
        <f>'(Raw) LensesGH'!G1247</f>
        <v>APS-C/ Kleinbild</v>
      </c>
      <c r="N1247" t="str">
        <f>'(Raw) LensesGH'!H1247</f>
        <v>1170g</v>
      </c>
      <c r="O1247" s="5">
        <f t="shared" si="178"/>
        <v>1170</v>
      </c>
      <c r="P1247" t="str">
        <f>'(Raw) LensesGH'!I1247</f>
        <v>95.4 x 126mm</v>
      </c>
      <c r="Q1247" s="39">
        <f t="shared" si="179"/>
        <v>95.4</v>
      </c>
      <c r="R1247" s="39">
        <f t="shared" si="171"/>
        <v>126</v>
      </c>
    </row>
    <row r="1248" spans="1:18" x14ac:dyDescent="0.25">
      <c r="A1248" t="str">
        <f>'(Raw) LensesGH'!A1248</f>
        <v>Sigma Art AF 14mm 1.8 DG HSM für Sigma schwarz</v>
      </c>
      <c r="B1248" t="str">
        <f>'(Raw) LensesGH'!B1248</f>
        <v>14mm</v>
      </c>
      <c r="C1248" s="5">
        <f t="shared" si="172"/>
        <v>14</v>
      </c>
      <c r="D1248" s="5">
        <f t="shared" si="173"/>
        <v>14</v>
      </c>
      <c r="E1248" t="str">
        <f>'(Raw) LensesGH'!C1248</f>
        <v>1:1.8</v>
      </c>
      <c r="F1248" s="9">
        <f t="shared" si="174"/>
        <v>1.8</v>
      </c>
      <c r="G1248" s="9">
        <f t="shared" si="175"/>
        <v>1.8</v>
      </c>
      <c r="H1248">
        <f>'(Raw) LensesGH'!D1248</f>
        <v>0</v>
      </c>
      <c r="I1248" s="2">
        <f t="shared" si="176"/>
        <v>0</v>
      </c>
      <c r="J1248" s="2" t="str">
        <f>'(Raw) LensesGH'!E1248</f>
        <v>1:9.80</v>
      </c>
      <c r="K1248" s="40">
        <f t="shared" si="177"/>
        <v>9.8000000000000007</v>
      </c>
      <c r="L1248" t="str">
        <f>'(Raw) LensesGH'!F1248</f>
        <v>Sigma SA</v>
      </c>
      <c r="M1248" t="str">
        <f>'(Raw) LensesGH'!G1248</f>
        <v>APS-C/ Kleinbild</v>
      </c>
      <c r="N1248" t="str">
        <f>'(Raw) LensesGH'!H1248</f>
        <v>1170g</v>
      </c>
      <c r="O1248" s="5">
        <f t="shared" si="178"/>
        <v>1170</v>
      </c>
      <c r="P1248" t="str">
        <f>'(Raw) LensesGH'!I1248</f>
        <v>95.4 x 126mm</v>
      </c>
      <c r="Q1248" s="39">
        <f t="shared" si="179"/>
        <v>95.4</v>
      </c>
      <c r="R1248" s="39">
        <f t="shared" si="171"/>
        <v>126</v>
      </c>
    </row>
    <row r="1249" spans="1:18" x14ac:dyDescent="0.25">
      <c r="A1249" t="str">
        <f>'(Raw) LensesGH'!A1249</f>
        <v>Sigma Art AF 18-35mm 1.8 DC HSM IF für Canon EF schwarz</v>
      </c>
      <c r="B1249" t="str">
        <f>'(Raw) LensesGH'!B1249</f>
        <v>18 - 35mm</v>
      </c>
      <c r="C1249" s="5">
        <f t="shared" si="172"/>
        <v>18</v>
      </c>
      <c r="D1249" s="5">
        <f t="shared" si="173"/>
        <v>35</v>
      </c>
      <c r="E1249" t="str">
        <f>'(Raw) LensesGH'!C1249</f>
        <v>1:1.8</v>
      </c>
      <c r="F1249" s="9">
        <f t="shared" si="174"/>
        <v>1.8</v>
      </c>
      <c r="G1249" s="9">
        <f t="shared" si="175"/>
        <v>1.8</v>
      </c>
      <c r="H1249" t="str">
        <f>'(Raw) LensesGH'!D1249</f>
        <v>72mm</v>
      </c>
      <c r="I1249" s="2">
        <f t="shared" si="176"/>
        <v>72</v>
      </c>
      <c r="J1249" s="2" t="str">
        <f>'(Raw) LensesGH'!E1249</f>
        <v>1:4.30</v>
      </c>
      <c r="K1249" s="40">
        <f t="shared" si="177"/>
        <v>4.3</v>
      </c>
      <c r="L1249" t="str">
        <f>'(Raw) LensesGH'!F1249</f>
        <v>Canon EF-S</v>
      </c>
      <c r="M1249" t="str">
        <f>'(Raw) LensesGH'!G1249</f>
        <v>APS-C</v>
      </c>
      <c r="N1249" t="str">
        <f>'(Raw) LensesGH'!H1249</f>
        <v>810g</v>
      </c>
      <c r="O1249" s="5">
        <f t="shared" si="178"/>
        <v>810</v>
      </c>
      <c r="P1249" t="str">
        <f>'(Raw) LensesGH'!I1249</f>
        <v>78 x 121mm</v>
      </c>
      <c r="Q1249" s="39">
        <f t="shared" si="179"/>
        <v>78</v>
      </c>
      <c r="R1249" s="39">
        <f t="shared" si="171"/>
        <v>121</v>
      </c>
    </row>
    <row r="1250" spans="1:18" x14ac:dyDescent="0.25">
      <c r="A1250" t="str">
        <f>'(Raw) LensesGH'!A1250</f>
        <v>Sigma Art AF 18-35mm 1.8 DC HSM IF für Nikon F schwarz</v>
      </c>
      <c r="B1250" t="str">
        <f>'(Raw) LensesGH'!B1250</f>
        <v>18 - 35mm</v>
      </c>
      <c r="C1250" s="5">
        <f t="shared" si="172"/>
        <v>18</v>
      </c>
      <c r="D1250" s="5">
        <f t="shared" si="173"/>
        <v>35</v>
      </c>
      <c r="E1250" t="str">
        <f>'(Raw) LensesGH'!C1250</f>
        <v>1:1.8</v>
      </c>
      <c r="F1250" s="9">
        <f t="shared" si="174"/>
        <v>1.8</v>
      </c>
      <c r="G1250" s="9">
        <f t="shared" si="175"/>
        <v>1.8</v>
      </c>
      <c r="H1250" t="str">
        <f>'(Raw) LensesGH'!D1250</f>
        <v>72mm</v>
      </c>
      <c r="I1250" s="2">
        <f t="shared" si="176"/>
        <v>72</v>
      </c>
      <c r="J1250" s="2" t="str">
        <f>'(Raw) LensesGH'!E1250</f>
        <v>1:4.30</v>
      </c>
      <c r="K1250" s="40">
        <f t="shared" si="177"/>
        <v>4.3</v>
      </c>
      <c r="L1250" t="str">
        <f>'(Raw) LensesGH'!F1250</f>
        <v>Nikon F</v>
      </c>
      <c r="M1250" t="str">
        <f>'(Raw) LensesGH'!G1250</f>
        <v>APS-C</v>
      </c>
      <c r="N1250" t="str">
        <f>'(Raw) LensesGH'!H1250</f>
        <v>810g</v>
      </c>
      <c r="O1250" s="5">
        <f t="shared" si="178"/>
        <v>810</v>
      </c>
      <c r="P1250" t="str">
        <f>'(Raw) LensesGH'!I1250</f>
        <v>78 x 121mm</v>
      </c>
      <c r="Q1250" s="39">
        <f t="shared" si="179"/>
        <v>78</v>
      </c>
      <c r="R1250" s="39">
        <f t="shared" si="171"/>
        <v>121</v>
      </c>
    </row>
    <row r="1251" spans="1:18" x14ac:dyDescent="0.25">
      <c r="A1251" t="str">
        <f>'(Raw) LensesGH'!A1251</f>
        <v>Sigma Art AF 18-35mm 1.8 DC HSM IF für Pentax K schwarz</v>
      </c>
      <c r="B1251" t="str">
        <f>'(Raw) LensesGH'!B1251</f>
        <v>18 - 35mm</v>
      </c>
      <c r="C1251" s="5">
        <f t="shared" si="172"/>
        <v>18</v>
      </c>
      <c r="D1251" s="5">
        <f t="shared" si="173"/>
        <v>35</v>
      </c>
      <c r="E1251" t="str">
        <f>'(Raw) LensesGH'!C1251</f>
        <v>1:1.8</v>
      </c>
      <c r="F1251" s="9">
        <f t="shared" si="174"/>
        <v>1.8</v>
      </c>
      <c r="G1251" s="9">
        <f t="shared" si="175"/>
        <v>1.8</v>
      </c>
      <c r="H1251" t="str">
        <f>'(Raw) LensesGH'!D1251</f>
        <v>72mm</v>
      </c>
      <c r="I1251" s="2">
        <f t="shared" si="176"/>
        <v>72</v>
      </c>
      <c r="J1251" s="2" t="str">
        <f>'(Raw) LensesGH'!E1251</f>
        <v>1:4.30</v>
      </c>
      <c r="K1251" s="40">
        <f t="shared" si="177"/>
        <v>4.3</v>
      </c>
      <c r="L1251" t="str">
        <f>'(Raw) LensesGH'!F1251</f>
        <v>Pentax K</v>
      </c>
      <c r="M1251" t="str">
        <f>'(Raw) LensesGH'!G1251</f>
        <v>APS-C</v>
      </c>
      <c r="N1251" t="str">
        <f>'(Raw) LensesGH'!H1251</f>
        <v>810g</v>
      </c>
      <c r="O1251" s="5">
        <f t="shared" si="178"/>
        <v>810</v>
      </c>
      <c r="P1251" t="str">
        <f>'(Raw) LensesGH'!I1251</f>
        <v>78 x 121mm</v>
      </c>
      <c r="Q1251" s="39">
        <f t="shared" si="179"/>
        <v>78</v>
      </c>
      <c r="R1251" s="39">
        <f t="shared" si="171"/>
        <v>121</v>
      </c>
    </row>
    <row r="1252" spans="1:18" x14ac:dyDescent="0.25">
      <c r="A1252" t="str">
        <f>'(Raw) LensesGH'!A1252</f>
        <v>Sigma Art AF 18-35mm 1.8 DC HSM IF für Sigma schwarz</v>
      </c>
      <c r="B1252" t="str">
        <f>'(Raw) LensesGH'!B1252</f>
        <v>18 - 35mm</v>
      </c>
      <c r="C1252" s="5">
        <f t="shared" si="172"/>
        <v>18</v>
      </c>
      <c r="D1252" s="5">
        <f t="shared" si="173"/>
        <v>35</v>
      </c>
      <c r="E1252" t="str">
        <f>'(Raw) LensesGH'!C1252</f>
        <v>1:1.8</v>
      </c>
      <c r="F1252" s="9">
        <f t="shared" si="174"/>
        <v>1.8</v>
      </c>
      <c r="G1252" s="9">
        <f t="shared" si="175"/>
        <v>1.8</v>
      </c>
      <c r="H1252" t="str">
        <f>'(Raw) LensesGH'!D1252</f>
        <v>72mm</v>
      </c>
      <c r="I1252" s="2">
        <f t="shared" si="176"/>
        <v>72</v>
      </c>
      <c r="J1252" s="2" t="str">
        <f>'(Raw) LensesGH'!E1252</f>
        <v>1:4.30</v>
      </c>
      <c r="K1252" s="40">
        <f t="shared" si="177"/>
        <v>4.3</v>
      </c>
      <c r="L1252" t="str">
        <f>'(Raw) LensesGH'!F1252</f>
        <v>Sigma SA</v>
      </c>
      <c r="M1252" t="str">
        <f>'(Raw) LensesGH'!G1252</f>
        <v>APS-C</v>
      </c>
      <c r="N1252" t="str">
        <f>'(Raw) LensesGH'!H1252</f>
        <v>810g</v>
      </c>
      <c r="O1252" s="5">
        <f t="shared" si="178"/>
        <v>810</v>
      </c>
      <c r="P1252" t="str">
        <f>'(Raw) LensesGH'!I1252</f>
        <v>78 x 121mm</v>
      </c>
      <c r="Q1252" s="39">
        <f t="shared" si="179"/>
        <v>78</v>
      </c>
      <c r="R1252" s="39">
        <f t="shared" si="171"/>
        <v>121</v>
      </c>
    </row>
    <row r="1253" spans="1:18" x14ac:dyDescent="0.25">
      <c r="A1253" t="str">
        <f>'(Raw) LensesGH'!A1253</f>
        <v>Sigma Art AF 18-35mm 1.8 DC HSM IF für Sony A schwarz</v>
      </c>
      <c r="B1253" t="str">
        <f>'(Raw) LensesGH'!B1253</f>
        <v>18 - 35mm</v>
      </c>
      <c r="C1253" s="5">
        <f t="shared" si="172"/>
        <v>18</v>
      </c>
      <c r="D1253" s="5">
        <f t="shared" si="173"/>
        <v>35</v>
      </c>
      <c r="E1253" t="str">
        <f>'(Raw) LensesGH'!C1253</f>
        <v>1:1.8</v>
      </c>
      <c r="F1253" s="9">
        <f t="shared" si="174"/>
        <v>1.8</v>
      </c>
      <c r="G1253" s="9">
        <f t="shared" si="175"/>
        <v>1.8</v>
      </c>
      <c r="H1253" t="str">
        <f>'(Raw) LensesGH'!D1253</f>
        <v>72mm</v>
      </c>
      <c r="I1253" s="2">
        <f t="shared" si="176"/>
        <v>72</v>
      </c>
      <c r="J1253" s="2" t="str">
        <f>'(Raw) LensesGH'!E1253</f>
        <v>1:4.30</v>
      </c>
      <c r="K1253" s="40">
        <f t="shared" si="177"/>
        <v>4.3</v>
      </c>
      <c r="L1253" t="str">
        <f>'(Raw) LensesGH'!F1253</f>
        <v>Sony A</v>
      </c>
      <c r="M1253" t="str">
        <f>'(Raw) LensesGH'!G1253</f>
        <v>APS-C</v>
      </c>
      <c r="N1253" t="str">
        <f>'(Raw) LensesGH'!H1253</f>
        <v>810g</v>
      </c>
      <c r="O1253" s="5">
        <f t="shared" si="178"/>
        <v>810</v>
      </c>
      <c r="P1253" t="str">
        <f>'(Raw) LensesGH'!I1253</f>
        <v>78 x 121mm</v>
      </c>
      <c r="Q1253" s="39">
        <f t="shared" si="179"/>
        <v>78</v>
      </c>
      <c r="R1253" s="39">
        <f t="shared" si="171"/>
        <v>121</v>
      </c>
    </row>
    <row r="1254" spans="1:18" x14ac:dyDescent="0.25">
      <c r="A1254" t="str">
        <f>'(Raw) LensesGH'!A1254</f>
        <v>Sigma Art AF 19mm 2.8 DN für Micro-Four-Thirds schwarz</v>
      </c>
      <c r="B1254" t="str">
        <f>'(Raw) LensesGH'!B1254</f>
        <v>19mm</v>
      </c>
      <c r="C1254" s="5">
        <f t="shared" si="172"/>
        <v>19</v>
      </c>
      <c r="D1254" s="5">
        <f t="shared" si="173"/>
        <v>19</v>
      </c>
      <c r="E1254" t="str">
        <f>'(Raw) LensesGH'!C1254</f>
        <v>1:2.8</v>
      </c>
      <c r="F1254" s="9">
        <f t="shared" si="174"/>
        <v>2.8</v>
      </c>
      <c r="G1254" s="9">
        <f t="shared" si="175"/>
        <v>2.8</v>
      </c>
      <c r="H1254" t="str">
        <f>'(Raw) LensesGH'!D1254</f>
        <v>46mm</v>
      </c>
      <c r="I1254" s="2">
        <f t="shared" si="176"/>
        <v>46</v>
      </c>
      <c r="J1254" s="2" t="str">
        <f>'(Raw) LensesGH'!E1254</f>
        <v>1:7.40</v>
      </c>
      <c r="K1254" s="40">
        <f t="shared" si="177"/>
        <v>7.4</v>
      </c>
      <c r="L1254" t="str">
        <f>'(Raw) LensesGH'!F1254</f>
        <v>Micro-Four-Thirds</v>
      </c>
      <c r="M1254" t="str">
        <f>'(Raw) LensesGH'!G1254</f>
        <v>Four-Thirds</v>
      </c>
      <c r="N1254">
        <f>'(Raw) LensesGH'!H1254</f>
        <v>0</v>
      </c>
      <c r="O1254" s="5">
        <f t="shared" si="178"/>
        <v>0</v>
      </c>
      <c r="P1254" t="str">
        <f>'(Raw) LensesGH'!I1254</f>
        <v>60.8 x 45.7mm</v>
      </c>
      <c r="Q1254" s="39">
        <f t="shared" si="179"/>
        <v>60.8</v>
      </c>
      <c r="R1254" s="39">
        <f t="shared" si="171"/>
        <v>45.7</v>
      </c>
    </row>
    <row r="1255" spans="1:18" x14ac:dyDescent="0.25">
      <c r="A1255" t="str">
        <f>'(Raw) LensesGH'!A1255</f>
        <v>Sigma Art AF 19mm 2.8 DN für Micro-Four-Thirds silber</v>
      </c>
      <c r="B1255" t="str">
        <f>'(Raw) LensesGH'!B1255</f>
        <v>19mm</v>
      </c>
      <c r="C1255" s="5">
        <f t="shared" si="172"/>
        <v>19</v>
      </c>
      <c r="D1255" s="5">
        <f t="shared" si="173"/>
        <v>19</v>
      </c>
      <c r="E1255" t="str">
        <f>'(Raw) LensesGH'!C1255</f>
        <v>1:2.8</v>
      </c>
      <c r="F1255" s="9">
        <f t="shared" si="174"/>
        <v>2.8</v>
      </c>
      <c r="G1255" s="9">
        <f t="shared" si="175"/>
        <v>2.8</v>
      </c>
      <c r="H1255" t="str">
        <f>'(Raw) LensesGH'!D1255</f>
        <v>46mm</v>
      </c>
      <c r="I1255" s="2">
        <f t="shared" si="176"/>
        <v>46</v>
      </c>
      <c r="J1255" s="2" t="str">
        <f>'(Raw) LensesGH'!E1255</f>
        <v>1:7.40</v>
      </c>
      <c r="K1255" s="40">
        <f t="shared" si="177"/>
        <v>7.4</v>
      </c>
      <c r="L1255" t="str">
        <f>'(Raw) LensesGH'!F1255</f>
        <v>Micro-Four-Thirds</v>
      </c>
      <c r="M1255" t="str">
        <f>'(Raw) LensesGH'!G1255</f>
        <v>Four-Thirds</v>
      </c>
      <c r="N1255">
        <f>'(Raw) LensesGH'!H1255</f>
        <v>0</v>
      </c>
      <c r="O1255" s="5">
        <f t="shared" si="178"/>
        <v>0</v>
      </c>
      <c r="P1255" t="str">
        <f>'(Raw) LensesGH'!I1255</f>
        <v>60.8 x 45.7mm</v>
      </c>
      <c r="Q1255" s="39">
        <f t="shared" si="179"/>
        <v>60.8</v>
      </c>
      <c r="R1255" s="39">
        <f t="shared" si="171"/>
        <v>45.7</v>
      </c>
    </row>
    <row r="1256" spans="1:18" x14ac:dyDescent="0.25">
      <c r="A1256" t="str">
        <f>'(Raw) LensesGH'!A1256</f>
        <v>Sigma Art AF 19mm 2.8 DN für Sony E schwarz</v>
      </c>
      <c r="B1256" t="str">
        <f>'(Raw) LensesGH'!B1256</f>
        <v>19mm</v>
      </c>
      <c r="C1256" s="5">
        <f t="shared" si="172"/>
        <v>19</v>
      </c>
      <c r="D1256" s="5">
        <f t="shared" si="173"/>
        <v>19</v>
      </c>
      <c r="E1256" t="str">
        <f>'(Raw) LensesGH'!C1256</f>
        <v>1:2.8</v>
      </c>
      <c r="F1256" s="9">
        <f t="shared" si="174"/>
        <v>2.8</v>
      </c>
      <c r="G1256" s="9">
        <f t="shared" si="175"/>
        <v>2.8</v>
      </c>
      <c r="H1256" t="str">
        <f>'(Raw) LensesGH'!D1256</f>
        <v>46mm</v>
      </c>
      <c r="I1256" s="2">
        <f t="shared" si="176"/>
        <v>46</v>
      </c>
      <c r="J1256" s="2" t="str">
        <f>'(Raw) LensesGH'!E1256</f>
        <v>1:7.40</v>
      </c>
      <c r="K1256" s="40">
        <f t="shared" si="177"/>
        <v>7.4</v>
      </c>
      <c r="L1256" t="str">
        <f>'(Raw) LensesGH'!F1256</f>
        <v>Sony E</v>
      </c>
      <c r="M1256" t="str">
        <f>'(Raw) LensesGH'!G1256</f>
        <v>APS-C</v>
      </c>
      <c r="N1256">
        <f>'(Raw) LensesGH'!H1256</f>
        <v>0</v>
      </c>
      <c r="O1256" s="5">
        <f t="shared" si="178"/>
        <v>0</v>
      </c>
      <c r="P1256" t="str">
        <f>'(Raw) LensesGH'!I1256</f>
        <v>60.8 x 45.7mm</v>
      </c>
      <c r="Q1256" s="39">
        <f t="shared" si="179"/>
        <v>60.8</v>
      </c>
      <c r="R1256" s="39">
        <f t="shared" si="171"/>
        <v>45.7</v>
      </c>
    </row>
    <row r="1257" spans="1:18" x14ac:dyDescent="0.25">
      <c r="A1257" t="str">
        <f>'(Raw) LensesGH'!A1257</f>
        <v>Sigma Art AF 19mm 2.8 DN für Sony E silber</v>
      </c>
      <c r="B1257" t="str">
        <f>'(Raw) LensesGH'!B1257</f>
        <v>19mm</v>
      </c>
      <c r="C1257" s="5">
        <f t="shared" si="172"/>
        <v>19</v>
      </c>
      <c r="D1257" s="5">
        <f t="shared" si="173"/>
        <v>19</v>
      </c>
      <c r="E1257" t="str">
        <f>'(Raw) LensesGH'!C1257</f>
        <v>1:2.8</v>
      </c>
      <c r="F1257" s="9">
        <f t="shared" si="174"/>
        <v>2.8</v>
      </c>
      <c r="G1257" s="9">
        <f t="shared" si="175"/>
        <v>2.8</v>
      </c>
      <c r="H1257" t="str">
        <f>'(Raw) LensesGH'!D1257</f>
        <v>46mm</v>
      </c>
      <c r="I1257" s="2">
        <f t="shared" si="176"/>
        <v>46</v>
      </c>
      <c r="J1257" s="2" t="str">
        <f>'(Raw) LensesGH'!E1257</f>
        <v>1:7.40</v>
      </c>
      <c r="K1257" s="40">
        <f t="shared" si="177"/>
        <v>7.4</v>
      </c>
      <c r="L1257" t="str">
        <f>'(Raw) LensesGH'!F1257</f>
        <v>Sony E</v>
      </c>
      <c r="M1257" t="str">
        <f>'(Raw) LensesGH'!G1257</f>
        <v>APS-C</v>
      </c>
      <c r="N1257">
        <f>'(Raw) LensesGH'!H1257</f>
        <v>0</v>
      </c>
      <c r="O1257" s="5">
        <f t="shared" si="178"/>
        <v>0</v>
      </c>
      <c r="P1257" t="str">
        <f>'(Raw) LensesGH'!I1257</f>
        <v>60.8 x 45.7mm</v>
      </c>
      <c r="Q1257" s="39">
        <f t="shared" si="179"/>
        <v>60.8</v>
      </c>
      <c r="R1257" s="39">
        <f t="shared" si="171"/>
        <v>45.7</v>
      </c>
    </row>
    <row r="1258" spans="1:18" x14ac:dyDescent="0.25">
      <c r="A1258" t="str">
        <f>'(Raw) LensesGH'!A1258</f>
        <v>Sigma Art AF 20mm 1.4 DG HSM für Canon EF schwarz</v>
      </c>
      <c r="B1258" t="str">
        <f>'(Raw) LensesGH'!B1258</f>
        <v>20mm</v>
      </c>
      <c r="C1258" s="5">
        <f t="shared" si="172"/>
        <v>20</v>
      </c>
      <c r="D1258" s="5">
        <f t="shared" si="173"/>
        <v>20</v>
      </c>
      <c r="E1258" t="str">
        <f>'(Raw) LensesGH'!C1258</f>
        <v>1:1.4</v>
      </c>
      <c r="F1258" s="9">
        <f t="shared" si="174"/>
        <v>1.4</v>
      </c>
      <c r="G1258" s="9">
        <f t="shared" si="175"/>
        <v>1.4</v>
      </c>
      <c r="H1258">
        <f>'(Raw) LensesGH'!D1258</f>
        <v>0</v>
      </c>
      <c r="I1258" s="2">
        <f t="shared" si="176"/>
        <v>0</v>
      </c>
      <c r="J1258" s="2" t="str">
        <f>'(Raw) LensesGH'!E1258</f>
        <v>1:7.10</v>
      </c>
      <c r="K1258" s="40">
        <f t="shared" si="177"/>
        <v>7.1</v>
      </c>
      <c r="L1258" t="str">
        <f>'(Raw) LensesGH'!F1258</f>
        <v>Canon EF</v>
      </c>
      <c r="M1258" t="str">
        <f>'(Raw) LensesGH'!G1258</f>
        <v>APS-C/ Kleinbild</v>
      </c>
      <c r="N1258" t="str">
        <f>'(Raw) LensesGH'!H1258</f>
        <v>950g</v>
      </c>
      <c r="O1258" s="5">
        <f t="shared" si="178"/>
        <v>950</v>
      </c>
      <c r="P1258" t="str">
        <f>'(Raw) LensesGH'!I1258</f>
        <v>90.7 x 129.8mm</v>
      </c>
      <c r="Q1258" s="39">
        <f t="shared" si="179"/>
        <v>90.7</v>
      </c>
      <c r="R1258" s="39">
        <f t="shared" si="171"/>
        <v>129.80000000000001</v>
      </c>
    </row>
    <row r="1259" spans="1:18" x14ac:dyDescent="0.25">
      <c r="A1259" t="str">
        <f>'(Raw) LensesGH'!A1259</f>
        <v>Sigma Art AF 20mm 1.4 DG HSM für Nikon F schwarz</v>
      </c>
      <c r="B1259" t="str">
        <f>'(Raw) LensesGH'!B1259</f>
        <v>20mm</v>
      </c>
      <c r="C1259" s="5">
        <f t="shared" si="172"/>
        <v>20</v>
      </c>
      <c r="D1259" s="5">
        <f t="shared" si="173"/>
        <v>20</v>
      </c>
      <c r="E1259" t="str">
        <f>'(Raw) LensesGH'!C1259</f>
        <v>1:1.4</v>
      </c>
      <c r="F1259" s="9">
        <f t="shared" si="174"/>
        <v>1.4</v>
      </c>
      <c r="G1259" s="9">
        <f t="shared" si="175"/>
        <v>1.4</v>
      </c>
      <c r="H1259">
        <f>'(Raw) LensesGH'!D1259</f>
        <v>0</v>
      </c>
      <c r="I1259" s="2">
        <f t="shared" si="176"/>
        <v>0</v>
      </c>
      <c r="J1259" s="2" t="str">
        <f>'(Raw) LensesGH'!E1259</f>
        <v>1:7.10</v>
      </c>
      <c r="K1259" s="40">
        <f t="shared" si="177"/>
        <v>7.1</v>
      </c>
      <c r="L1259" t="str">
        <f>'(Raw) LensesGH'!F1259</f>
        <v>Nikon F</v>
      </c>
      <c r="M1259" t="str">
        <f>'(Raw) LensesGH'!G1259</f>
        <v>APS-C/ Kleinbild</v>
      </c>
      <c r="N1259" t="str">
        <f>'(Raw) LensesGH'!H1259</f>
        <v>950g</v>
      </c>
      <c r="O1259" s="5">
        <f t="shared" si="178"/>
        <v>950</v>
      </c>
      <c r="P1259" t="str">
        <f>'(Raw) LensesGH'!I1259</f>
        <v>90.7 x 129.8mm</v>
      </c>
      <c r="Q1259" s="39">
        <f t="shared" si="179"/>
        <v>90.7</v>
      </c>
      <c r="R1259" s="39">
        <f t="shared" si="171"/>
        <v>129.80000000000001</v>
      </c>
    </row>
    <row r="1260" spans="1:18" x14ac:dyDescent="0.25">
      <c r="A1260" t="str">
        <f>'(Raw) LensesGH'!A1260</f>
        <v>Sigma Art AF 20mm 1.4 DG HSM für Sigma schwarz</v>
      </c>
      <c r="B1260" t="str">
        <f>'(Raw) LensesGH'!B1260</f>
        <v>20mm</v>
      </c>
      <c r="C1260" s="5">
        <f t="shared" si="172"/>
        <v>20</v>
      </c>
      <c r="D1260" s="5">
        <f t="shared" si="173"/>
        <v>20</v>
      </c>
      <c r="E1260" t="str">
        <f>'(Raw) LensesGH'!C1260</f>
        <v>1:1.4</v>
      </c>
      <c r="F1260" s="9">
        <f t="shared" si="174"/>
        <v>1.4</v>
      </c>
      <c r="G1260" s="9">
        <f t="shared" si="175"/>
        <v>1.4</v>
      </c>
      <c r="H1260">
        <f>'(Raw) LensesGH'!D1260</f>
        <v>0</v>
      </c>
      <c r="I1260" s="2">
        <f t="shared" si="176"/>
        <v>0</v>
      </c>
      <c r="J1260" s="2" t="str">
        <f>'(Raw) LensesGH'!E1260</f>
        <v>1:7.10</v>
      </c>
      <c r="K1260" s="40">
        <f t="shared" si="177"/>
        <v>7.1</v>
      </c>
      <c r="L1260" t="str">
        <f>'(Raw) LensesGH'!F1260</f>
        <v>Sigma SA</v>
      </c>
      <c r="M1260" t="str">
        <f>'(Raw) LensesGH'!G1260</f>
        <v>APS-C/ Kleinbild</v>
      </c>
      <c r="N1260" t="str">
        <f>'(Raw) LensesGH'!H1260</f>
        <v>950g</v>
      </c>
      <c r="O1260" s="5">
        <f t="shared" si="178"/>
        <v>950</v>
      </c>
      <c r="P1260" t="str">
        <f>'(Raw) LensesGH'!I1260</f>
        <v>90.7 x 129.8mm</v>
      </c>
      <c r="Q1260" s="39">
        <f t="shared" si="179"/>
        <v>90.7</v>
      </c>
      <c r="R1260" s="39">
        <f t="shared" si="171"/>
        <v>129.80000000000001</v>
      </c>
    </row>
    <row r="1261" spans="1:18" x14ac:dyDescent="0.25">
      <c r="A1261" t="str">
        <f>'(Raw) LensesGH'!A1261</f>
        <v>Sigma Art AF 24-105mm 4.0 DG HSM für Sony A schwarz</v>
      </c>
      <c r="B1261" t="str">
        <f>'(Raw) LensesGH'!B1261</f>
        <v>24 - 105mm</v>
      </c>
      <c r="C1261" s="5">
        <f t="shared" si="172"/>
        <v>24</v>
      </c>
      <c r="D1261" s="5">
        <f t="shared" si="173"/>
        <v>105</v>
      </c>
      <c r="E1261" t="str">
        <f>'(Raw) LensesGH'!C1261</f>
        <v>1:4.0</v>
      </c>
      <c r="F1261" s="9">
        <f t="shared" si="174"/>
        <v>4</v>
      </c>
      <c r="G1261" s="9">
        <f t="shared" si="175"/>
        <v>4</v>
      </c>
      <c r="H1261" t="str">
        <f>'(Raw) LensesGH'!D1261</f>
        <v>82mm</v>
      </c>
      <c r="I1261" s="2">
        <f t="shared" si="176"/>
        <v>82</v>
      </c>
      <c r="J1261" s="2" t="str">
        <f>'(Raw) LensesGH'!E1261</f>
        <v>1:4.60</v>
      </c>
      <c r="K1261" s="40">
        <f t="shared" si="177"/>
        <v>4.5999999999999996</v>
      </c>
      <c r="L1261" t="str">
        <f>'(Raw) LensesGH'!F1261</f>
        <v>Sony A</v>
      </c>
      <c r="M1261" t="str">
        <f>'(Raw) LensesGH'!G1261</f>
        <v>APS-C/ Kleinbild</v>
      </c>
      <c r="N1261" t="str">
        <f>'(Raw) LensesGH'!H1261</f>
        <v>885g</v>
      </c>
      <c r="O1261" s="5">
        <f t="shared" si="178"/>
        <v>885</v>
      </c>
      <c r="P1261" t="str">
        <f>'(Raw) LensesGH'!I1261</f>
        <v>88.6 x 109.4mm</v>
      </c>
      <c r="Q1261" s="39">
        <f t="shared" si="179"/>
        <v>88.6</v>
      </c>
      <c r="R1261" s="39">
        <f t="shared" si="171"/>
        <v>109.4</v>
      </c>
    </row>
    <row r="1262" spans="1:18" x14ac:dyDescent="0.25">
      <c r="A1262" t="str">
        <f>'(Raw) LensesGH'!A1262</f>
        <v>Sigma Art AF 24-105mm 4.0 DG OS HSM für Canon EF schwarz</v>
      </c>
      <c r="B1262" t="str">
        <f>'(Raw) LensesGH'!B1262</f>
        <v>24 - 105mm</v>
      </c>
      <c r="C1262" s="5">
        <f t="shared" si="172"/>
        <v>24</v>
      </c>
      <c r="D1262" s="5">
        <f t="shared" si="173"/>
        <v>105</v>
      </c>
      <c r="E1262" t="str">
        <f>'(Raw) LensesGH'!C1262</f>
        <v>1:4.0</v>
      </c>
      <c r="F1262" s="9">
        <f t="shared" si="174"/>
        <v>4</v>
      </c>
      <c r="G1262" s="9">
        <f t="shared" si="175"/>
        <v>4</v>
      </c>
      <c r="H1262" t="str">
        <f>'(Raw) LensesGH'!D1262</f>
        <v>82mm</v>
      </c>
      <c r="I1262" s="2">
        <f t="shared" si="176"/>
        <v>82</v>
      </c>
      <c r="J1262" s="2" t="str">
        <f>'(Raw) LensesGH'!E1262</f>
        <v>1:4.60</v>
      </c>
      <c r="K1262" s="40">
        <f t="shared" si="177"/>
        <v>4.5999999999999996</v>
      </c>
      <c r="L1262" t="str">
        <f>'(Raw) LensesGH'!F1262</f>
        <v>Canon EF</v>
      </c>
      <c r="M1262" t="str">
        <f>'(Raw) LensesGH'!G1262</f>
        <v>APS-C/ Kleinbild</v>
      </c>
      <c r="N1262" t="str">
        <f>'(Raw) LensesGH'!H1262</f>
        <v>885g</v>
      </c>
      <c r="O1262" s="5">
        <f t="shared" si="178"/>
        <v>885</v>
      </c>
      <c r="P1262" t="str">
        <f>'(Raw) LensesGH'!I1262</f>
        <v>88.6 x 109.4mm</v>
      </c>
      <c r="Q1262" s="39">
        <f t="shared" si="179"/>
        <v>88.6</v>
      </c>
      <c r="R1262" s="39">
        <f t="shared" si="171"/>
        <v>109.4</v>
      </c>
    </row>
    <row r="1263" spans="1:18" x14ac:dyDescent="0.25">
      <c r="A1263" t="str">
        <f>'(Raw) LensesGH'!A1263</f>
        <v>Sigma Art AF 24-105mm 4.0 DG OS HSM für Nikon F schwarz</v>
      </c>
      <c r="B1263" t="str">
        <f>'(Raw) LensesGH'!B1263</f>
        <v>24 - 105mm</v>
      </c>
      <c r="C1263" s="5">
        <f t="shared" si="172"/>
        <v>24</v>
      </c>
      <c r="D1263" s="5">
        <f t="shared" si="173"/>
        <v>105</v>
      </c>
      <c r="E1263" t="str">
        <f>'(Raw) LensesGH'!C1263</f>
        <v>1:4.0</v>
      </c>
      <c r="F1263" s="9">
        <f t="shared" si="174"/>
        <v>4</v>
      </c>
      <c r="G1263" s="9">
        <f t="shared" si="175"/>
        <v>4</v>
      </c>
      <c r="H1263" t="str">
        <f>'(Raw) LensesGH'!D1263</f>
        <v>82mm</v>
      </c>
      <c r="I1263" s="2">
        <f t="shared" si="176"/>
        <v>82</v>
      </c>
      <c r="J1263" s="2" t="str">
        <f>'(Raw) LensesGH'!E1263</f>
        <v>1:4.60</v>
      </c>
      <c r="K1263" s="40">
        <f t="shared" si="177"/>
        <v>4.5999999999999996</v>
      </c>
      <c r="L1263" t="str">
        <f>'(Raw) LensesGH'!F1263</f>
        <v>Nikon F</v>
      </c>
      <c r="M1263" t="str">
        <f>'(Raw) LensesGH'!G1263</f>
        <v>APS-C/ Kleinbild</v>
      </c>
      <c r="N1263" t="str">
        <f>'(Raw) LensesGH'!H1263</f>
        <v>885g</v>
      </c>
      <c r="O1263" s="5">
        <f t="shared" si="178"/>
        <v>885</v>
      </c>
      <c r="P1263" t="str">
        <f>'(Raw) LensesGH'!I1263</f>
        <v>88.6 x 109.4mm</v>
      </c>
      <c r="Q1263" s="39">
        <f t="shared" si="179"/>
        <v>88.6</v>
      </c>
      <c r="R1263" s="39">
        <f t="shared" si="171"/>
        <v>109.4</v>
      </c>
    </row>
    <row r="1264" spans="1:18" x14ac:dyDescent="0.25">
      <c r="A1264" t="str">
        <f>'(Raw) LensesGH'!A1264</f>
        <v>Sigma Art AF 24-105mm 4.0 DG OS HSM für Sigma schwarz</v>
      </c>
      <c r="B1264" t="str">
        <f>'(Raw) LensesGH'!B1264</f>
        <v>24 - 105mm</v>
      </c>
      <c r="C1264" s="5">
        <f t="shared" si="172"/>
        <v>24</v>
      </c>
      <c r="D1264" s="5">
        <f t="shared" si="173"/>
        <v>105</v>
      </c>
      <c r="E1264" t="str">
        <f>'(Raw) LensesGH'!C1264</f>
        <v>1:4.0</v>
      </c>
      <c r="F1264" s="9">
        <f t="shared" si="174"/>
        <v>4</v>
      </c>
      <c r="G1264" s="9">
        <f t="shared" si="175"/>
        <v>4</v>
      </c>
      <c r="H1264" t="str">
        <f>'(Raw) LensesGH'!D1264</f>
        <v>82mm</v>
      </c>
      <c r="I1264" s="2">
        <f t="shared" si="176"/>
        <v>82</v>
      </c>
      <c r="J1264" s="2" t="str">
        <f>'(Raw) LensesGH'!E1264</f>
        <v>1:4.60</v>
      </c>
      <c r="K1264" s="40">
        <f t="shared" si="177"/>
        <v>4.5999999999999996</v>
      </c>
      <c r="L1264" t="str">
        <f>'(Raw) LensesGH'!F1264</f>
        <v>Sigma SA</v>
      </c>
      <c r="M1264" t="str">
        <f>'(Raw) LensesGH'!G1264</f>
        <v>APS-C/ Kleinbild</v>
      </c>
      <c r="N1264" t="str">
        <f>'(Raw) LensesGH'!H1264</f>
        <v>885g</v>
      </c>
      <c r="O1264" s="5">
        <f t="shared" si="178"/>
        <v>885</v>
      </c>
      <c r="P1264" t="str">
        <f>'(Raw) LensesGH'!I1264</f>
        <v>88.6 x 109.4mm</v>
      </c>
      <c r="Q1264" s="39">
        <f t="shared" si="179"/>
        <v>88.6</v>
      </c>
      <c r="R1264" s="39">
        <f t="shared" si="171"/>
        <v>109.4</v>
      </c>
    </row>
    <row r="1265" spans="1:18" x14ac:dyDescent="0.25">
      <c r="A1265" t="str">
        <f>'(Raw) LensesGH'!A1265</f>
        <v>Sigma Art AF 24-35mm 2.0 DG HSM für Canon EF schwarz</v>
      </c>
      <c r="B1265" t="str">
        <f>'(Raw) LensesGH'!B1265</f>
        <v>24 - 35mm</v>
      </c>
      <c r="C1265" s="5">
        <f t="shared" si="172"/>
        <v>24</v>
      </c>
      <c r="D1265" s="5">
        <f t="shared" si="173"/>
        <v>35</v>
      </c>
      <c r="E1265" t="str">
        <f>'(Raw) LensesGH'!C1265</f>
        <v>1:2.0</v>
      </c>
      <c r="F1265" s="9">
        <f t="shared" si="174"/>
        <v>2</v>
      </c>
      <c r="G1265" s="9">
        <f t="shared" si="175"/>
        <v>2</v>
      </c>
      <c r="H1265" t="str">
        <f>'(Raw) LensesGH'!D1265</f>
        <v>82mm</v>
      </c>
      <c r="I1265" s="2">
        <f t="shared" si="176"/>
        <v>82</v>
      </c>
      <c r="J1265" s="2" t="str">
        <f>'(Raw) LensesGH'!E1265</f>
        <v>1:4.40</v>
      </c>
      <c r="K1265" s="40">
        <f t="shared" si="177"/>
        <v>4.4000000000000004</v>
      </c>
      <c r="L1265" t="str">
        <f>'(Raw) LensesGH'!F1265</f>
        <v>Canon EF</v>
      </c>
      <c r="M1265" t="str">
        <f>'(Raw) LensesGH'!G1265</f>
        <v>APS-C/ Kleinbild</v>
      </c>
      <c r="N1265" t="str">
        <f>'(Raw) LensesGH'!H1265</f>
        <v>940g</v>
      </c>
      <c r="O1265" s="5">
        <f t="shared" si="178"/>
        <v>940</v>
      </c>
      <c r="P1265" t="str">
        <f>'(Raw) LensesGH'!I1265</f>
        <v>87.6 x 122.7mm</v>
      </c>
      <c r="Q1265" s="39">
        <f t="shared" si="179"/>
        <v>87.6</v>
      </c>
      <c r="R1265" s="39">
        <f t="shared" si="171"/>
        <v>122.7</v>
      </c>
    </row>
    <row r="1266" spans="1:18" x14ac:dyDescent="0.25">
      <c r="A1266" t="str">
        <f>'(Raw) LensesGH'!A1266</f>
        <v>Sigma Art AF 24-35mm 2.0 DG HSM für Nikon F schwarz</v>
      </c>
      <c r="B1266" t="str">
        <f>'(Raw) LensesGH'!B1266</f>
        <v>24 - 35mm</v>
      </c>
      <c r="C1266" s="5">
        <f t="shared" si="172"/>
        <v>24</v>
      </c>
      <c r="D1266" s="5">
        <f t="shared" si="173"/>
        <v>35</v>
      </c>
      <c r="E1266" t="str">
        <f>'(Raw) LensesGH'!C1266</f>
        <v>1:2.0</v>
      </c>
      <c r="F1266" s="9">
        <f t="shared" si="174"/>
        <v>2</v>
      </c>
      <c r="G1266" s="9">
        <f t="shared" si="175"/>
        <v>2</v>
      </c>
      <c r="H1266" t="str">
        <f>'(Raw) LensesGH'!D1266</f>
        <v>82mm</v>
      </c>
      <c r="I1266" s="2">
        <f t="shared" si="176"/>
        <v>82</v>
      </c>
      <c r="J1266" s="2" t="str">
        <f>'(Raw) LensesGH'!E1266</f>
        <v>1:4.40</v>
      </c>
      <c r="K1266" s="40">
        <f t="shared" si="177"/>
        <v>4.4000000000000004</v>
      </c>
      <c r="L1266" t="str">
        <f>'(Raw) LensesGH'!F1266</f>
        <v>Nikon F</v>
      </c>
      <c r="M1266" t="str">
        <f>'(Raw) LensesGH'!G1266</f>
        <v>APS-C/ Kleinbild</v>
      </c>
      <c r="N1266" t="str">
        <f>'(Raw) LensesGH'!H1266</f>
        <v>940g</v>
      </c>
      <c r="O1266" s="5">
        <f t="shared" si="178"/>
        <v>940</v>
      </c>
      <c r="P1266" t="str">
        <f>'(Raw) LensesGH'!I1266</f>
        <v>87.6 x 122.7mm</v>
      </c>
      <c r="Q1266" s="39">
        <f t="shared" si="179"/>
        <v>87.6</v>
      </c>
      <c r="R1266" s="39">
        <f t="shared" si="171"/>
        <v>122.7</v>
      </c>
    </row>
    <row r="1267" spans="1:18" x14ac:dyDescent="0.25">
      <c r="A1267" t="str">
        <f>'(Raw) LensesGH'!A1267</f>
        <v>Sigma Art AF 24-35mm 2.0 DG HSM für Sigma schwarz</v>
      </c>
      <c r="B1267" t="str">
        <f>'(Raw) LensesGH'!B1267</f>
        <v>24 - 35mm</v>
      </c>
      <c r="C1267" s="5">
        <f t="shared" si="172"/>
        <v>24</v>
      </c>
      <c r="D1267" s="5">
        <f t="shared" si="173"/>
        <v>35</v>
      </c>
      <c r="E1267" t="str">
        <f>'(Raw) LensesGH'!C1267</f>
        <v>1:2.0</v>
      </c>
      <c r="F1267" s="9">
        <f t="shared" si="174"/>
        <v>2</v>
      </c>
      <c r="G1267" s="9">
        <f t="shared" si="175"/>
        <v>2</v>
      </c>
      <c r="H1267" t="str">
        <f>'(Raw) LensesGH'!D1267</f>
        <v>82mm</v>
      </c>
      <c r="I1267" s="2">
        <f t="shared" si="176"/>
        <v>82</v>
      </c>
      <c r="J1267" s="2" t="str">
        <f>'(Raw) LensesGH'!E1267</f>
        <v>1:4.40</v>
      </c>
      <c r="K1267" s="40">
        <f t="shared" si="177"/>
        <v>4.4000000000000004</v>
      </c>
      <c r="L1267" t="str">
        <f>'(Raw) LensesGH'!F1267</f>
        <v>Sigma SA</v>
      </c>
      <c r="M1267" t="str">
        <f>'(Raw) LensesGH'!G1267</f>
        <v>APS-C/ Kleinbild</v>
      </c>
      <c r="N1267" t="str">
        <f>'(Raw) LensesGH'!H1267</f>
        <v>940g</v>
      </c>
      <c r="O1267" s="5">
        <f t="shared" si="178"/>
        <v>940</v>
      </c>
      <c r="P1267" t="str">
        <f>'(Raw) LensesGH'!I1267</f>
        <v>87.6 x 122.7mm</v>
      </c>
      <c r="Q1267" s="39">
        <f t="shared" si="179"/>
        <v>87.6</v>
      </c>
      <c r="R1267" s="39">
        <f t="shared" si="171"/>
        <v>122.7</v>
      </c>
    </row>
    <row r="1268" spans="1:18" x14ac:dyDescent="0.25">
      <c r="A1268" t="str">
        <f>'(Raw) LensesGH'!A1268</f>
        <v>Sigma Art AF 24-70mm 2.8 DG OS HSM für Canon EF schwarz</v>
      </c>
      <c r="B1268" t="str">
        <f>'(Raw) LensesGH'!B1268</f>
        <v>24 - 70mm</v>
      </c>
      <c r="C1268" s="5">
        <f t="shared" si="172"/>
        <v>24</v>
      </c>
      <c r="D1268" s="5">
        <f t="shared" si="173"/>
        <v>70</v>
      </c>
      <c r="E1268" t="str">
        <f>'(Raw) LensesGH'!C1268</f>
        <v>1:2.8</v>
      </c>
      <c r="F1268" s="9">
        <f t="shared" si="174"/>
        <v>2.8</v>
      </c>
      <c r="G1268" s="9">
        <f t="shared" si="175"/>
        <v>2.8</v>
      </c>
      <c r="H1268" t="str">
        <f>'(Raw) LensesGH'!D1268</f>
        <v>82mm</v>
      </c>
      <c r="I1268" s="2">
        <f t="shared" si="176"/>
        <v>82</v>
      </c>
      <c r="J1268" s="2" t="str">
        <f>'(Raw) LensesGH'!E1268</f>
        <v>1:4.76</v>
      </c>
      <c r="K1268" s="40">
        <f t="shared" si="177"/>
        <v>4.76</v>
      </c>
      <c r="L1268" t="str">
        <f>'(Raw) LensesGH'!F1268</f>
        <v>Canon EF</v>
      </c>
      <c r="M1268" t="str">
        <f>'(Raw) LensesGH'!G1268</f>
        <v>APS-C/ Kleinbild</v>
      </c>
      <c r="N1268" t="str">
        <f>'(Raw) LensesGH'!H1268</f>
        <v>1020g</v>
      </c>
      <c r="O1268" s="5">
        <f t="shared" si="178"/>
        <v>1020</v>
      </c>
      <c r="P1268" t="str">
        <f>'(Raw) LensesGH'!I1268</f>
        <v>88 x 107.6mm</v>
      </c>
      <c r="Q1268" s="39">
        <f t="shared" si="179"/>
        <v>88</v>
      </c>
      <c r="R1268" s="39">
        <f t="shared" si="171"/>
        <v>107.6</v>
      </c>
    </row>
    <row r="1269" spans="1:18" x14ac:dyDescent="0.25">
      <c r="A1269" t="str">
        <f>'(Raw) LensesGH'!A1269</f>
        <v>Sigma Art AF 24-70mm 2.8 DG OS HSM für Nikon F schwarz</v>
      </c>
      <c r="B1269" t="str">
        <f>'(Raw) LensesGH'!B1269</f>
        <v>24 - 70mm</v>
      </c>
      <c r="C1269" s="5">
        <f t="shared" si="172"/>
        <v>24</v>
      </c>
      <c r="D1269" s="5">
        <f t="shared" si="173"/>
        <v>70</v>
      </c>
      <c r="E1269" t="str">
        <f>'(Raw) LensesGH'!C1269</f>
        <v>1:2.8</v>
      </c>
      <c r="F1269" s="9">
        <f t="shared" si="174"/>
        <v>2.8</v>
      </c>
      <c r="G1269" s="9">
        <f t="shared" si="175"/>
        <v>2.8</v>
      </c>
      <c r="H1269" t="str">
        <f>'(Raw) LensesGH'!D1269</f>
        <v>82mm</v>
      </c>
      <c r="I1269" s="2">
        <f t="shared" si="176"/>
        <v>82</v>
      </c>
      <c r="J1269" s="2" t="str">
        <f>'(Raw) LensesGH'!E1269</f>
        <v>1:4.76</v>
      </c>
      <c r="K1269" s="40">
        <f t="shared" si="177"/>
        <v>4.76</v>
      </c>
      <c r="L1269" t="str">
        <f>'(Raw) LensesGH'!F1269</f>
        <v>Nikon F</v>
      </c>
      <c r="M1269" t="str">
        <f>'(Raw) LensesGH'!G1269</f>
        <v>APS-C/ Kleinbild</v>
      </c>
      <c r="N1269" t="str">
        <f>'(Raw) LensesGH'!H1269</f>
        <v>1020g</v>
      </c>
      <c r="O1269" s="5">
        <f t="shared" si="178"/>
        <v>1020</v>
      </c>
      <c r="P1269" t="str">
        <f>'(Raw) LensesGH'!I1269</f>
        <v>88 x 107.6mm</v>
      </c>
      <c r="Q1269" s="39">
        <f t="shared" si="179"/>
        <v>88</v>
      </c>
      <c r="R1269" s="39">
        <f t="shared" si="171"/>
        <v>107.6</v>
      </c>
    </row>
    <row r="1270" spans="1:18" x14ac:dyDescent="0.25">
      <c r="A1270" t="str">
        <f>'(Raw) LensesGH'!A1270</f>
        <v>Sigma Art AF 24-70mm 2.8 DG OS HSM für Sigma schwarz</v>
      </c>
      <c r="B1270" t="str">
        <f>'(Raw) LensesGH'!B1270</f>
        <v>24 - 70mm</v>
      </c>
      <c r="C1270" s="5">
        <f t="shared" si="172"/>
        <v>24</v>
      </c>
      <c r="D1270" s="5">
        <f t="shared" si="173"/>
        <v>70</v>
      </c>
      <c r="E1270" t="str">
        <f>'(Raw) LensesGH'!C1270</f>
        <v>1:2.8</v>
      </c>
      <c r="F1270" s="9">
        <f t="shared" si="174"/>
        <v>2.8</v>
      </c>
      <c r="G1270" s="9">
        <f t="shared" si="175"/>
        <v>2.8</v>
      </c>
      <c r="H1270" t="str">
        <f>'(Raw) LensesGH'!D1270</f>
        <v>82mm</v>
      </c>
      <c r="I1270" s="2">
        <f t="shared" si="176"/>
        <v>82</v>
      </c>
      <c r="J1270" s="2" t="str">
        <f>'(Raw) LensesGH'!E1270</f>
        <v>1:4.76</v>
      </c>
      <c r="K1270" s="40">
        <f t="shared" si="177"/>
        <v>4.76</v>
      </c>
      <c r="L1270" t="str">
        <f>'(Raw) LensesGH'!F1270</f>
        <v>Sigma SA</v>
      </c>
      <c r="M1270" t="str">
        <f>'(Raw) LensesGH'!G1270</f>
        <v>APS-C/ Kleinbild</v>
      </c>
      <c r="N1270" t="str">
        <f>'(Raw) LensesGH'!H1270</f>
        <v>1020g</v>
      </c>
      <c r="O1270" s="5">
        <f t="shared" si="178"/>
        <v>1020</v>
      </c>
      <c r="P1270" t="str">
        <f>'(Raw) LensesGH'!I1270</f>
        <v>88 x 107.6mm</v>
      </c>
      <c r="Q1270" s="39">
        <f t="shared" si="179"/>
        <v>88</v>
      </c>
      <c r="R1270" s="39">
        <f t="shared" si="171"/>
        <v>107.6</v>
      </c>
    </row>
    <row r="1271" spans="1:18" x14ac:dyDescent="0.25">
      <c r="A1271" t="str">
        <f>'(Raw) LensesGH'!A1271</f>
        <v>Sigma Art AF 24mm 1.4 DG HSM für Canon EF schwarz</v>
      </c>
      <c r="B1271" t="str">
        <f>'(Raw) LensesGH'!B1271</f>
        <v>24mm</v>
      </c>
      <c r="C1271" s="5">
        <f t="shared" si="172"/>
        <v>24</v>
      </c>
      <c r="D1271" s="5">
        <f t="shared" si="173"/>
        <v>24</v>
      </c>
      <c r="E1271" t="str">
        <f>'(Raw) LensesGH'!C1271</f>
        <v>1:1.4</v>
      </c>
      <c r="F1271" s="9">
        <f t="shared" si="174"/>
        <v>1.4</v>
      </c>
      <c r="G1271" s="9">
        <f t="shared" si="175"/>
        <v>1.4</v>
      </c>
      <c r="H1271" t="str">
        <f>'(Raw) LensesGH'!D1271</f>
        <v>77mm</v>
      </c>
      <c r="I1271" s="2">
        <f t="shared" si="176"/>
        <v>77</v>
      </c>
      <c r="J1271" s="2" t="str">
        <f>'(Raw) LensesGH'!E1271</f>
        <v>1:5.30</v>
      </c>
      <c r="K1271" s="40">
        <f t="shared" si="177"/>
        <v>5.3</v>
      </c>
      <c r="L1271" t="str">
        <f>'(Raw) LensesGH'!F1271</f>
        <v>Canon EF</v>
      </c>
      <c r="M1271" t="str">
        <f>'(Raw) LensesGH'!G1271</f>
        <v>APS-C/ Kleinbild</v>
      </c>
      <c r="N1271" t="str">
        <f>'(Raw) LensesGH'!H1271</f>
        <v>665g</v>
      </c>
      <c r="O1271" s="5">
        <f t="shared" si="178"/>
        <v>665</v>
      </c>
      <c r="P1271" t="str">
        <f>'(Raw) LensesGH'!I1271</f>
        <v>85 x 90.2mm</v>
      </c>
      <c r="Q1271" s="39">
        <f t="shared" si="179"/>
        <v>85</v>
      </c>
      <c r="R1271" s="39">
        <f t="shared" si="171"/>
        <v>90.2</v>
      </c>
    </row>
    <row r="1272" spans="1:18" x14ac:dyDescent="0.25">
      <c r="A1272" t="str">
        <f>'(Raw) LensesGH'!A1272</f>
        <v>Sigma Art AF 24mm 1.4 DG HSM für Nikon F schwarz</v>
      </c>
      <c r="B1272" t="str">
        <f>'(Raw) LensesGH'!B1272</f>
        <v>24mm</v>
      </c>
      <c r="C1272" s="5">
        <f t="shared" si="172"/>
        <v>24</v>
      </c>
      <c r="D1272" s="5">
        <f t="shared" si="173"/>
        <v>24</v>
      </c>
      <c r="E1272" t="str">
        <f>'(Raw) LensesGH'!C1272</f>
        <v>1:1.4</v>
      </c>
      <c r="F1272" s="9">
        <f t="shared" si="174"/>
        <v>1.4</v>
      </c>
      <c r="G1272" s="9">
        <f t="shared" si="175"/>
        <v>1.4</v>
      </c>
      <c r="H1272" t="str">
        <f>'(Raw) LensesGH'!D1272</f>
        <v>77mm</v>
      </c>
      <c r="I1272" s="2">
        <f t="shared" si="176"/>
        <v>77</v>
      </c>
      <c r="J1272" s="2" t="str">
        <f>'(Raw) LensesGH'!E1272</f>
        <v>1:5.30</v>
      </c>
      <c r="K1272" s="40">
        <f t="shared" si="177"/>
        <v>5.3</v>
      </c>
      <c r="L1272" t="str">
        <f>'(Raw) LensesGH'!F1272</f>
        <v>Nikon F</v>
      </c>
      <c r="M1272" t="str">
        <f>'(Raw) LensesGH'!G1272</f>
        <v>APS-C/ Kleinbild</v>
      </c>
      <c r="N1272" t="str">
        <f>'(Raw) LensesGH'!H1272</f>
        <v>665g</v>
      </c>
      <c r="O1272" s="5">
        <f t="shared" si="178"/>
        <v>665</v>
      </c>
      <c r="P1272" t="str">
        <f>'(Raw) LensesGH'!I1272</f>
        <v>85 x 90.2mm</v>
      </c>
      <c r="Q1272" s="39">
        <f t="shared" si="179"/>
        <v>85</v>
      </c>
      <c r="R1272" s="39">
        <f t="shared" si="171"/>
        <v>90.2</v>
      </c>
    </row>
    <row r="1273" spans="1:18" x14ac:dyDescent="0.25">
      <c r="A1273" t="str">
        <f>'(Raw) LensesGH'!A1273</f>
        <v>Sigma Art AF 24mm 1.4 DG HSM für Sigma schwarz</v>
      </c>
      <c r="B1273" t="str">
        <f>'(Raw) LensesGH'!B1273</f>
        <v>24mm</v>
      </c>
      <c r="C1273" s="5">
        <f t="shared" si="172"/>
        <v>24</v>
      </c>
      <c r="D1273" s="5">
        <f t="shared" si="173"/>
        <v>24</v>
      </c>
      <c r="E1273" t="str">
        <f>'(Raw) LensesGH'!C1273</f>
        <v>1:1.4</v>
      </c>
      <c r="F1273" s="9">
        <f t="shared" si="174"/>
        <v>1.4</v>
      </c>
      <c r="G1273" s="9">
        <f t="shared" si="175"/>
        <v>1.4</v>
      </c>
      <c r="H1273" t="str">
        <f>'(Raw) LensesGH'!D1273</f>
        <v>77mm</v>
      </c>
      <c r="I1273" s="2">
        <f t="shared" si="176"/>
        <v>77</v>
      </c>
      <c r="J1273" s="2" t="str">
        <f>'(Raw) LensesGH'!E1273</f>
        <v>1:5.30</v>
      </c>
      <c r="K1273" s="40">
        <f t="shared" si="177"/>
        <v>5.3</v>
      </c>
      <c r="L1273" t="str">
        <f>'(Raw) LensesGH'!F1273</f>
        <v>Sigma SA</v>
      </c>
      <c r="M1273" t="str">
        <f>'(Raw) LensesGH'!G1273</f>
        <v>APS-C/ Kleinbild</v>
      </c>
      <c r="N1273" t="str">
        <f>'(Raw) LensesGH'!H1273</f>
        <v>665g</v>
      </c>
      <c r="O1273" s="5">
        <f t="shared" si="178"/>
        <v>665</v>
      </c>
      <c r="P1273" t="str">
        <f>'(Raw) LensesGH'!I1273</f>
        <v>85 x 90.2mm</v>
      </c>
      <c r="Q1273" s="39">
        <f t="shared" si="179"/>
        <v>85</v>
      </c>
      <c r="R1273" s="39">
        <f t="shared" si="171"/>
        <v>90.2</v>
      </c>
    </row>
    <row r="1274" spans="1:18" x14ac:dyDescent="0.25">
      <c r="A1274" t="str">
        <f>'(Raw) LensesGH'!A1274</f>
        <v>Sigma Art AF 30mm 1.4 DC HSM für Canon EF schwarz</v>
      </c>
      <c r="B1274" t="str">
        <f>'(Raw) LensesGH'!B1274</f>
        <v>30mm</v>
      </c>
      <c r="C1274" s="5">
        <f t="shared" si="172"/>
        <v>30</v>
      </c>
      <c r="D1274" s="5">
        <f t="shared" si="173"/>
        <v>30</v>
      </c>
      <c r="E1274" t="str">
        <f>'(Raw) LensesGH'!C1274</f>
        <v>1:1.4</v>
      </c>
      <c r="F1274" s="9">
        <f t="shared" si="174"/>
        <v>1.4</v>
      </c>
      <c r="G1274" s="9">
        <f t="shared" si="175"/>
        <v>1.4</v>
      </c>
      <c r="H1274" t="str">
        <f>'(Raw) LensesGH'!D1274</f>
        <v>62mm</v>
      </c>
      <c r="I1274" s="2">
        <f t="shared" si="176"/>
        <v>62</v>
      </c>
      <c r="J1274" s="2" t="str">
        <f>'(Raw) LensesGH'!E1274</f>
        <v>1:6.80</v>
      </c>
      <c r="K1274" s="40">
        <f t="shared" si="177"/>
        <v>6.8</v>
      </c>
      <c r="L1274" t="str">
        <f>'(Raw) LensesGH'!F1274</f>
        <v>Canon EF-S</v>
      </c>
      <c r="M1274" t="str">
        <f>'(Raw) LensesGH'!G1274</f>
        <v>APS-C</v>
      </c>
      <c r="N1274" t="str">
        <f>'(Raw) LensesGH'!H1274</f>
        <v>435g</v>
      </c>
      <c r="O1274" s="5">
        <f t="shared" si="178"/>
        <v>435</v>
      </c>
      <c r="P1274" t="str">
        <f>'(Raw) LensesGH'!I1274</f>
        <v>74.2 x 63.3mm</v>
      </c>
      <c r="Q1274" s="39">
        <f t="shared" si="179"/>
        <v>74.2</v>
      </c>
      <c r="R1274" s="39">
        <f t="shared" si="171"/>
        <v>63.3</v>
      </c>
    </row>
    <row r="1275" spans="1:18" x14ac:dyDescent="0.25">
      <c r="A1275" t="str">
        <f>'(Raw) LensesGH'!A1275</f>
        <v>Sigma Art AF 30mm 1.4 DC HSM für Nikon F schwarz</v>
      </c>
      <c r="B1275" t="str">
        <f>'(Raw) LensesGH'!B1275</f>
        <v>30mm</v>
      </c>
      <c r="C1275" s="5">
        <f t="shared" si="172"/>
        <v>30</v>
      </c>
      <c r="D1275" s="5">
        <f t="shared" si="173"/>
        <v>30</v>
      </c>
      <c r="E1275" t="str">
        <f>'(Raw) LensesGH'!C1275</f>
        <v>1:1.4</v>
      </c>
      <c r="F1275" s="9">
        <f t="shared" si="174"/>
        <v>1.4</v>
      </c>
      <c r="G1275" s="9">
        <f t="shared" si="175"/>
        <v>1.4</v>
      </c>
      <c r="H1275" t="str">
        <f>'(Raw) LensesGH'!D1275</f>
        <v>62mm</v>
      </c>
      <c r="I1275" s="2">
        <f t="shared" si="176"/>
        <v>62</v>
      </c>
      <c r="J1275" s="2" t="str">
        <f>'(Raw) LensesGH'!E1275</f>
        <v>1:6.80</v>
      </c>
      <c r="K1275" s="40">
        <f t="shared" si="177"/>
        <v>6.8</v>
      </c>
      <c r="L1275" t="str">
        <f>'(Raw) LensesGH'!F1275</f>
        <v>Nikon F</v>
      </c>
      <c r="M1275" t="str">
        <f>'(Raw) LensesGH'!G1275</f>
        <v>APS-C</v>
      </c>
      <c r="N1275" t="str">
        <f>'(Raw) LensesGH'!H1275</f>
        <v>435g</v>
      </c>
      <c r="O1275" s="5">
        <f t="shared" si="178"/>
        <v>435</v>
      </c>
      <c r="P1275" t="str">
        <f>'(Raw) LensesGH'!I1275</f>
        <v>74.2 x 63.3mm</v>
      </c>
      <c r="Q1275" s="39">
        <f t="shared" si="179"/>
        <v>74.2</v>
      </c>
      <c r="R1275" s="39">
        <f t="shared" si="171"/>
        <v>63.3</v>
      </c>
    </row>
    <row r="1276" spans="1:18" x14ac:dyDescent="0.25">
      <c r="A1276" t="str">
        <f>'(Raw) LensesGH'!A1276</f>
        <v>Sigma Art AF 30mm 1.4 DC HSM für Pentax K schwarz</v>
      </c>
      <c r="B1276" t="str">
        <f>'(Raw) LensesGH'!B1276</f>
        <v>30mm</v>
      </c>
      <c r="C1276" s="5">
        <f t="shared" si="172"/>
        <v>30</v>
      </c>
      <c r="D1276" s="5">
        <f t="shared" si="173"/>
        <v>30</v>
      </c>
      <c r="E1276" t="str">
        <f>'(Raw) LensesGH'!C1276</f>
        <v>1:1.4</v>
      </c>
      <c r="F1276" s="9">
        <f t="shared" si="174"/>
        <v>1.4</v>
      </c>
      <c r="G1276" s="9">
        <f t="shared" si="175"/>
        <v>1.4</v>
      </c>
      <c r="H1276" t="str">
        <f>'(Raw) LensesGH'!D1276</f>
        <v>62mm</v>
      </c>
      <c r="I1276" s="2">
        <f t="shared" si="176"/>
        <v>62</v>
      </c>
      <c r="J1276" s="2" t="str">
        <f>'(Raw) LensesGH'!E1276</f>
        <v>1:6.80</v>
      </c>
      <c r="K1276" s="40">
        <f t="shared" si="177"/>
        <v>6.8</v>
      </c>
      <c r="L1276" t="str">
        <f>'(Raw) LensesGH'!F1276</f>
        <v>Pentax K</v>
      </c>
      <c r="M1276" t="str">
        <f>'(Raw) LensesGH'!G1276</f>
        <v>APS-C</v>
      </c>
      <c r="N1276" t="str">
        <f>'(Raw) LensesGH'!H1276</f>
        <v>435g</v>
      </c>
      <c r="O1276" s="5">
        <f t="shared" si="178"/>
        <v>435</v>
      </c>
      <c r="P1276" t="str">
        <f>'(Raw) LensesGH'!I1276</f>
        <v>74.2 x 63.3mm</v>
      </c>
      <c r="Q1276" s="39">
        <f t="shared" si="179"/>
        <v>74.2</v>
      </c>
      <c r="R1276" s="39">
        <f t="shared" si="171"/>
        <v>63.3</v>
      </c>
    </row>
    <row r="1277" spans="1:18" x14ac:dyDescent="0.25">
      <c r="A1277" t="str">
        <f>'(Raw) LensesGH'!A1277</f>
        <v>Sigma Art AF 30mm 1.4 DC HSM für Sigma schwarz</v>
      </c>
      <c r="B1277" t="str">
        <f>'(Raw) LensesGH'!B1277</f>
        <v>30mm</v>
      </c>
      <c r="C1277" s="5">
        <f t="shared" si="172"/>
        <v>30</v>
      </c>
      <c r="D1277" s="5">
        <f t="shared" si="173"/>
        <v>30</v>
      </c>
      <c r="E1277" t="str">
        <f>'(Raw) LensesGH'!C1277</f>
        <v>1:1.4</v>
      </c>
      <c r="F1277" s="9">
        <f t="shared" si="174"/>
        <v>1.4</v>
      </c>
      <c r="G1277" s="9">
        <f t="shared" si="175"/>
        <v>1.4</v>
      </c>
      <c r="H1277" t="str">
        <f>'(Raw) LensesGH'!D1277</f>
        <v>62mm</v>
      </c>
      <c r="I1277" s="2">
        <f t="shared" si="176"/>
        <v>62</v>
      </c>
      <c r="J1277" s="2" t="str">
        <f>'(Raw) LensesGH'!E1277</f>
        <v>1:6.80</v>
      </c>
      <c r="K1277" s="40">
        <f t="shared" si="177"/>
        <v>6.8</v>
      </c>
      <c r="L1277" t="str">
        <f>'(Raw) LensesGH'!F1277</f>
        <v>Sigma SA</v>
      </c>
      <c r="M1277" t="str">
        <f>'(Raw) LensesGH'!G1277</f>
        <v>APS-C</v>
      </c>
      <c r="N1277" t="str">
        <f>'(Raw) LensesGH'!H1277</f>
        <v>435g</v>
      </c>
      <c r="O1277" s="5">
        <f t="shared" si="178"/>
        <v>435</v>
      </c>
      <c r="P1277" t="str">
        <f>'(Raw) LensesGH'!I1277</f>
        <v>74.2 x 63.3mm</v>
      </c>
      <c r="Q1277" s="39">
        <f t="shared" si="179"/>
        <v>74.2</v>
      </c>
      <c r="R1277" s="39">
        <f t="shared" si="171"/>
        <v>63.3</v>
      </c>
    </row>
    <row r="1278" spans="1:18" x14ac:dyDescent="0.25">
      <c r="A1278" t="str">
        <f>'(Raw) LensesGH'!A1278</f>
        <v>Sigma Art AF 30mm 1.4 DC HSM für Sony A schwarz</v>
      </c>
      <c r="B1278" t="str">
        <f>'(Raw) LensesGH'!B1278</f>
        <v>30mm</v>
      </c>
      <c r="C1278" s="5">
        <f t="shared" si="172"/>
        <v>30</v>
      </c>
      <c r="D1278" s="5">
        <f t="shared" si="173"/>
        <v>30</v>
      </c>
      <c r="E1278" t="str">
        <f>'(Raw) LensesGH'!C1278</f>
        <v>1:1.4</v>
      </c>
      <c r="F1278" s="9">
        <f t="shared" si="174"/>
        <v>1.4</v>
      </c>
      <c r="G1278" s="9">
        <f t="shared" si="175"/>
        <v>1.4</v>
      </c>
      <c r="H1278" t="str">
        <f>'(Raw) LensesGH'!D1278</f>
        <v>62mm</v>
      </c>
      <c r="I1278" s="2">
        <f t="shared" si="176"/>
        <v>62</v>
      </c>
      <c r="J1278" s="2" t="str">
        <f>'(Raw) LensesGH'!E1278</f>
        <v>1:6.80</v>
      </c>
      <c r="K1278" s="40">
        <f t="shared" si="177"/>
        <v>6.8</v>
      </c>
      <c r="L1278" t="str">
        <f>'(Raw) LensesGH'!F1278</f>
        <v>Sony A</v>
      </c>
      <c r="M1278" t="str">
        <f>'(Raw) LensesGH'!G1278</f>
        <v>APS-C</v>
      </c>
      <c r="N1278" t="str">
        <f>'(Raw) LensesGH'!H1278</f>
        <v>435g</v>
      </c>
      <c r="O1278" s="5">
        <f t="shared" si="178"/>
        <v>435</v>
      </c>
      <c r="P1278" t="str">
        <f>'(Raw) LensesGH'!I1278</f>
        <v>74.2 x 63.3mm</v>
      </c>
      <c r="Q1278" s="39">
        <f t="shared" si="179"/>
        <v>74.2</v>
      </c>
      <c r="R1278" s="39">
        <f t="shared" si="171"/>
        <v>63.3</v>
      </c>
    </row>
    <row r="1279" spans="1:18" x14ac:dyDescent="0.25">
      <c r="A1279" t="str">
        <f>'(Raw) LensesGH'!A1279</f>
        <v>Sigma Art AF 30mm 2.8 DN für Micro-Four-Thirds schwarz</v>
      </c>
      <c r="B1279" t="str">
        <f>'(Raw) LensesGH'!B1279</f>
        <v>30mm</v>
      </c>
      <c r="C1279" s="5">
        <f t="shared" si="172"/>
        <v>30</v>
      </c>
      <c r="D1279" s="5">
        <f t="shared" si="173"/>
        <v>30</v>
      </c>
      <c r="E1279" t="str">
        <f>'(Raw) LensesGH'!C1279</f>
        <v>1:2.8</v>
      </c>
      <c r="F1279" s="9">
        <f t="shared" si="174"/>
        <v>2.8</v>
      </c>
      <c r="G1279" s="9">
        <f t="shared" si="175"/>
        <v>2.8</v>
      </c>
      <c r="H1279" t="str">
        <f>'(Raw) LensesGH'!D1279</f>
        <v>46mm</v>
      </c>
      <c r="I1279" s="2">
        <f t="shared" si="176"/>
        <v>46</v>
      </c>
      <c r="J1279" s="2" t="str">
        <f>'(Raw) LensesGH'!E1279</f>
        <v>1:8.10</v>
      </c>
      <c r="K1279" s="40">
        <f t="shared" si="177"/>
        <v>8.1</v>
      </c>
      <c r="L1279" t="str">
        <f>'(Raw) LensesGH'!F1279</f>
        <v>Micro-Four-Thirds</v>
      </c>
      <c r="M1279" t="str">
        <f>'(Raw) LensesGH'!G1279</f>
        <v>Four-Thirds</v>
      </c>
      <c r="N1279">
        <f>'(Raw) LensesGH'!H1279</f>
        <v>0</v>
      </c>
      <c r="O1279" s="5">
        <f t="shared" si="178"/>
        <v>0</v>
      </c>
      <c r="P1279" t="str">
        <f>'(Raw) LensesGH'!I1279</f>
        <v>60.8 x 40.5mm</v>
      </c>
      <c r="Q1279" s="39">
        <f t="shared" si="179"/>
        <v>60.8</v>
      </c>
      <c r="R1279" s="39">
        <f t="shared" si="171"/>
        <v>40.5</v>
      </c>
    </row>
    <row r="1280" spans="1:18" x14ac:dyDescent="0.25">
      <c r="A1280" t="str">
        <f>'(Raw) LensesGH'!A1280</f>
        <v>Sigma Art AF 30mm 2.8 DN für Micro-Four-Thirds silber</v>
      </c>
      <c r="B1280" t="str">
        <f>'(Raw) LensesGH'!B1280</f>
        <v>30mm</v>
      </c>
      <c r="C1280" s="5">
        <f t="shared" si="172"/>
        <v>30</v>
      </c>
      <c r="D1280" s="5">
        <f t="shared" si="173"/>
        <v>30</v>
      </c>
      <c r="E1280" t="str">
        <f>'(Raw) LensesGH'!C1280</f>
        <v>1:2.8</v>
      </c>
      <c r="F1280" s="9">
        <f t="shared" si="174"/>
        <v>2.8</v>
      </c>
      <c r="G1280" s="9">
        <f t="shared" si="175"/>
        <v>2.8</v>
      </c>
      <c r="H1280" t="str">
        <f>'(Raw) LensesGH'!D1280</f>
        <v>46mm</v>
      </c>
      <c r="I1280" s="2">
        <f t="shared" si="176"/>
        <v>46</v>
      </c>
      <c r="J1280" s="2" t="str">
        <f>'(Raw) LensesGH'!E1280</f>
        <v>1:8.10</v>
      </c>
      <c r="K1280" s="40">
        <f t="shared" si="177"/>
        <v>8.1</v>
      </c>
      <c r="L1280" t="str">
        <f>'(Raw) LensesGH'!F1280</f>
        <v>Micro-Four-Thirds</v>
      </c>
      <c r="M1280" t="str">
        <f>'(Raw) LensesGH'!G1280</f>
        <v>Four-Thirds</v>
      </c>
      <c r="N1280">
        <f>'(Raw) LensesGH'!H1280</f>
        <v>0</v>
      </c>
      <c r="O1280" s="5">
        <f t="shared" si="178"/>
        <v>0</v>
      </c>
      <c r="P1280" t="str">
        <f>'(Raw) LensesGH'!I1280</f>
        <v>60.8 x 40.5mm</v>
      </c>
      <c r="Q1280" s="39">
        <f t="shared" si="179"/>
        <v>60.8</v>
      </c>
      <c r="R1280" s="39">
        <f t="shared" si="171"/>
        <v>40.5</v>
      </c>
    </row>
    <row r="1281" spans="1:18" x14ac:dyDescent="0.25">
      <c r="A1281" t="str">
        <f>'(Raw) LensesGH'!A1281</f>
        <v>Sigma Art AF 30mm 2.8 DN für Sony E schwarz</v>
      </c>
      <c r="B1281" t="str">
        <f>'(Raw) LensesGH'!B1281</f>
        <v>30mm</v>
      </c>
      <c r="C1281" s="5">
        <f t="shared" si="172"/>
        <v>30</v>
      </c>
      <c r="D1281" s="5">
        <f t="shared" si="173"/>
        <v>30</v>
      </c>
      <c r="E1281" t="str">
        <f>'(Raw) LensesGH'!C1281</f>
        <v>1:2.8</v>
      </c>
      <c r="F1281" s="9">
        <f t="shared" si="174"/>
        <v>2.8</v>
      </c>
      <c r="G1281" s="9">
        <f t="shared" si="175"/>
        <v>2.8</v>
      </c>
      <c r="H1281" t="str">
        <f>'(Raw) LensesGH'!D1281</f>
        <v>46mm</v>
      </c>
      <c r="I1281" s="2">
        <f t="shared" si="176"/>
        <v>46</v>
      </c>
      <c r="J1281" s="2" t="str">
        <f>'(Raw) LensesGH'!E1281</f>
        <v>1:8.10</v>
      </c>
      <c r="K1281" s="40">
        <f t="shared" si="177"/>
        <v>8.1</v>
      </c>
      <c r="L1281" t="str">
        <f>'(Raw) LensesGH'!F1281</f>
        <v>Sony E</v>
      </c>
      <c r="M1281" t="str">
        <f>'(Raw) LensesGH'!G1281</f>
        <v>APS-C</v>
      </c>
      <c r="N1281">
        <f>'(Raw) LensesGH'!H1281</f>
        <v>0</v>
      </c>
      <c r="O1281" s="5">
        <f t="shared" si="178"/>
        <v>0</v>
      </c>
      <c r="P1281" t="str">
        <f>'(Raw) LensesGH'!I1281</f>
        <v>60.8 x 40.5mm</v>
      </c>
      <c r="Q1281" s="39">
        <f t="shared" si="179"/>
        <v>60.8</v>
      </c>
      <c r="R1281" s="39">
        <f t="shared" si="171"/>
        <v>40.5</v>
      </c>
    </row>
    <row r="1282" spans="1:18" x14ac:dyDescent="0.25">
      <c r="A1282" t="str">
        <f>'(Raw) LensesGH'!A1282</f>
        <v>Sigma Art AF 30mm 2.8 DN für Sony E silber</v>
      </c>
      <c r="B1282" t="str">
        <f>'(Raw) LensesGH'!B1282</f>
        <v>30mm</v>
      </c>
      <c r="C1282" s="5">
        <f t="shared" si="172"/>
        <v>30</v>
      </c>
      <c r="D1282" s="5">
        <f t="shared" si="173"/>
        <v>30</v>
      </c>
      <c r="E1282" t="str">
        <f>'(Raw) LensesGH'!C1282</f>
        <v>1:2.8</v>
      </c>
      <c r="F1282" s="9">
        <f t="shared" si="174"/>
        <v>2.8</v>
      </c>
      <c r="G1282" s="9">
        <f t="shared" si="175"/>
        <v>2.8</v>
      </c>
      <c r="H1282" t="str">
        <f>'(Raw) LensesGH'!D1282</f>
        <v>46mm</v>
      </c>
      <c r="I1282" s="2">
        <f t="shared" si="176"/>
        <v>46</v>
      </c>
      <c r="J1282" s="2" t="str">
        <f>'(Raw) LensesGH'!E1282</f>
        <v>1:8.10</v>
      </c>
      <c r="K1282" s="40">
        <f t="shared" si="177"/>
        <v>8.1</v>
      </c>
      <c r="L1282" t="str">
        <f>'(Raw) LensesGH'!F1282</f>
        <v>Sony E</v>
      </c>
      <c r="M1282" t="str">
        <f>'(Raw) LensesGH'!G1282</f>
        <v>APS-C</v>
      </c>
      <c r="N1282">
        <f>'(Raw) LensesGH'!H1282</f>
        <v>0</v>
      </c>
      <c r="O1282" s="5">
        <f t="shared" si="178"/>
        <v>0</v>
      </c>
      <c r="P1282" t="str">
        <f>'(Raw) LensesGH'!I1282</f>
        <v>60.8 x 40.5mm</v>
      </c>
      <c r="Q1282" s="39">
        <f t="shared" si="179"/>
        <v>60.8</v>
      </c>
      <c r="R1282" s="39">
        <f t="shared" ref="R1282:R1345" si="180">getSizeLength(P1282)</f>
        <v>40.5</v>
      </c>
    </row>
    <row r="1283" spans="1:18" x14ac:dyDescent="0.25">
      <c r="A1283" t="str">
        <f>'(Raw) LensesGH'!A1283</f>
        <v>Sigma Art AF 35mm 1.4 DG HSM für Canon EF schwarz</v>
      </c>
      <c r="B1283" t="str">
        <f>'(Raw) LensesGH'!B1283</f>
        <v>35mm</v>
      </c>
      <c r="C1283" s="5">
        <f t="shared" ref="C1283:C1346" si="181">getFocalLengthStart(B1283)</f>
        <v>35</v>
      </c>
      <c r="D1283" s="5">
        <f t="shared" ref="D1283:D1346" si="182">getFocalLengthEnd(B1283)</f>
        <v>35</v>
      </c>
      <c r="E1283" t="str">
        <f>'(Raw) LensesGH'!C1283</f>
        <v>1:1.4</v>
      </c>
      <c r="F1283" s="9">
        <f t="shared" ref="F1283:F1346" si="183">getApertureStart(E1283)</f>
        <v>1.4</v>
      </c>
      <c r="G1283" s="9">
        <f t="shared" ref="G1283:G1346" si="184">getApertureEnd(F1283)</f>
        <v>1.4</v>
      </c>
      <c r="H1283" t="str">
        <f>'(Raw) LensesGH'!D1283</f>
        <v>67mm</v>
      </c>
      <c r="I1283" s="2">
        <f t="shared" ref="I1283:I1346" si="185">getFiltersizeAsDouble(H1283)</f>
        <v>67</v>
      </c>
      <c r="J1283" s="2" t="str">
        <f>'(Raw) LensesGH'!E1283</f>
        <v>1:5.20</v>
      </c>
      <c r="K1283" s="40">
        <f t="shared" ref="K1283:K1346" si="186">getMagnification(J1283)</f>
        <v>5.2</v>
      </c>
      <c r="L1283" t="str">
        <f>'(Raw) LensesGH'!F1283</f>
        <v>Canon EF</v>
      </c>
      <c r="M1283" t="str">
        <f>'(Raw) LensesGH'!G1283</f>
        <v>APS-C/ Kleinbild</v>
      </c>
      <c r="N1283" t="str">
        <f>'(Raw) LensesGH'!H1283</f>
        <v>665g</v>
      </c>
      <c r="O1283" s="5">
        <f t="shared" ref="O1283:O1346" si="187">getWeightAsDouble(N1283)</f>
        <v>665</v>
      </c>
      <c r="P1283" t="str">
        <f>'(Raw) LensesGH'!I1283</f>
        <v>77 x 94mm</v>
      </c>
      <c r="Q1283" s="39">
        <f t="shared" ref="Q1283:Q1346" si="188">getSizeDiameter(P1283)</f>
        <v>77</v>
      </c>
      <c r="R1283" s="39">
        <f t="shared" si="180"/>
        <v>94</v>
      </c>
    </row>
    <row r="1284" spans="1:18" x14ac:dyDescent="0.25">
      <c r="A1284" t="str">
        <f>'(Raw) LensesGH'!A1284</f>
        <v>Sigma Art AF 35mm 1.4 DG HSM für Nikon F schwarz</v>
      </c>
      <c r="B1284" t="str">
        <f>'(Raw) LensesGH'!B1284</f>
        <v>35mm</v>
      </c>
      <c r="C1284" s="5">
        <f t="shared" si="181"/>
        <v>35</v>
      </c>
      <c r="D1284" s="5">
        <f t="shared" si="182"/>
        <v>35</v>
      </c>
      <c r="E1284" t="str">
        <f>'(Raw) LensesGH'!C1284</f>
        <v>1:1.4</v>
      </c>
      <c r="F1284" s="9">
        <f t="shared" si="183"/>
        <v>1.4</v>
      </c>
      <c r="G1284" s="9">
        <f t="shared" si="184"/>
        <v>1.4</v>
      </c>
      <c r="H1284" t="str">
        <f>'(Raw) LensesGH'!D1284</f>
        <v>67mm</v>
      </c>
      <c r="I1284" s="2">
        <f t="shared" si="185"/>
        <v>67</v>
      </c>
      <c r="J1284" s="2" t="str">
        <f>'(Raw) LensesGH'!E1284</f>
        <v>1:5.20</v>
      </c>
      <c r="K1284" s="40">
        <f t="shared" si="186"/>
        <v>5.2</v>
      </c>
      <c r="L1284" t="str">
        <f>'(Raw) LensesGH'!F1284</f>
        <v>Nikon F</v>
      </c>
      <c r="M1284" t="str">
        <f>'(Raw) LensesGH'!G1284</f>
        <v>APS-C/ Kleinbild</v>
      </c>
      <c r="N1284" t="str">
        <f>'(Raw) LensesGH'!H1284</f>
        <v>665g</v>
      </c>
      <c r="O1284" s="5">
        <f t="shared" si="187"/>
        <v>665</v>
      </c>
      <c r="P1284" t="str">
        <f>'(Raw) LensesGH'!I1284</f>
        <v>77 x 94mm</v>
      </c>
      <c r="Q1284" s="39">
        <f t="shared" si="188"/>
        <v>77</v>
      </c>
      <c r="R1284" s="39">
        <f t="shared" si="180"/>
        <v>94</v>
      </c>
    </row>
    <row r="1285" spans="1:18" x14ac:dyDescent="0.25">
      <c r="A1285" t="str">
        <f>'(Raw) LensesGH'!A1285</f>
        <v>Sigma Art AF 35mm 1.4 DG HSM für Pentax K schwarz</v>
      </c>
      <c r="B1285" t="str">
        <f>'(Raw) LensesGH'!B1285</f>
        <v>35mm</v>
      </c>
      <c r="C1285" s="5">
        <f t="shared" si="181"/>
        <v>35</v>
      </c>
      <c r="D1285" s="5">
        <f t="shared" si="182"/>
        <v>35</v>
      </c>
      <c r="E1285" t="str">
        <f>'(Raw) LensesGH'!C1285</f>
        <v>1:1.4</v>
      </c>
      <c r="F1285" s="9">
        <f t="shared" si="183"/>
        <v>1.4</v>
      </c>
      <c r="G1285" s="9">
        <f t="shared" si="184"/>
        <v>1.4</v>
      </c>
      <c r="H1285" t="str">
        <f>'(Raw) LensesGH'!D1285</f>
        <v>67mm</v>
      </c>
      <c r="I1285" s="2">
        <f t="shared" si="185"/>
        <v>67</v>
      </c>
      <c r="J1285" s="2" t="str">
        <f>'(Raw) LensesGH'!E1285</f>
        <v>1:5.20</v>
      </c>
      <c r="K1285" s="40">
        <f t="shared" si="186"/>
        <v>5.2</v>
      </c>
      <c r="L1285" t="str">
        <f>'(Raw) LensesGH'!F1285</f>
        <v>Pentax K</v>
      </c>
      <c r="M1285" t="str">
        <f>'(Raw) LensesGH'!G1285</f>
        <v>APS-C/ Kleinbild</v>
      </c>
      <c r="N1285" t="str">
        <f>'(Raw) LensesGH'!H1285</f>
        <v>665g</v>
      </c>
      <c r="O1285" s="5">
        <f t="shared" si="187"/>
        <v>665</v>
      </c>
      <c r="P1285" t="str">
        <f>'(Raw) LensesGH'!I1285</f>
        <v>77 x 94mm</v>
      </c>
      <c r="Q1285" s="39">
        <f t="shared" si="188"/>
        <v>77</v>
      </c>
      <c r="R1285" s="39">
        <f t="shared" si="180"/>
        <v>94</v>
      </c>
    </row>
    <row r="1286" spans="1:18" x14ac:dyDescent="0.25">
      <c r="A1286" t="str">
        <f>'(Raw) LensesGH'!A1286</f>
        <v>Sigma Art AF 35mm 1.4 DG HSM für Sigma schwarz</v>
      </c>
      <c r="B1286" t="str">
        <f>'(Raw) LensesGH'!B1286</f>
        <v>35mm</v>
      </c>
      <c r="C1286" s="5">
        <f t="shared" si="181"/>
        <v>35</v>
      </c>
      <c r="D1286" s="5">
        <f t="shared" si="182"/>
        <v>35</v>
      </c>
      <c r="E1286" t="str">
        <f>'(Raw) LensesGH'!C1286</f>
        <v>1:1.4</v>
      </c>
      <c r="F1286" s="9">
        <f t="shared" si="183"/>
        <v>1.4</v>
      </c>
      <c r="G1286" s="9">
        <f t="shared" si="184"/>
        <v>1.4</v>
      </c>
      <c r="H1286" t="str">
        <f>'(Raw) LensesGH'!D1286</f>
        <v>67mm</v>
      </c>
      <c r="I1286" s="2">
        <f t="shared" si="185"/>
        <v>67</v>
      </c>
      <c r="J1286" s="2" t="str">
        <f>'(Raw) LensesGH'!E1286</f>
        <v>1:5.20</v>
      </c>
      <c r="K1286" s="40">
        <f t="shared" si="186"/>
        <v>5.2</v>
      </c>
      <c r="L1286" t="str">
        <f>'(Raw) LensesGH'!F1286</f>
        <v>Sigma SA</v>
      </c>
      <c r="M1286" t="str">
        <f>'(Raw) LensesGH'!G1286</f>
        <v>APS-C/ Kleinbild</v>
      </c>
      <c r="N1286" t="str">
        <f>'(Raw) LensesGH'!H1286</f>
        <v>665g</v>
      </c>
      <c r="O1286" s="5">
        <f t="shared" si="187"/>
        <v>665</v>
      </c>
      <c r="P1286" t="str">
        <f>'(Raw) LensesGH'!I1286</f>
        <v>77 x 94mm</v>
      </c>
      <c r="Q1286" s="39">
        <f t="shared" si="188"/>
        <v>77</v>
      </c>
      <c r="R1286" s="39">
        <f t="shared" si="180"/>
        <v>94</v>
      </c>
    </row>
    <row r="1287" spans="1:18" x14ac:dyDescent="0.25">
      <c r="A1287" t="str">
        <f>'(Raw) LensesGH'!A1287</f>
        <v>Sigma Art AF 35mm 1.4 DG HSM für Sony A schwarz</v>
      </c>
      <c r="B1287" t="str">
        <f>'(Raw) LensesGH'!B1287</f>
        <v>35mm</v>
      </c>
      <c r="C1287" s="5">
        <f t="shared" si="181"/>
        <v>35</v>
      </c>
      <c r="D1287" s="5">
        <f t="shared" si="182"/>
        <v>35</v>
      </c>
      <c r="E1287" t="str">
        <f>'(Raw) LensesGH'!C1287</f>
        <v>1:1.4</v>
      </c>
      <c r="F1287" s="9">
        <f t="shared" si="183"/>
        <v>1.4</v>
      </c>
      <c r="G1287" s="9">
        <f t="shared" si="184"/>
        <v>1.4</v>
      </c>
      <c r="H1287" t="str">
        <f>'(Raw) LensesGH'!D1287</f>
        <v>67mm</v>
      </c>
      <c r="I1287" s="2">
        <f t="shared" si="185"/>
        <v>67</v>
      </c>
      <c r="J1287" s="2" t="str">
        <f>'(Raw) LensesGH'!E1287</f>
        <v>1:5.20</v>
      </c>
      <c r="K1287" s="40">
        <f t="shared" si="186"/>
        <v>5.2</v>
      </c>
      <c r="L1287" t="str">
        <f>'(Raw) LensesGH'!F1287</f>
        <v>Sony A</v>
      </c>
      <c r="M1287" t="str">
        <f>'(Raw) LensesGH'!G1287</f>
        <v>APS-C/ Kleinbild</v>
      </c>
      <c r="N1287" t="str">
        <f>'(Raw) LensesGH'!H1287</f>
        <v>665g</v>
      </c>
      <c r="O1287" s="5">
        <f t="shared" si="187"/>
        <v>665</v>
      </c>
      <c r="P1287" t="str">
        <f>'(Raw) LensesGH'!I1287</f>
        <v>77 x 94mm</v>
      </c>
      <c r="Q1287" s="39">
        <f t="shared" si="188"/>
        <v>77</v>
      </c>
      <c r="R1287" s="39">
        <f t="shared" si="180"/>
        <v>94</v>
      </c>
    </row>
    <row r="1288" spans="1:18" x14ac:dyDescent="0.25">
      <c r="A1288" t="str">
        <f>'(Raw) LensesGH'!A1288</f>
        <v>Sigma Art AF 50-100mm 1.8 DC HSM für Canon EF schwarz</v>
      </c>
      <c r="B1288" t="str">
        <f>'(Raw) LensesGH'!B1288</f>
        <v>50 - 100mm</v>
      </c>
      <c r="C1288" s="5">
        <f t="shared" si="181"/>
        <v>50</v>
      </c>
      <c r="D1288" s="5">
        <f t="shared" si="182"/>
        <v>100</v>
      </c>
      <c r="E1288" t="str">
        <f>'(Raw) LensesGH'!C1288</f>
        <v>1:1.8</v>
      </c>
      <c r="F1288" s="9">
        <f t="shared" si="183"/>
        <v>1.8</v>
      </c>
      <c r="G1288" s="9">
        <f t="shared" si="184"/>
        <v>1.8</v>
      </c>
      <c r="H1288" t="str">
        <f>'(Raw) LensesGH'!D1288</f>
        <v>82mm</v>
      </c>
      <c r="I1288" s="2">
        <f t="shared" si="185"/>
        <v>82</v>
      </c>
      <c r="J1288" s="2" t="str">
        <f>'(Raw) LensesGH'!E1288</f>
        <v>1:6.70</v>
      </c>
      <c r="K1288" s="40">
        <f t="shared" si="186"/>
        <v>6.7</v>
      </c>
      <c r="L1288" t="str">
        <f>'(Raw) LensesGH'!F1288</f>
        <v>Canon EF-S</v>
      </c>
      <c r="M1288" t="str">
        <f>'(Raw) LensesGH'!G1288</f>
        <v>APS-C</v>
      </c>
      <c r="N1288" t="str">
        <f>'(Raw) LensesGH'!H1288</f>
        <v>1490g</v>
      </c>
      <c r="O1288" s="5">
        <f t="shared" si="187"/>
        <v>1490</v>
      </c>
      <c r="P1288" t="str">
        <f>'(Raw) LensesGH'!I1288</f>
        <v>93.5 x 170.7mm</v>
      </c>
      <c r="Q1288" s="39">
        <f t="shared" si="188"/>
        <v>93.5</v>
      </c>
      <c r="R1288" s="39">
        <f t="shared" si="180"/>
        <v>170.7</v>
      </c>
    </row>
    <row r="1289" spans="1:18" x14ac:dyDescent="0.25">
      <c r="A1289" t="str">
        <f>'(Raw) LensesGH'!A1289</f>
        <v>Sigma Art AF 50-100mm 1.8 DC HSM für Nikon F schwarz</v>
      </c>
      <c r="B1289" t="str">
        <f>'(Raw) LensesGH'!B1289</f>
        <v>50 - 100mm</v>
      </c>
      <c r="C1289" s="5">
        <f t="shared" si="181"/>
        <v>50</v>
      </c>
      <c r="D1289" s="5">
        <f t="shared" si="182"/>
        <v>100</v>
      </c>
      <c r="E1289" t="str">
        <f>'(Raw) LensesGH'!C1289</f>
        <v>1:1.8</v>
      </c>
      <c r="F1289" s="9">
        <f t="shared" si="183"/>
        <v>1.8</v>
      </c>
      <c r="G1289" s="9">
        <f t="shared" si="184"/>
        <v>1.8</v>
      </c>
      <c r="H1289" t="str">
        <f>'(Raw) LensesGH'!D1289</f>
        <v>82mm</v>
      </c>
      <c r="I1289" s="2">
        <f t="shared" si="185"/>
        <v>82</v>
      </c>
      <c r="J1289" s="2" t="str">
        <f>'(Raw) LensesGH'!E1289</f>
        <v>1:6.70</v>
      </c>
      <c r="K1289" s="40">
        <f t="shared" si="186"/>
        <v>6.7</v>
      </c>
      <c r="L1289" t="str">
        <f>'(Raw) LensesGH'!F1289</f>
        <v>Nikon F</v>
      </c>
      <c r="M1289" t="str">
        <f>'(Raw) LensesGH'!G1289</f>
        <v>APS-C</v>
      </c>
      <c r="N1289" t="str">
        <f>'(Raw) LensesGH'!H1289</f>
        <v>1490g</v>
      </c>
      <c r="O1289" s="5">
        <f t="shared" si="187"/>
        <v>1490</v>
      </c>
      <c r="P1289" t="str">
        <f>'(Raw) LensesGH'!I1289</f>
        <v>93.5 x 170.7mm</v>
      </c>
      <c r="Q1289" s="39">
        <f t="shared" si="188"/>
        <v>93.5</v>
      </c>
      <c r="R1289" s="39">
        <f t="shared" si="180"/>
        <v>170.7</v>
      </c>
    </row>
    <row r="1290" spans="1:18" x14ac:dyDescent="0.25">
      <c r="A1290" t="str">
        <f>'(Raw) LensesGH'!A1290</f>
        <v>Sigma Art AF 50-100mm 1.8 DC HSM für Sigma schwarz</v>
      </c>
      <c r="B1290" t="str">
        <f>'(Raw) LensesGH'!B1290</f>
        <v>50 - 100mm</v>
      </c>
      <c r="C1290" s="5">
        <f t="shared" si="181"/>
        <v>50</v>
      </c>
      <c r="D1290" s="5">
        <f t="shared" si="182"/>
        <v>100</v>
      </c>
      <c r="E1290" t="str">
        <f>'(Raw) LensesGH'!C1290</f>
        <v>1:1.8</v>
      </c>
      <c r="F1290" s="9">
        <f t="shared" si="183"/>
        <v>1.8</v>
      </c>
      <c r="G1290" s="9">
        <f t="shared" si="184"/>
        <v>1.8</v>
      </c>
      <c r="H1290" t="str">
        <f>'(Raw) LensesGH'!D1290</f>
        <v>82mm</v>
      </c>
      <c r="I1290" s="2">
        <f t="shared" si="185"/>
        <v>82</v>
      </c>
      <c r="J1290" s="2" t="str">
        <f>'(Raw) LensesGH'!E1290</f>
        <v>1:6.70</v>
      </c>
      <c r="K1290" s="40">
        <f t="shared" si="186"/>
        <v>6.7</v>
      </c>
      <c r="L1290" t="str">
        <f>'(Raw) LensesGH'!F1290</f>
        <v>Sigma SA</v>
      </c>
      <c r="M1290" t="str">
        <f>'(Raw) LensesGH'!G1290</f>
        <v>APS-C</v>
      </c>
      <c r="N1290" t="str">
        <f>'(Raw) LensesGH'!H1290</f>
        <v>1490g</v>
      </c>
      <c r="O1290" s="5">
        <f t="shared" si="187"/>
        <v>1490</v>
      </c>
      <c r="P1290" t="str">
        <f>'(Raw) LensesGH'!I1290</f>
        <v>93.5 x 170.7mm</v>
      </c>
      <c r="Q1290" s="39">
        <f t="shared" si="188"/>
        <v>93.5</v>
      </c>
      <c r="R1290" s="39">
        <f t="shared" si="180"/>
        <v>170.7</v>
      </c>
    </row>
    <row r="1291" spans="1:18" x14ac:dyDescent="0.25">
      <c r="A1291" t="str">
        <f>'(Raw) LensesGH'!A1291</f>
        <v>Sigma Art AF 50mm 1.4 DG HSM für Canon EF schwarz</v>
      </c>
      <c r="B1291" t="str">
        <f>'(Raw) LensesGH'!B1291</f>
        <v>50mm</v>
      </c>
      <c r="C1291" s="5">
        <f t="shared" si="181"/>
        <v>50</v>
      </c>
      <c r="D1291" s="5">
        <f t="shared" si="182"/>
        <v>50</v>
      </c>
      <c r="E1291" t="str">
        <f>'(Raw) LensesGH'!C1291</f>
        <v>1:1.4</v>
      </c>
      <c r="F1291" s="9">
        <f t="shared" si="183"/>
        <v>1.4</v>
      </c>
      <c r="G1291" s="9">
        <f t="shared" si="184"/>
        <v>1.4</v>
      </c>
      <c r="H1291" t="str">
        <f>'(Raw) LensesGH'!D1291</f>
        <v>77mm</v>
      </c>
      <c r="I1291" s="2">
        <f t="shared" si="185"/>
        <v>77</v>
      </c>
      <c r="J1291" s="2" t="str">
        <f>'(Raw) LensesGH'!E1291</f>
        <v>1:5.60</v>
      </c>
      <c r="K1291" s="40">
        <f t="shared" si="186"/>
        <v>5.6</v>
      </c>
      <c r="L1291" t="str">
        <f>'(Raw) LensesGH'!F1291</f>
        <v>Canon EF</v>
      </c>
      <c r="M1291" t="str">
        <f>'(Raw) LensesGH'!G1291</f>
        <v>APS-C/ Kleinbild</v>
      </c>
      <c r="N1291" t="str">
        <f>'(Raw) LensesGH'!H1291</f>
        <v>815g</v>
      </c>
      <c r="O1291" s="5">
        <f t="shared" si="187"/>
        <v>815</v>
      </c>
      <c r="P1291" t="str">
        <f>'(Raw) LensesGH'!I1291</f>
        <v>85 x 100mm</v>
      </c>
      <c r="Q1291" s="39">
        <f t="shared" si="188"/>
        <v>85</v>
      </c>
      <c r="R1291" s="39">
        <f t="shared" si="180"/>
        <v>100</v>
      </c>
    </row>
    <row r="1292" spans="1:18" x14ac:dyDescent="0.25">
      <c r="A1292" t="str">
        <f>'(Raw) LensesGH'!A1292</f>
        <v>Sigma Art AF 50mm 1.4 DG HSM für Nikon F schwarz</v>
      </c>
      <c r="B1292" t="str">
        <f>'(Raw) LensesGH'!B1292</f>
        <v>50mm</v>
      </c>
      <c r="C1292" s="5">
        <f t="shared" si="181"/>
        <v>50</v>
      </c>
      <c r="D1292" s="5">
        <f t="shared" si="182"/>
        <v>50</v>
      </c>
      <c r="E1292" t="str">
        <f>'(Raw) LensesGH'!C1292</f>
        <v>1:1.4</v>
      </c>
      <c r="F1292" s="9">
        <f t="shared" si="183"/>
        <v>1.4</v>
      </c>
      <c r="G1292" s="9">
        <f t="shared" si="184"/>
        <v>1.4</v>
      </c>
      <c r="H1292" t="str">
        <f>'(Raw) LensesGH'!D1292</f>
        <v>77mm</v>
      </c>
      <c r="I1292" s="2">
        <f t="shared" si="185"/>
        <v>77</v>
      </c>
      <c r="J1292" s="2" t="str">
        <f>'(Raw) LensesGH'!E1292</f>
        <v>1:5.60</v>
      </c>
      <c r="K1292" s="40">
        <f t="shared" si="186"/>
        <v>5.6</v>
      </c>
      <c r="L1292" t="str">
        <f>'(Raw) LensesGH'!F1292</f>
        <v>Nikon F</v>
      </c>
      <c r="M1292" t="str">
        <f>'(Raw) LensesGH'!G1292</f>
        <v>APS-C/ Kleinbild</v>
      </c>
      <c r="N1292" t="str">
        <f>'(Raw) LensesGH'!H1292</f>
        <v>815g</v>
      </c>
      <c r="O1292" s="5">
        <f t="shared" si="187"/>
        <v>815</v>
      </c>
      <c r="P1292" t="str">
        <f>'(Raw) LensesGH'!I1292</f>
        <v>85 x 100mm</v>
      </c>
      <c r="Q1292" s="39">
        <f t="shared" si="188"/>
        <v>85</v>
      </c>
      <c r="R1292" s="39">
        <f t="shared" si="180"/>
        <v>100</v>
      </c>
    </row>
    <row r="1293" spans="1:18" x14ac:dyDescent="0.25">
      <c r="A1293" t="str">
        <f>'(Raw) LensesGH'!A1293</f>
        <v>Sigma Art AF 50mm 1.4 DG HSM für Sigma schwarz</v>
      </c>
      <c r="B1293" t="str">
        <f>'(Raw) LensesGH'!B1293</f>
        <v>50mm</v>
      </c>
      <c r="C1293" s="5">
        <f t="shared" si="181"/>
        <v>50</v>
      </c>
      <c r="D1293" s="5">
        <f t="shared" si="182"/>
        <v>50</v>
      </c>
      <c r="E1293" t="str">
        <f>'(Raw) LensesGH'!C1293</f>
        <v>1:1.4</v>
      </c>
      <c r="F1293" s="9">
        <f t="shared" si="183"/>
        <v>1.4</v>
      </c>
      <c r="G1293" s="9">
        <f t="shared" si="184"/>
        <v>1.4</v>
      </c>
      <c r="H1293" t="str">
        <f>'(Raw) LensesGH'!D1293</f>
        <v>77mm</v>
      </c>
      <c r="I1293" s="2">
        <f t="shared" si="185"/>
        <v>77</v>
      </c>
      <c r="J1293" s="2" t="str">
        <f>'(Raw) LensesGH'!E1293</f>
        <v>1:5.60</v>
      </c>
      <c r="K1293" s="40">
        <f t="shared" si="186"/>
        <v>5.6</v>
      </c>
      <c r="L1293" t="str">
        <f>'(Raw) LensesGH'!F1293</f>
        <v>Sigma SA</v>
      </c>
      <c r="M1293" t="str">
        <f>'(Raw) LensesGH'!G1293</f>
        <v>APS-C/ Kleinbild</v>
      </c>
      <c r="N1293" t="str">
        <f>'(Raw) LensesGH'!H1293</f>
        <v>815g</v>
      </c>
      <c r="O1293" s="5">
        <f t="shared" si="187"/>
        <v>815</v>
      </c>
      <c r="P1293" t="str">
        <f>'(Raw) LensesGH'!I1293</f>
        <v>85 x 100mm</v>
      </c>
      <c r="Q1293" s="39">
        <f t="shared" si="188"/>
        <v>85</v>
      </c>
      <c r="R1293" s="39">
        <f t="shared" si="180"/>
        <v>100</v>
      </c>
    </row>
    <row r="1294" spans="1:18" x14ac:dyDescent="0.25">
      <c r="A1294" t="str">
        <f>'(Raw) LensesGH'!A1294</f>
        <v>Sigma Art AF 50mm 1.4 DG HSM für Sony A schwarz</v>
      </c>
      <c r="B1294" t="str">
        <f>'(Raw) LensesGH'!B1294</f>
        <v>50mm</v>
      </c>
      <c r="C1294" s="5">
        <f t="shared" si="181"/>
        <v>50</v>
      </c>
      <c r="D1294" s="5">
        <f t="shared" si="182"/>
        <v>50</v>
      </c>
      <c r="E1294" t="str">
        <f>'(Raw) LensesGH'!C1294</f>
        <v>1:1.4</v>
      </c>
      <c r="F1294" s="9">
        <f t="shared" si="183"/>
        <v>1.4</v>
      </c>
      <c r="G1294" s="9">
        <f t="shared" si="184"/>
        <v>1.4</v>
      </c>
      <c r="H1294" t="str">
        <f>'(Raw) LensesGH'!D1294</f>
        <v>77mm</v>
      </c>
      <c r="I1294" s="2">
        <f t="shared" si="185"/>
        <v>77</v>
      </c>
      <c r="J1294" s="2" t="str">
        <f>'(Raw) LensesGH'!E1294</f>
        <v>1:5.60</v>
      </c>
      <c r="K1294" s="40">
        <f t="shared" si="186"/>
        <v>5.6</v>
      </c>
      <c r="L1294" t="str">
        <f>'(Raw) LensesGH'!F1294</f>
        <v>Sony A</v>
      </c>
      <c r="M1294" t="str">
        <f>'(Raw) LensesGH'!G1294</f>
        <v>APS-C/ Kleinbild</v>
      </c>
      <c r="N1294" t="str">
        <f>'(Raw) LensesGH'!H1294</f>
        <v>815g</v>
      </c>
      <c r="O1294" s="5">
        <f t="shared" si="187"/>
        <v>815</v>
      </c>
      <c r="P1294" t="str">
        <f>'(Raw) LensesGH'!I1294</f>
        <v>85 x 100mm</v>
      </c>
      <c r="Q1294" s="39">
        <f t="shared" si="188"/>
        <v>85</v>
      </c>
      <c r="R1294" s="39">
        <f t="shared" si="180"/>
        <v>100</v>
      </c>
    </row>
    <row r="1295" spans="1:18" x14ac:dyDescent="0.25">
      <c r="A1295" t="str">
        <f>'(Raw) LensesGH'!A1295</f>
        <v>Sigma Art AF 60mm 2.8 DN für Micro-Four-Thirds schwarz</v>
      </c>
      <c r="B1295" t="str">
        <f>'(Raw) LensesGH'!B1295</f>
        <v>60mm</v>
      </c>
      <c r="C1295" s="5">
        <f t="shared" si="181"/>
        <v>60</v>
      </c>
      <c r="D1295" s="5">
        <f t="shared" si="182"/>
        <v>60</v>
      </c>
      <c r="E1295" t="str">
        <f>'(Raw) LensesGH'!C1295</f>
        <v>1:2.8</v>
      </c>
      <c r="F1295" s="9">
        <f t="shared" si="183"/>
        <v>2.8</v>
      </c>
      <c r="G1295" s="9">
        <f t="shared" si="184"/>
        <v>2.8</v>
      </c>
      <c r="H1295" t="str">
        <f>'(Raw) LensesGH'!D1295</f>
        <v>46mm</v>
      </c>
      <c r="I1295" s="2">
        <f t="shared" si="185"/>
        <v>46</v>
      </c>
      <c r="J1295" s="2" t="str">
        <f>'(Raw) LensesGH'!E1295</f>
        <v>1:7.2</v>
      </c>
      <c r="K1295" s="40">
        <f t="shared" si="186"/>
        <v>7.2</v>
      </c>
      <c r="L1295" t="str">
        <f>'(Raw) LensesGH'!F1295</f>
        <v>Micro-Four-Thirds</v>
      </c>
      <c r="M1295" t="str">
        <f>'(Raw) LensesGH'!G1295</f>
        <v>Four-Thirds</v>
      </c>
      <c r="N1295">
        <f>'(Raw) LensesGH'!H1295</f>
        <v>0</v>
      </c>
      <c r="O1295" s="5">
        <f t="shared" si="187"/>
        <v>0</v>
      </c>
      <c r="P1295" t="str">
        <f>'(Raw) LensesGH'!I1295</f>
        <v>60.8 x 55.6mm</v>
      </c>
      <c r="Q1295" s="39">
        <f t="shared" si="188"/>
        <v>60.8</v>
      </c>
      <c r="R1295" s="39">
        <f t="shared" si="180"/>
        <v>55.6</v>
      </c>
    </row>
    <row r="1296" spans="1:18" x14ac:dyDescent="0.25">
      <c r="A1296" t="str">
        <f>'(Raw) LensesGH'!A1296</f>
        <v>Sigma Art AF 60mm 2.8 DN für Micro-Four-Thirds silber</v>
      </c>
      <c r="B1296" t="str">
        <f>'(Raw) LensesGH'!B1296</f>
        <v>60mm</v>
      </c>
      <c r="C1296" s="5">
        <f t="shared" si="181"/>
        <v>60</v>
      </c>
      <c r="D1296" s="5">
        <f t="shared" si="182"/>
        <v>60</v>
      </c>
      <c r="E1296" t="str">
        <f>'(Raw) LensesGH'!C1296</f>
        <v>1:2.8</v>
      </c>
      <c r="F1296" s="9">
        <f t="shared" si="183"/>
        <v>2.8</v>
      </c>
      <c r="G1296" s="9">
        <f t="shared" si="184"/>
        <v>2.8</v>
      </c>
      <c r="H1296" t="str">
        <f>'(Raw) LensesGH'!D1296</f>
        <v>46mm</v>
      </c>
      <c r="I1296" s="2">
        <f t="shared" si="185"/>
        <v>46</v>
      </c>
      <c r="J1296" s="2" t="str">
        <f>'(Raw) LensesGH'!E1296</f>
        <v>1:7.2</v>
      </c>
      <c r="K1296" s="40">
        <f t="shared" si="186"/>
        <v>7.2</v>
      </c>
      <c r="L1296" t="str">
        <f>'(Raw) LensesGH'!F1296</f>
        <v>Micro-Four-Thirds</v>
      </c>
      <c r="M1296" t="str">
        <f>'(Raw) LensesGH'!G1296</f>
        <v>Four-Thirds</v>
      </c>
      <c r="N1296">
        <f>'(Raw) LensesGH'!H1296</f>
        <v>0</v>
      </c>
      <c r="O1296" s="5">
        <f t="shared" si="187"/>
        <v>0</v>
      </c>
      <c r="P1296" t="str">
        <f>'(Raw) LensesGH'!I1296</f>
        <v>60.8 x 55.6mm</v>
      </c>
      <c r="Q1296" s="39">
        <f t="shared" si="188"/>
        <v>60.8</v>
      </c>
      <c r="R1296" s="39">
        <f t="shared" si="180"/>
        <v>55.6</v>
      </c>
    </row>
    <row r="1297" spans="1:18" x14ac:dyDescent="0.25">
      <c r="A1297" t="str">
        <f>'(Raw) LensesGH'!A1297</f>
        <v>Sigma Art AF 60mm 2.8 DN für Sony E schwarz</v>
      </c>
      <c r="B1297" t="str">
        <f>'(Raw) LensesGH'!B1297</f>
        <v>60mm</v>
      </c>
      <c r="C1297" s="5">
        <f t="shared" si="181"/>
        <v>60</v>
      </c>
      <c r="D1297" s="5">
        <f t="shared" si="182"/>
        <v>60</v>
      </c>
      <c r="E1297" t="str">
        <f>'(Raw) LensesGH'!C1297</f>
        <v>1:2.8</v>
      </c>
      <c r="F1297" s="9">
        <f t="shared" si="183"/>
        <v>2.8</v>
      </c>
      <c r="G1297" s="9">
        <f t="shared" si="184"/>
        <v>2.8</v>
      </c>
      <c r="H1297" t="str">
        <f>'(Raw) LensesGH'!D1297</f>
        <v>46mm</v>
      </c>
      <c r="I1297" s="2">
        <f t="shared" si="185"/>
        <v>46</v>
      </c>
      <c r="J1297" s="2" t="str">
        <f>'(Raw) LensesGH'!E1297</f>
        <v>1:7.2</v>
      </c>
      <c r="K1297" s="40">
        <f t="shared" si="186"/>
        <v>7.2</v>
      </c>
      <c r="L1297" t="str">
        <f>'(Raw) LensesGH'!F1297</f>
        <v>Sony E</v>
      </c>
      <c r="M1297" t="str">
        <f>'(Raw) LensesGH'!G1297</f>
        <v>APS-C</v>
      </c>
      <c r="N1297">
        <f>'(Raw) LensesGH'!H1297</f>
        <v>0</v>
      </c>
      <c r="O1297" s="5">
        <f t="shared" si="187"/>
        <v>0</v>
      </c>
      <c r="P1297" t="str">
        <f>'(Raw) LensesGH'!I1297</f>
        <v>60.8 x 55.6mm</v>
      </c>
      <c r="Q1297" s="39">
        <f t="shared" si="188"/>
        <v>60.8</v>
      </c>
      <c r="R1297" s="39">
        <f t="shared" si="180"/>
        <v>55.6</v>
      </c>
    </row>
    <row r="1298" spans="1:18" x14ac:dyDescent="0.25">
      <c r="A1298" t="str">
        <f>'(Raw) LensesGH'!A1298</f>
        <v>Sigma Art AF 60mm 2.8 DN für Sony E silber</v>
      </c>
      <c r="B1298" t="str">
        <f>'(Raw) LensesGH'!B1298</f>
        <v>60mm</v>
      </c>
      <c r="C1298" s="5">
        <f t="shared" si="181"/>
        <v>60</v>
      </c>
      <c r="D1298" s="5">
        <f t="shared" si="182"/>
        <v>60</v>
      </c>
      <c r="E1298" t="str">
        <f>'(Raw) LensesGH'!C1298</f>
        <v>1:2.8</v>
      </c>
      <c r="F1298" s="9">
        <f t="shared" si="183"/>
        <v>2.8</v>
      </c>
      <c r="G1298" s="9">
        <f t="shared" si="184"/>
        <v>2.8</v>
      </c>
      <c r="H1298" t="str">
        <f>'(Raw) LensesGH'!D1298</f>
        <v>46mm</v>
      </c>
      <c r="I1298" s="2">
        <f t="shared" si="185"/>
        <v>46</v>
      </c>
      <c r="J1298" s="2" t="str">
        <f>'(Raw) LensesGH'!E1298</f>
        <v>1:7.2</v>
      </c>
      <c r="K1298" s="40">
        <f t="shared" si="186"/>
        <v>7.2</v>
      </c>
      <c r="L1298" t="str">
        <f>'(Raw) LensesGH'!F1298</f>
        <v>Sony E</v>
      </c>
      <c r="M1298" t="str">
        <f>'(Raw) LensesGH'!G1298</f>
        <v>APS-C</v>
      </c>
      <c r="N1298">
        <f>'(Raw) LensesGH'!H1298</f>
        <v>0</v>
      </c>
      <c r="O1298" s="5">
        <f t="shared" si="187"/>
        <v>0</v>
      </c>
      <c r="P1298" t="str">
        <f>'(Raw) LensesGH'!I1298</f>
        <v>60.8 x 55.6mm</v>
      </c>
      <c r="Q1298" s="39">
        <f t="shared" si="188"/>
        <v>60.8</v>
      </c>
      <c r="R1298" s="39">
        <f t="shared" si="180"/>
        <v>55.6</v>
      </c>
    </row>
    <row r="1299" spans="1:18" x14ac:dyDescent="0.25">
      <c r="A1299" t="str">
        <f>'(Raw) LensesGH'!A1299</f>
        <v>Sigma Art AF 85mm 1.4 DG HSM für Canon EF schwarz</v>
      </c>
      <c r="B1299" t="str">
        <f>'(Raw) LensesGH'!B1299</f>
        <v>85mm</v>
      </c>
      <c r="C1299" s="5">
        <f t="shared" si="181"/>
        <v>85</v>
      </c>
      <c r="D1299" s="5">
        <f t="shared" si="182"/>
        <v>85</v>
      </c>
      <c r="E1299" t="str">
        <f>'(Raw) LensesGH'!C1299</f>
        <v>1:1.4</v>
      </c>
      <c r="F1299" s="9">
        <f t="shared" si="183"/>
        <v>1.4</v>
      </c>
      <c r="G1299" s="9">
        <f t="shared" si="184"/>
        <v>1.4</v>
      </c>
      <c r="H1299" t="str">
        <f>'(Raw) LensesGH'!D1299</f>
        <v>86mm</v>
      </c>
      <c r="I1299" s="2">
        <f t="shared" si="185"/>
        <v>86</v>
      </c>
      <c r="J1299" s="2" t="str">
        <f>'(Raw) LensesGH'!E1299</f>
        <v>1:8.50</v>
      </c>
      <c r="K1299" s="40">
        <f t="shared" si="186"/>
        <v>8.5</v>
      </c>
      <c r="L1299" t="str">
        <f>'(Raw) LensesGH'!F1299</f>
        <v>Canon EF</v>
      </c>
      <c r="M1299" t="str">
        <f>'(Raw) LensesGH'!G1299</f>
        <v>APS-C/ Kleinbild</v>
      </c>
      <c r="N1299" t="str">
        <f>'(Raw) LensesGH'!H1299</f>
        <v>1130g</v>
      </c>
      <c r="O1299" s="5">
        <f t="shared" si="187"/>
        <v>1130</v>
      </c>
      <c r="P1299" t="str">
        <f>'(Raw) LensesGH'!I1299</f>
        <v>94.7 x 126.2mm</v>
      </c>
      <c r="Q1299" s="39">
        <f t="shared" si="188"/>
        <v>94.7</v>
      </c>
      <c r="R1299" s="39">
        <f t="shared" si="180"/>
        <v>126.2</v>
      </c>
    </row>
    <row r="1300" spans="1:18" x14ac:dyDescent="0.25">
      <c r="A1300" t="str">
        <f>'(Raw) LensesGH'!A1300</f>
        <v>Sigma Art AF 85mm 1.4 DG HSM für Nikon F schwarz</v>
      </c>
      <c r="B1300" t="str">
        <f>'(Raw) LensesGH'!B1300</f>
        <v>85mm</v>
      </c>
      <c r="C1300" s="5">
        <f t="shared" si="181"/>
        <v>85</v>
      </c>
      <c r="D1300" s="5">
        <f t="shared" si="182"/>
        <v>85</v>
      </c>
      <c r="E1300" t="str">
        <f>'(Raw) LensesGH'!C1300</f>
        <v>1:1.4</v>
      </c>
      <c r="F1300" s="9">
        <f t="shared" si="183"/>
        <v>1.4</v>
      </c>
      <c r="G1300" s="9">
        <f t="shared" si="184"/>
        <v>1.4</v>
      </c>
      <c r="H1300" t="str">
        <f>'(Raw) LensesGH'!D1300</f>
        <v>86mm</v>
      </c>
      <c r="I1300" s="2">
        <f t="shared" si="185"/>
        <v>86</v>
      </c>
      <c r="J1300" s="2" t="str">
        <f>'(Raw) LensesGH'!E1300</f>
        <v>1:8.50</v>
      </c>
      <c r="K1300" s="40">
        <f t="shared" si="186"/>
        <v>8.5</v>
      </c>
      <c r="L1300" t="str">
        <f>'(Raw) LensesGH'!F1300</f>
        <v>Nikon F</v>
      </c>
      <c r="M1300" t="str">
        <f>'(Raw) LensesGH'!G1300</f>
        <v>APS-C/ Kleinbild</v>
      </c>
      <c r="N1300" t="str">
        <f>'(Raw) LensesGH'!H1300</f>
        <v>1130g</v>
      </c>
      <c r="O1300" s="5">
        <f t="shared" si="187"/>
        <v>1130</v>
      </c>
      <c r="P1300" t="str">
        <f>'(Raw) LensesGH'!I1300</f>
        <v>94.7 x 126.2mm</v>
      </c>
      <c r="Q1300" s="39">
        <f t="shared" si="188"/>
        <v>94.7</v>
      </c>
      <c r="R1300" s="39">
        <f t="shared" si="180"/>
        <v>126.2</v>
      </c>
    </row>
    <row r="1301" spans="1:18" x14ac:dyDescent="0.25">
      <c r="A1301" t="str">
        <f>'(Raw) LensesGH'!A1301</f>
        <v>Sigma Art AF 85mm 1.4 DG HSM für Sigma schwarz</v>
      </c>
      <c r="B1301" t="str">
        <f>'(Raw) LensesGH'!B1301</f>
        <v>85mm</v>
      </c>
      <c r="C1301" s="5">
        <f t="shared" si="181"/>
        <v>85</v>
      </c>
      <c r="D1301" s="5">
        <f t="shared" si="182"/>
        <v>85</v>
      </c>
      <c r="E1301" t="str">
        <f>'(Raw) LensesGH'!C1301</f>
        <v>1:1.4</v>
      </c>
      <c r="F1301" s="9">
        <f t="shared" si="183"/>
        <v>1.4</v>
      </c>
      <c r="G1301" s="9">
        <f t="shared" si="184"/>
        <v>1.4</v>
      </c>
      <c r="H1301" t="str">
        <f>'(Raw) LensesGH'!D1301</f>
        <v>86mm</v>
      </c>
      <c r="I1301" s="2">
        <f t="shared" si="185"/>
        <v>86</v>
      </c>
      <c r="J1301" s="2" t="str">
        <f>'(Raw) LensesGH'!E1301</f>
        <v>1:8.50</v>
      </c>
      <c r="K1301" s="40">
        <f t="shared" si="186"/>
        <v>8.5</v>
      </c>
      <c r="L1301" t="str">
        <f>'(Raw) LensesGH'!F1301</f>
        <v>Sigma SA</v>
      </c>
      <c r="M1301" t="str">
        <f>'(Raw) LensesGH'!G1301</f>
        <v>APS-C/ Kleinbild</v>
      </c>
      <c r="N1301" t="str">
        <f>'(Raw) LensesGH'!H1301</f>
        <v>1130g</v>
      </c>
      <c r="O1301" s="5">
        <f t="shared" si="187"/>
        <v>1130</v>
      </c>
      <c r="P1301" t="str">
        <f>'(Raw) LensesGH'!I1301</f>
        <v>94.7 x 126.2mm</v>
      </c>
      <c r="Q1301" s="39">
        <f t="shared" si="188"/>
        <v>94.7</v>
      </c>
      <c r="R1301" s="39">
        <f t="shared" si="180"/>
        <v>126.2</v>
      </c>
    </row>
    <row r="1302" spans="1:18" x14ac:dyDescent="0.25">
      <c r="A1302" t="str">
        <f>'(Raw) LensesGH'!A1302</f>
        <v>Sigma Contemporary AF 100-400mm 5.0-6.3 DG OS HSM für Canon EF schwarz</v>
      </c>
      <c r="B1302" t="str">
        <f>'(Raw) LensesGH'!B1302</f>
        <v>100 - 400mm</v>
      </c>
      <c r="C1302" s="5">
        <f t="shared" si="181"/>
        <v>100</v>
      </c>
      <c r="D1302" s="5">
        <f t="shared" si="182"/>
        <v>400</v>
      </c>
      <c r="E1302" t="str">
        <f>'(Raw) LensesGH'!C1302</f>
        <v>1:5.0-1:6.3</v>
      </c>
      <c r="F1302" s="9">
        <f t="shared" si="183"/>
        <v>5</v>
      </c>
      <c r="G1302" s="9">
        <f t="shared" si="184"/>
        <v>5</v>
      </c>
      <c r="H1302" t="str">
        <f>'(Raw) LensesGH'!D1302</f>
        <v>67mm</v>
      </c>
      <c r="I1302" s="2">
        <f t="shared" si="185"/>
        <v>67</v>
      </c>
      <c r="J1302" s="2" t="str">
        <f>'(Raw) LensesGH'!E1302</f>
        <v>1:3.85</v>
      </c>
      <c r="K1302" s="40">
        <f t="shared" si="186"/>
        <v>3.85</v>
      </c>
      <c r="L1302" t="str">
        <f>'(Raw) LensesGH'!F1302</f>
        <v>Canon EF</v>
      </c>
      <c r="M1302" t="str">
        <f>'(Raw) LensesGH'!G1302</f>
        <v>APS-C/ Kleinbild</v>
      </c>
      <c r="N1302" t="str">
        <f>'(Raw) LensesGH'!H1302</f>
        <v>1160g</v>
      </c>
      <c r="O1302" s="5">
        <f t="shared" si="187"/>
        <v>1160</v>
      </c>
      <c r="P1302" t="str">
        <f>'(Raw) LensesGH'!I1302</f>
        <v>86.4 x 182.3mm</v>
      </c>
      <c r="Q1302" s="39">
        <f t="shared" si="188"/>
        <v>86.4</v>
      </c>
      <c r="R1302" s="39">
        <f t="shared" si="180"/>
        <v>182.3</v>
      </c>
    </row>
    <row r="1303" spans="1:18" x14ac:dyDescent="0.25">
      <c r="A1303" t="str">
        <f>'(Raw) LensesGH'!A1303</f>
        <v>Sigma Contemporary AF 100-400mm 5.0-6.3 DG OS HSM für Nikon F schwarz</v>
      </c>
      <c r="B1303" t="str">
        <f>'(Raw) LensesGH'!B1303</f>
        <v>100 - 400mm</v>
      </c>
      <c r="C1303" s="5">
        <f t="shared" si="181"/>
        <v>100</v>
      </c>
      <c r="D1303" s="5">
        <f t="shared" si="182"/>
        <v>400</v>
      </c>
      <c r="E1303" t="str">
        <f>'(Raw) LensesGH'!C1303</f>
        <v>1:5.0-1:6.3</v>
      </c>
      <c r="F1303" s="9">
        <f t="shared" si="183"/>
        <v>5</v>
      </c>
      <c r="G1303" s="9">
        <f t="shared" si="184"/>
        <v>5</v>
      </c>
      <c r="H1303" t="str">
        <f>'(Raw) LensesGH'!D1303</f>
        <v>67mm</v>
      </c>
      <c r="I1303" s="2">
        <f t="shared" si="185"/>
        <v>67</v>
      </c>
      <c r="J1303" s="2" t="str">
        <f>'(Raw) LensesGH'!E1303</f>
        <v>1:3.85</v>
      </c>
      <c r="K1303" s="40">
        <f t="shared" si="186"/>
        <v>3.85</v>
      </c>
      <c r="L1303" t="str">
        <f>'(Raw) LensesGH'!F1303</f>
        <v>Nikon F</v>
      </c>
      <c r="M1303" t="str">
        <f>'(Raw) LensesGH'!G1303</f>
        <v>APS-C/ Kleinbild</v>
      </c>
      <c r="N1303" t="str">
        <f>'(Raw) LensesGH'!H1303</f>
        <v>1160g</v>
      </c>
      <c r="O1303" s="5">
        <f t="shared" si="187"/>
        <v>1160</v>
      </c>
      <c r="P1303" t="str">
        <f>'(Raw) LensesGH'!I1303</f>
        <v>86.4 x 182.3mm</v>
      </c>
      <c r="Q1303" s="39">
        <f t="shared" si="188"/>
        <v>86.4</v>
      </c>
      <c r="R1303" s="39">
        <f t="shared" si="180"/>
        <v>182.3</v>
      </c>
    </row>
    <row r="1304" spans="1:18" x14ac:dyDescent="0.25">
      <c r="A1304" t="str">
        <f>'(Raw) LensesGH'!A1304</f>
        <v>Sigma Contemporary AF 100-400mm 5.0-6.3 DG OS HSM für Sigma schwarz</v>
      </c>
      <c r="B1304" t="str">
        <f>'(Raw) LensesGH'!B1304</f>
        <v>100 - 400mm</v>
      </c>
      <c r="C1304" s="5">
        <f t="shared" si="181"/>
        <v>100</v>
      </c>
      <c r="D1304" s="5">
        <f t="shared" si="182"/>
        <v>400</v>
      </c>
      <c r="E1304" t="str">
        <f>'(Raw) LensesGH'!C1304</f>
        <v>1:5.0-1:6.3</v>
      </c>
      <c r="F1304" s="9">
        <f t="shared" si="183"/>
        <v>5</v>
      </c>
      <c r="G1304" s="9">
        <f t="shared" si="184"/>
        <v>5</v>
      </c>
      <c r="H1304" t="str">
        <f>'(Raw) LensesGH'!D1304</f>
        <v>67mm</v>
      </c>
      <c r="I1304" s="2">
        <f t="shared" si="185"/>
        <v>67</v>
      </c>
      <c r="J1304" s="2" t="str">
        <f>'(Raw) LensesGH'!E1304</f>
        <v>1:3.85</v>
      </c>
      <c r="K1304" s="40">
        <f t="shared" si="186"/>
        <v>3.85</v>
      </c>
      <c r="L1304" t="str">
        <f>'(Raw) LensesGH'!F1304</f>
        <v>Sigma SA</v>
      </c>
      <c r="M1304" t="str">
        <f>'(Raw) LensesGH'!G1304</f>
        <v>APS-C/ Kleinbild</v>
      </c>
      <c r="N1304" t="str">
        <f>'(Raw) LensesGH'!H1304</f>
        <v>1160g</v>
      </c>
      <c r="O1304" s="5">
        <f t="shared" si="187"/>
        <v>1160</v>
      </c>
      <c r="P1304" t="str">
        <f>'(Raw) LensesGH'!I1304</f>
        <v>86.4 x 182.3mm</v>
      </c>
      <c r="Q1304" s="39">
        <f t="shared" si="188"/>
        <v>86.4</v>
      </c>
      <c r="R1304" s="39">
        <f t="shared" si="180"/>
        <v>182.3</v>
      </c>
    </row>
    <row r="1305" spans="1:18" x14ac:dyDescent="0.25">
      <c r="A1305" t="str">
        <f>'(Raw) LensesGH'!A1305</f>
        <v>Sigma Contemporary AF 150-600mm 5.0-6.3 DG OS HSM für Canon EF schwarz</v>
      </c>
      <c r="B1305" t="str">
        <f>'(Raw) LensesGH'!B1305</f>
        <v>150 - 600mm</v>
      </c>
      <c r="C1305" s="5">
        <f t="shared" si="181"/>
        <v>150</v>
      </c>
      <c r="D1305" s="5">
        <f t="shared" si="182"/>
        <v>600</v>
      </c>
      <c r="E1305" t="str">
        <f>'(Raw) LensesGH'!C1305</f>
        <v>1:5.0-1:6.3</v>
      </c>
      <c r="F1305" s="9">
        <f t="shared" si="183"/>
        <v>5</v>
      </c>
      <c r="G1305" s="9">
        <f t="shared" si="184"/>
        <v>5</v>
      </c>
      <c r="H1305" t="str">
        <f>'(Raw) LensesGH'!D1305</f>
        <v>95mm</v>
      </c>
      <c r="I1305" s="2">
        <f t="shared" si="185"/>
        <v>95</v>
      </c>
      <c r="J1305" s="2" t="str">
        <f>'(Raw) LensesGH'!E1305</f>
        <v>1:5.00</v>
      </c>
      <c r="K1305" s="40">
        <f t="shared" si="186"/>
        <v>5</v>
      </c>
      <c r="L1305" t="str">
        <f>'(Raw) LensesGH'!F1305</f>
        <v>Canon EF</v>
      </c>
      <c r="M1305" t="str">
        <f>'(Raw) LensesGH'!G1305</f>
        <v>APS-C/ Kleinbild</v>
      </c>
      <c r="N1305" t="str">
        <f>'(Raw) LensesGH'!H1305</f>
        <v>1930g</v>
      </c>
      <c r="O1305" s="5">
        <f t="shared" si="187"/>
        <v>1930</v>
      </c>
      <c r="P1305" t="str">
        <f>'(Raw) LensesGH'!I1305</f>
        <v>105 x 260.1mm</v>
      </c>
      <c r="Q1305" s="39">
        <f t="shared" si="188"/>
        <v>105</v>
      </c>
      <c r="R1305" s="39">
        <f t="shared" si="180"/>
        <v>260.10000000000002</v>
      </c>
    </row>
    <row r="1306" spans="1:18" x14ac:dyDescent="0.25">
      <c r="A1306" t="str">
        <f>'(Raw) LensesGH'!A1306</f>
        <v>Sigma Contemporary AF 150-600mm 5.0-6.3 DG OS HSM für Nikon F schwarz</v>
      </c>
      <c r="B1306" t="str">
        <f>'(Raw) LensesGH'!B1306</f>
        <v>150 - 600mm</v>
      </c>
      <c r="C1306" s="5">
        <f t="shared" si="181"/>
        <v>150</v>
      </c>
      <c r="D1306" s="5">
        <f t="shared" si="182"/>
        <v>600</v>
      </c>
      <c r="E1306" t="str">
        <f>'(Raw) LensesGH'!C1306</f>
        <v>1:5.0-1:6.3</v>
      </c>
      <c r="F1306" s="9">
        <f t="shared" si="183"/>
        <v>5</v>
      </c>
      <c r="G1306" s="9">
        <f t="shared" si="184"/>
        <v>5</v>
      </c>
      <c r="H1306" t="str">
        <f>'(Raw) LensesGH'!D1306</f>
        <v>95mm</v>
      </c>
      <c r="I1306" s="2">
        <f t="shared" si="185"/>
        <v>95</v>
      </c>
      <c r="J1306" s="2" t="str">
        <f>'(Raw) LensesGH'!E1306</f>
        <v>1:5.00</v>
      </c>
      <c r="K1306" s="40">
        <f t="shared" si="186"/>
        <v>5</v>
      </c>
      <c r="L1306" t="str">
        <f>'(Raw) LensesGH'!F1306</f>
        <v>Nikon F</v>
      </c>
      <c r="M1306" t="str">
        <f>'(Raw) LensesGH'!G1306</f>
        <v>APS-C/ Kleinbild</v>
      </c>
      <c r="N1306" t="str">
        <f>'(Raw) LensesGH'!H1306</f>
        <v>1930g</v>
      </c>
      <c r="O1306" s="5">
        <f t="shared" si="187"/>
        <v>1930</v>
      </c>
      <c r="P1306" t="str">
        <f>'(Raw) LensesGH'!I1306</f>
        <v>105 x 260.1mm</v>
      </c>
      <c r="Q1306" s="39">
        <f t="shared" si="188"/>
        <v>105</v>
      </c>
      <c r="R1306" s="39">
        <f t="shared" si="180"/>
        <v>260.10000000000002</v>
      </c>
    </row>
    <row r="1307" spans="1:18" x14ac:dyDescent="0.25">
      <c r="A1307" t="str">
        <f>'(Raw) LensesGH'!A1307</f>
        <v>Sigma Contemporary AF 150-600mm 5.0-6.3 DG OS HSM für Sigma schwarz</v>
      </c>
      <c r="B1307" t="str">
        <f>'(Raw) LensesGH'!B1307</f>
        <v>150 - 600mm</v>
      </c>
      <c r="C1307" s="5">
        <f t="shared" si="181"/>
        <v>150</v>
      </c>
      <c r="D1307" s="5">
        <f t="shared" si="182"/>
        <v>600</v>
      </c>
      <c r="E1307" t="str">
        <f>'(Raw) LensesGH'!C1307</f>
        <v>1:5.0-1:6.3</v>
      </c>
      <c r="F1307" s="9">
        <f t="shared" si="183"/>
        <v>5</v>
      </c>
      <c r="G1307" s="9">
        <f t="shared" si="184"/>
        <v>5</v>
      </c>
      <c r="H1307" t="str">
        <f>'(Raw) LensesGH'!D1307</f>
        <v>95mm</v>
      </c>
      <c r="I1307" s="2">
        <f t="shared" si="185"/>
        <v>95</v>
      </c>
      <c r="J1307" s="2" t="str">
        <f>'(Raw) LensesGH'!E1307</f>
        <v>1:5.00</v>
      </c>
      <c r="K1307" s="40">
        <f t="shared" si="186"/>
        <v>5</v>
      </c>
      <c r="L1307" t="str">
        <f>'(Raw) LensesGH'!F1307</f>
        <v>Sigma SA</v>
      </c>
      <c r="M1307" t="str">
        <f>'(Raw) LensesGH'!G1307</f>
        <v>APS-C/ Kleinbild</v>
      </c>
      <c r="N1307" t="str">
        <f>'(Raw) LensesGH'!H1307</f>
        <v>1930g</v>
      </c>
      <c r="O1307" s="5">
        <f t="shared" si="187"/>
        <v>1930</v>
      </c>
      <c r="P1307" t="str">
        <f>'(Raw) LensesGH'!I1307</f>
        <v>105 x 260.1mm</v>
      </c>
      <c r="Q1307" s="39">
        <f t="shared" si="188"/>
        <v>105</v>
      </c>
      <c r="R1307" s="39">
        <f t="shared" si="180"/>
        <v>260.10000000000002</v>
      </c>
    </row>
    <row r="1308" spans="1:18" x14ac:dyDescent="0.25">
      <c r="A1308" t="str">
        <f>'(Raw) LensesGH'!A1308</f>
        <v>Sigma Contemporary AF 150-600mm 5.0-6.3 DG OS HSM inkl. 1.4x Telekonverter für Canon EF schwarz</v>
      </c>
      <c r="B1308" t="str">
        <f>'(Raw) LensesGH'!B1308</f>
        <v>150 - 600mm</v>
      </c>
      <c r="C1308" s="5">
        <f t="shared" si="181"/>
        <v>150</v>
      </c>
      <c r="D1308" s="5">
        <f t="shared" si="182"/>
        <v>600</v>
      </c>
      <c r="E1308" t="str">
        <f>'(Raw) LensesGH'!C1308</f>
        <v>1:5.0-1:6.3</v>
      </c>
      <c r="F1308" s="9">
        <f t="shared" si="183"/>
        <v>5</v>
      </c>
      <c r="G1308" s="9">
        <f t="shared" si="184"/>
        <v>5</v>
      </c>
      <c r="H1308" t="str">
        <f>'(Raw) LensesGH'!D1308</f>
        <v>95mm</v>
      </c>
      <c r="I1308" s="2">
        <f t="shared" si="185"/>
        <v>95</v>
      </c>
      <c r="J1308" s="2" t="str">
        <f>'(Raw) LensesGH'!E1308</f>
        <v>1:5.00</v>
      </c>
      <c r="K1308" s="40">
        <f t="shared" si="186"/>
        <v>5</v>
      </c>
      <c r="L1308" t="str">
        <f>'(Raw) LensesGH'!F1308</f>
        <v>Canon EF</v>
      </c>
      <c r="M1308" t="str">
        <f>'(Raw) LensesGH'!G1308</f>
        <v>APS-C/ Kleinbild</v>
      </c>
      <c r="N1308" t="str">
        <f>'(Raw) LensesGH'!H1308</f>
        <v>1930g</v>
      </c>
      <c r="O1308" s="5">
        <f t="shared" si="187"/>
        <v>1930</v>
      </c>
      <c r="P1308" t="str">
        <f>'(Raw) LensesGH'!I1308</f>
        <v>105 x 260.1mm</v>
      </c>
      <c r="Q1308" s="39">
        <f t="shared" si="188"/>
        <v>105</v>
      </c>
      <c r="R1308" s="39">
        <f t="shared" si="180"/>
        <v>260.10000000000002</v>
      </c>
    </row>
    <row r="1309" spans="1:18" x14ac:dyDescent="0.25">
      <c r="A1309" t="str">
        <f>'(Raw) LensesGH'!A1309</f>
        <v>Sigma Contemporary AF 150-600mm 5.0-6.3 DG OS HSM inkl. 1.4x Telekonverter für Nikon F schwarz</v>
      </c>
      <c r="B1309" t="str">
        <f>'(Raw) LensesGH'!B1309</f>
        <v>150 - 600mm</v>
      </c>
      <c r="C1309" s="5">
        <f t="shared" si="181"/>
        <v>150</v>
      </c>
      <c r="D1309" s="5">
        <f t="shared" si="182"/>
        <v>600</v>
      </c>
      <c r="E1309" t="str">
        <f>'(Raw) LensesGH'!C1309</f>
        <v>1:5.0-1:6.3</v>
      </c>
      <c r="F1309" s="9">
        <f t="shared" si="183"/>
        <v>5</v>
      </c>
      <c r="G1309" s="9">
        <f t="shared" si="184"/>
        <v>5</v>
      </c>
      <c r="H1309" t="str">
        <f>'(Raw) LensesGH'!D1309</f>
        <v>95mm</v>
      </c>
      <c r="I1309" s="2">
        <f t="shared" si="185"/>
        <v>95</v>
      </c>
      <c r="J1309" s="2" t="str">
        <f>'(Raw) LensesGH'!E1309</f>
        <v>1:5.00</v>
      </c>
      <c r="K1309" s="40">
        <f t="shared" si="186"/>
        <v>5</v>
      </c>
      <c r="L1309" t="str">
        <f>'(Raw) LensesGH'!F1309</f>
        <v>Nikon F</v>
      </c>
      <c r="M1309" t="str">
        <f>'(Raw) LensesGH'!G1309</f>
        <v>APS-C/ Kleinbild</v>
      </c>
      <c r="N1309" t="str">
        <f>'(Raw) LensesGH'!H1309</f>
        <v>1930g</v>
      </c>
      <c r="O1309" s="5">
        <f t="shared" si="187"/>
        <v>1930</v>
      </c>
      <c r="P1309" t="str">
        <f>'(Raw) LensesGH'!I1309</f>
        <v>105 x 260.1mm</v>
      </c>
      <c r="Q1309" s="39">
        <f t="shared" si="188"/>
        <v>105</v>
      </c>
      <c r="R1309" s="39">
        <f t="shared" si="180"/>
        <v>260.10000000000002</v>
      </c>
    </row>
    <row r="1310" spans="1:18" x14ac:dyDescent="0.25">
      <c r="A1310" t="str">
        <f>'(Raw) LensesGH'!A1310</f>
        <v>Sigma Contemporary AF 150-600mm 5.0-6.3 DG OS HSM inkl. 1.4x Telekonverter für Sigma schwarz</v>
      </c>
      <c r="B1310" t="str">
        <f>'(Raw) LensesGH'!B1310</f>
        <v>150 - 600mm</v>
      </c>
      <c r="C1310" s="5">
        <f t="shared" si="181"/>
        <v>150</v>
      </c>
      <c r="D1310" s="5">
        <f t="shared" si="182"/>
        <v>600</v>
      </c>
      <c r="E1310" t="str">
        <f>'(Raw) LensesGH'!C1310</f>
        <v>1:5.0-1:6.3</v>
      </c>
      <c r="F1310" s="9">
        <f t="shared" si="183"/>
        <v>5</v>
      </c>
      <c r="G1310" s="9">
        <f t="shared" si="184"/>
        <v>5</v>
      </c>
      <c r="H1310" t="str">
        <f>'(Raw) LensesGH'!D1310</f>
        <v>95mm</v>
      </c>
      <c r="I1310" s="2">
        <f t="shared" si="185"/>
        <v>95</v>
      </c>
      <c r="J1310" s="2" t="str">
        <f>'(Raw) LensesGH'!E1310</f>
        <v>1:5.00</v>
      </c>
      <c r="K1310" s="40">
        <f t="shared" si="186"/>
        <v>5</v>
      </c>
      <c r="L1310" t="str">
        <f>'(Raw) LensesGH'!F1310</f>
        <v>Sigma SA</v>
      </c>
      <c r="M1310" t="str">
        <f>'(Raw) LensesGH'!G1310</f>
        <v>APS-C/ Kleinbild</v>
      </c>
      <c r="N1310" t="str">
        <f>'(Raw) LensesGH'!H1310</f>
        <v>1930g</v>
      </c>
      <c r="O1310" s="5">
        <f t="shared" si="187"/>
        <v>1930</v>
      </c>
      <c r="P1310" t="str">
        <f>'(Raw) LensesGH'!I1310</f>
        <v>105 x 260.1mm</v>
      </c>
      <c r="Q1310" s="39">
        <f t="shared" si="188"/>
        <v>105</v>
      </c>
      <c r="R1310" s="39">
        <f t="shared" si="180"/>
        <v>260.10000000000002</v>
      </c>
    </row>
    <row r="1311" spans="1:18" x14ac:dyDescent="0.25">
      <c r="A1311" t="str">
        <f>'(Raw) LensesGH'!A1311</f>
        <v>Sigma Contemporary AF 17-70mm 2.8-4.0 DC Makro HSM für Pentax K schwarz</v>
      </c>
      <c r="B1311" t="str">
        <f>'(Raw) LensesGH'!B1311</f>
        <v>17 - 70mm</v>
      </c>
      <c r="C1311" s="5">
        <f t="shared" si="181"/>
        <v>17</v>
      </c>
      <c r="D1311" s="5">
        <f t="shared" si="182"/>
        <v>70</v>
      </c>
      <c r="E1311" t="str">
        <f>'(Raw) LensesGH'!C1311</f>
        <v>1:2.8-1:4.0</v>
      </c>
      <c r="F1311" s="9">
        <f t="shared" si="183"/>
        <v>2.8</v>
      </c>
      <c r="G1311" s="9">
        <f t="shared" si="184"/>
        <v>2.8</v>
      </c>
      <c r="H1311" t="str">
        <f>'(Raw) LensesGH'!D1311</f>
        <v>72mm</v>
      </c>
      <c r="I1311" s="2">
        <f t="shared" si="185"/>
        <v>72</v>
      </c>
      <c r="J1311" s="2" t="str">
        <f>'(Raw) LensesGH'!E1311</f>
        <v>1:2.90</v>
      </c>
      <c r="K1311" s="40">
        <f t="shared" si="186"/>
        <v>2.9</v>
      </c>
      <c r="L1311" t="str">
        <f>'(Raw) LensesGH'!F1311</f>
        <v>Pentax K</v>
      </c>
      <c r="M1311" t="str">
        <f>'(Raw) LensesGH'!G1311</f>
        <v>APS-C</v>
      </c>
      <c r="N1311" t="str">
        <f>'(Raw) LensesGH'!H1311</f>
        <v>470g</v>
      </c>
      <c r="O1311" s="5">
        <f t="shared" si="187"/>
        <v>470</v>
      </c>
      <c r="P1311" t="str">
        <f>'(Raw) LensesGH'!I1311</f>
        <v>79 x 82mm</v>
      </c>
      <c r="Q1311" s="39">
        <f t="shared" si="188"/>
        <v>79</v>
      </c>
      <c r="R1311" s="39">
        <f t="shared" si="180"/>
        <v>82</v>
      </c>
    </row>
    <row r="1312" spans="1:18" x14ac:dyDescent="0.25">
      <c r="A1312" t="str">
        <f>'(Raw) LensesGH'!A1312</f>
        <v>Sigma Contemporary AF 17-70mm 2.8-4.0 DC Makro HSM für Sony A schwarz</v>
      </c>
      <c r="B1312" t="str">
        <f>'(Raw) LensesGH'!B1312</f>
        <v>17 - 70mm</v>
      </c>
      <c r="C1312" s="5">
        <f t="shared" si="181"/>
        <v>17</v>
      </c>
      <c r="D1312" s="5">
        <f t="shared" si="182"/>
        <v>70</v>
      </c>
      <c r="E1312" t="str">
        <f>'(Raw) LensesGH'!C1312</f>
        <v>1:2.8-1:4.0</v>
      </c>
      <c r="F1312" s="9">
        <f t="shared" si="183"/>
        <v>2.8</v>
      </c>
      <c r="G1312" s="9">
        <f t="shared" si="184"/>
        <v>2.8</v>
      </c>
      <c r="H1312" t="str">
        <f>'(Raw) LensesGH'!D1312</f>
        <v>72mm</v>
      </c>
      <c r="I1312" s="2">
        <f t="shared" si="185"/>
        <v>72</v>
      </c>
      <c r="J1312" s="2" t="str">
        <f>'(Raw) LensesGH'!E1312</f>
        <v>1:2.90</v>
      </c>
      <c r="K1312" s="40">
        <f t="shared" si="186"/>
        <v>2.9</v>
      </c>
      <c r="L1312" t="str">
        <f>'(Raw) LensesGH'!F1312</f>
        <v>Sony A</v>
      </c>
      <c r="M1312" t="str">
        <f>'(Raw) LensesGH'!G1312</f>
        <v>APS-C</v>
      </c>
      <c r="N1312" t="str">
        <f>'(Raw) LensesGH'!H1312</f>
        <v>470g</v>
      </c>
      <c r="O1312" s="5">
        <f t="shared" si="187"/>
        <v>470</v>
      </c>
      <c r="P1312" t="str">
        <f>'(Raw) LensesGH'!I1312</f>
        <v>79 x 82mm</v>
      </c>
      <c r="Q1312" s="39">
        <f t="shared" si="188"/>
        <v>79</v>
      </c>
      <c r="R1312" s="39">
        <f t="shared" si="180"/>
        <v>82</v>
      </c>
    </row>
    <row r="1313" spans="1:18" x14ac:dyDescent="0.25">
      <c r="A1313" t="str">
        <f>'(Raw) LensesGH'!A1313</f>
        <v>Sigma Contemporary AF 17-70mm 2.8-4.0 DC Makro OS HSM für Canon EF schwarz</v>
      </c>
      <c r="B1313" t="str">
        <f>'(Raw) LensesGH'!B1313</f>
        <v>17 - 70mm</v>
      </c>
      <c r="C1313" s="5">
        <f t="shared" si="181"/>
        <v>17</v>
      </c>
      <c r="D1313" s="5">
        <f t="shared" si="182"/>
        <v>70</v>
      </c>
      <c r="E1313" t="str">
        <f>'(Raw) LensesGH'!C1313</f>
        <v>1:2.8-1:4.0</v>
      </c>
      <c r="F1313" s="9">
        <f t="shared" si="183"/>
        <v>2.8</v>
      </c>
      <c r="G1313" s="9">
        <f t="shared" si="184"/>
        <v>2.8</v>
      </c>
      <c r="H1313" t="str">
        <f>'(Raw) LensesGH'!D1313</f>
        <v>72mm</v>
      </c>
      <c r="I1313" s="2">
        <f t="shared" si="185"/>
        <v>72</v>
      </c>
      <c r="J1313" s="2" t="str">
        <f>'(Raw) LensesGH'!E1313</f>
        <v>1:2.90</v>
      </c>
      <c r="K1313" s="40">
        <f t="shared" si="186"/>
        <v>2.9</v>
      </c>
      <c r="L1313" t="str">
        <f>'(Raw) LensesGH'!F1313</f>
        <v>Canon EF-S</v>
      </c>
      <c r="M1313" t="str">
        <f>'(Raw) LensesGH'!G1313</f>
        <v>APS-C</v>
      </c>
      <c r="N1313" t="str">
        <f>'(Raw) LensesGH'!H1313</f>
        <v>470g</v>
      </c>
      <c r="O1313" s="5">
        <f t="shared" si="187"/>
        <v>470</v>
      </c>
      <c r="P1313" t="str">
        <f>'(Raw) LensesGH'!I1313</f>
        <v>79 x 82mm</v>
      </c>
      <c r="Q1313" s="39">
        <f t="shared" si="188"/>
        <v>79</v>
      </c>
      <c r="R1313" s="39">
        <f t="shared" si="180"/>
        <v>82</v>
      </c>
    </row>
    <row r="1314" spans="1:18" x14ac:dyDescent="0.25">
      <c r="A1314" t="str">
        <f>'(Raw) LensesGH'!A1314</f>
        <v>Sigma Contemporary AF 17-70mm 2.8-4.0 DC Makro OS HSM für Nikon F schwarz</v>
      </c>
      <c r="B1314" t="str">
        <f>'(Raw) LensesGH'!B1314</f>
        <v>17 - 70mm</v>
      </c>
      <c r="C1314" s="5">
        <f t="shared" si="181"/>
        <v>17</v>
      </c>
      <c r="D1314" s="5">
        <f t="shared" si="182"/>
        <v>70</v>
      </c>
      <c r="E1314" t="str">
        <f>'(Raw) LensesGH'!C1314</f>
        <v>1:2.8-1:4.0</v>
      </c>
      <c r="F1314" s="9">
        <f t="shared" si="183"/>
        <v>2.8</v>
      </c>
      <c r="G1314" s="9">
        <f t="shared" si="184"/>
        <v>2.8</v>
      </c>
      <c r="H1314" t="str">
        <f>'(Raw) LensesGH'!D1314</f>
        <v>72mm</v>
      </c>
      <c r="I1314" s="2">
        <f t="shared" si="185"/>
        <v>72</v>
      </c>
      <c r="J1314" s="2" t="str">
        <f>'(Raw) LensesGH'!E1314</f>
        <v>1:2.90</v>
      </c>
      <c r="K1314" s="40">
        <f t="shared" si="186"/>
        <v>2.9</v>
      </c>
      <c r="L1314" t="str">
        <f>'(Raw) LensesGH'!F1314</f>
        <v>Nikon F</v>
      </c>
      <c r="M1314" t="str">
        <f>'(Raw) LensesGH'!G1314</f>
        <v>APS-C</v>
      </c>
      <c r="N1314" t="str">
        <f>'(Raw) LensesGH'!H1314</f>
        <v>470g</v>
      </c>
      <c r="O1314" s="5">
        <f t="shared" si="187"/>
        <v>470</v>
      </c>
      <c r="P1314" t="str">
        <f>'(Raw) LensesGH'!I1314</f>
        <v>79 x 82mm</v>
      </c>
      <c r="Q1314" s="39">
        <f t="shared" si="188"/>
        <v>79</v>
      </c>
      <c r="R1314" s="39">
        <f t="shared" si="180"/>
        <v>82</v>
      </c>
    </row>
    <row r="1315" spans="1:18" x14ac:dyDescent="0.25">
      <c r="A1315" t="str">
        <f>'(Raw) LensesGH'!A1315</f>
        <v>Sigma Contemporary AF 17-70mm 2.8-4.0 DC Makro OS HSM für Sigma schwarz</v>
      </c>
      <c r="B1315" t="str">
        <f>'(Raw) LensesGH'!B1315</f>
        <v>17 - 70mm</v>
      </c>
      <c r="C1315" s="5">
        <f t="shared" si="181"/>
        <v>17</v>
      </c>
      <c r="D1315" s="5">
        <f t="shared" si="182"/>
        <v>70</v>
      </c>
      <c r="E1315" t="str">
        <f>'(Raw) LensesGH'!C1315</f>
        <v>1:2.8-1:4.0</v>
      </c>
      <c r="F1315" s="9">
        <f t="shared" si="183"/>
        <v>2.8</v>
      </c>
      <c r="G1315" s="9">
        <f t="shared" si="184"/>
        <v>2.8</v>
      </c>
      <c r="H1315" t="str">
        <f>'(Raw) LensesGH'!D1315</f>
        <v>72mm</v>
      </c>
      <c r="I1315" s="2">
        <f t="shared" si="185"/>
        <v>72</v>
      </c>
      <c r="J1315" s="2" t="str">
        <f>'(Raw) LensesGH'!E1315</f>
        <v>1:2.90</v>
      </c>
      <c r="K1315" s="40">
        <f t="shared" si="186"/>
        <v>2.9</v>
      </c>
      <c r="L1315" t="str">
        <f>'(Raw) LensesGH'!F1315</f>
        <v>Sigma SA</v>
      </c>
      <c r="M1315" t="str">
        <f>'(Raw) LensesGH'!G1315</f>
        <v>APS-C</v>
      </c>
      <c r="N1315" t="str">
        <f>'(Raw) LensesGH'!H1315</f>
        <v>470g</v>
      </c>
      <c r="O1315" s="5">
        <f t="shared" si="187"/>
        <v>470</v>
      </c>
      <c r="P1315" t="str">
        <f>'(Raw) LensesGH'!I1315</f>
        <v>79 x 82mm</v>
      </c>
      <c r="Q1315" s="39">
        <f t="shared" si="188"/>
        <v>79</v>
      </c>
      <c r="R1315" s="39">
        <f t="shared" si="180"/>
        <v>82</v>
      </c>
    </row>
    <row r="1316" spans="1:18" x14ac:dyDescent="0.25">
      <c r="A1316" t="str">
        <f>'(Raw) LensesGH'!A1316</f>
        <v>Sigma Contemporary AF 18-200mm 3.5-6.3 DC Makro HSM für Pentax K schwarz</v>
      </c>
      <c r="B1316" t="str">
        <f>'(Raw) LensesGH'!B1316</f>
        <v>18 - 200mm</v>
      </c>
      <c r="C1316" s="5">
        <f t="shared" si="181"/>
        <v>18</v>
      </c>
      <c r="D1316" s="5">
        <f t="shared" si="182"/>
        <v>200</v>
      </c>
      <c r="E1316" t="str">
        <f>'(Raw) LensesGH'!C1316</f>
        <v>1:3.5-1:6.3</v>
      </c>
      <c r="F1316" s="9">
        <f t="shared" si="183"/>
        <v>3.5</v>
      </c>
      <c r="G1316" s="9">
        <f t="shared" si="184"/>
        <v>3.5</v>
      </c>
      <c r="H1316" t="str">
        <f>'(Raw) LensesGH'!D1316</f>
        <v>62mm</v>
      </c>
      <c r="I1316" s="2">
        <f t="shared" si="185"/>
        <v>62</v>
      </c>
      <c r="J1316" s="2" t="str">
        <f>'(Raw) LensesGH'!E1316</f>
        <v>1:3.00</v>
      </c>
      <c r="K1316" s="40">
        <f t="shared" si="186"/>
        <v>3</v>
      </c>
      <c r="L1316" t="str">
        <f>'(Raw) LensesGH'!F1316</f>
        <v>Pentax K</v>
      </c>
      <c r="M1316" t="str">
        <f>'(Raw) LensesGH'!G1316</f>
        <v>APS-C</v>
      </c>
      <c r="N1316" t="str">
        <f>'(Raw) LensesGH'!H1316</f>
        <v>430g</v>
      </c>
      <c r="O1316" s="5">
        <f t="shared" si="187"/>
        <v>430</v>
      </c>
      <c r="P1316" t="str">
        <f>'(Raw) LensesGH'!I1316</f>
        <v>71 x 86mm</v>
      </c>
      <c r="Q1316" s="39">
        <f t="shared" si="188"/>
        <v>71</v>
      </c>
      <c r="R1316" s="39">
        <f t="shared" si="180"/>
        <v>86</v>
      </c>
    </row>
    <row r="1317" spans="1:18" x14ac:dyDescent="0.25">
      <c r="A1317" t="str">
        <f>'(Raw) LensesGH'!A1317</f>
        <v>Sigma Contemporary AF 18-200mm 3.5-6.3 DC Makro HSM für Sony A schwarz</v>
      </c>
      <c r="B1317" t="str">
        <f>'(Raw) LensesGH'!B1317</f>
        <v>18 - 200mm</v>
      </c>
      <c r="C1317" s="5">
        <f t="shared" si="181"/>
        <v>18</v>
      </c>
      <c r="D1317" s="5">
        <f t="shared" si="182"/>
        <v>200</v>
      </c>
      <c r="E1317" t="str">
        <f>'(Raw) LensesGH'!C1317</f>
        <v>1:3.5-1:6.3</v>
      </c>
      <c r="F1317" s="9">
        <f t="shared" si="183"/>
        <v>3.5</v>
      </c>
      <c r="G1317" s="9">
        <f t="shared" si="184"/>
        <v>3.5</v>
      </c>
      <c r="H1317" t="str">
        <f>'(Raw) LensesGH'!D1317</f>
        <v>62mm</v>
      </c>
      <c r="I1317" s="2">
        <f t="shared" si="185"/>
        <v>62</v>
      </c>
      <c r="J1317" s="2" t="str">
        <f>'(Raw) LensesGH'!E1317</f>
        <v>1:3.00</v>
      </c>
      <c r="K1317" s="40">
        <f t="shared" si="186"/>
        <v>3</v>
      </c>
      <c r="L1317" t="str">
        <f>'(Raw) LensesGH'!F1317</f>
        <v>Sony A</v>
      </c>
      <c r="M1317" t="str">
        <f>'(Raw) LensesGH'!G1317</f>
        <v>APS-C</v>
      </c>
      <c r="N1317" t="str">
        <f>'(Raw) LensesGH'!H1317</f>
        <v>430g</v>
      </c>
      <c r="O1317" s="5">
        <f t="shared" si="187"/>
        <v>430</v>
      </c>
      <c r="P1317" t="str">
        <f>'(Raw) LensesGH'!I1317</f>
        <v>71 x 86mm</v>
      </c>
      <c r="Q1317" s="39">
        <f t="shared" si="188"/>
        <v>71</v>
      </c>
      <c r="R1317" s="39">
        <f t="shared" si="180"/>
        <v>86</v>
      </c>
    </row>
    <row r="1318" spans="1:18" x14ac:dyDescent="0.25">
      <c r="A1318" t="str">
        <f>'(Raw) LensesGH'!A1318</f>
        <v>Sigma Contemporary AF 18-200mm 3.5-6.3 DC Makro OS HSM für Canon EF schwarz</v>
      </c>
      <c r="B1318" t="str">
        <f>'(Raw) LensesGH'!B1318</f>
        <v>18 - 200mm</v>
      </c>
      <c r="C1318" s="5">
        <f t="shared" si="181"/>
        <v>18</v>
      </c>
      <c r="D1318" s="5">
        <f t="shared" si="182"/>
        <v>200</v>
      </c>
      <c r="E1318" t="str">
        <f>'(Raw) LensesGH'!C1318</f>
        <v>1:3.5-1:6.3</v>
      </c>
      <c r="F1318" s="9">
        <f t="shared" si="183"/>
        <v>3.5</v>
      </c>
      <c r="G1318" s="9">
        <f t="shared" si="184"/>
        <v>3.5</v>
      </c>
      <c r="H1318" t="str">
        <f>'(Raw) LensesGH'!D1318</f>
        <v>62mm</v>
      </c>
      <c r="I1318" s="2">
        <f t="shared" si="185"/>
        <v>62</v>
      </c>
      <c r="J1318" s="2" t="str">
        <f>'(Raw) LensesGH'!E1318</f>
        <v>1:3.00</v>
      </c>
      <c r="K1318" s="40">
        <f t="shared" si="186"/>
        <v>3</v>
      </c>
      <c r="L1318" t="str">
        <f>'(Raw) LensesGH'!F1318</f>
        <v>Canon EF-S</v>
      </c>
      <c r="M1318" t="str">
        <f>'(Raw) LensesGH'!G1318</f>
        <v>APS-C</v>
      </c>
      <c r="N1318" t="str">
        <f>'(Raw) LensesGH'!H1318</f>
        <v>430g</v>
      </c>
      <c r="O1318" s="5">
        <f t="shared" si="187"/>
        <v>430</v>
      </c>
      <c r="P1318" t="str">
        <f>'(Raw) LensesGH'!I1318</f>
        <v>71 x 86mm</v>
      </c>
      <c r="Q1318" s="39">
        <f t="shared" si="188"/>
        <v>71</v>
      </c>
      <c r="R1318" s="39">
        <f t="shared" si="180"/>
        <v>86</v>
      </c>
    </row>
    <row r="1319" spans="1:18" x14ac:dyDescent="0.25">
      <c r="A1319" t="str">
        <f>'(Raw) LensesGH'!A1319</f>
        <v>Sigma Contemporary AF 18-200mm 3.5-6.3 DC Makro OS HSM für Nikon F schwarz</v>
      </c>
      <c r="B1319" t="str">
        <f>'(Raw) LensesGH'!B1319</f>
        <v>18 - 200mm</v>
      </c>
      <c r="C1319" s="5">
        <f t="shared" si="181"/>
        <v>18</v>
      </c>
      <c r="D1319" s="5">
        <f t="shared" si="182"/>
        <v>200</v>
      </c>
      <c r="E1319" t="str">
        <f>'(Raw) LensesGH'!C1319</f>
        <v>1:3.5-1:6.3</v>
      </c>
      <c r="F1319" s="9">
        <f t="shared" si="183"/>
        <v>3.5</v>
      </c>
      <c r="G1319" s="9">
        <f t="shared" si="184"/>
        <v>3.5</v>
      </c>
      <c r="H1319" t="str">
        <f>'(Raw) LensesGH'!D1319</f>
        <v>62mm</v>
      </c>
      <c r="I1319" s="2">
        <f t="shared" si="185"/>
        <v>62</v>
      </c>
      <c r="J1319" s="2" t="str">
        <f>'(Raw) LensesGH'!E1319</f>
        <v>1:3.00</v>
      </c>
      <c r="K1319" s="40">
        <f t="shared" si="186"/>
        <v>3</v>
      </c>
      <c r="L1319" t="str">
        <f>'(Raw) LensesGH'!F1319</f>
        <v>Nikon F</v>
      </c>
      <c r="M1319" t="str">
        <f>'(Raw) LensesGH'!G1319</f>
        <v>APS-C</v>
      </c>
      <c r="N1319" t="str">
        <f>'(Raw) LensesGH'!H1319</f>
        <v>430g</v>
      </c>
      <c r="O1319" s="5">
        <f t="shared" si="187"/>
        <v>430</v>
      </c>
      <c r="P1319" t="str">
        <f>'(Raw) LensesGH'!I1319</f>
        <v>71 x 86mm</v>
      </c>
      <c r="Q1319" s="39">
        <f t="shared" si="188"/>
        <v>71</v>
      </c>
      <c r="R1319" s="39">
        <f t="shared" si="180"/>
        <v>86</v>
      </c>
    </row>
    <row r="1320" spans="1:18" x14ac:dyDescent="0.25">
      <c r="A1320" t="str">
        <f>'(Raw) LensesGH'!A1320</f>
        <v>Sigma Contemporary AF 18-200mm 3.5-6.3 DC Makro OS HSM für Sigma schwarz</v>
      </c>
      <c r="B1320" t="str">
        <f>'(Raw) LensesGH'!B1320</f>
        <v>18 - 200mm</v>
      </c>
      <c r="C1320" s="5">
        <f t="shared" si="181"/>
        <v>18</v>
      </c>
      <c r="D1320" s="5">
        <f t="shared" si="182"/>
        <v>200</v>
      </c>
      <c r="E1320" t="str">
        <f>'(Raw) LensesGH'!C1320</f>
        <v>1:3.5-1:6.3</v>
      </c>
      <c r="F1320" s="9">
        <f t="shared" si="183"/>
        <v>3.5</v>
      </c>
      <c r="G1320" s="9">
        <f t="shared" si="184"/>
        <v>3.5</v>
      </c>
      <c r="H1320" t="str">
        <f>'(Raw) LensesGH'!D1320</f>
        <v>62mm</v>
      </c>
      <c r="I1320" s="2">
        <f t="shared" si="185"/>
        <v>62</v>
      </c>
      <c r="J1320" s="2" t="str">
        <f>'(Raw) LensesGH'!E1320</f>
        <v>1:3.00</v>
      </c>
      <c r="K1320" s="40">
        <f t="shared" si="186"/>
        <v>3</v>
      </c>
      <c r="L1320" t="str">
        <f>'(Raw) LensesGH'!F1320</f>
        <v>Sigma SA</v>
      </c>
      <c r="M1320" t="str">
        <f>'(Raw) LensesGH'!G1320</f>
        <v>APS-C</v>
      </c>
      <c r="N1320" t="str">
        <f>'(Raw) LensesGH'!H1320</f>
        <v>430g</v>
      </c>
      <c r="O1320" s="5">
        <f t="shared" si="187"/>
        <v>430</v>
      </c>
      <c r="P1320" t="str">
        <f>'(Raw) LensesGH'!I1320</f>
        <v>71 x 86mm</v>
      </c>
      <c r="Q1320" s="39">
        <f t="shared" si="188"/>
        <v>71</v>
      </c>
      <c r="R1320" s="39">
        <f t="shared" si="180"/>
        <v>86</v>
      </c>
    </row>
    <row r="1321" spans="1:18" x14ac:dyDescent="0.25">
      <c r="A1321" t="str">
        <f>'(Raw) LensesGH'!A1321</f>
        <v>Sigma Contemporary AF 18-300mm 3.5-6.3 DC Makro HSM für Sony A schwarz</v>
      </c>
      <c r="B1321" t="str">
        <f>'(Raw) LensesGH'!B1321</f>
        <v>18 - 300mm</v>
      </c>
      <c r="C1321" s="5">
        <f t="shared" si="181"/>
        <v>18</v>
      </c>
      <c r="D1321" s="5">
        <f t="shared" si="182"/>
        <v>300</v>
      </c>
      <c r="E1321" t="str">
        <f>'(Raw) LensesGH'!C1321</f>
        <v>1:3.5-1:6.3</v>
      </c>
      <c r="F1321" s="9">
        <f t="shared" si="183"/>
        <v>3.5</v>
      </c>
      <c r="G1321" s="9">
        <f t="shared" si="184"/>
        <v>3.5</v>
      </c>
      <c r="H1321" t="str">
        <f>'(Raw) LensesGH'!D1321</f>
        <v>72mm</v>
      </c>
      <c r="I1321" s="2">
        <f t="shared" si="185"/>
        <v>72</v>
      </c>
      <c r="J1321" s="2" t="str">
        <f>'(Raw) LensesGH'!E1321</f>
        <v>1:3.00</v>
      </c>
      <c r="K1321" s="40">
        <f t="shared" si="186"/>
        <v>3</v>
      </c>
      <c r="L1321" t="str">
        <f>'(Raw) LensesGH'!F1321</f>
        <v>Sony A</v>
      </c>
      <c r="M1321" t="str">
        <f>'(Raw) LensesGH'!G1321</f>
        <v>APS-C</v>
      </c>
      <c r="N1321" t="str">
        <f>'(Raw) LensesGH'!H1321</f>
        <v>585g</v>
      </c>
      <c r="O1321" s="5">
        <f t="shared" si="187"/>
        <v>585</v>
      </c>
      <c r="P1321" t="str">
        <f>'(Raw) LensesGH'!I1321</f>
        <v>79 x 101.5mm</v>
      </c>
      <c r="Q1321" s="39">
        <f t="shared" si="188"/>
        <v>79</v>
      </c>
      <c r="R1321" s="39">
        <f t="shared" si="180"/>
        <v>101.5</v>
      </c>
    </row>
    <row r="1322" spans="1:18" x14ac:dyDescent="0.25">
      <c r="A1322" t="str">
        <f>'(Raw) LensesGH'!A1322</f>
        <v>Sigma Contemporary AF 18-300mm 3.5-6.3 DC Makro OS HSM für Canon EF schwarz</v>
      </c>
      <c r="B1322" t="str">
        <f>'(Raw) LensesGH'!B1322</f>
        <v>18 - 300mm</v>
      </c>
      <c r="C1322" s="5">
        <f t="shared" si="181"/>
        <v>18</v>
      </c>
      <c r="D1322" s="5">
        <f t="shared" si="182"/>
        <v>300</v>
      </c>
      <c r="E1322" t="str">
        <f>'(Raw) LensesGH'!C1322</f>
        <v>1:3.5-1:6.3</v>
      </c>
      <c r="F1322" s="9">
        <f t="shared" si="183"/>
        <v>3.5</v>
      </c>
      <c r="G1322" s="9">
        <f t="shared" si="184"/>
        <v>3.5</v>
      </c>
      <c r="H1322" t="str">
        <f>'(Raw) LensesGH'!D1322</f>
        <v>72mm</v>
      </c>
      <c r="I1322" s="2">
        <f t="shared" si="185"/>
        <v>72</v>
      </c>
      <c r="J1322" s="2" t="str">
        <f>'(Raw) LensesGH'!E1322</f>
        <v>1:3.00</v>
      </c>
      <c r="K1322" s="40">
        <f t="shared" si="186"/>
        <v>3</v>
      </c>
      <c r="L1322" t="str">
        <f>'(Raw) LensesGH'!F1322</f>
        <v>Canon EF-S</v>
      </c>
      <c r="M1322" t="str">
        <f>'(Raw) LensesGH'!G1322</f>
        <v>APS-C</v>
      </c>
      <c r="N1322" t="str">
        <f>'(Raw) LensesGH'!H1322</f>
        <v>585g</v>
      </c>
      <c r="O1322" s="5">
        <f t="shared" si="187"/>
        <v>585</v>
      </c>
      <c r="P1322" t="str">
        <f>'(Raw) LensesGH'!I1322</f>
        <v>79 x 101.5mm</v>
      </c>
      <c r="Q1322" s="39">
        <f t="shared" si="188"/>
        <v>79</v>
      </c>
      <c r="R1322" s="39">
        <f t="shared" si="180"/>
        <v>101.5</v>
      </c>
    </row>
    <row r="1323" spans="1:18" x14ac:dyDescent="0.25">
      <c r="A1323" t="str">
        <f>'(Raw) LensesGH'!A1323</f>
        <v>Sigma Contemporary AF 18-300mm 3.5-6.3 DC Makro OS HSM für Nikon F schwarz</v>
      </c>
      <c r="B1323" t="str">
        <f>'(Raw) LensesGH'!B1323</f>
        <v>18 - 300mm</v>
      </c>
      <c r="C1323" s="5">
        <f t="shared" si="181"/>
        <v>18</v>
      </c>
      <c r="D1323" s="5">
        <f t="shared" si="182"/>
        <v>300</v>
      </c>
      <c r="E1323" t="str">
        <f>'(Raw) LensesGH'!C1323</f>
        <v>1:3.5-1:6.3</v>
      </c>
      <c r="F1323" s="9">
        <f t="shared" si="183"/>
        <v>3.5</v>
      </c>
      <c r="G1323" s="9">
        <f t="shared" si="184"/>
        <v>3.5</v>
      </c>
      <c r="H1323" t="str">
        <f>'(Raw) LensesGH'!D1323</f>
        <v>72mm</v>
      </c>
      <c r="I1323" s="2">
        <f t="shared" si="185"/>
        <v>72</v>
      </c>
      <c r="J1323" s="2" t="str">
        <f>'(Raw) LensesGH'!E1323</f>
        <v>1:3.00</v>
      </c>
      <c r="K1323" s="40">
        <f t="shared" si="186"/>
        <v>3</v>
      </c>
      <c r="L1323" t="str">
        <f>'(Raw) LensesGH'!F1323</f>
        <v>Nikon F</v>
      </c>
      <c r="M1323" t="str">
        <f>'(Raw) LensesGH'!G1323</f>
        <v>APS-C</v>
      </c>
      <c r="N1323" t="str">
        <f>'(Raw) LensesGH'!H1323</f>
        <v>585g</v>
      </c>
      <c r="O1323" s="5">
        <f t="shared" si="187"/>
        <v>585</v>
      </c>
      <c r="P1323" t="str">
        <f>'(Raw) LensesGH'!I1323</f>
        <v>79 x 101.5mm</v>
      </c>
      <c r="Q1323" s="39">
        <f t="shared" si="188"/>
        <v>79</v>
      </c>
      <c r="R1323" s="39">
        <f t="shared" si="180"/>
        <v>101.5</v>
      </c>
    </row>
    <row r="1324" spans="1:18" x14ac:dyDescent="0.25">
      <c r="A1324" t="str">
        <f>'(Raw) LensesGH'!A1324</f>
        <v>Sigma Contemporary AF 18-300mm 3.5-6.3 DC Makro OS HSM für Pentax K schwarz</v>
      </c>
      <c r="B1324" t="str">
        <f>'(Raw) LensesGH'!B1324</f>
        <v>18 - 300mm</v>
      </c>
      <c r="C1324" s="5">
        <f t="shared" si="181"/>
        <v>18</v>
      </c>
      <c r="D1324" s="5">
        <f t="shared" si="182"/>
        <v>300</v>
      </c>
      <c r="E1324" t="str">
        <f>'(Raw) LensesGH'!C1324</f>
        <v>1:3.5-1:6.3</v>
      </c>
      <c r="F1324" s="9">
        <f t="shared" si="183"/>
        <v>3.5</v>
      </c>
      <c r="G1324" s="9">
        <f t="shared" si="184"/>
        <v>3.5</v>
      </c>
      <c r="H1324" t="str">
        <f>'(Raw) LensesGH'!D1324</f>
        <v>72mm</v>
      </c>
      <c r="I1324" s="2">
        <f t="shared" si="185"/>
        <v>72</v>
      </c>
      <c r="J1324" s="2" t="str">
        <f>'(Raw) LensesGH'!E1324</f>
        <v>1:3.00</v>
      </c>
      <c r="K1324" s="40">
        <f t="shared" si="186"/>
        <v>3</v>
      </c>
      <c r="L1324" t="str">
        <f>'(Raw) LensesGH'!F1324</f>
        <v>Pentax K</v>
      </c>
      <c r="M1324" t="str">
        <f>'(Raw) LensesGH'!G1324</f>
        <v>APS-C</v>
      </c>
      <c r="N1324" t="str">
        <f>'(Raw) LensesGH'!H1324</f>
        <v>585g</v>
      </c>
      <c r="O1324" s="5">
        <f t="shared" si="187"/>
        <v>585</v>
      </c>
      <c r="P1324" t="str">
        <f>'(Raw) LensesGH'!I1324</f>
        <v>79 x 101.5mm</v>
      </c>
      <c r="Q1324" s="39">
        <f t="shared" si="188"/>
        <v>79</v>
      </c>
      <c r="R1324" s="39">
        <f t="shared" si="180"/>
        <v>101.5</v>
      </c>
    </row>
    <row r="1325" spans="1:18" x14ac:dyDescent="0.25">
      <c r="A1325" t="str">
        <f>'(Raw) LensesGH'!A1325</f>
        <v>Sigma Contemporary AF 18-300mm 3.5-6.3 DC Makro OS HSM für Sigma schwarz</v>
      </c>
      <c r="B1325" t="str">
        <f>'(Raw) LensesGH'!B1325</f>
        <v>18 - 300mm</v>
      </c>
      <c r="C1325" s="5">
        <f t="shared" si="181"/>
        <v>18</v>
      </c>
      <c r="D1325" s="5">
        <f t="shared" si="182"/>
        <v>300</v>
      </c>
      <c r="E1325" t="str">
        <f>'(Raw) LensesGH'!C1325</f>
        <v>1:3.5-1:6.3</v>
      </c>
      <c r="F1325" s="9">
        <f t="shared" si="183"/>
        <v>3.5</v>
      </c>
      <c r="G1325" s="9">
        <f t="shared" si="184"/>
        <v>3.5</v>
      </c>
      <c r="H1325" t="str">
        <f>'(Raw) LensesGH'!D1325</f>
        <v>72mm</v>
      </c>
      <c r="I1325" s="2">
        <f t="shared" si="185"/>
        <v>72</v>
      </c>
      <c r="J1325" s="2" t="str">
        <f>'(Raw) LensesGH'!E1325</f>
        <v>1:3.00</v>
      </c>
      <c r="K1325" s="40">
        <f t="shared" si="186"/>
        <v>3</v>
      </c>
      <c r="L1325" t="str">
        <f>'(Raw) LensesGH'!F1325</f>
        <v>Sigma SA</v>
      </c>
      <c r="M1325" t="str">
        <f>'(Raw) LensesGH'!G1325</f>
        <v>APS-C</v>
      </c>
      <c r="N1325" t="str">
        <f>'(Raw) LensesGH'!H1325</f>
        <v>585g</v>
      </c>
      <c r="O1325" s="5">
        <f t="shared" si="187"/>
        <v>585</v>
      </c>
      <c r="P1325" t="str">
        <f>'(Raw) LensesGH'!I1325</f>
        <v>79 x 101.5mm</v>
      </c>
      <c r="Q1325" s="39">
        <f t="shared" si="188"/>
        <v>79</v>
      </c>
      <c r="R1325" s="39">
        <f t="shared" si="180"/>
        <v>101.5</v>
      </c>
    </row>
    <row r="1326" spans="1:18" x14ac:dyDescent="0.25">
      <c r="A1326" t="str">
        <f>'(Raw) LensesGH'!A1326</f>
        <v>Sigma Contemporary AF 30mm 1.4 DC DN für Micro-Four-Thirds schwarz</v>
      </c>
      <c r="B1326" t="str">
        <f>'(Raw) LensesGH'!B1326</f>
        <v>30mm</v>
      </c>
      <c r="C1326" s="5">
        <f t="shared" si="181"/>
        <v>30</v>
      </c>
      <c r="D1326" s="5">
        <f t="shared" si="182"/>
        <v>30</v>
      </c>
      <c r="E1326" t="str">
        <f>'(Raw) LensesGH'!C1326</f>
        <v>1:1.4</v>
      </c>
      <c r="F1326" s="9">
        <f t="shared" si="183"/>
        <v>1.4</v>
      </c>
      <c r="G1326" s="9">
        <f t="shared" si="184"/>
        <v>1.4</v>
      </c>
      <c r="H1326" t="str">
        <f>'(Raw) LensesGH'!D1326</f>
        <v>52mm</v>
      </c>
      <c r="I1326" s="2">
        <f t="shared" si="185"/>
        <v>52</v>
      </c>
      <c r="J1326" s="2" t="str">
        <f>'(Raw) LensesGH'!E1326</f>
        <v>1:7.00</v>
      </c>
      <c r="K1326" s="40">
        <f t="shared" si="186"/>
        <v>7</v>
      </c>
      <c r="L1326" t="str">
        <f>'(Raw) LensesGH'!F1326</f>
        <v>Micro-Four-Thirds</v>
      </c>
      <c r="M1326" t="str">
        <f>'(Raw) LensesGH'!G1326</f>
        <v>APS-C</v>
      </c>
      <c r="N1326" t="str">
        <f>'(Raw) LensesGH'!H1326</f>
        <v>265g</v>
      </c>
      <c r="O1326" s="5">
        <f t="shared" si="187"/>
        <v>265</v>
      </c>
      <c r="P1326" t="str">
        <f>'(Raw) LensesGH'!I1326</f>
        <v>64.8 x 73.3mm</v>
      </c>
      <c r="Q1326" s="39">
        <f t="shared" si="188"/>
        <v>64.8</v>
      </c>
      <c r="R1326" s="39">
        <f t="shared" si="180"/>
        <v>73.3</v>
      </c>
    </row>
    <row r="1327" spans="1:18" x14ac:dyDescent="0.25">
      <c r="A1327" t="str">
        <f>'(Raw) LensesGH'!A1327</f>
        <v>Sigma Contemporary AF 30mm 1.4 DC DN für Sony E schwarz</v>
      </c>
      <c r="B1327" t="str">
        <f>'(Raw) LensesGH'!B1327</f>
        <v>30mm</v>
      </c>
      <c r="C1327" s="5">
        <f t="shared" si="181"/>
        <v>30</v>
      </c>
      <c r="D1327" s="5">
        <f t="shared" si="182"/>
        <v>30</v>
      </c>
      <c r="E1327" t="str">
        <f>'(Raw) LensesGH'!C1327</f>
        <v>1:1.4</v>
      </c>
      <c r="F1327" s="9">
        <f t="shared" si="183"/>
        <v>1.4</v>
      </c>
      <c r="G1327" s="9">
        <f t="shared" si="184"/>
        <v>1.4</v>
      </c>
      <c r="H1327" t="str">
        <f>'(Raw) LensesGH'!D1327</f>
        <v>52mm</v>
      </c>
      <c r="I1327" s="2">
        <f t="shared" si="185"/>
        <v>52</v>
      </c>
      <c r="J1327" s="2" t="str">
        <f>'(Raw) LensesGH'!E1327</f>
        <v>1:7.00</v>
      </c>
      <c r="K1327" s="40">
        <f t="shared" si="186"/>
        <v>7</v>
      </c>
      <c r="L1327" t="str">
        <f>'(Raw) LensesGH'!F1327</f>
        <v>Sony E</v>
      </c>
      <c r="M1327" t="str">
        <f>'(Raw) LensesGH'!G1327</f>
        <v>APS-C</v>
      </c>
      <c r="N1327" t="str">
        <f>'(Raw) LensesGH'!H1327</f>
        <v>265g</v>
      </c>
      <c r="O1327" s="5">
        <f t="shared" si="187"/>
        <v>265</v>
      </c>
      <c r="P1327" t="str">
        <f>'(Raw) LensesGH'!I1327</f>
        <v>64.8 x 73.3mm</v>
      </c>
      <c r="Q1327" s="39">
        <f t="shared" si="188"/>
        <v>64.8</v>
      </c>
      <c r="R1327" s="39">
        <f t="shared" si="180"/>
        <v>73.3</v>
      </c>
    </row>
    <row r="1328" spans="1:18" x14ac:dyDescent="0.25">
      <c r="A1328" t="str">
        <f>'(Raw) LensesGH'!A1328</f>
        <v>Sigma Sports AF 120-300mm 2.8 DG HSM OS für Canon EF schwarz</v>
      </c>
      <c r="B1328" t="str">
        <f>'(Raw) LensesGH'!B1328</f>
        <v>120 - 300mm</v>
      </c>
      <c r="C1328" s="5">
        <f t="shared" si="181"/>
        <v>120</v>
      </c>
      <c r="D1328" s="5">
        <f t="shared" si="182"/>
        <v>300</v>
      </c>
      <c r="E1328" t="str">
        <f>'(Raw) LensesGH'!C1328</f>
        <v>1:2.8</v>
      </c>
      <c r="F1328" s="9">
        <f t="shared" si="183"/>
        <v>2.8</v>
      </c>
      <c r="G1328" s="9">
        <f t="shared" si="184"/>
        <v>2.8</v>
      </c>
      <c r="H1328" t="str">
        <f>'(Raw) LensesGH'!D1328</f>
        <v>105mm</v>
      </c>
      <c r="I1328" s="2">
        <f t="shared" si="185"/>
        <v>105</v>
      </c>
      <c r="J1328" s="2" t="str">
        <f>'(Raw) LensesGH'!E1328</f>
        <v>1:8.10</v>
      </c>
      <c r="K1328" s="40">
        <f t="shared" si="186"/>
        <v>8.1</v>
      </c>
      <c r="L1328" t="str">
        <f>'(Raw) LensesGH'!F1328</f>
        <v>Canon EF</v>
      </c>
      <c r="M1328" t="str">
        <f>'(Raw) LensesGH'!G1328</f>
        <v>APS-C/ Kleinbild</v>
      </c>
      <c r="N1328" t="str">
        <f>'(Raw) LensesGH'!H1328</f>
        <v>3390g</v>
      </c>
      <c r="O1328" s="5">
        <f t="shared" si="187"/>
        <v>3390</v>
      </c>
      <c r="P1328" t="str">
        <f>'(Raw) LensesGH'!I1328</f>
        <v>124.4 x 291mm</v>
      </c>
      <c r="Q1328" s="39">
        <f t="shared" si="188"/>
        <v>124.4</v>
      </c>
      <c r="R1328" s="39">
        <f t="shared" si="180"/>
        <v>291</v>
      </c>
    </row>
    <row r="1329" spans="1:18" x14ac:dyDescent="0.25">
      <c r="A1329" t="str">
        <f>'(Raw) LensesGH'!A1329</f>
        <v>Sigma Sports AF 120-300mm 2.8 DG HSM OS für Nikon F schwarz</v>
      </c>
      <c r="B1329" t="str">
        <f>'(Raw) LensesGH'!B1329</f>
        <v>120 - 300mm</v>
      </c>
      <c r="C1329" s="5">
        <f t="shared" si="181"/>
        <v>120</v>
      </c>
      <c r="D1329" s="5">
        <f t="shared" si="182"/>
        <v>300</v>
      </c>
      <c r="E1329" t="str">
        <f>'(Raw) LensesGH'!C1329</f>
        <v>1:2.8</v>
      </c>
      <c r="F1329" s="9">
        <f t="shared" si="183"/>
        <v>2.8</v>
      </c>
      <c r="G1329" s="9">
        <f t="shared" si="184"/>
        <v>2.8</v>
      </c>
      <c r="H1329" t="str">
        <f>'(Raw) LensesGH'!D1329</f>
        <v>105mm</v>
      </c>
      <c r="I1329" s="2">
        <f t="shared" si="185"/>
        <v>105</v>
      </c>
      <c r="J1329" s="2" t="str">
        <f>'(Raw) LensesGH'!E1329</f>
        <v>1:8.10</v>
      </c>
      <c r="K1329" s="40">
        <f t="shared" si="186"/>
        <v>8.1</v>
      </c>
      <c r="L1329" t="str">
        <f>'(Raw) LensesGH'!F1329</f>
        <v>Nikon F</v>
      </c>
      <c r="M1329" t="str">
        <f>'(Raw) LensesGH'!G1329</f>
        <v>APS-C/ Kleinbild</v>
      </c>
      <c r="N1329" t="str">
        <f>'(Raw) LensesGH'!H1329</f>
        <v>3390g</v>
      </c>
      <c r="O1329" s="5">
        <f t="shared" si="187"/>
        <v>3390</v>
      </c>
      <c r="P1329" t="str">
        <f>'(Raw) LensesGH'!I1329</f>
        <v>124.4 x 291mm</v>
      </c>
      <c r="Q1329" s="39">
        <f t="shared" si="188"/>
        <v>124.4</v>
      </c>
      <c r="R1329" s="39">
        <f t="shared" si="180"/>
        <v>291</v>
      </c>
    </row>
    <row r="1330" spans="1:18" x14ac:dyDescent="0.25">
      <c r="A1330" t="str">
        <f>'(Raw) LensesGH'!A1330</f>
        <v>Sigma Sports AF 120-300mm 2.8 DG HSM OS für Sigma schwarz</v>
      </c>
      <c r="B1330" t="str">
        <f>'(Raw) LensesGH'!B1330</f>
        <v>120 - 300mm</v>
      </c>
      <c r="C1330" s="5">
        <f t="shared" si="181"/>
        <v>120</v>
      </c>
      <c r="D1330" s="5">
        <f t="shared" si="182"/>
        <v>300</v>
      </c>
      <c r="E1330" t="str">
        <f>'(Raw) LensesGH'!C1330</f>
        <v>1:2.8</v>
      </c>
      <c r="F1330" s="9">
        <f t="shared" si="183"/>
        <v>2.8</v>
      </c>
      <c r="G1330" s="9">
        <f t="shared" si="184"/>
        <v>2.8</v>
      </c>
      <c r="H1330" t="str">
        <f>'(Raw) LensesGH'!D1330</f>
        <v>105mm</v>
      </c>
      <c r="I1330" s="2">
        <f t="shared" si="185"/>
        <v>105</v>
      </c>
      <c r="J1330" s="2" t="str">
        <f>'(Raw) LensesGH'!E1330</f>
        <v>1:8.10</v>
      </c>
      <c r="K1330" s="40">
        <f t="shared" si="186"/>
        <v>8.1</v>
      </c>
      <c r="L1330" t="str">
        <f>'(Raw) LensesGH'!F1330</f>
        <v>Sigma SA</v>
      </c>
      <c r="M1330" t="str">
        <f>'(Raw) LensesGH'!G1330</f>
        <v>APS-C</v>
      </c>
      <c r="N1330" t="str">
        <f>'(Raw) LensesGH'!H1330</f>
        <v>3390g</v>
      </c>
      <c r="O1330" s="5">
        <f t="shared" si="187"/>
        <v>3390</v>
      </c>
      <c r="P1330" t="str">
        <f>'(Raw) LensesGH'!I1330</f>
        <v>124.4 x 291mm</v>
      </c>
      <c r="Q1330" s="39">
        <f t="shared" si="188"/>
        <v>124.4</v>
      </c>
      <c r="R1330" s="39">
        <f t="shared" si="180"/>
        <v>291</v>
      </c>
    </row>
    <row r="1331" spans="1:18" x14ac:dyDescent="0.25">
      <c r="A1331" t="str">
        <f>'(Raw) LensesGH'!A1331</f>
        <v>Sigma Sports AF 150-600mm 5.0-6.3 DG OS HSM für Canon EF schwarz</v>
      </c>
      <c r="B1331" t="str">
        <f>'(Raw) LensesGH'!B1331</f>
        <v>150 - 600mm</v>
      </c>
      <c r="C1331" s="5">
        <f t="shared" si="181"/>
        <v>150</v>
      </c>
      <c r="D1331" s="5">
        <f t="shared" si="182"/>
        <v>600</v>
      </c>
      <c r="E1331" t="str">
        <f>'(Raw) LensesGH'!C1331</f>
        <v>1:5.0-1:6.3</v>
      </c>
      <c r="F1331" s="9">
        <f t="shared" si="183"/>
        <v>5</v>
      </c>
      <c r="G1331" s="9">
        <f t="shared" si="184"/>
        <v>5</v>
      </c>
      <c r="H1331" t="str">
        <f>'(Raw) LensesGH'!D1331</f>
        <v>105mm</v>
      </c>
      <c r="I1331" s="2">
        <f t="shared" si="185"/>
        <v>105</v>
      </c>
      <c r="J1331" s="2" t="str">
        <f>'(Raw) LensesGH'!E1331</f>
        <v>1:5.00</v>
      </c>
      <c r="K1331" s="40">
        <f t="shared" si="186"/>
        <v>5</v>
      </c>
      <c r="L1331" t="str">
        <f>'(Raw) LensesGH'!F1331</f>
        <v>Canon EF</v>
      </c>
      <c r="M1331" t="str">
        <f>'(Raw) LensesGH'!G1331</f>
        <v>APS-C/ Kleinbild</v>
      </c>
      <c r="N1331" t="str">
        <f>'(Raw) LensesGH'!H1331</f>
        <v>2860g</v>
      </c>
      <c r="O1331" s="5">
        <f t="shared" si="187"/>
        <v>2860</v>
      </c>
      <c r="P1331" t="str">
        <f>'(Raw) LensesGH'!I1331</f>
        <v>121 x 290.2mm</v>
      </c>
      <c r="Q1331" s="39">
        <f t="shared" si="188"/>
        <v>121</v>
      </c>
      <c r="R1331" s="39">
        <f t="shared" si="180"/>
        <v>290.2</v>
      </c>
    </row>
    <row r="1332" spans="1:18" x14ac:dyDescent="0.25">
      <c r="A1332" t="str">
        <f>'(Raw) LensesGH'!A1332</f>
        <v>Sigma Sports AF 150-600mm 5.0-6.3 DG OS HSM für Nikon F schwarz</v>
      </c>
      <c r="B1332" t="str">
        <f>'(Raw) LensesGH'!B1332</f>
        <v>150 - 600mm</v>
      </c>
      <c r="C1332" s="5">
        <f t="shared" si="181"/>
        <v>150</v>
      </c>
      <c r="D1332" s="5">
        <f t="shared" si="182"/>
        <v>600</v>
      </c>
      <c r="E1332" t="str">
        <f>'(Raw) LensesGH'!C1332</f>
        <v>1:5.0-1:6.3</v>
      </c>
      <c r="F1332" s="9">
        <f t="shared" si="183"/>
        <v>5</v>
      </c>
      <c r="G1332" s="9">
        <f t="shared" si="184"/>
        <v>5</v>
      </c>
      <c r="H1332" t="str">
        <f>'(Raw) LensesGH'!D1332</f>
        <v>105mm</v>
      </c>
      <c r="I1332" s="2">
        <f t="shared" si="185"/>
        <v>105</v>
      </c>
      <c r="J1332" s="2" t="str">
        <f>'(Raw) LensesGH'!E1332</f>
        <v>1:5.00</v>
      </c>
      <c r="K1332" s="40">
        <f t="shared" si="186"/>
        <v>5</v>
      </c>
      <c r="L1332" t="str">
        <f>'(Raw) LensesGH'!F1332</f>
        <v>Nikon F</v>
      </c>
      <c r="M1332" t="str">
        <f>'(Raw) LensesGH'!G1332</f>
        <v>APS-C/ Kleinbild</v>
      </c>
      <c r="N1332" t="str">
        <f>'(Raw) LensesGH'!H1332</f>
        <v>2860g</v>
      </c>
      <c r="O1332" s="5">
        <f t="shared" si="187"/>
        <v>2860</v>
      </c>
      <c r="P1332" t="str">
        <f>'(Raw) LensesGH'!I1332</f>
        <v>121 x 290.2mm</v>
      </c>
      <c r="Q1332" s="39">
        <f t="shared" si="188"/>
        <v>121</v>
      </c>
      <c r="R1332" s="39">
        <f t="shared" si="180"/>
        <v>290.2</v>
      </c>
    </row>
    <row r="1333" spans="1:18" x14ac:dyDescent="0.25">
      <c r="A1333" t="str">
        <f>'(Raw) LensesGH'!A1333</f>
        <v>Sigma Sports AF 150-600mm 5.0-6.3 DG OS HSM für Sigma schwarz</v>
      </c>
      <c r="B1333" t="str">
        <f>'(Raw) LensesGH'!B1333</f>
        <v>150 - 600mm</v>
      </c>
      <c r="C1333" s="5">
        <f t="shared" si="181"/>
        <v>150</v>
      </c>
      <c r="D1333" s="5">
        <f t="shared" si="182"/>
        <v>600</v>
      </c>
      <c r="E1333" t="str">
        <f>'(Raw) LensesGH'!C1333</f>
        <v>1:5.0-1:6.3</v>
      </c>
      <c r="F1333" s="9">
        <f t="shared" si="183"/>
        <v>5</v>
      </c>
      <c r="G1333" s="9">
        <f t="shared" si="184"/>
        <v>5</v>
      </c>
      <c r="H1333" t="str">
        <f>'(Raw) LensesGH'!D1333</f>
        <v>105mm</v>
      </c>
      <c r="I1333" s="2">
        <f t="shared" si="185"/>
        <v>105</v>
      </c>
      <c r="J1333" s="2" t="str">
        <f>'(Raw) LensesGH'!E1333</f>
        <v>1:5.00</v>
      </c>
      <c r="K1333" s="40">
        <f t="shared" si="186"/>
        <v>5</v>
      </c>
      <c r="L1333" t="str">
        <f>'(Raw) LensesGH'!F1333</f>
        <v>Sigma SA</v>
      </c>
      <c r="M1333" t="str">
        <f>'(Raw) LensesGH'!G1333</f>
        <v>APS-C</v>
      </c>
      <c r="N1333" t="str">
        <f>'(Raw) LensesGH'!H1333</f>
        <v>2860g</v>
      </c>
      <c r="O1333" s="5">
        <f t="shared" si="187"/>
        <v>2860</v>
      </c>
      <c r="P1333" t="str">
        <f>'(Raw) LensesGH'!I1333</f>
        <v>121 x 290.2mm</v>
      </c>
      <c r="Q1333" s="39">
        <f t="shared" si="188"/>
        <v>121</v>
      </c>
      <c r="R1333" s="39">
        <f t="shared" si="180"/>
        <v>290.2</v>
      </c>
    </row>
    <row r="1334" spans="1:18" x14ac:dyDescent="0.25">
      <c r="A1334" t="str">
        <f>'(Raw) LensesGH'!A1334</f>
        <v>Sigma Sports AF 150-600mm 5.0-6.3 DG OS HSM inkl. 1.4x Telekonverter für Canon EF schwarz</v>
      </c>
      <c r="B1334" t="str">
        <f>'(Raw) LensesGH'!B1334</f>
        <v>150 - 600mm</v>
      </c>
      <c r="C1334" s="5">
        <f t="shared" si="181"/>
        <v>150</v>
      </c>
      <c r="D1334" s="5">
        <f t="shared" si="182"/>
        <v>600</v>
      </c>
      <c r="E1334" t="str">
        <f>'(Raw) LensesGH'!C1334</f>
        <v>1:5.0-1:6.3</v>
      </c>
      <c r="F1334" s="9">
        <f t="shared" si="183"/>
        <v>5</v>
      </c>
      <c r="G1334" s="9">
        <f t="shared" si="184"/>
        <v>5</v>
      </c>
      <c r="H1334" t="str">
        <f>'(Raw) LensesGH'!D1334</f>
        <v>105mm</v>
      </c>
      <c r="I1334" s="2">
        <f t="shared" si="185"/>
        <v>105</v>
      </c>
      <c r="J1334" s="2" t="str">
        <f>'(Raw) LensesGH'!E1334</f>
        <v>1:5.00</v>
      </c>
      <c r="K1334" s="40">
        <f t="shared" si="186"/>
        <v>5</v>
      </c>
      <c r="L1334" t="str">
        <f>'(Raw) LensesGH'!F1334</f>
        <v>Canon EF</v>
      </c>
      <c r="M1334" t="str">
        <f>'(Raw) LensesGH'!G1334</f>
        <v>APS-C/ Kleinbild</v>
      </c>
      <c r="N1334" t="str">
        <f>'(Raw) LensesGH'!H1334</f>
        <v>2860g</v>
      </c>
      <c r="O1334" s="5">
        <f t="shared" si="187"/>
        <v>2860</v>
      </c>
      <c r="P1334" t="str">
        <f>'(Raw) LensesGH'!I1334</f>
        <v>121 x 290.2mm</v>
      </c>
      <c r="Q1334" s="39">
        <f t="shared" si="188"/>
        <v>121</v>
      </c>
      <c r="R1334" s="39">
        <f t="shared" si="180"/>
        <v>290.2</v>
      </c>
    </row>
    <row r="1335" spans="1:18" x14ac:dyDescent="0.25">
      <c r="A1335" t="str">
        <f>'(Raw) LensesGH'!A1335</f>
        <v>Sigma Sports AF 150-600mm 5.0-6.3 DG OS HSM inkl. 1.4x Telekonverter für Nikon F schwarz</v>
      </c>
      <c r="B1335" t="str">
        <f>'(Raw) LensesGH'!B1335</f>
        <v>150 - 600mm</v>
      </c>
      <c r="C1335" s="5">
        <f t="shared" si="181"/>
        <v>150</v>
      </c>
      <c r="D1335" s="5">
        <f t="shared" si="182"/>
        <v>600</v>
      </c>
      <c r="E1335" t="str">
        <f>'(Raw) LensesGH'!C1335</f>
        <v>1:5.0-1:6.3</v>
      </c>
      <c r="F1335" s="9">
        <f t="shared" si="183"/>
        <v>5</v>
      </c>
      <c r="G1335" s="9">
        <f t="shared" si="184"/>
        <v>5</v>
      </c>
      <c r="H1335" t="str">
        <f>'(Raw) LensesGH'!D1335</f>
        <v>105mm</v>
      </c>
      <c r="I1335" s="2">
        <f t="shared" si="185"/>
        <v>105</v>
      </c>
      <c r="J1335" s="2" t="str">
        <f>'(Raw) LensesGH'!E1335</f>
        <v>1:5.00</v>
      </c>
      <c r="K1335" s="40">
        <f t="shared" si="186"/>
        <v>5</v>
      </c>
      <c r="L1335" t="str">
        <f>'(Raw) LensesGH'!F1335</f>
        <v>Nikon F</v>
      </c>
      <c r="M1335" t="str">
        <f>'(Raw) LensesGH'!G1335</f>
        <v>APS-C/ Kleinbild</v>
      </c>
      <c r="N1335" t="str">
        <f>'(Raw) LensesGH'!H1335</f>
        <v>2860g</v>
      </c>
      <c r="O1335" s="5">
        <f t="shared" si="187"/>
        <v>2860</v>
      </c>
      <c r="P1335" t="str">
        <f>'(Raw) LensesGH'!I1335</f>
        <v>121 x 290.2mm</v>
      </c>
      <c r="Q1335" s="39">
        <f t="shared" si="188"/>
        <v>121</v>
      </c>
      <c r="R1335" s="39">
        <f t="shared" si="180"/>
        <v>290.2</v>
      </c>
    </row>
    <row r="1336" spans="1:18" x14ac:dyDescent="0.25">
      <c r="A1336" t="str">
        <f>'(Raw) LensesGH'!A1336</f>
        <v>Sigma Sports AF 150-600mm 5.0-6.3 DG OS HSM inkl. 1.4x Telekonverter für Sigma schwarz</v>
      </c>
      <c r="B1336" t="str">
        <f>'(Raw) LensesGH'!B1336</f>
        <v>150 - 600mm</v>
      </c>
      <c r="C1336" s="5">
        <f t="shared" si="181"/>
        <v>150</v>
      </c>
      <c r="D1336" s="5">
        <f t="shared" si="182"/>
        <v>600</v>
      </c>
      <c r="E1336" t="str">
        <f>'(Raw) LensesGH'!C1336</f>
        <v>1:5.0-1:6.3</v>
      </c>
      <c r="F1336" s="9">
        <f t="shared" si="183"/>
        <v>5</v>
      </c>
      <c r="G1336" s="9">
        <f t="shared" si="184"/>
        <v>5</v>
      </c>
      <c r="H1336" t="str">
        <f>'(Raw) LensesGH'!D1336</f>
        <v>105mm</v>
      </c>
      <c r="I1336" s="2">
        <f t="shared" si="185"/>
        <v>105</v>
      </c>
      <c r="J1336" s="2" t="str">
        <f>'(Raw) LensesGH'!E1336</f>
        <v>1:5.00</v>
      </c>
      <c r="K1336" s="40">
        <f t="shared" si="186"/>
        <v>5</v>
      </c>
      <c r="L1336" t="str">
        <f>'(Raw) LensesGH'!F1336</f>
        <v>Sigma SA</v>
      </c>
      <c r="M1336" t="str">
        <f>'(Raw) LensesGH'!G1336</f>
        <v>APS-C</v>
      </c>
      <c r="N1336" t="str">
        <f>'(Raw) LensesGH'!H1336</f>
        <v>2860g</v>
      </c>
      <c r="O1336" s="5">
        <f t="shared" si="187"/>
        <v>2860</v>
      </c>
      <c r="P1336" t="str">
        <f>'(Raw) LensesGH'!I1336</f>
        <v>121 x 290.2mm</v>
      </c>
      <c r="Q1336" s="39">
        <f t="shared" si="188"/>
        <v>121</v>
      </c>
      <c r="R1336" s="39">
        <f t="shared" si="180"/>
        <v>290.2</v>
      </c>
    </row>
    <row r="1337" spans="1:18" x14ac:dyDescent="0.25">
      <c r="A1337" t="str">
        <f>'(Raw) LensesGH'!A1337</f>
        <v>Sigma Sports AF 500mm 4.0 DG OS HSM für Canon EF schwarz</v>
      </c>
      <c r="B1337" t="str">
        <f>'(Raw) LensesGH'!B1337</f>
        <v>500mm</v>
      </c>
      <c r="C1337" s="5">
        <f t="shared" si="181"/>
        <v>500</v>
      </c>
      <c r="D1337" s="5">
        <f t="shared" si="182"/>
        <v>500</v>
      </c>
      <c r="E1337" t="str">
        <f>'(Raw) LensesGH'!C1337</f>
        <v>1:4.0</v>
      </c>
      <c r="F1337" s="9">
        <f t="shared" si="183"/>
        <v>4</v>
      </c>
      <c r="G1337" s="9">
        <f t="shared" si="184"/>
        <v>4</v>
      </c>
      <c r="H1337" t="str">
        <f>'(Raw) LensesGH'!D1337</f>
        <v>46mm</v>
      </c>
      <c r="I1337" s="2">
        <f t="shared" si="185"/>
        <v>46</v>
      </c>
      <c r="J1337" s="2" t="str">
        <f>'(Raw) LensesGH'!E1337</f>
        <v>1:6.50</v>
      </c>
      <c r="K1337" s="40">
        <f t="shared" si="186"/>
        <v>6.5</v>
      </c>
      <c r="L1337" t="str">
        <f>'(Raw) LensesGH'!F1337</f>
        <v>Canon EF</v>
      </c>
      <c r="M1337" t="str">
        <f>'(Raw) LensesGH'!G1337</f>
        <v>APS-C/ Kleinbild</v>
      </c>
      <c r="N1337" t="str">
        <f>'(Raw) LensesGH'!H1337</f>
        <v>3310g</v>
      </c>
      <c r="O1337" s="5">
        <f t="shared" si="187"/>
        <v>3310</v>
      </c>
      <c r="P1337" t="str">
        <f>'(Raw) LensesGH'!I1337</f>
        <v>144.8 x 380.3mm</v>
      </c>
      <c r="Q1337" s="39">
        <f t="shared" si="188"/>
        <v>144.80000000000001</v>
      </c>
      <c r="R1337" s="39">
        <f t="shared" si="180"/>
        <v>380.3</v>
      </c>
    </row>
    <row r="1338" spans="1:18" x14ac:dyDescent="0.25">
      <c r="A1338" t="str">
        <f>'(Raw) LensesGH'!A1338</f>
        <v>Sigma Sports AF 500mm 4.0 DG OS HSM für Nikon F schwarz</v>
      </c>
      <c r="B1338" t="str">
        <f>'(Raw) LensesGH'!B1338</f>
        <v>500mm</v>
      </c>
      <c r="C1338" s="5">
        <f t="shared" si="181"/>
        <v>500</v>
      </c>
      <c r="D1338" s="5">
        <f t="shared" si="182"/>
        <v>500</v>
      </c>
      <c r="E1338" t="str">
        <f>'(Raw) LensesGH'!C1338</f>
        <v>1:4.0</v>
      </c>
      <c r="F1338" s="9">
        <f t="shared" si="183"/>
        <v>4</v>
      </c>
      <c r="G1338" s="9">
        <f t="shared" si="184"/>
        <v>4</v>
      </c>
      <c r="H1338" t="str">
        <f>'(Raw) LensesGH'!D1338</f>
        <v>46mm</v>
      </c>
      <c r="I1338" s="2">
        <f t="shared" si="185"/>
        <v>46</v>
      </c>
      <c r="J1338" s="2" t="str">
        <f>'(Raw) LensesGH'!E1338</f>
        <v>1:6.50</v>
      </c>
      <c r="K1338" s="40">
        <f t="shared" si="186"/>
        <v>6.5</v>
      </c>
      <c r="L1338" t="str">
        <f>'(Raw) LensesGH'!F1338</f>
        <v>Nikon F</v>
      </c>
      <c r="M1338" t="str">
        <f>'(Raw) LensesGH'!G1338</f>
        <v>APS-C/ Kleinbild</v>
      </c>
      <c r="N1338" t="str">
        <f>'(Raw) LensesGH'!H1338</f>
        <v>3310g</v>
      </c>
      <c r="O1338" s="5">
        <f t="shared" si="187"/>
        <v>3310</v>
      </c>
      <c r="P1338" t="str">
        <f>'(Raw) LensesGH'!I1338</f>
        <v>144.8 x 380.3mm</v>
      </c>
      <c r="Q1338" s="39">
        <f t="shared" si="188"/>
        <v>144.80000000000001</v>
      </c>
      <c r="R1338" s="39">
        <f t="shared" si="180"/>
        <v>380.3</v>
      </c>
    </row>
    <row r="1339" spans="1:18" x14ac:dyDescent="0.25">
      <c r="A1339" t="str">
        <f>'(Raw) LensesGH'!A1339</f>
        <v>Sigma Sports AF 500mm 4.0 DG OS HSM für Sigma schwarz</v>
      </c>
      <c r="B1339" t="str">
        <f>'(Raw) LensesGH'!B1339</f>
        <v>500mm</v>
      </c>
      <c r="C1339" s="5">
        <f t="shared" si="181"/>
        <v>500</v>
      </c>
      <c r="D1339" s="5">
        <f t="shared" si="182"/>
        <v>500</v>
      </c>
      <c r="E1339" t="str">
        <f>'(Raw) LensesGH'!C1339</f>
        <v>1:4.0</v>
      </c>
      <c r="F1339" s="9">
        <f t="shared" si="183"/>
        <v>4</v>
      </c>
      <c r="G1339" s="9">
        <f t="shared" si="184"/>
        <v>4</v>
      </c>
      <c r="H1339" t="str">
        <f>'(Raw) LensesGH'!D1339</f>
        <v>46mm</v>
      </c>
      <c r="I1339" s="2">
        <f t="shared" si="185"/>
        <v>46</v>
      </c>
      <c r="J1339" s="2" t="str">
        <f>'(Raw) LensesGH'!E1339</f>
        <v>1:6.50</v>
      </c>
      <c r="K1339" s="40">
        <f t="shared" si="186"/>
        <v>6.5</v>
      </c>
      <c r="L1339" t="str">
        <f>'(Raw) LensesGH'!F1339</f>
        <v>Sigma SA</v>
      </c>
      <c r="M1339" t="str">
        <f>'(Raw) LensesGH'!G1339</f>
        <v>APS-C/ Kleinbild</v>
      </c>
      <c r="N1339" t="str">
        <f>'(Raw) LensesGH'!H1339</f>
        <v>3310g</v>
      </c>
      <c r="O1339" s="5">
        <f t="shared" si="187"/>
        <v>3310</v>
      </c>
      <c r="P1339" t="str">
        <f>'(Raw) LensesGH'!I1339</f>
        <v>144.8 x 380.3mm</v>
      </c>
      <c r="Q1339" s="39">
        <f t="shared" si="188"/>
        <v>144.80000000000001</v>
      </c>
      <c r="R1339" s="39">
        <f t="shared" si="180"/>
        <v>380.3</v>
      </c>
    </row>
    <row r="1340" spans="1:18" x14ac:dyDescent="0.25">
      <c r="A1340" t="str">
        <f>'(Raw) LensesGH'!A1340</f>
        <v>SLR Magic Cine Mark 35mm 1.4 für Fujifilm X schwarz</v>
      </c>
      <c r="B1340" t="str">
        <f>'(Raw) LensesGH'!B1340</f>
        <v>35mm</v>
      </c>
      <c r="C1340" s="5">
        <f t="shared" si="181"/>
        <v>35</v>
      </c>
      <c r="D1340" s="5">
        <f t="shared" si="182"/>
        <v>35</v>
      </c>
      <c r="E1340" t="str">
        <f>'(Raw) LensesGH'!C1340</f>
        <v>1:1.4</v>
      </c>
      <c r="F1340" s="9">
        <f t="shared" si="183"/>
        <v>1.4</v>
      </c>
      <c r="G1340" s="9">
        <f t="shared" si="184"/>
        <v>1.4</v>
      </c>
      <c r="H1340" t="str">
        <f>'(Raw) LensesGH'!D1340</f>
        <v>52mm</v>
      </c>
      <c r="I1340" s="2">
        <f t="shared" si="185"/>
        <v>52</v>
      </c>
      <c r="J1340" s="2">
        <f>'(Raw) LensesGH'!E1340</f>
        <v>0</v>
      </c>
      <c r="K1340" s="40">
        <f t="shared" si="186"/>
        <v>0</v>
      </c>
      <c r="L1340" t="str">
        <f>'(Raw) LensesGH'!F1340</f>
        <v>Fujifilm X</v>
      </c>
      <c r="M1340" t="str">
        <f>'(Raw) LensesGH'!G1340</f>
        <v>APS-C</v>
      </c>
      <c r="N1340" t="str">
        <f>'(Raw) LensesGH'!H1340</f>
        <v>390g</v>
      </c>
      <c r="O1340" s="5">
        <f t="shared" si="187"/>
        <v>390</v>
      </c>
      <c r="P1340" t="str">
        <f>'(Raw) LensesGH'!I1340</f>
        <v>55 x 70.3mm</v>
      </c>
      <c r="Q1340" s="39">
        <f t="shared" si="188"/>
        <v>55</v>
      </c>
      <c r="R1340" s="39">
        <f t="shared" si="180"/>
        <v>70.3</v>
      </c>
    </row>
    <row r="1341" spans="1:18" x14ac:dyDescent="0.25">
      <c r="A1341" t="str">
        <f>'(Raw) LensesGH'!A1341</f>
        <v>SLR Magic Cine Mark 35mm 1.4 für Micro-Four-Thirds schwarz</v>
      </c>
      <c r="B1341" t="str">
        <f>'(Raw) LensesGH'!B1341</f>
        <v>35mm</v>
      </c>
      <c r="C1341" s="5">
        <f t="shared" si="181"/>
        <v>35</v>
      </c>
      <c r="D1341" s="5">
        <f t="shared" si="182"/>
        <v>35</v>
      </c>
      <c r="E1341" t="str">
        <f>'(Raw) LensesGH'!C1341</f>
        <v>1:1.4</v>
      </c>
      <c r="F1341" s="9">
        <f t="shared" si="183"/>
        <v>1.4</v>
      </c>
      <c r="G1341" s="9">
        <f t="shared" si="184"/>
        <v>1.4</v>
      </c>
      <c r="H1341" t="str">
        <f>'(Raw) LensesGH'!D1341</f>
        <v>52mm</v>
      </c>
      <c r="I1341" s="2">
        <f t="shared" si="185"/>
        <v>52</v>
      </c>
      <c r="J1341" s="2">
        <f>'(Raw) LensesGH'!E1341</f>
        <v>0</v>
      </c>
      <c r="K1341" s="40">
        <f t="shared" si="186"/>
        <v>0</v>
      </c>
      <c r="L1341" t="str">
        <f>'(Raw) LensesGH'!F1341</f>
        <v>Micro-Four-Thirds</v>
      </c>
      <c r="M1341" t="str">
        <f>'(Raw) LensesGH'!G1341</f>
        <v>Four-Thirds</v>
      </c>
      <c r="N1341" t="str">
        <f>'(Raw) LensesGH'!H1341</f>
        <v>390g</v>
      </c>
      <c r="O1341" s="5">
        <f t="shared" si="187"/>
        <v>390</v>
      </c>
      <c r="P1341" t="str">
        <f>'(Raw) LensesGH'!I1341</f>
        <v>55 x 70.3mm</v>
      </c>
      <c r="Q1341" s="39">
        <f t="shared" si="188"/>
        <v>55</v>
      </c>
      <c r="R1341" s="39">
        <f t="shared" si="180"/>
        <v>70.3</v>
      </c>
    </row>
    <row r="1342" spans="1:18" x14ac:dyDescent="0.25">
      <c r="A1342" t="str">
        <f>'(Raw) LensesGH'!A1342</f>
        <v>SLR Magic Cine Mark 35mm 1.4 für Sony E schwarz</v>
      </c>
      <c r="B1342" t="str">
        <f>'(Raw) LensesGH'!B1342</f>
        <v>35mm</v>
      </c>
      <c r="C1342" s="5">
        <f t="shared" si="181"/>
        <v>35</v>
      </c>
      <c r="D1342" s="5">
        <f t="shared" si="182"/>
        <v>35</v>
      </c>
      <c r="E1342" t="str">
        <f>'(Raw) LensesGH'!C1342</f>
        <v>1:1.4</v>
      </c>
      <c r="F1342" s="9">
        <f t="shared" si="183"/>
        <v>1.4</v>
      </c>
      <c r="G1342" s="9">
        <f t="shared" si="184"/>
        <v>1.4</v>
      </c>
      <c r="H1342" t="str">
        <f>'(Raw) LensesGH'!D1342</f>
        <v>52mm</v>
      </c>
      <c r="I1342" s="2">
        <f t="shared" si="185"/>
        <v>52</v>
      </c>
      <c r="J1342" s="2">
        <f>'(Raw) LensesGH'!E1342</f>
        <v>0</v>
      </c>
      <c r="K1342" s="40">
        <f t="shared" si="186"/>
        <v>0</v>
      </c>
      <c r="L1342" t="str">
        <f>'(Raw) LensesGH'!F1342</f>
        <v>Sony E</v>
      </c>
      <c r="M1342" t="str">
        <f>'(Raw) LensesGH'!G1342</f>
        <v>APS-C</v>
      </c>
      <c r="N1342" t="str">
        <f>'(Raw) LensesGH'!H1342</f>
        <v>390g</v>
      </c>
      <c r="O1342" s="5">
        <f t="shared" si="187"/>
        <v>390</v>
      </c>
      <c r="P1342" t="str">
        <f>'(Raw) LensesGH'!I1342</f>
        <v>55 x 70.3mm</v>
      </c>
      <c r="Q1342" s="39">
        <f t="shared" si="188"/>
        <v>55</v>
      </c>
      <c r="R1342" s="39">
        <f t="shared" si="180"/>
        <v>70.3</v>
      </c>
    </row>
    <row r="1343" spans="1:18" x14ac:dyDescent="0.25">
      <c r="A1343" t="str">
        <f>'(Raw) LensesGH'!A1343</f>
        <v>SLR Magic Hyper Prime 23mm 1.7 für Micro-Four-Thirds schwarz</v>
      </c>
      <c r="B1343" t="str">
        <f>'(Raw) LensesGH'!B1343</f>
        <v>23mm</v>
      </c>
      <c r="C1343" s="5">
        <f t="shared" si="181"/>
        <v>23</v>
      </c>
      <c r="D1343" s="5">
        <f t="shared" si="182"/>
        <v>23</v>
      </c>
      <c r="E1343" t="str">
        <f>'(Raw) LensesGH'!C1343</f>
        <v>1:1.7</v>
      </c>
      <c r="F1343" s="9">
        <f t="shared" si="183"/>
        <v>1.7</v>
      </c>
      <c r="G1343" s="9">
        <f t="shared" si="184"/>
        <v>1.7</v>
      </c>
      <c r="H1343" t="str">
        <f>'(Raw) LensesGH'!D1343</f>
        <v>49mm</v>
      </c>
      <c r="I1343" s="2">
        <f t="shared" si="185"/>
        <v>49</v>
      </c>
      <c r="J1343" s="2">
        <f>'(Raw) LensesGH'!E1343</f>
        <v>0</v>
      </c>
      <c r="K1343" s="40">
        <f t="shared" si="186"/>
        <v>0</v>
      </c>
      <c r="L1343" t="str">
        <f>'(Raw) LensesGH'!F1343</f>
        <v>Micro-Four-Thirds</v>
      </c>
      <c r="M1343" t="str">
        <f>'(Raw) LensesGH'!G1343</f>
        <v>Four-Thirds</v>
      </c>
      <c r="N1343" t="str">
        <f>'(Raw) LensesGH'!H1343</f>
        <v>265g</v>
      </c>
      <c r="O1343" s="5">
        <f t="shared" si="187"/>
        <v>265</v>
      </c>
      <c r="P1343" t="str">
        <f>'(Raw) LensesGH'!I1343</f>
        <v>50 x 61.3mm</v>
      </c>
      <c r="Q1343" s="39">
        <f t="shared" si="188"/>
        <v>50</v>
      </c>
      <c r="R1343" s="39">
        <f t="shared" si="180"/>
        <v>61.3</v>
      </c>
    </row>
    <row r="1344" spans="1:18" x14ac:dyDescent="0.25">
      <c r="A1344" t="str">
        <f>'(Raw) LensesGH'!A1344</f>
        <v>SLR Magic Hyper Prime 25mm 0.95 für Micro-Four-Thirds schwarz</v>
      </c>
      <c r="B1344" t="str">
        <f>'(Raw) LensesGH'!B1344</f>
        <v>25mm</v>
      </c>
      <c r="C1344" s="5">
        <f t="shared" si="181"/>
        <v>25</v>
      </c>
      <c r="D1344" s="5">
        <f t="shared" si="182"/>
        <v>25</v>
      </c>
      <c r="E1344" t="str">
        <f>'(Raw) LensesGH'!C1344</f>
        <v>1:0.95</v>
      </c>
      <c r="F1344" s="9">
        <f t="shared" si="183"/>
        <v>0.95</v>
      </c>
      <c r="G1344" s="9">
        <f t="shared" si="184"/>
        <v>0.95</v>
      </c>
      <c r="H1344" t="str">
        <f>'(Raw) LensesGH'!D1344</f>
        <v>52mm</v>
      </c>
      <c r="I1344" s="2">
        <f t="shared" si="185"/>
        <v>52</v>
      </c>
      <c r="J1344" s="2">
        <f>'(Raw) LensesGH'!E1344</f>
        <v>0</v>
      </c>
      <c r="K1344" s="40">
        <f t="shared" si="186"/>
        <v>0</v>
      </c>
      <c r="L1344" t="str">
        <f>'(Raw) LensesGH'!F1344</f>
        <v>Micro-Four-Thirds</v>
      </c>
      <c r="M1344" t="str">
        <f>'(Raw) LensesGH'!G1344</f>
        <v>Four-Thirds</v>
      </c>
      <c r="N1344" t="str">
        <f>'(Raw) LensesGH'!H1344</f>
        <v>475g</v>
      </c>
      <c r="O1344" s="5">
        <f t="shared" si="187"/>
        <v>475</v>
      </c>
      <c r="P1344" t="str">
        <f>'(Raw) LensesGH'!I1344</f>
        <v>50 x 74.6mm</v>
      </c>
      <c r="Q1344" s="39">
        <f t="shared" si="188"/>
        <v>50</v>
      </c>
      <c r="R1344" s="39">
        <f t="shared" si="180"/>
        <v>74.599999999999994</v>
      </c>
    </row>
    <row r="1345" spans="1:18" x14ac:dyDescent="0.25">
      <c r="A1345" t="str">
        <f>'(Raw) LensesGH'!A1345</f>
        <v>SLR Magic Hyper Prime 50mm 0.95 für Sony E schwarz</v>
      </c>
      <c r="B1345" t="str">
        <f>'(Raw) LensesGH'!B1345</f>
        <v>50mm</v>
      </c>
      <c r="C1345" s="5">
        <f t="shared" si="181"/>
        <v>50</v>
      </c>
      <c r="D1345" s="5">
        <f t="shared" si="182"/>
        <v>50</v>
      </c>
      <c r="E1345" t="str">
        <f>'(Raw) LensesGH'!C1345</f>
        <v>1:0.95</v>
      </c>
      <c r="F1345" s="9">
        <f t="shared" si="183"/>
        <v>0.95</v>
      </c>
      <c r="G1345" s="9">
        <f t="shared" si="184"/>
        <v>0.95</v>
      </c>
      <c r="H1345" t="str">
        <f>'(Raw) LensesGH'!D1345</f>
        <v>62mm</v>
      </c>
      <c r="I1345" s="2">
        <f t="shared" si="185"/>
        <v>62</v>
      </c>
      <c r="J1345" s="2">
        <f>'(Raw) LensesGH'!E1345</f>
        <v>0</v>
      </c>
      <c r="K1345" s="40">
        <f t="shared" si="186"/>
        <v>0</v>
      </c>
      <c r="L1345" t="str">
        <f>'(Raw) LensesGH'!F1345</f>
        <v>Sony E</v>
      </c>
      <c r="M1345" t="str">
        <f>'(Raw) LensesGH'!G1345</f>
        <v>APS-C</v>
      </c>
      <c r="N1345" t="str">
        <f>'(Raw) LensesGH'!H1345</f>
        <v>490g</v>
      </c>
      <c r="O1345" s="5">
        <f t="shared" si="187"/>
        <v>490</v>
      </c>
      <c r="P1345" t="str">
        <f>'(Raw) LensesGH'!I1345</f>
        <v>65 x 85mm</v>
      </c>
      <c r="Q1345" s="39">
        <f t="shared" si="188"/>
        <v>65</v>
      </c>
      <c r="R1345" s="39">
        <f t="shared" si="180"/>
        <v>85</v>
      </c>
    </row>
    <row r="1346" spans="1:18" x14ac:dyDescent="0.25">
      <c r="A1346" t="str">
        <f>'(Raw) LensesGH'!A1346</f>
        <v>SLR Magic Toy Lens 35mm 1.7 für Sony E schwarz</v>
      </c>
      <c r="B1346" t="str">
        <f>'(Raw) LensesGH'!B1346</f>
        <v>35mm</v>
      </c>
      <c r="C1346" s="5">
        <f t="shared" si="181"/>
        <v>35</v>
      </c>
      <c r="D1346" s="5">
        <f t="shared" si="182"/>
        <v>35</v>
      </c>
      <c r="E1346" t="str">
        <f>'(Raw) LensesGH'!C1346</f>
        <v>1:1.7</v>
      </c>
      <c r="F1346" s="9">
        <f t="shared" si="183"/>
        <v>1.7</v>
      </c>
      <c r="G1346" s="9">
        <f t="shared" si="184"/>
        <v>1.7</v>
      </c>
      <c r="H1346" t="str">
        <f>'(Raw) LensesGH'!D1346</f>
        <v>37mm</v>
      </c>
      <c r="I1346" s="2">
        <f t="shared" si="185"/>
        <v>37</v>
      </c>
      <c r="J1346" s="2">
        <f>'(Raw) LensesGH'!E1346</f>
        <v>0</v>
      </c>
      <c r="K1346" s="40">
        <f t="shared" si="186"/>
        <v>0</v>
      </c>
      <c r="L1346" t="str">
        <f>'(Raw) LensesGH'!F1346</f>
        <v>Sony E</v>
      </c>
      <c r="M1346" t="str">
        <f>'(Raw) LensesGH'!G1346</f>
        <v>APS-C</v>
      </c>
      <c r="N1346" t="str">
        <f>'(Raw) LensesGH'!H1346</f>
        <v>120g</v>
      </c>
      <c r="O1346" s="5">
        <f t="shared" si="187"/>
        <v>120</v>
      </c>
      <c r="P1346" t="str">
        <f>'(Raw) LensesGH'!I1346</f>
        <v>50 x 50mm</v>
      </c>
      <c r="Q1346" s="39">
        <f t="shared" si="188"/>
        <v>50</v>
      </c>
      <c r="R1346" s="39">
        <f t="shared" ref="R1346:R1409" si="189">getSizeLength(P1346)</f>
        <v>50</v>
      </c>
    </row>
    <row r="1347" spans="1:18" x14ac:dyDescent="0.25">
      <c r="A1347" t="str">
        <f>'(Raw) LensesGH'!A1347</f>
        <v>Sony 100mm 2.8 Makro schwarz</v>
      </c>
      <c r="B1347" t="str">
        <f>'(Raw) LensesGH'!B1347</f>
        <v>100mm</v>
      </c>
      <c r="C1347" s="5">
        <f t="shared" ref="C1347:C1410" si="190">getFocalLengthStart(B1347)</f>
        <v>100</v>
      </c>
      <c r="D1347" s="5">
        <f t="shared" ref="D1347:D1410" si="191">getFocalLengthEnd(B1347)</f>
        <v>100</v>
      </c>
      <c r="E1347" t="str">
        <f>'(Raw) LensesGH'!C1347</f>
        <v>1:2.8</v>
      </c>
      <c r="F1347" s="9">
        <f t="shared" ref="F1347:F1410" si="192">getApertureStart(E1347)</f>
        <v>2.8</v>
      </c>
      <c r="G1347" s="9">
        <f t="shared" ref="G1347:G1410" si="193">getApertureEnd(F1347)</f>
        <v>2.8</v>
      </c>
      <c r="H1347" t="str">
        <f>'(Raw) LensesGH'!D1347</f>
        <v>55mm</v>
      </c>
      <c r="I1347" s="2">
        <f t="shared" ref="I1347:I1410" si="194">getFiltersizeAsDouble(H1347)</f>
        <v>55</v>
      </c>
      <c r="J1347" s="2" t="str">
        <f>'(Raw) LensesGH'!E1347</f>
        <v>1:1.00</v>
      </c>
      <c r="K1347" s="40">
        <f t="shared" ref="K1347:K1410" si="195">getMagnification(J1347)</f>
        <v>1</v>
      </c>
      <c r="L1347" t="str">
        <f>'(Raw) LensesGH'!F1347</f>
        <v>Sony A</v>
      </c>
      <c r="M1347" t="str">
        <f>'(Raw) LensesGH'!G1347</f>
        <v>APS-C/ Kleinbild</v>
      </c>
      <c r="N1347" t="str">
        <f>'(Raw) LensesGH'!H1347</f>
        <v>505g</v>
      </c>
      <c r="O1347" s="5">
        <f t="shared" ref="O1347:O1410" si="196">getWeightAsDouble(N1347)</f>
        <v>505</v>
      </c>
      <c r="P1347" t="str">
        <f>'(Raw) LensesGH'!I1347</f>
        <v>75 x 99mm</v>
      </c>
      <c r="Q1347" s="39">
        <f t="shared" ref="Q1347:Q1410" si="197">getSizeDiameter(P1347)</f>
        <v>75</v>
      </c>
      <c r="R1347" s="39">
        <f t="shared" si="189"/>
        <v>99</v>
      </c>
    </row>
    <row r="1348" spans="1:18" x14ac:dyDescent="0.25">
      <c r="A1348" t="str">
        <f>'(Raw) LensesGH'!A1348</f>
        <v>Sony 11-18mm 4.5-5.6 DT schwarz</v>
      </c>
      <c r="B1348" t="str">
        <f>'(Raw) LensesGH'!B1348</f>
        <v>11 - 18mm</v>
      </c>
      <c r="C1348" s="5">
        <f t="shared" si="190"/>
        <v>11</v>
      </c>
      <c r="D1348" s="5">
        <f t="shared" si="191"/>
        <v>18</v>
      </c>
      <c r="E1348" t="str">
        <f>'(Raw) LensesGH'!C1348</f>
        <v>1:4.5-1:5.6</v>
      </c>
      <c r="F1348" s="9">
        <f t="shared" si="192"/>
        <v>4.5</v>
      </c>
      <c r="G1348" s="9">
        <f t="shared" si="193"/>
        <v>4.5</v>
      </c>
      <c r="H1348" t="str">
        <f>'(Raw) LensesGH'!D1348</f>
        <v>77mm</v>
      </c>
      <c r="I1348" s="2">
        <f t="shared" si="194"/>
        <v>77</v>
      </c>
      <c r="J1348" s="2" t="str">
        <f>'(Raw) LensesGH'!E1348</f>
        <v>1:8.00</v>
      </c>
      <c r="K1348" s="40">
        <f t="shared" si="195"/>
        <v>8</v>
      </c>
      <c r="L1348" t="str">
        <f>'(Raw) LensesGH'!F1348</f>
        <v>Sony A</v>
      </c>
      <c r="M1348" t="str">
        <f>'(Raw) LensesGH'!G1348</f>
        <v>APS-C</v>
      </c>
      <c r="N1348" t="str">
        <f>'(Raw) LensesGH'!H1348</f>
        <v>360g</v>
      </c>
      <c r="O1348" s="5">
        <f t="shared" si="196"/>
        <v>360</v>
      </c>
      <c r="P1348" t="str">
        <f>'(Raw) LensesGH'!I1348</f>
        <v>83 x 81mm</v>
      </c>
      <c r="Q1348" s="39">
        <f t="shared" si="197"/>
        <v>83</v>
      </c>
      <c r="R1348" s="39">
        <f t="shared" si="189"/>
        <v>81</v>
      </c>
    </row>
    <row r="1349" spans="1:18" x14ac:dyDescent="0.25">
      <c r="A1349" t="str">
        <f>'(Raw) LensesGH'!A1349</f>
        <v>Sony 135mm 1.8 schwarz</v>
      </c>
      <c r="B1349" t="str">
        <f>'(Raw) LensesGH'!B1349</f>
        <v>135mm</v>
      </c>
      <c r="C1349" s="5">
        <f t="shared" si="190"/>
        <v>135</v>
      </c>
      <c r="D1349" s="5">
        <f t="shared" si="191"/>
        <v>135</v>
      </c>
      <c r="E1349" t="str">
        <f>'(Raw) LensesGH'!C1349</f>
        <v>1:1.8</v>
      </c>
      <c r="F1349" s="9">
        <f t="shared" si="192"/>
        <v>1.8</v>
      </c>
      <c r="G1349" s="9">
        <f t="shared" si="193"/>
        <v>1.8</v>
      </c>
      <c r="H1349" t="str">
        <f>'(Raw) LensesGH'!D1349</f>
        <v>77mm</v>
      </c>
      <c r="I1349" s="2">
        <f t="shared" si="194"/>
        <v>77</v>
      </c>
      <c r="J1349" s="2" t="str">
        <f>'(Raw) LensesGH'!E1349</f>
        <v>1:4.00</v>
      </c>
      <c r="K1349" s="40">
        <f t="shared" si="195"/>
        <v>4</v>
      </c>
      <c r="L1349" t="str">
        <f>'(Raw) LensesGH'!F1349</f>
        <v>Sony A</v>
      </c>
      <c r="M1349" t="str">
        <f>'(Raw) LensesGH'!G1349</f>
        <v>APS-C/ Kleinbild</v>
      </c>
      <c r="N1349" t="str">
        <f>'(Raw) LensesGH'!H1349</f>
        <v>1050g</v>
      </c>
      <c r="O1349" s="5">
        <f t="shared" si="196"/>
        <v>1050</v>
      </c>
      <c r="P1349" t="str">
        <f>'(Raw) LensesGH'!I1349</f>
        <v>89 x 115mm</v>
      </c>
      <c r="Q1349" s="39">
        <f t="shared" si="197"/>
        <v>89</v>
      </c>
      <c r="R1349" s="39">
        <f t="shared" si="189"/>
        <v>115</v>
      </c>
    </row>
    <row r="1350" spans="1:18" x14ac:dyDescent="0.25">
      <c r="A1350" t="str">
        <f>'(Raw) LensesGH'!A1350</f>
        <v>Sony 135mm 2.8 STF schwarz</v>
      </c>
      <c r="B1350" t="str">
        <f>'(Raw) LensesGH'!B1350</f>
        <v>135mm</v>
      </c>
      <c r="C1350" s="5">
        <f t="shared" si="190"/>
        <v>135</v>
      </c>
      <c r="D1350" s="5">
        <f t="shared" si="191"/>
        <v>135</v>
      </c>
      <c r="E1350" t="str">
        <f>'(Raw) LensesGH'!C1350</f>
        <v>1:2.8</v>
      </c>
      <c r="F1350" s="9">
        <f t="shared" si="192"/>
        <v>2.8</v>
      </c>
      <c r="G1350" s="9">
        <f t="shared" si="193"/>
        <v>2.8</v>
      </c>
      <c r="H1350" t="str">
        <f>'(Raw) LensesGH'!D1350</f>
        <v>72mm</v>
      </c>
      <c r="I1350" s="2">
        <f t="shared" si="194"/>
        <v>72</v>
      </c>
      <c r="J1350" s="2" t="str">
        <f>'(Raw) LensesGH'!E1350</f>
        <v>1:4.00</v>
      </c>
      <c r="K1350" s="40">
        <f t="shared" si="195"/>
        <v>4</v>
      </c>
      <c r="L1350" t="str">
        <f>'(Raw) LensesGH'!F1350</f>
        <v>Sony A</v>
      </c>
      <c r="M1350" t="str">
        <f>'(Raw) LensesGH'!G1350</f>
        <v>APS-C/ Kleinbild</v>
      </c>
      <c r="N1350" t="str">
        <f>'(Raw) LensesGH'!H1350</f>
        <v>730g</v>
      </c>
      <c r="O1350" s="5">
        <f t="shared" si="196"/>
        <v>730</v>
      </c>
      <c r="P1350" t="str">
        <f>'(Raw) LensesGH'!I1350</f>
        <v>80 x 99mm</v>
      </c>
      <c r="Q1350" s="39">
        <f t="shared" si="197"/>
        <v>80</v>
      </c>
      <c r="R1350" s="39">
        <f t="shared" si="189"/>
        <v>99</v>
      </c>
    </row>
    <row r="1351" spans="1:18" x14ac:dyDescent="0.25">
      <c r="A1351" t="str">
        <f>'(Raw) LensesGH'!A1351</f>
        <v>Sony 16-105mm 3.5-5.6 DT schwarz</v>
      </c>
      <c r="B1351" t="str">
        <f>'(Raw) LensesGH'!B1351</f>
        <v>16 - 105mm</v>
      </c>
      <c r="C1351" s="5">
        <f t="shared" si="190"/>
        <v>16</v>
      </c>
      <c r="D1351" s="5">
        <f t="shared" si="191"/>
        <v>105</v>
      </c>
      <c r="E1351" t="str">
        <f>'(Raw) LensesGH'!C1351</f>
        <v>1:3.5-1:5.6</v>
      </c>
      <c r="F1351" s="9">
        <f t="shared" si="192"/>
        <v>3.5</v>
      </c>
      <c r="G1351" s="9">
        <f t="shared" si="193"/>
        <v>3.5</v>
      </c>
      <c r="H1351" t="str">
        <f>'(Raw) LensesGH'!D1351</f>
        <v>62mm</v>
      </c>
      <c r="I1351" s="2">
        <f t="shared" si="194"/>
        <v>62</v>
      </c>
      <c r="J1351" s="2" t="str">
        <f>'(Raw) LensesGH'!E1351</f>
        <v>1:4.35</v>
      </c>
      <c r="K1351" s="40">
        <f t="shared" si="195"/>
        <v>4.3499999999999996</v>
      </c>
      <c r="L1351" t="str">
        <f>'(Raw) LensesGH'!F1351</f>
        <v>Sony A</v>
      </c>
      <c r="M1351" t="str">
        <f>'(Raw) LensesGH'!G1351</f>
        <v>APS-C</v>
      </c>
      <c r="N1351" t="str">
        <f>'(Raw) LensesGH'!H1351</f>
        <v>470g</v>
      </c>
      <c r="O1351" s="5">
        <f t="shared" si="196"/>
        <v>470</v>
      </c>
      <c r="P1351" t="str">
        <f>'(Raw) LensesGH'!I1351</f>
        <v>72 x 83mm</v>
      </c>
      <c r="Q1351" s="39">
        <f t="shared" si="197"/>
        <v>72</v>
      </c>
      <c r="R1351" s="39">
        <f t="shared" si="189"/>
        <v>83</v>
      </c>
    </row>
    <row r="1352" spans="1:18" x14ac:dyDescent="0.25">
      <c r="A1352" t="str">
        <f>'(Raw) LensesGH'!A1352</f>
        <v>Sony 16-35mm 2.8 schwarz</v>
      </c>
      <c r="B1352" t="str">
        <f>'(Raw) LensesGH'!B1352</f>
        <v>16 - 35mm</v>
      </c>
      <c r="C1352" s="5">
        <f t="shared" si="190"/>
        <v>16</v>
      </c>
      <c r="D1352" s="5">
        <f t="shared" si="191"/>
        <v>35</v>
      </c>
      <c r="E1352" t="str">
        <f>'(Raw) LensesGH'!C1352</f>
        <v>1:2.8</v>
      </c>
      <c r="F1352" s="9">
        <f t="shared" si="192"/>
        <v>2.8</v>
      </c>
      <c r="G1352" s="9">
        <f t="shared" si="193"/>
        <v>2.8</v>
      </c>
      <c r="H1352" t="str">
        <f>'(Raw) LensesGH'!D1352</f>
        <v>77mm</v>
      </c>
      <c r="I1352" s="2">
        <f t="shared" si="194"/>
        <v>77</v>
      </c>
      <c r="J1352" s="2" t="str">
        <f>'(Raw) LensesGH'!E1352</f>
        <v>1:4.17</v>
      </c>
      <c r="K1352" s="40">
        <f t="shared" si="195"/>
        <v>4.17</v>
      </c>
      <c r="L1352" t="str">
        <f>'(Raw) LensesGH'!F1352</f>
        <v>Sony A</v>
      </c>
      <c r="M1352" t="str">
        <f>'(Raw) LensesGH'!G1352</f>
        <v>APS-C/ Kleinbild</v>
      </c>
      <c r="N1352" t="str">
        <f>'(Raw) LensesGH'!H1352</f>
        <v>900g</v>
      </c>
      <c r="O1352" s="5">
        <f t="shared" si="196"/>
        <v>900</v>
      </c>
      <c r="P1352" t="str">
        <f>'(Raw) LensesGH'!I1352</f>
        <v>83 x 114mm</v>
      </c>
      <c r="Q1352" s="39">
        <f t="shared" si="197"/>
        <v>83</v>
      </c>
      <c r="R1352" s="39">
        <f t="shared" si="189"/>
        <v>114</v>
      </c>
    </row>
    <row r="1353" spans="1:18" x14ac:dyDescent="0.25">
      <c r="A1353" t="str">
        <f>'(Raw) LensesGH'!A1353</f>
        <v>Sony 16-35mm 2.8 ZA SSM II schwarz</v>
      </c>
      <c r="B1353" t="str">
        <f>'(Raw) LensesGH'!B1353</f>
        <v>16 - 35mm</v>
      </c>
      <c r="C1353" s="5">
        <f t="shared" si="190"/>
        <v>16</v>
      </c>
      <c r="D1353" s="5">
        <f t="shared" si="191"/>
        <v>35</v>
      </c>
      <c r="E1353" t="str">
        <f>'(Raw) LensesGH'!C1353</f>
        <v>1:2.8</v>
      </c>
      <c r="F1353" s="9">
        <f t="shared" si="192"/>
        <v>2.8</v>
      </c>
      <c r="G1353" s="9">
        <f t="shared" si="193"/>
        <v>2.8</v>
      </c>
      <c r="H1353" t="str">
        <f>'(Raw) LensesGH'!D1353</f>
        <v>77mm</v>
      </c>
      <c r="I1353" s="2">
        <f t="shared" si="194"/>
        <v>77</v>
      </c>
      <c r="J1353" s="2" t="str">
        <f>'(Raw) LensesGH'!E1353</f>
        <v>1:4.17</v>
      </c>
      <c r="K1353" s="40">
        <f t="shared" si="195"/>
        <v>4.17</v>
      </c>
      <c r="L1353" t="str">
        <f>'(Raw) LensesGH'!F1353</f>
        <v>Sony A</v>
      </c>
      <c r="M1353" t="str">
        <f>'(Raw) LensesGH'!G1353</f>
        <v>APS-C/ Kleinbild</v>
      </c>
      <c r="N1353" t="str">
        <f>'(Raw) LensesGH'!H1353</f>
        <v>872g</v>
      </c>
      <c r="O1353" s="5">
        <f t="shared" si="196"/>
        <v>872</v>
      </c>
      <c r="P1353" t="str">
        <f>'(Raw) LensesGH'!I1353</f>
        <v>83 x 114mm</v>
      </c>
      <c r="Q1353" s="39">
        <f t="shared" si="197"/>
        <v>83</v>
      </c>
      <c r="R1353" s="39">
        <f t="shared" si="189"/>
        <v>114</v>
      </c>
    </row>
    <row r="1354" spans="1:18" x14ac:dyDescent="0.25">
      <c r="A1354" t="str">
        <f>'(Raw) LensesGH'!A1354</f>
        <v>Sony 16-50mm 2.8 DT SSM schwarz</v>
      </c>
      <c r="B1354" t="str">
        <f>'(Raw) LensesGH'!B1354</f>
        <v>16 - 50mm</v>
      </c>
      <c r="C1354" s="5">
        <f t="shared" si="190"/>
        <v>16</v>
      </c>
      <c r="D1354" s="5">
        <f t="shared" si="191"/>
        <v>50</v>
      </c>
      <c r="E1354" t="str">
        <f>'(Raw) LensesGH'!C1354</f>
        <v>1:2.8</v>
      </c>
      <c r="F1354" s="9">
        <f t="shared" si="192"/>
        <v>2.8</v>
      </c>
      <c r="G1354" s="9">
        <f t="shared" si="193"/>
        <v>2.8</v>
      </c>
      <c r="H1354" t="str">
        <f>'(Raw) LensesGH'!D1354</f>
        <v>72mm</v>
      </c>
      <c r="I1354" s="2">
        <f t="shared" si="194"/>
        <v>72</v>
      </c>
      <c r="J1354" s="2" t="str">
        <f>'(Raw) LensesGH'!E1354</f>
        <v>1:5.00</v>
      </c>
      <c r="K1354" s="40">
        <f t="shared" si="195"/>
        <v>5</v>
      </c>
      <c r="L1354" t="str">
        <f>'(Raw) LensesGH'!F1354</f>
        <v>Sony A</v>
      </c>
      <c r="M1354" t="str">
        <f>'(Raw) LensesGH'!G1354</f>
        <v>APS-C</v>
      </c>
      <c r="N1354" t="str">
        <f>'(Raw) LensesGH'!H1354</f>
        <v>577g</v>
      </c>
      <c r="O1354" s="5">
        <f t="shared" si="196"/>
        <v>577</v>
      </c>
      <c r="P1354" t="str">
        <f>'(Raw) LensesGH'!I1354</f>
        <v>81 x 88mm</v>
      </c>
      <c r="Q1354" s="39">
        <f t="shared" si="197"/>
        <v>81</v>
      </c>
      <c r="R1354" s="39">
        <f t="shared" si="189"/>
        <v>88</v>
      </c>
    </row>
    <row r="1355" spans="1:18" x14ac:dyDescent="0.25">
      <c r="A1355" t="str">
        <f>'(Raw) LensesGH'!A1355</f>
        <v>Sony 16-80mm 3.5-4.5 DT schwarz</v>
      </c>
      <c r="B1355" t="str">
        <f>'(Raw) LensesGH'!B1355</f>
        <v>16 - 80mm</v>
      </c>
      <c r="C1355" s="5">
        <f t="shared" si="190"/>
        <v>16</v>
      </c>
      <c r="D1355" s="5">
        <f t="shared" si="191"/>
        <v>80</v>
      </c>
      <c r="E1355" t="str">
        <f>'(Raw) LensesGH'!C1355</f>
        <v>1:3.5-1:4.5</v>
      </c>
      <c r="F1355" s="9">
        <f t="shared" si="192"/>
        <v>3.5</v>
      </c>
      <c r="G1355" s="9">
        <f t="shared" si="193"/>
        <v>3.5</v>
      </c>
      <c r="H1355" t="str">
        <f>'(Raw) LensesGH'!D1355</f>
        <v>62mm</v>
      </c>
      <c r="I1355" s="2">
        <f t="shared" si="194"/>
        <v>62</v>
      </c>
      <c r="J1355" s="2" t="str">
        <f>'(Raw) LensesGH'!E1355</f>
        <v>1:4.17</v>
      </c>
      <c r="K1355" s="40">
        <f t="shared" si="195"/>
        <v>4.17</v>
      </c>
      <c r="L1355" t="str">
        <f>'(Raw) LensesGH'!F1355</f>
        <v>Sony A</v>
      </c>
      <c r="M1355" t="str">
        <f>'(Raw) LensesGH'!G1355</f>
        <v>APS-C</v>
      </c>
      <c r="N1355" t="str">
        <f>'(Raw) LensesGH'!H1355</f>
        <v>440g</v>
      </c>
      <c r="O1355" s="5">
        <f t="shared" si="196"/>
        <v>440</v>
      </c>
      <c r="P1355" t="str">
        <f>'(Raw) LensesGH'!I1355</f>
        <v>72 x 83mm</v>
      </c>
      <c r="Q1355" s="39">
        <f t="shared" si="197"/>
        <v>72</v>
      </c>
      <c r="R1355" s="39">
        <f t="shared" si="189"/>
        <v>83</v>
      </c>
    </row>
    <row r="1356" spans="1:18" x14ac:dyDescent="0.25">
      <c r="A1356" t="str">
        <f>'(Raw) LensesGH'!A1356</f>
        <v>Sony 16mm 2.8 Fisheye schwarz</v>
      </c>
      <c r="B1356" t="str">
        <f>'(Raw) LensesGH'!B1356</f>
        <v>16mm</v>
      </c>
      <c r="C1356" s="5">
        <f t="shared" si="190"/>
        <v>16</v>
      </c>
      <c r="D1356" s="5">
        <f t="shared" si="191"/>
        <v>16</v>
      </c>
      <c r="E1356" t="str">
        <f>'(Raw) LensesGH'!C1356</f>
        <v>1:2.8</v>
      </c>
      <c r="F1356" s="9">
        <f t="shared" si="192"/>
        <v>2.8</v>
      </c>
      <c r="G1356" s="9">
        <f t="shared" si="193"/>
        <v>2.8</v>
      </c>
      <c r="H1356">
        <f>'(Raw) LensesGH'!D1356</f>
        <v>0</v>
      </c>
      <c r="I1356" s="2">
        <f t="shared" si="194"/>
        <v>0</v>
      </c>
      <c r="J1356" s="2" t="str">
        <f>'(Raw) LensesGH'!E1356</f>
        <v>1:6.67</v>
      </c>
      <c r="K1356" s="40">
        <f t="shared" si="195"/>
        <v>6.67</v>
      </c>
      <c r="L1356" t="str">
        <f>'(Raw) LensesGH'!F1356</f>
        <v>Sony A</v>
      </c>
      <c r="M1356" t="str">
        <f>'(Raw) LensesGH'!G1356</f>
        <v>APS-C/ Kleinbild</v>
      </c>
      <c r="N1356" t="str">
        <f>'(Raw) LensesGH'!H1356</f>
        <v>400g</v>
      </c>
      <c r="O1356" s="5">
        <f t="shared" si="196"/>
        <v>400</v>
      </c>
      <c r="P1356" t="str">
        <f>'(Raw) LensesGH'!I1356</f>
        <v>75 x 67mm</v>
      </c>
      <c r="Q1356" s="39">
        <f t="shared" si="197"/>
        <v>75</v>
      </c>
      <c r="R1356" s="39">
        <f t="shared" si="189"/>
        <v>67</v>
      </c>
    </row>
    <row r="1357" spans="1:18" x14ac:dyDescent="0.25">
      <c r="A1357" t="str">
        <f>'(Raw) LensesGH'!A1357</f>
        <v>Sony 18-135mm 3.5-5.6 DT SAM schwarz</v>
      </c>
      <c r="B1357" t="str">
        <f>'(Raw) LensesGH'!B1357</f>
        <v>18 - 135mm</v>
      </c>
      <c r="C1357" s="5">
        <f t="shared" si="190"/>
        <v>18</v>
      </c>
      <c r="D1357" s="5">
        <f t="shared" si="191"/>
        <v>135</v>
      </c>
      <c r="E1357" t="str">
        <f>'(Raw) LensesGH'!C1357</f>
        <v>1:3.5-1:5.6</v>
      </c>
      <c r="F1357" s="9">
        <f t="shared" si="192"/>
        <v>3.5</v>
      </c>
      <c r="G1357" s="9">
        <f t="shared" si="193"/>
        <v>3.5</v>
      </c>
      <c r="H1357" t="str">
        <f>'(Raw) LensesGH'!D1357</f>
        <v>62mm</v>
      </c>
      <c r="I1357" s="2">
        <f t="shared" si="194"/>
        <v>62</v>
      </c>
      <c r="J1357" s="2" t="str">
        <f>'(Raw) LensesGH'!E1357</f>
        <v>1:4.00</v>
      </c>
      <c r="K1357" s="40">
        <f t="shared" si="195"/>
        <v>4</v>
      </c>
      <c r="L1357" t="str">
        <f>'(Raw) LensesGH'!F1357</f>
        <v>Sony A</v>
      </c>
      <c r="M1357" t="str">
        <f>'(Raw) LensesGH'!G1357</f>
        <v>APS-C</v>
      </c>
      <c r="N1357" t="str">
        <f>'(Raw) LensesGH'!H1357</f>
        <v>398g</v>
      </c>
      <c r="O1357" s="5">
        <f t="shared" si="196"/>
        <v>398</v>
      </c>
      <c r="P1357" t="str">
        <f>'(Raw) LensesGH'!I1357</f>
        <v>76 x 86mm</v>
      </c>
      <c r="Q1357" s="39">
        <f t="shared" si="197"/>
        <v>76</v>
      </c>
      <c r="R1357" s="39">
        <f t="shared" si="189"/>
        <v>86</v>
      </c>
    </row>
    <row r="1358" spans="1:18" x14ac:dyDescent="0.25">
      <c r="A1358" t="str">
        <f>'(Raw) LensesGH'!A1358</f>
        <v>Sony 18-200mm 3.5-6.3 DT schwarz</v>
      </c>
      <c r="B1358" t="str">
        <f>'(Raw) LensesGH'!B1358</f>
        <v>18 - 200mm</v>
      </c>
      <c r="C1358" s="5">
        <f t="shared" si="190"/>
        <v>18</v>
      </c>
      <c r="D1358" s="5">
        <f t="shared" si="191"/>
        <v>200</v>
      </c>
      <c r="E1358" t="str">
        <f>'(Raw) LensesGH'!C1358</f>
        <v>1:3.5-1:6.3</v>
      </c>
      <c r="F1358" s="9">
        <f t="shared" si="192"/>
        <v>3.5</v>
      </c>
      <c r="G1358" s="9">
        <f t="shared" si="193"/>
        <v>3.5</v>
      </c>
      <c r="H1358" t="str">
        <f>'(Raw) LensesGH'!D1358</f>
        <v>62mm</v>
      </c>
      <c r="I1358" s="2">
        <f t="shared" si="194"/>
        <v>62</v>
      </c>
      <c r="J1358" s="2" t="str">
        <f>'(Raw) LensesGH'!E1358</f>
        <v>1:3.70</v>
      </c>
      <c r="K1358" s="40">
        <f t="shared" si="195"/>
        <v>3.7</v>
      </c>
      <c r="L1358" t="str">
        <f>'(Raw) LensesGH'!F1358</f>
        <v>Sony A</v>
      </c>
      <c r="M1358" t="str">
        <f>'(Raw) LensesGH'!G1358</f>
        <v>APS-C</v>
      </c>
      <c r="N1358" t="str">
        <f>'(Raw) LensesGH'!H1358</f>
        <v>405g</v>
      </c>
      <c r="O1358" s="5">
        <f t="shared" si="196"/>
        <v>405</v>
      </c>
      <c r="P1358" t="str">
        <f>'(Raw) LensesGH'!I1358</f>
        <v>73 x 86mm</v>
      </c>
      <c r="Q1358" s="39">
        <f t="shared" si="197"/>
        <v>73</v>
      </c>
      <c r="R1358" s="39">
        <f t="shared" si="189"/>
        <v>86</v>
      </c>
    </row>
    <row r="1359" spans="1:18" x14ac:dyDescent="0.25">
      <c r="A1359" t="str">
        <f>'(Raw) LensesGH'!A1359</f>
        <v>Sony 18-250mm 3.5-6.3 DT schwarz</v>
      </c>
      <c r="B1359" t="str">
        <f>'(Raw) LensesGH'!B1359</f>
        <v>18 - 250mm</v>
      </c>
      <c r="C1359" s="5">
        <f t="shared" si="190"/>
        <v>18</v>
      </c>
      <c r="D1359" s="5">
        <f t="shared" si="191"/>
        <v>250</v>
      </c>
      <c r="E1359" t="str">
        <f>'(Raw) LensesGH'!C1359</f>
        <v>1:3.5-1:6.3</v>
      </c>
      <c r="F1359" s="9">
        <f t="shared" si="192"/>
        <v>3.5</v>
      </c>
      <c r="G1359" s="9">
        <f t="shared" si="193"/>
        <v>3.5</v>
      </c>
      <c r="H1359" t="str">
        <f>'(Raw) LensesGH'!D1359</f>
        <v>62mm</v>
      </c>
      <c r="I1359" s="2">
        <f t="shared" si="194"/>
        <v>62</v>
      </c>
      <c r="J1359" s="2" t="str">
        <f>'(Raw) LensesGH'!E1359</f>
        <v>1:3.45</v>
      </c>
      <c r="K1359" s="40">
        <f t="shared" si="195"/>
        <v>3.45</v>
      </c>
      <c r="L1359" t="str">
        <f>'(Raw) LensesGH'!F1359</f>
        <v>Sony A</v>
      </c>
      <c r="M1359" t="str">
        <f>'(Raw) LensesGH'!G1359</f>
        <v>APS-C</v>
      </c>
      <c r="N1359" t="str">
        <f>'(Raw) LensesGH'!H1359</f>
        <v>440g</v>
      </c>
      <c r="O1359" s="5">
        <f t="shared" si="196"/>
        <v>440</v>
      </c>
      <c r="P1359" t="str">
        <f>'(Raw) LensesGH'!I1359</f>
        <v>75 x 86mm</v>
      </c>
      <c r="Q1359" s="39">
        <f t="shared" si="197"/>
        <v>75</v>
      </c>
      <c r="R1359" s="39">
        <f t="shared" si="189"/>
        <v>86</v>
      </c>
    </row>
    <row r="1360" spans="1:18" x14ac:dyDescent="0.25">
      <c r="A1360" t="str">
        <f>'(Raw) LensesGH'!A1360</f>
        <v>Sony 18-55mm 3.5-5.6 DT SAM schwarz</v>
      </c>
      <c r="B1360" t="str">
        <f>'(Raw) LensesGH'!B1360</f>
        <v>18 - 55mm</v>
      </c>
      <c r="C1360" s="5">
        <f t="shared" si="190"/>
        <v>18</v>
      </c>
      <c r="D1360" s="5">
        <f t="shared" si="191"/>
        <v>55</v>
      </c>
      <c r="E1360" t="str">
        <f>'(Raw) LensesGH'!C1360</f>
        <v>1:3.5-1:5.6</v>
      </c>
      <c r="F1360" s="9">
        <f t="shared" si="192"/>
        <v>3.5</v>
      </c>
      <c r="G1360" s="9">
        <f t="shared" si="193"/>
        <v>3.5</v>
      </c>
      <c r="H1360" t="str">
        <f>'(Raw) LensesGH'!D1360</f>
        <v>55mm</v>
      </c>
      <c r="I1360" s="2">
        <f t="shared" si="194"/>
        <v>55</v>
      </c>
      <c r="J1360" s="2" t="str">
        <f>'(Raw) LensesGH'!E1360</f>
        <v>1:2.94</v>
      </c>
      <c r="K1360" s="40">
        <f t="shared" si="195"/>
        <v>2.94</v>
      </c>
      <c r="L1360" t="str">
        <f>'(Raw) LensesGH'!F1360</f>
        <v>Sony A</v>
      </c>
      <c r="M1360" t="str">
        <f>'(Raw) LensesGH'!G1360</f>
        <v>APS-C</v>
      </c>
      <c r="N1360" t="str">
        <f>'(Raw) LensesGH'!H1360</f>
        <v>210g</v>
      </c>
      <c r="O1360" s="5">
        <f t="shared" si="196"/>
        <v>210</v>
      </c>
      <c r="P1360" t="str">
        <f>'(Raw) LensesGH'!I1360</f>
        <v>69.5 x 69mm</v>
      </c>
      <c r="Q1360" s="39">
        <f t="shared" si="197"/>
        <v>69.5</v>
      </c>
      <c r="R1360" s="39">
        <f t="shared" si="189"/>
        <v>69</v>
      </c>
    </row>
    <row r="1361" spans="1:18" x14ac:dyDescent="0.25">
      <c r="A1361" t="str">
        <f>'(Raw) LensesGH'!A1361</f>
        <v>Sony 18-55mm 3.5-5.6 DT SAMII schwarz</v>
      </c>
      <c r="B1361" t="str">
        <f>'(Raw) LensesGH'!B1361</f>
        <v>18 - 55mm</v>
      </c>
      <c r="C1361" s="5">
        <f t="shared" si="190"/>
        <v>18</v>
      </c>
      <c r="D1361" s="5">
        <f t="shared" si="191"/>
        <v>55</v>
      </c>
      <c r="E1361" t="str">
        <f>'(Raw) LensesGH'!C1361</f>
        <v>1:3.5-1:5.6</v>
      </c>
      <c r="F1361" s="9">
        <f t="shared" si="192"/>
        <v>3.5</v>
      </c>
      <c r="G1361" s="9">
        <f t="shared" si="193"/>
        <v>3.5</v>
      </c>
      <c r="H1361" t="str">
        <f>'(Raw) LensesGH'!D1361</f>
        <v>55mm</v>
      </c>
      <c r="I1361" s="2">
        <f t="shared" si="194"/>
        <v>55</v>
      </c>
      <c r="J1361" s="2" t="str">
        <f>'(Raw) LensesGH'!E1361</f>
        <v>1:2.94</v>
      </c>
      <c r="K1361" s="40">
        <f t="shared" si="195"/>
        <v>2.94</v>
      </c>
      <c r="L1361" t="str">
        <f>'(Raw) LensesGH'!F1361</f>
        <v>Sony A</v>
      </c>
      <c r="M1361" t="str">
        <f>'(Raw) LensesGH'!G1361</f>
        <v>APS-C</v>
      </c>
      <c r="N1361" t="str">
        <f>'(Raw) LensesGH'!H1361</f>
        <v>222g</v>
      </c>
      <c r="O1361" s="5">
        <f t="shared" si="196"/>
        <v>222</v>
      </c>
      <c r="P1361" t="str">
        <f>'(Raw) LensesGH'!I1361</f>
        <v>69.5 x 69mm</v>
      </c>
      <c r="Q1361" s="39">
        <f t="shared" si="197"/>
        <v>69.5</v>
      </c>
      <c r="R1361" s="39">
        <f t="shared" si="189"/>
        <v>69</v>
      </c>
    </row>
    <row r="1362" spans="1:18" x14ac:dyDescent="0.25">
      <c r="A1362" t="str">
        <f>'(Raw) LensesGH'!A1362</f>
        <v>Sony 18-55mm 3.5-5.6 DT SAMIII schwarz</v>
      </c>
      <c r="B1362" t="str">
        <f>'(Raw) LensesGH'!B1362</f>
        <v>18 - 55mm</v>
      </c>
      <c r="C1362" s="5">
        <f t="shared" si="190"/>
        <v>18</v>
      </c>
      <c r="D1362" s="5">
        <f t="shared" si="191"/>
        <v>55</v>
      </c>
      <c r="E1362" t="str">
        <f>'(Raw) LensesGH'!C1362</f>
        <v>1:3.5-1:5.6</v>
      </c>
      <c r="F1362" s="9">
        <f t="shared" si="192"/>
        <v>3.5</v>
      </c>
      <c r="G1362" s="9">
        <f t="shared" si="193"/>
        <v>3.5</v>
      </c>
      <c r="H1362" t="str">
        <f>'(Raw) LensesGH'!D1362</f>
        <v>55mm</v>
      </c>
      <c r="I1362" s="2">
        <f t="shared" si="194"/>
        <v>55</v>
      </c>
      <c r="J1362" s="2" t="str">
        <f>'(Raw) LensesGH'!E1362</f>
        <v>1:2.94</v>
      </c>
      <c r="K1362" s="40">
        <f t="shared" si="195"/>
        <v>2.94</v>
      </c>
      <c r="L1362" t="str">
        <f>'(Raw) LensesGH'!F1362</f>
        <v>Sony A</v>
      </c>
      <c r="M1362" t="str">
        <f>'(Raw) LensesGH'!G1362</f>
        <v>APS-C</v>
      </c>
      <c r="N1362" t="str">
        <f>'(Raw) LensesGH'!H1362</f>
        <v>222g</v>
      </c>
      <c r="O1362" s="5">
        <f t="shared" si="196"/>
        <v>222</v>
      </c>
      <c r="P1362" t="str">
        <f>'(Raw) LensesGH'!I1362</f>
        <v>69.5 x 69mm</v>
      </c>
      <c r="Q1362" s="39">
        <f t="shared" si="197"/>
        <v>69.5</v>
      </c>
      <c r="R1362" s="39">
        <f t="shared" si="189"/>
        <v>69</v>
      </c>
    </row>
    <row r="1363" spans="1:18" x14ac:dyDescent="0.25">
      <c r="A1363" t="str">
        <f>'(Raw) LensesGH'!A1363</f>
        <v>Sony 20mm 2.8 schwarz</v>
      </c>
      <c r="B1363" t="str">
        <f>'(Raw) LensesGH'!B1363</f>
        <v>20mm</v>
      </c>
      <c r="C1363" s="5">
        <f t="shared" si="190"/>
        <v>20</v>
      </c>
      <c r="D1363" s="5">
        <f t="shared" si="191"/>
        <v>20</v>
      </c>
      <c r="E1363" t="str">
        <f>'(Raw) LensesGH'!C1363</f>
        <v>1:2.8</v>
      </c>
      <c r="F1363" s="9">
        <f t="shared" si="192"/>
        <v>2.8</v>
      </c>
      <c r="G1363" s="9">
        <f t="shared" si="193"/>
        <v>2.8</v>
      </c>
      <c r="H1363" t="str">
        <f>'(Raw) LensesGH'!D1363</f>
        <v>72mm</v>
      </c>
      <c r="I1363" s="2">
        <f t="shared" si="194"/>
        <v>72</v>
      </c>
      <c r="J1363" s="2" t="str">
        <f>'(Raw) LensesGH'!E1363</f>
        <v>1:7.69</v>
      </c>
      <c r="K1363" s="40">
        <f t="shared" si="195"/>
        <v>7.69</v>
      </c>
      <c r="L1363" t="str">
        <f>'(Raw) LensesGH'!F1363</f>
        <v>Sony A</v>
      </c>
      <c r="M1363" t="str">
        <f>'(Raw) LensesGH'!G1363</f>
        <v>APS-C/ Kleinbild</v>
      </c>
      <c r="N1363" t="str">
        <f>'(Raw) LensesGH'!H1363</f>
        <v>285g</v>
      </c>
      <c r="O1363" s="5">
        <f t="shared" si="196"/>
        <v>285</v>
      </c>
      <c r="P1363" t="str">
        <f>'(Raw) LensesGH'!I1363</f>
        <v>78 x 54mm</v>
      </c>
      <c r="Q1363" s="39">
        <f t="shared" si="197"/>
        <v>78</v>
      </c>
      <c r="R1363" s="39">
        <f t="shared" si="189"/>
        <v>54</v>
      </c>
    </row>
    <row r="1364" spans="1:18" x14ac:dyDescent="0.25">
      <c r="A1364" t="str">
        <f>'(Raw) LensesGH'!A1364</f>
        <v>Sony 24-70mm 2.8 schwarz</v>
      </c>
      <c r="B1364" t="str">
        <f>'(Raw) LensesGH'!B1364</f>
        <v>24 - 70mm</v>
      </c>
      <c r="C1364" s="5">
        <f t="shared" si="190"/>
        <v>24</v>
      </c>
      <c r="D1364" s="5">
        <f t="shared" si="191"/>
        <v>70</v>
      </c>
      <c r="E1364" t="str">
        <f>'(Raw) LensesGH'!C1364</f>
        <v>1:2.8</v>
      </c>
      <c r="F1364" s="9">
        <f t="shared" si="192"/>
        <v>2.8</v>
      </c>
      <c r="G1364" s="9">
        <f t="shared" si="193"/>
        <v>2.8</v>
      </c>
      <c r="H1364" t="str">
        <f>'(Raw) LensesGH'!D1364</f>
        <v>77mm</v>
      </c>
      <c r="I1364" s="2">
        <f t="shared" si="194"/>
        <v>77</v>
      </c>
      <c r="J1364" s="2" t="str">
        <f>'(Raw) LensesGH'!E1364</f>
        <v>1:4.00</v>
      </c>
      <c r="K1364" s="40">
        <f t="shared" si="195"/>
        <v>4</v>
      </c>
      <c r="L1364" t="str">
        <f>'(Raw) LensesGH'!F1364</f>
        <v>Sony A</v>
      </c>
      <c r="M1364" t="str">
        <f>'(Raw) LensesGH'!G1364</f>
        <v>APS-C/ Kleinbild</v>
      </c>
      <c r="N1364" t="str">
        <f>'(Raw) LensesGH'!H1364</f>
        <v>955g</v>
      </c>
      <c r="O1364" s="5">
        <f t="shared" si="196"/>
        <v>955</v>
      </c>
      <c r="P1364" t="str">
        <f>'(Raw) LensesGH'!I1364</f>
        <v>83 x 111mm</v>
      </c>
      <c r="Q1364" s="39">
        <f t="shared" si="197"/>
        <v>83</v>
      </c>
      <c r="R1364" s="39">
        <f t="shared" si="189"/>
        <v>111</v>
      </c>
    </row>
    <row r="1365" spans="1:18" x14ac:dyDescent="0.25">
      <c r="A1365" t="str">
        <f>'(Raw) LensesGH'!A1365</f>
        <v>Sony 24-70mm 2.8 ZA SSM II schwarz</v>
      </c>
      <c r="B1365" t="str">
        <f>'(Raw) LensesGH'!B1365</f>
        <v>24 - 70mm</v>
      </c>
      <c r="C1365" s="5">
        <f t="shared" si="190"/>
        <v>24</v>
      </c>
      <c r="D1365" s="5">
        <f t="shared" si="191"/>
        <v>70</v>
      </c>
      <c r="E1365" t="str">
        <f>'(Raw) LensesGH'!C1365</f>
        <v>1:2.8</v>
      </c>
      <c r="F1365" s="9">
        <f t="shared" si="192"/>
        <v>2.8</v>
      </c>
      <c r="G1365" s="9">
        <f t="shared" si="193"/>
        <v>2.8</v>
      </c>
      <c r="H1365" t="str">
        <f>'(Raw) LensesGH'!D1365</f>
        <v>77mm</v>
      </c>
      <c r="I1365" s="2">
        <f t="shared" si="194"/>
        <v>77</v>
      </c>
      <c r="J1365" s="2" t="str">
        <f>'(Raw) LensesGH'!E1365</f>
        <v>1:4.00</v>
      </c>
      <c r="K1365" s="40">
        <f t="shared" si="195"/>
        <v>4</v>
      </c>
      <c r="L1365" t="str">
        <f>'(Raw) LensesGH'!F1365</f>
        <v>Sony A</v>
      </c>
      <c r="M1365" t="str">
        <f>'(Raw) LensesGH'!G1365</f>
        <v>APS-C/ Kleinbild</v>
      </c>
      <c r="N1365" t="str">
        <f>'(Raw) LensesGH'!H1365</f>
        <v>974g</v>
      </c>
      <c r="O1365" s="5">
        <f t="shared" si="196"/>
        <v>974</v>
      </c>
      <c r="P1365" t="str">
        <f>'(Raw) LensesGH'!I1365</f>
        <v>83 x 111mm</v>
      </c>
      <c r="Q1365" s="39">
        <f t="shared" si="197"/>
        <v>83</v>
      </c>
      <c r="R1365" s="39">
        <f t="shared" si="189"/>
        <v>111</v>
      </c>
    </row>
    <row r="1366" spans="1:18" x14ac:dyDescent="0.25">
      <c r="A1366" t="str">
        <f>'(Raw) LensesGH'!A1366</f>
        <v>Sony 24mm 2.0 SSM schwarz</v>
      </c>
      <c r="B1366" t="str">
        <f>'(Raw) LensesGH'!B1366</f>
        <v>24mm</v>
      </c>
      <c r="C1366" s="5">
        <f t="shared" si="190"/>
        <v>24</v>
      </c>
      <c r="D1366" s="5">
        <f t="shared" si="191"/>
        <v>24</v>
      </c>
      <c r="E1366" t="str">
        <f>'(Raw) LensesGH'!C1366</f>
        <v>1:2.0</v>
      </c>
      <c r="F1366" s="9">
        <f t="shared" si="192"/>
        <v>2</v>
      </c>
      <c r="G1366" s="9">
        <f t="shared" si="193"/>
        <v>2</v>
      </c>
      <c r="H1366" t="str">
        <f>'(Raw) LensesGH'!D1366</f>
        <v>72mm</v>
      </c>
      <c r="I1366" s="2">
        <f t="shared" si="194"/>
        <v>72</v>
      </c>
      <c r="J1366" s="2" t="str">
        <f>'(Raw) LensesGH'!E1366</f>
        <v>1:3.45</v>
      </c>
      <c r="K1366" s="40">
        <f t="shared" si="195"/>
        <v>3.45</v>
      </c>
      <c r="L1366" t="str">
        <f>'(Raw) LensesGH'!F1366</f>
        <v>Sony A</v>
      </c>
      <c r="M1366" t="str">
        <f>'(Raw) LensesGH'!G1366</f>
        <v>APS-C/ Kleinbild</v>
      </c>
      <c r="N1366" t="str">
        <f>'(Raw) LensesGH'!H1366</f>
        <v>555g</v>
      </c>
      <c r="O1366" s="5">
        <f t="shared" si="196"/>
        <v>555</v>
      </c>
      <c r="P1366" t="str">
        <f>'(Raw) LensesGH'!I1366</f>
        <v>78 x 76mm</v>
      </c>
      <c r="Q1366" s="39">
        <f t="shared" si="197"/>
        <v>78</v>
      </c>
      <c r="R1366" s="39">
        <f t="shared" si="189"/>
        <v>76</v>
      </c>
    </row>
    <row r="1367" spans="1:18" x14ac:dyDescent="0.25">
      <c r="A1367" t="str">
        <f>'(Raw) LensesGH'!A1367</f>
        <v>Sony 28-75mm 2.8 SAM schwarz</v>
      </c>
      <c r="B1367" t="str">
        <f>'(Raw) LensesGH'!B1367</f>
        <v>28 - 75mm</v>
      </c>
      <c r="C1367" s="5">
        <f t="shared" si="190"/>
        <v>28</v>
      </c>
      <c r="D1367" s="5">
        <f t="shared" si="191"/>
        <v>75</v>
      </c>
      <c r="E1367" t="str">
        <f>'(Raw) LensesGH'!C1367</f>
        <v>1:2.8</v>
      </c>
      <c r="F1367" s="9">
        <f t="shared" si="192"/>
        <v>2.8</v>
      </c>
      <c r="G1367" s="9">
        <f t="shared" si="193"/>
        <v>2.8</v>
      </c>
      <c r="H1367" t="str">
        <f>'(Raw) LensesGH'!D1367</f>
        <v>67mm</v>
      </c>
      <c r="I1367" s="2">
        <f t="shared" si="194"/>
        <v>67</v>
      </c>
      <c r="J1367" s="2" t="str">
        <f>'(Raw) LensesGH'!E1367</f>
        <v>1:4.55</v>
      </c>
      <c r="K1367" s="40">
        <f t="shared" si="195"/>
        <v>4.55</v>
      </c>
      <c r="L1367" t="str">
        <f>'(Raw) LensesGH'!F1367</f>
        <v>Sony A</v>
      </c>
      <c r="M1367" t="str">
        <f>'(Raw) LensesGH'!G1367</f>
        <v>APS-C/ Kleinbild</v>
      </c>
      <c r="N1367" t="str">
        <f>'(Raw) LensesGH'!H1367</f>
        <v>565g</v>
      </c>
      <c r="O1367" s="5">
        <f t="shared" si="196"/>
        <v>565</v>
      </c>
      <c r="P1367" t="str">
        <f>'(Raw) LensesGH'!I1367</f>
        <v>77.5 x 94mm</v>
      </c>
      <c r="Q1367" s="39">
        <f t="shared" si="197"/>
        <v>77.5</v>
      </c>
      <c r="R1367" s="39">
        <f t="shared" si="189"/>
        <v>94</v>
      </c>
    </row>
    <row r="1368" spans="1:18" x14ac:dyDescent="0.25">
      <c r="A1368" t="str">
        <f>'(Raw) LensesGH'!A1368</f>
        <v>Sony 300mm 2.8G weiß</v>
      </c>
      <c r="B1368" t="str">
        <f>'(Raw) LensesGH'!B1368</f>
        <v>300mm</v>
      </c>
      <c r="C1368" s="5">
        <f t="shared" si="190"/>
        <v>300</v>
      </c>
      <c r="D1368" s="5">
        <f t="shared" si="191"/>
        <v>300</v>
      </c>
      <c r="E1368" t="str">
        <f>'(Raw) LensesGH'!C1368</f>
        <v>1:2.8</v>
      </c>
      <c r="F1368" s="9">
        <f t="shared" si="192"/>
        <v>2.8</v>
      </c>
      <c r="G1368" s="9">
        <f t="shared" si="193"/>
        <v>2.8</v>
      </c>
      <c r="H1368" t="str">
        <f>'(Raw) LensesGH'!D1368</f>
        <v>42mm</v>
      </c>
      <c r="I1368" s="2">
        <f t="shared" si="194"/>
        <v>42</v>
      </c>
      <c r="J1368" s="2" t="str">
        <f>'(Raw) LensesGH'!E1368</f>
        <v>1:5.56</v>
      </c>
      <c r="K1368" s="40">
        <f t="shared" si="195"/>
        <v>5.56</v>
      </c>
      <c r="L1368" t="str">
        <f>'(Raw) LensesGH'!F1368</f>
        <v>Sony A</v>
      </c>
      <c r="M1368" t="str">
        <f>'(Raw) LensesGH'!G1368</f>
        <v>APS-C/ Kleinbild</v>
      </c>
      <c r="N1368" t="str">
        <f>'(Raw) LensesGH'!H1368</f>
        <v>2300g</v>
      </c>
      <c r="O1368" s="5">
        <f t="shared" si="196"/>
        <v>2300</v>
      </c>
      <c r="P1368" t="str">
        <f>'(Raw) LensesGH'!I1368</f>
        <v>122 x 243mm</v>
      </c>
      <c r="Q1368" s="39">
        <f t="shared" si="197"/>
        <v>122</v>
      </c>
      <c r="R1368" s="39">
        <f t="shared" si="189"/>
        <v>243</v>
      </c>
    </row>
    <row r="1369" spans="1:18" x14ac:dyDescent="0.25">
      <c r="A1369" t="str">
        <f>'(Raw) LensesGH'!A1369</f>
        <v>Sony 30mm 2.8 DT Makro SAM schwarz</v>
      </c>
      <c r="B1369" t="str">
        <f>'(Raw) LensesGH'!B1369</f>
        <v>30mm</v>
      </c>
      <c r="C1369" s="5">
        <f t="shared" si="190"/>
        <v>30</v>
      </c>
      <c r="D1369" s="5">
        <f t="shared" si="191"/>
        <v>30</v>
      </c>
      <c r="E1369" t="str">
        <f>'(Raw) LensesGH'!C1369</f>
        <v>1:2.8</v>
      </c>
      <c r="F1369" s="9">
        <f t="shared" si="192"/>
        <v>2.8</v>
      </c>
      <c r="G1369" s="9">
        <f t="shared" si="193"/>
        <v>2.8</v>
      </c>
      <c r="H1369" t="str">
        <f>'(Raw) LensesGH'!D1369</f>
        <v>49mm</v>
      </c>
      <c r="I1369" s="2">
        <f t="shared" si="194"/>
        <v>49</v>
      </c>
      <c r="J1369" s="2" t="str">
        <f>'(Raw) LensesGH'!E1369</f>
        <v>1:1.00</v>
      </c>
      <c r="K1369" s="40">
        <f t="shared" si="195"/>
        <v>1</v>
      </c>
      <c r="L1369" t="str">
        <f>'(Raw) LensesGH'!F1369</f>
        <v>Sony A</v>
      </c>
      <c r="M1369" t="str">
        <f>'(Raw) LensesGH'!G1369</f>
        <v>APS-C</v>
      </c>
      <c r="N1369">
        <f>'(Raw) LensesGH'!H1369</f>
        <v>0</v>
      </c>
      <c r="O1369" s="5">
        <f t="shared" si="196"/>
        <v>0</v>
      </c>
      <c r="P1369">
        <f>'(Raw) LensesGH'!I1369</f>
        <v>0</v>
      </c>
      <c r="Q1369" s="39">
        <f t="shared" si="197"/>
        <v>0</v>
      </c>
      <c r="R1369" s="39">
        <f t="shared" si="189"/>
        <v>0</v>
      </c>
    </row>
    <row r="1370" spans="1:18" x14ac:dyDescent="0.25">
      <c r="A1370" t="str">
        <f>'(Raw) LensesGH'!A1370</f>
        <v>Sony 35mm 1.4G schwarz</v>
      </c>
      <c r="B1370" t="str">
        <f>'(Raw) LensesGH'!B1370</f>
        <v>35mm</v>
      </c>
      <c r="C1370" s="5">
        <f t="shared" si="190"/>
        <v>35</v>
      </c>
      <c r="D1370" s="5">
        <f t="shared" si="191"/>
        <v>35</v>
      </c>
      <c r="E1370" t="str">
        <f>'(Raw) LensesGH'!C1370</f>
        <v>1:1.4</v>
      </c>
      <c r="F1370" s="9">
        <f t="shared" si="192"/>
        <v>1.4</v>
      </c>
      <c r="G1370" s="9">
        <f t="shared" si="193"/>
        <v>1.4</v>
      </c>
      <c r="H1370" t="str">
        <f>'(Raw) LensesGH'!D1370</f>
        <v>55mm</v>
      </c>
      <c r="I1370" s="2">
        <f t="shared" si="194"/>
        <v>55</v>
      </c>
      <c r="J1370" s="2" t="str">
        <f>'(Raw) LensesGH'!E1370</f>
        <v>1:5.00</v>
      </c>
      <c r="K1370" s="40">
        <f t="shared" si="195"/>
        <v>5</v>
      </c>
      <c r="L1370" t="str">
        <f>'(Raw) LensesGH'!F1370</f>
        <v>Sony A</v>
      </c>
      <c r="M1370" t="str">
        <f>'(Raw) LensesGH'!G1370</f>
        <v>APS-C/ Kleinbild</v>
      </c>
      <c r="N1370" t="str">
        <f>'(Raw) LensesGH'!H1370</f>
        <v>510g</v>
      </c>
      <c r="O1370" s="5">
        <f t="shared" si="196"/>
        <v>510</v>
      </c>
      <c r="P1370" t="str">
        <f>'(Raw) LensesGH'!I1370</f>
        <v>69 x 76mm</v>
      </c>
      <c r="Q1370" s="39">
        <f t="shared" si="197"/>
        <v>69</v>
      </c>
      <c r="R1370" s="39">
        <f t="shared" si="189"/>
        <v>76</v>
      </c>
    </row>
    <row r="1371" spans="1:18" x14ac:dyDescent="0.25">
      <c r="A1371" t="str">
        <f>'(Raw) LensesGH'!A1371</f>
        <v>Sony 35mm 1.8 DT SAM schwarz</v>
      </c>
      <c r="B1371" t="str">
        <f>'(Raw) LensesGH'!B1371</f>
        <v>35mm</v>
      </c>
      <c r="C1371" s="5">
        <f t="shared" si="190"/>
        <v>35</v>
      </c>
      <c r="D1371" s="5">
        <f t="shared" si="191"/>
        <v>35</v>
      </c>
      <c r="E1371" t="str">
        <f>'(Raw) LensesGH'!C1371</f>
        <v>1:1.8</v>
      </c>
      <c r="F1371" s="9">
        <f t="shared" si="192"/>
        <v>1.8</v>
      </c>
      <c r="G1371" s="9">
        <f t="shared" si="193"/>
        <v>1.8</v>
      </c>
      <c r="H1371" t="str">
        <f>'(Raw) LensesGH'!D1371</f>
        <v>55mm</v>
      </c>
      <c r="I1371" s="2">
        <f t="shared" si="194"/>
        <v>55</v>
      </c>
      <c r="J1371" s="2" t="str">
        <f>'(Raw) LensesGH'!E1371</f>
        <v>1:4.00</v>
      </c>
      <c r="K1371" s="40">
        <f t="shared" si="195"/>
        <v>4</v>
      </c>
      <c r="L1371" t="str">
        <f>'(Raw) LensesGH'!F1371</f>
        <v>Sony A</v>
      </c>
      <c r="M1371" t="str">
        <f>'(Raw) LensesGH'!G1371</f>
        <v>APS-C</v>
      </c>
      <c r="N1371" t="str">
        <f>'(Raw) LensesGH'!H1371</f>
        <v>170g</v>
      </c>
      <c r="O1371" s="5">
        <f t="shared" si="196"/>
        <v>170</v>
      </c>
      <c r="P1371" t="str">
        <f>'(Raw) LensesGH'!I1371</f>
        <v>70 x 52mm</v>
      </c>
      <c r="Q1371" s="39">
        <f t="shared" si="197"/>
        <v>70</v>
      </c>
      <c r="R1371" s="39">
        <f t="shared" si="189"/>
        <v>52</v>
      </c>
    </row>
    <row r="1372" spans="1:18" x14ac:dyDescent="0.25">
      <c r="A1372" t="str">
        <f>'(Raw) LensesGH'!A1372</f>
        <v>Sony 500mm 4.0G weiß</v>
      </c>
      <c r="B1372" t="str">
        <f>'(Raw) LensesGH'!B1372</f>
        <v>500mm</v>
      </c>
      <c r="C1372" s="5">
        <f t="shared" si="190"/>
        <v>500</v>
      </c>
      <c r="D1372" s="5">
        <f t="shared" si="191"/>
        <v>500</v>
      </c>
      <c r="E1372" t="str">
        <f>'(Raw) LensesGH'!C1372</f>
        <v>1:4.0</v>
      </c>
      <c r="F1372" s="9">
        <f t="shared" si="192"/>
        <v>4</v>
      </c>
      <c r="G1372" s="9">
        <f t="shared" si="193"/>
        <v>4</v>
      </c>
      <c r="H1372" t="str">
        <f>'(Raw) LensesGH'!D1372</f>
        <v>42mm</v>
      </c>
      <c r="I1372" s="2">
        <f t="shared" si="194"/>
        <v>42</v>
      </c>
      <c r="J1372" s="2" t="str">
        <f>'(Raw) LensesGH'!E1372</f>
        <v>1:7.41</v>
      </c>
      <c r="K1372" s="40">
        <f t="shared" si="195"/>
        <v>7.41</v>
      </c>
      <c r="L1372" t="str">
        <f>'(Raw) LensesGH'!F1372</f>
        <v>Sony A</v>
      </c>
      <c r="M1372" t="str">
        <f>'(Raw) LensesGH'!G1372</f>
        <v>APS-C/ Kleinbild</v>
      </c>
      <c r="N1372" t="str">
        <f>'(Raw) LensesGH'!H1372</f>
        <v>3460g</v>
      </c>
      <c r="O1372" s="5">
        <f t="shared" si="196"/>
        <v>3460</v>
      </c>
      <c r="P1372" t="str">
        <f>'(Raw) LensesGH'!I1372</f>
        <v>140 x 367.5mm</v>
      </c>
      <c r="Q1372" s="39">
        <f t="shared" si="197"/>
        <v>140</v>
      </c>
      <c r="R1372" s="39">
        <f t="shared" si="189"/>
        <v>367.5</v>
      </c>
    </row>
    <row r="1373" spans="1:18" x14ac:dyDescent="0.25">
      <c r="A1373" t="str">
        <f>'(Raw) LensesGH'!A1373</f>
        <v>Sony 50mm 1.4 schwarz</v>
      </c>
      <c r="B1373" t="str">
        <f>'(Raw) LensesGH'!B1373</f>
        <v>50mm</v>
      </c>
      <c r="C1373" s="5">
        <f t="shared" si="190"/>
        <v>50</v>
      </c>
      <c r="D1373" s="5">
        <f t="shared" si="191"/>
        <v>50</v>
      </c>
      <c r="E1373" t="str">
        <f>'(Raw) LensesGH'!C1373</f>
        <v>1:1.4</v>
      </c>
      <c r="F1373" s="9">
        <f t="shared" si="192"/>
        <v>1.4</v>
      </c>
      <c r="G1373" s="9">
        <f t="shared" si="193"/>
        <v>1.4</v>
      </c>
      <c r="H1373" t="str">
        <f>'(Raw) LensesGH'!D1373</f>
        <v>55mm</v>
      </c>
      <c r="I1373" s="2">
        <f t="shared" si="194"/>
        <v>55</v>
      </c>
      <c r="J1373" s="2" t="str">
        <f>'(Raw) LensesGH'!E1373</f>
        <v>1:6.67</v>
      </c>
      <c r="K1373" s="40">
        <f t="shared" si="195"/>
        <v>6.67</v>
      </c>
      <c r="L1373" t="str">
        <f>'(Raw) LensesGH'!F1373</f>
        <v>Sony A</v>
      </c>
      <c r="M1373" t="str">
        <f>'(Raw) LensesGH'!G1373</f>
        <v>APS-C/ Kleinbild</v>
      </c>
      <c r="N1373" t="str">
        <f>'(Raw) LensesGH'!H1373</f>
        <v>220g</v>
      </c>
      <c r="O1373" s="5">
        <f t="shared" si="196"/>
        <v>220</v>
      </c>
      <c r="P1373" t="str">
        <f>'(Raw) LensesGH'!I1373</f>
        <v>66 x 43mm</v>
      </c>
      <c r="Q1373" s="39">
        <f t="shared" si="197"/>
        <v>66</v>
      </c>
      <c r="R1373" s="39">
        <f t="shared" si="189"/>
        <v>43</v>
      </c>
    </row>
    <row r="1374" spans="1:18" x14ac:dyDescent="0.25">
      <c r="A1374" t="str">
        <f>'(Raw) LensesGH'!A1374</f>
        <v>Sony 50mm 1.4 ZA SSM schwarz</v>
      </c>
      <c r="B1374" t="str">
        <f>'(Raw) LensesGH'!B1374</f>
        <v>50mm</v>
      </c>
      <c r="C1374" s="5">
        <f t="shared" si="190"/>
        <v>50</v>
      </c>
      <c r="D1374" s="5">
        <f t="shared" si="191"/>
        <v>50</v>
      </c>
      <c r="E1374" t="str">
        <f>'(Raw) LensesGH'!C1374</f>
        <v>1:1.4</v>
      </c>
      <c r="F1374" s="9">
        <f t="shared" si="192"/>
        <v>1.4</v>
      </c>
      <c r="G1374" s="9">
        <f t="shared" si="193"/>
        <v>1.4</v>
      </c>
      <c r="H1374" t="str">
        <f>'(Raw) LensesGH'!D1374</f>
        <v>72mm</v>
      </c>
      <c r="I1374" s="2">
        <f t="shared" si="194"/>
        <v>72</v>
      </c>
      <c r="J1374" s="2" t="str">
        <f>'(Raw) LensesGH'!E1374</f>
        <v>1:7.14</v>
      </c>
      <c r="K1374" s="40">
        <f t="shared" si="195"/>
        <v>7.14</v>
      </c>
      <c r="L1374" t="str">
        <f>'(Raw) LensesGH'!F1374</f>
        <v>Sony A</v>
      </c>
      <c r="M1374" t="str">
        <f>'(Raw) LensesGH'!G1374</f>
        <v>APS-C/ Kleinbild</v>
      </c>
      <c r="N1374" t="str">
        <f>'(Raw) LensesGH'!H1374</f>
        <v>518g</v>
      </c>
      <c r="O1374" s="5">
        <f t="shared" si="196"/>
        <v>518</v>
      </c>
      <c r="P1374" t="str">
        <f>'(Raw) LensesGH'!I1374</f>
        <v>81 x 71.5mm</v>
      </c>
      <c r="Q1374" s="39">
        <f t="shared" si="197"/>
        <v>81</v>
      </c>
      <c r="R1374" s="39">
        <f t="shared" si="189"/>
        <v>71.5</v>
      </c>
    </row>
    <row r="1375" spans="1:18" x14ac:dyDescent="0.25">
      <c r="A1375" t="str">
        <f>'(Raw) LensesGH'!A1375</f>
        <v>Sony 50mm 1.8 DT SAM schwarz</v>
      </c>
      <c r="B1375" t="str">
        <f>'(Raw) LensesGH'!B1375</f>
        <v>50mm</v>
      </c>
      <c r="C1375" s="5">
        <f t="shared" si="190"/>
        <v>50</v>
      </c>
      <c r="D1375" s="5">
        <f t="shared" si="191"/>
        <v>50</v>
      </c>
      <c r="E1375" t="str">
        <f>'(Raw) LensesGH'!C1375</f>
        <v>1:1.8</v>
      </c>
      <c r="F1375" s="9">
        <f t="shared" si="192"/>
        <v>1.8</v>
      </c>
      <c r="G1375" s="9">
        <f t="shared" si="193"/>
        <v>1.8</v>
      </c>
      <c r="H1375" t="str">
        <f>'(Raw) LensesGH'!D1375</f>
        <v>49mm</v>
      </c>
      <c r="I1375" s="2">
        <f t="shared" si="194"/>
        <v>49</v>
      </c>
      <c r="J1375" s="2" t="str">
        <f>'(Raw) LensesGH'!E1375</f>
        <v>1:5.00</v>
      </c>
      <c r="K1375" s="40">
        <f t="shared" si="195"/>
        <v>5</v>
      </c>
      <c r="L1375" t="str">
        <f>'(Raw) LensesGH'!F1375</f>
        <v>Sony A</v>
      </c>
      <c r="M1375" t="str">
        <f>'(Raw) LensesGH'!G1375</f>
        <v>APS-C</v>
      </c>
      <c r="N1375" t="str">
        <f>'(Raw) LensesGH'!H1375</f>
        <v>170g</v>
      </c>
      <c r="O1375" s="5">
        <f t="shared" si="196"/>
        <v>170</v>
      </c>
      <c r="P1375" t="str">
        <f>'(Raw) LensesGH'!I1375</f>
        <v>70 x 45mm</v>
      </c>
      <c r="Q1375" s="39">
        <f t="shared" si="197"/>
        <v>70</v>
      </c>
      <c r="R1375" s="39">
        <f t="shared" si="189"/>
        <v>45</v>
      </c>
    </row>
    <row r="1376" spans="1:18" x14ac:dyDescent="0.25">
      <c r="A1376" t="str">
        <f>'(Raw) LensesGH'!A1376</f>
        <v>Sony 50mm 2.8 Makro schwarz</v>
      </c>
      <c r="B1376" t="str">
        <f>'(Raw) LensesGH'!B1376</f>
        <v>50mm</v>
      </c>
      <c r="C1376" s="5">
        <f t="shared" si="190"/>
        <v>50</v>
      </c>
      <c r="D1376" s="5">
        <f t="shared" si="191"/>
        <v>50</v>
      </c>
      <c r="E1376" t="str">
        <f>'(Raw) LensesGH'!C1376</f>
        <v>1:2.8</v>
      </c>
      <c r="F1376" s="9">
        <f t="shared" si="192"/>
        <v>2.8</v>
      </c>
      <c r="G1376" s="9">
        <f t="shared" si="193"/>
        <v>2.8</v>
      </c>
      <c r="H1376" t="str">
        <f>'(Raw) LensesGH'!D1376</f>
        <v>55mm</v>
      </c>
      <c r="I1376" s="2">
        <f t="shared" si="194"/>
        <v>55</v>
      </c>
      <c r="J1376" s="2" t="str">
        <f>'(Raw) LensesGH'!E1376</f>
        <v>1:1.00</v>
      </c>
      <c r="K1376" s="40">
        <f t="shared" si="195"/>
        <v>1</v>
      </c>
      <c r="L1376" t="str">
        <f>'(Raw) LensesGH'!F1376</f>
        <v>Sony A</v>
      </c>
      <c r="M1376" t="str">
        <f>'(Raw) LensesGH'!G1376</f>
        <v>APS-C/ Kleinbild</v>
      </c>
      <c r="N1376" t="str">
        <f>'(Raw) LensesGH'!H1376</f>
        <v>295g</v>
      </c>
      <c r="O1376" s="5">
        <f t="shared" si="196"/>
        <v>295</v>
      </c>
      <c r="P1376" t="str">
        <f>'(Raw) LensesGH'!I1376</f>
        <v>71 x 60mm</v>
      </c>
      <c r="Q1376" s="39">
        <f t="shared" si="197"/>
        <v>71</v>
      </c>
      <c r="R1376" s="39">
        <f t="shared" si="189"/>
        <v>60</v>
      </c>
    </row>
    <row r="1377" spans="1:18" x14ac:dyDescent="0.25">
      <c r="A1377" t="str">
        <f>'(Raw) LensesGH'!A1377</f>
        <v>Sony 55-200mm 4.0-5.6 DT SAM schwarz</v>
      </c>
      <c r="B1377" t="str">
        <f>'(Raw) LensesGH'!B1377</f>
        <v>55 - 200mm</v>
      </c>
      <c r="C1377" s="5">
        <f t="shared" si="190"/>
        <v>55</v>
      </c>
      <c r="D1377" s="5">
        <f t="shared" si="191"/>
        <v>200</v>
      </c>
      <c r="E1377" t="str">
        <f>'(Raw) LensesGH'!C1377</f>
        <v>1:4.0-1:5.6</v>
      </c>
      <c r="F1377" s="9">
        <f t="shared" si="192"/>
        <v>4</v>
      </c>
      <c r="G1377" s="9">
        <f t="shared" si="193"/>
        <v>4</v>
      </c>
      <c r="H1377" t="str">
        <f>'(Raw) LensesGH'!D1377</f>
        <v>55mm</v>
      </c>
      <c r="I1377" s="2">
        <f t="shared" si="194"/>
        <v>55</v>
      </c>
      <c r="J1377" s="2" t="str">
        <f>'(Raw) LensesGH'!E1377</f>
        <v>1:3.45</v>
      </c>
      <c r="K1377" s="40">
        <f t="shared" si="195"/>
        <v>3.45</v>
      </c>
      <c r="L1377" t="str">
        <f>'(Raw) LensesGH'!F1377</f>
        <v>Sony A</v>
      </c>
      <c r="M1377" t="str">
        <f>'(Raw) LensesGH'!G1377</f>
        <v>APS-C</v>
      </c>
      <c r="N1377" t="str">
        <f>'(Raw) LensesGH'!H1377</f>
        <v>305g</v>
      </c>
      <c r="O1377" s="5">
        <f t="shared" si="196"/>
        <v>305</v>
      </c>
      <c r="P1377" t="str">
        <f>'(Raw) LensesGH'!I1377</f>
        <v>71.5 x 85mm</v>
      </c>
      <c r="Q1377" s="39">
        <f t="shared" si="197"/>
        <v>71.5</v>
      </c>
      <c r="R1377" s="39">
        <f t="shared" si="189"/>
        <v>85</v>
      </c>
    </row>
    <row r="1378" spans="1:18" x14ac:dyDescent="0.25">
      <c r="A1378" t="str">
        <f>'(Raw) LensesGH'!A1378</f>
        <v>Sony 55-200mm 4.0-5.6 DT schwarz</v>
      </c>
      <c r="B1378" t="str">
        <f>'(Raw) LensesGH'!B1378</f>
        <v>55 - 200mm</v>
      </c>
      <c r="C1378" s="5">
        <f t="shared" si="190"/>
        <v>55</v>
      </c>
      <c r="D1378" s="5">
        <f t="shared" si="191"/>
        <v>200</v>
      </c>
      <c r="E1378" t="str">
        <f>'(Raw) LensesGH'!C1378</f>
        <v>1:4.0-1:5.6</v>
      </c>
      <c r="F1378" s="9">
        <f t="shared" si="192"/>
        <v>4</v>
      </c>
      <c r="G1378" s="9">
        <f t="shared" si="193"/>
        <v>4</v>
      </c>
      <c r="H1378" t="str">
        <f>'(Raw) LensesGH'!D1378</f>
        <v>55mm</v>
      </c>
      <c r="I1378" s="2">
        <f t="shared" si="194"/>
        <v>55</v>
      </c>
      <c r="J1378" s="2" t="str">
        <f>'(Raw) LensesGH'!E1378</f>
        <v>1:3.45</v>
      </c>
      <c r="K1378" s="40">
        <f t="shared" si="195"/>
        <v>3.45</v>
      </c>
      <c r="L1378" t="str">
        <f>'(Raw) LensesGH'!F1378</f>
        <v>Sony A</v>
      </c>
      <c r="M1378" t="str">
        <f>'(Raw) LensesGH'!G1378</f>
        <v>APS-C</v>
      </c>
      <c r="N1378" t="str">
        <f>'(Raw) LensesGH'!H1378</f>
        <v>295g</v>
      </c>
      <c r="O1378" s="5">
        <f t="shared" si="196"/>
        <v>295</v>
      </c>
      <c r="P1378" t="str">
        <f>'(Raw) LensesGH'!I1378</f>
        <v>71.5 x 85mm</v>
      </c>
      <c r="Q1378" s="39">
        <f t="shared" si="197"/>
        <v>71.5</v>
      </c>
      <c r="R1378" s="39">
        <f t="shared" si="189"/>
        <v>85</v>
      </c>
    </row>
    <row r="1379" spans="1:18" x14ac:dyDescent="0.25">
      <c r="A1379" t="str">
        <f>'(Raw) LensesGH'!A1379</f>
        <v>Sony 55-300mm 4.5-5.6 DT SAM schwarz</v>
      </c>
      <c r="B1379" t="str">
        <f>'(Raw) LensesGH'!B1379</f>
        <v>55 - 300mm</v>
      </c>
      <c r="C1379" s="5">
        <f t="shared" si="190"/>
        <v>55</v>
      </c>
      <c r="D1379" s="5">
        <f t="shared" si="191"/>
        <v>300</v>
      </c>
      <c r="E1379" t="str">
        <f>'(Raw) LensesGH'!C1379</f>
        <v>1:4.5-1:5.6</v>
      </c>
      <c r="F1379" s="9">
        <f t="shared" si="192"/>
        <v>4.5</v>
      </c>
      <c r="G1379" s="9">
        <f t="shared" si="193"/>
        <v>4.5</v>
      </c>
      <c r="H1379" t="str">
        <f>'(Raw) LensesGH'!D1379</f>
        <v>62mm</v>
      </c>
      <c r="I1379" s="2">
        <f t="shared" si="194"/>
        <v>62</v>
      </c>
      <c r="J1379" s="2" t="str">
        <f>'(Raw) LensesGH'!E1379</f>
        <v>1:3.70</v>
      </c>
      <c r="K1379" s="40">
        <f t="shared" si="195"/>
        <v>3.7</v>
      </c>
      <c r="L1379" t="str">
        <f>'(Raw) LensesGH'!F1379</f>
        <v>Sony A</v>
      </c>
      <c r="M1379" t="str">
        <f>'(Raw) LensesGH'!G1379</f>
        <v>APS-C</v>
      </c>
      <c r="N1379" t="str">
        <f>'(Raw) LensesGH'!H1379</f>
        <v>460g</v>
      </c>
      <c r="O1379" s="5">
        <f t="shared" si="196"/>
        <v>460</v>
      </c>
      <c r="P1379" t="str">
        <f>'(Raw) LensesGH'!I1379</f>
        <v>77 x 116.5mm</v>
      </c>
      <c r="Q1379" s="39">
        <f t="shared" si="197"/>
        <v>77</v>
      </c>
      <c r="R1379" s="39">
        <f t="shared" si="189"/>
        <v>116.5</v>
      </c>
    </row>
    <row r="1380" spans="1:18" x14ac:dyDescent="0.25">
      <c r="A1380" t="str">
        <f>'(Raw) LensesGH'!A1380</f>
        <v>Sony 70-200mm 2.8G SSM II weiß</v>
      </c>
      <c r="B1380" t="str">
        <f>'(Raw) LensesGH'!B1380</f>
        <v>70 - 200mm</v>
      </c>
      <c r="C1380" s="5">
        <f t="shared" si="190"/>
        <v>70</v>
      </c>
      <c r="D1380" s="5">
        <f t="shared" si="191"/>
        <v>200</v>
      </c>
      <c r="E1380" t="str">
        <f>'(Raw) LensesGH'!C1380</f>
        <v>1:2.8</v>
      </c>
      <c r="F1380" s="9">
        <f t="shared" si="192"/>
        <v>2.8</v>
      </c>
      <c r="G1380" s="9">
        <f t="shared" si="193"/>
        <v>2.8</v>
      </c>
      <c r="H1380" t="str">
        <f>'(Raw) LensesGH'!D1380</f>
        <v>77mm</v>
      </c>
      <c r="I1380" s="2">
        <f t="shared" si="194"/>
        <v>77</v>
      </c>
      <c r="J1380" s="2" t="str">
        <f>'(Raw) LensesGH'!E1380</f>
        <v>1:4.76</v>
      </c>
      <c r="K1380" s="40">
        <f t="shared" si="195"/>
        <v>4.76</v>
      </c>
      <c r="L1380" t="str">
        <f>'(Raw) LensesGH'!F1380</f>
        <v>Sony A</v>
      </c>
      <c r="M1380" t="str">
        <f>'(Raw) LensesGH'!G1380</f>
        <v>APS-C/ Kleinbild</v>
      </c>
      <c r="N1380" t="str">
        <f>'(Raw) LensesGH'!H1380</f>
        <v>1340g</v>
      </c>
      <c r="O1380" s="5">
        <f t="shared" si="196"/>
        <v>1340</v>
      </c>
      <c r="P1380" t="str">
        <f>'(Raw) LensesGH'!I1380</f>
        <v>87 x 196.5mm</v>
      </c>
      <c r="Q1380" s="39">
        <f t="shared" si="197"/>
        <v>87</v>
      </c>
      <c r="R1380" s="39">
        <f t="shared" si="189"/>
        <v>196.5</v>
      </c>
    </row>
    <row r="1381" spans="1:18" x14ac:dyDescent="0.25">
      <c r="A1381" t="str">
        <f>'(Raw) LensesGH'!A1381</f>
        <v>Sony 70-300mm 4.5-5.6G schwarz</v>
      </c>
      <c r="B1381" t="str">
        <f>'(Raw) LensesGH'!B1381</f>
        <v>70 - 300mm</v>
      </c>
      <c r="C1381" s="5">
        <f t="shared" si="190"/>
        <v>70</v>
      </c>
      <c r="D1381" s="5">
        <f t="shared" si="191"/>
        <v>300</v>
      </c>
      <c r="E1381" t="str">
        <f>'(Raw) LensesGH'!C1381</f>
        <v>1:4.5-1:5.6</v>
      </c>
      <c r="F1381" s="9">
        <f t="shared" si="192"/>
        <v>4.5</v>
      </c>
      <c r="G1381" s="9">
        <f t="shared" si="193"/>
        <v>4.5</v>
      </c>
      <c r="H1381" t="str">
        <f>'(Raw) LensesGH'!D1381</f>
        <v>62mm</v>
      </c>
      <c r="I1381" s="2">
        <f t="shared" si="194"/>
        <v>62</v>
      </c>
      <c r="J1381" s="2" t="str">
        <f>'(Raw) LensesGH'!E1381</f>
        <v>1:4.00</v>
      </c>
      <c r="K1381" s="40">
        <f t="shared" si="195"/>
        <v>4</v>
      </c>
      <c r="L1381" t="str">
        <f>'(Raw) LensesGH'!F1381</f>
        <v>Sony A</v>
      </c>
      <c r="M1381" t="str">
        <f>'(Raw) LensesGH'!G1381</f>
        <v>APS-C/ Kleinbild</v>
      </c>
      <c r="N1381" t="str">
        <f>'(Raw) LensesGH'!H1381</f>
        <v>760g</v>
      </c>
      <c r="O1381" s="5">
        <f t="shared" si="196"/>
        <v>760</v>
      </c>
      <c r="P1381" t="str">
        <f>'(Raw) LensesGH'!I1381</f>
        <v>82.5 x 135.5mm</v>
      </c>
      <c r="Q1381" s="39">
        <f t="shared" si="197"/>
        <v>82.5</v>
      </c>
      <c r="R1381" s="39">
        <f t="shared" si="189"/>
        <v>135.5</v>
      </c>
    </row>
    <row r="1382" spans="1:18" x14ac:dyDescent="0.25">
      <c r="A1382" t="str">
        <f>'(Raw) LensesGH'!A1382</f>
        <v>Sony 70-300mm 4.5-5.6G SSM II schwarz</v>
      </c>
      <c r="B1382" t="str">
        <f>'(Raw) LensesGH'!B1382</f>
        <v>70 - 300mm</v>
      </c>
      <c r="C1382" s="5">
        <f t="shared" si="190"/>
        <v>70</v>
      </c>
      <c r="D1382" s="5">
        <f t="shared" si="191"/>
        <v>300</v>
      </c>
      <c r="E1382" t="str">
        <f>'(Raw) LensesGH'!C1382</f>
        <v>1:4.5-1:5.6</v>
      </c>
      <c r="F1382" s="9">
        <f t="shared" si="192"/>
        <v>4.5</v>
      </c>
      <c r="G1382" s="9">
        <f t="shared" si="193"/>
        <v>4.5</v>
      </c>
      <c r="H1382" t="str">
        <f>'(Raw) LensesGH'!D1382</f>
        <v>62mm</v>
      </c>
      <c r="I1382" s="2">
        <f t="shared" si="194"/>
        <v>62</v>
      </c>
      <c r="J1382" s="2" t="str">
        <f>'(Raw) LensesGH'!E1382</f>
        <v>1:4.00</v>
      </c>
      <c r="K1382" s="40">
        <f t="shared" si="195"/>
        <v>4</v>
      </c>
      <c r="L1382" t="str">
        <f>'(Raw) LensesGH'!F1382</f>
        <v>Sony A</v>
      </c>
      <c r="M1382" t="str">
        <f>'(Raw) LensesGH'!G1382</f>
        <v>APS-C/ Kleinbild</v>
      </c>
      <c r="N1382" t="str">
        <f>'(Raw) LensesGH'!H1382</f>
        <v>760g</v>
      </c>
      <c r="O1382" s="5">
        <f t="shared" si="196"/>
        <v>760</v>
      </c>
      <c r="P1382" t="str">
        <f>'(Raw) LensesGH'!I1382</f>
        <v>82.5 x 135.5mm</v>
      </c>
      <c r="Q1382" s="39">
        <f t="shared" si="197"/>
        <v>82.5</v>
      </c>
      <c r="R1382" s="39">
        <f t="shared" si="189"/>
        <v>135.5</v>
      </c>
    </row>
    <row r="1383" spans="1:18" x14ac:dyDescent="0.25">
      <c r="A1383" t="str">
        <f>'(Raw) LensesGH'!A1383</f>
        <v>Sony 70-400mm 4.0-5.6G SSMII weiß</v>
      </c>
      <c r="B1383" t="str">
        <f>'(Raw) LensesGH'!B1383</f>
        <v>70 - 400mm</v>
      </c>
      <c r="C1383" s="5">
        <f t="shared" si="190"/>
        <v>70</v>
      </c>
      <c r="D1383" s="5">
        <f t="shared" si="191"/>
        <v>400</v>
      </c>
      <c r="E1383" t="str">
        <f>'(Raw) LensesGH'!C1383</f>
        <v>1:4.0-1:5.6</v>
      </c>
      <c r="F1383" s="9">
        <f t="shared" si="192"/>
        <v>4</v>
      </c>
      <c r="G1383" s="9">
        <f t="shared" si="193"/>
        <v>4</v>
      </c>
      <c r="H1383" t="str">
        <f>'(Raw) LensesGH'!D1383</f>
        <v>77mm</v>
      </c>
      <c r="I1383" s="2">
        <f t="shared" si="194"/>
        <v>77</v>
      </c>
      <c r="J1383" s="2" t="str">
        <f>'(Raw) LensesGH'!E1383</f>
        <v>1:3.70</v>
      </c>
      <c r="K1383" s="40">
        <f t="shared" si="195"/>
        <v>3.7</v>
      </c>
      <c r="L1383" t="str">
        <f>'(Raw) LensesGH'!F1383</f>
        <v>Sony A</v>
      </c>
      <c r="M1383" t="str">
        <f>'(Raw) LensesGH'!G1383</f>
        <v>APS-C/ Kleinbild</v>
      </c>
      <c r="N1383" t="str">
        <f>'(Raw) LensesGH'!H1383</f>
        <v>1500g</v>
      </c>
      <c r="O1383" s="5">
        <f t="shared" si="196"/>
        <v>1500</v>
      </c>
      <c r="P1383" t="str">
        <f>'(Raw) LensesGH'!I1383</f>
        <v>94.5 x 196mm</v>
      </c>
      <c r="Q1383" s="39">
        <f t="shared" si="197"/>
        <v>94.5</v>
      </c>
      <c r="R1383" s="39">
        <f t="shared" si="189"/>
        <v>196</v>
      </c>
    </row>
    <row r="1384" spans="1:18" x14ac:dyDescent="0.25">
      <c r="A1384" t="str">
        <f>'(Raw) LensesGH'!A1384</f>
        <v>Sony 70-400mm 4.0-5.6G weiß</v>
      </c>
      <c r="B1384" t="str">
        <f>'(Raw) LensesGH'!B1384</f>
        <v>70 - 400mm</v>
      </c>
      <c r="C1384" s="5">
        <f t="shared" si="190"/>
        <v>70</v>
      </c>
      <c r="D1384" s="5">
        <f t="shared" si="191"/>
        <v>400</v>
      </c>
      <c r="E1384" t="str">
        <f>'(Raw) LensesGH'!C1384</f>
        <v>1:4.0-1:5.6</v>
      </c>
      <c r="F1384" s="9">
        <f t="shared" si="192"/>
        <v>4</v>
      </c>
      <c r="G1384" s="9">
        <f t="shared" si="193"/>
        <v>4</v>
      </c>
      <c r="H1384" t="str">
        <f>'(Raw) LensesGH'!D1384</f>
        <v>77mm</v>
      </c>
      <c r="I1384" s="2">
        <f t="shared" si="194"/>
        <v>77</v>
      </c>
      <c r="J1384" s="2" t="str">
        <f>'(Raw) LensesGH'!E1384</f>
        <v>1:3.70</v>
      </c>
      <c r="K1384" s="40">
        <f t="shared" si="195"/>
        <v>3.7</v>
      </c>
      <c r="L1384" t="str">
        <f>'(Raw) LensesGH'!F1384</f>
        <v>Sony A</v>
      </c>
      <c r="M1384" t="str">
        <f>'(Raw) LensesGH'!G1384</f>
        <v>APS-C/ Kleinbild</v>
      </c>
      <c r="N1384" t="str">
        <f>'(Raw) LensesGH'!H1384</f>
        <v>1490g</v>
      </c>
      <c r="O1384" s="5">
        <f t="shared" si="196"/>
        <v>1490</v>
      </c>
      <c r="P1384" t="str">
        <f>'(Raw) LensesGH'!I1384</f>
        <v>94.5 x 196mm</v>
      </c>
      <c r="Q1384" s="39">
        <f t="shared" si="197"/>
        <v>94.5</v>
      </c>
      <c r="R1384" s="39">
        <f t="shared" si="189"/>
        <v>196</v>
      </c>
    </row>
    <row r="1385" spans="1:18" x14ac:dyDescent="0.25">
      <c r="A1385" t="str">
        <f>'(Raw) LensesGH'!A1385</f>
        <v>Sony 75-300mm 4.5-5.6 schwarz</v>
      </c>
      <c r="B1385" t="str">
        <f>'(Raw) LensesGH'!B1385</f>
        <v>75 - 300mm</v>
      </c>
      <c r="C1385" s="5">
        <f t="shared" si="190"/>
        <v>75</v>
      </c>
      <c r="D1385" s="5">
        <f t="shared" si="191"/>
        <v>300</v>
      </c>
      <c r="E1385" t="str">
        <f>'(Raw) LensesGH'!C1385</f>
        <v>1:4.5-1:5.6</v>
      </c>
      <c r="F1385" s="9">
        <f t="shared" si="192"/>
        <v>4.5</v>
      </c>
      <c r="G1385" s="9">
        <f t="shared" si="193"/>
        <v>4.5</v>
      </c>
      <c r="H1385" t="str">
        <f>'(Raw) LensesGH'!D1385</f>
        <v>55mm</v>
      </c>
      <c r="I1385" s="2">
        <f t="shared" si="194"/>
        <v>55</v>
      </c>
      <c r="J1385" s="2" t="str">
        <f>'(Raw) LensesGH'!E1385</f>
        <v>1:4.00</v>
      </c>
      <c r="K1385" s="40">
        <f t="shared" si="195"/>
        <v>4</v>
      </c>
      <c r="L1385" t="str">
        <f>'(Raw) LensesGH'!F1385</f>
        <v>Sony A</v>
      </c>
      <c r="M1385" t="str">
        <f>'(Raw) LensesGH'!G1385</f>
        <v>APS-C/ Kleinbild</v>
      </c>
      <c r="N1385" t="str">
        <f>'(Raw) LensesGH'!H1385</f>
        <v>460g</v>
      </c>
      <c r="O1385" s="5">
        <f t="shared" si="196"/>
        <v>460</v>
      </c>
      <c r="P1385" t="str">
        <f>'(Raw) LensesGH'!I1385</f>
        <v>71 x 122mm</v>
      </c>
      <c r="Q1385" s="39">
        <f t="shared" si="197"/>
        <v>71</v>
      </c>
      <c r="R1385" s="39">
        <f t="shared" si="189"/>
        <v>122</v>
      </c>
    </row>
    <row r="1386" spans="1:18" x14ac:dyDescent="0.25">
      <c r="A1386" t="str">
        <f>'(Raw) LensesGH'!A1386</f>
        <v>Sony 85mm 1.4 schwarz</v>
      </c>
      <c r="B1386" t="str">
        <f>'(Raw) LensesGH'!B1386</f>
        <v>85mm</v>
      </c>
      <c r="C1386" s="5">
        <f t="shared" si="190"/>
        <v>85</v>
      </c>
      <c r="D1386" s="5">
        <f t="shared" si="191"/>
        <v>85</v>
      </c>
      <c r="E1386" t="str">
        <f>'(Raw) LensesGH'!C1386</f>
        <v>1:1.4</v>
      </c>
      <c r="F1386" s="9">
        <f t="shared" si="192"/>
        <v>1.4</v>
      </c>
      <c r="G1386" s="9">
        <f t="shared" si="193"/>
        <v>1.4</v>
      </c>
      <c r="H1386" t="str">
        <f>'(Raw) LensesGH'!D1386</f>
        <v>72mm</v>
      </c>
      <c r="I1386" s="2">
        <f t="shared" si="194"/>
        <v>72</v>
      </c>
      <c r="J1386" s="2" t="str">
        <f>'(Raw) LensesGH'!E1386</f>
        <v>1:7.69</v>
      </c>
      <c r="K1386" s="40">
        <f t="shared" si="195"/>
        <v>7.69</v>
      </c>
      <c r="L1386" t="str">
        <f>'(Raw) LensesGH'!F1386</f>
        <v>Sony A</v>
      </c>
      <c r="M1386" t="str">
        <f>'(Raw) LensesGH'!G1386</f>
        <v>APS-C/ Kleinbild</v>
      </c>
      <c r="N1386" t="str">
        <f>'(Raw) LensesGH'!H1386</f>
        <v>560g</v>
      </c>
      <c r="O1386" s="5">
        <f t="shared" si="196"/>
        <v>560</v>
      </c>
      <c r="P1386" t="str">
        <f>'(Raw) LensesGH'!I1386</f>
        <v>82 x 73mm</v>
      </c>
      <c r="Q1386" s="39">
        <f t="shared" si="197"/>
        <v>82</v>
      </c>
      <c r="R1386" s="39">
        <f t="shared" si="189"/>
        <v>73</v>
      </c>
    </row>
    <row r="1387" spans="1:18" x14ac:dyDescent="0.25">
      <c r="A1387" t="str">
        <f>'(Raw) LensesGH'!A1387</f>
        <v>Sony 85mm 2.8 SAM schwarz</v>
      </c>
      <c r="B1387" t="str">
        <f>'(Raw) LensesGH'!B1387</f>
        <v>85mm</v>
      </c>
      <c r="C1387" s="5">
        <f t="shared" si="190"/>
        <v>85</v>
      </c>
      <c r="D1387" s="5">
        <f t="shared" si="191"/>
        <v>85</v>
      </c>
      <c r="E1387" t="str">
        <f>'(Raw) LensesGH'!C1387</f>
        <v>1:2.8</v>
      </c>
      <c r="F1387" s="9">
        <f t="shared" si="192"/>
        <v>2.8</v>
      </c>
      <c r="G1387" s="9">
        <f t="shared" si="193"/>
        <v>2.8</v>
      </c>
      <c r="H1387" t="str">
        <f>'(Raw) LensesGH'!D1387</f>
        <v>55mm</v>
      </c>
      <c r="I1387" s="2">
        <f t="shared" si="194"/>
        <v>55</v>
      </c>
      <c r="J1387" s="2" t="str">
        <f>'(Raw) LensesGH'!E1387</f>
        <v>1:5.00</v>
      </c>
      <c r="K1387" s="40">
        <f t="shared" si="195"/>
        <v>5</v>
      </c>
      <c r="L1387" t="str">
        <f>'(Raw) LensesGH'!F1387</f>
        <v>Sony A</v>
      </c>
      <c r="M1387" t="str">
        <f>'(Raw) LensesGH'!G1387</f>
        <v>APS-C/ Kleinbild</v>
      </c>
      <c r="N1387" t="str">
        <f>'(Raw) LensesGH'!H1387</f>
        <v>175g</v>
      </c>
      <c r="O1387" s="5">
        <f t="shared" si="196"/>
        <v>175</v>
      </c>
      <c r="P1387" t="str">
        <f>'(Raw) LensesGH'!I1387</f>
        <v>70 x 52mm</v>
      </c>
      <c r="Q1387" s="39">
        <f t="shared" si="197"/>
        <v>70</v>
      </c>
      <c r="R1387" s="39">
        <f t="shared" si="189"/>
        <v>52</v>
      </c>
    </row>
    <row r="1388" spans="1:18" x14ac:dyDescent="0.25">
      <c r="A1388" t="str">
        <f>'(Raw) LensesGH'!A1388</f>
        <v>Sony E 10-18mm 4.0 OSS schwarz</v>
      </c>
      <c r="B1388" t="str">
        <f>'(Raw) LensesGH'!B1388</f>
        <v>10 - 18mm</v>
      </c>
      <c r="C1388" s="5">
        <f t="shared" si="190"/>
        <v>10</v>
      </c>
      <c r="D1388" s="5">
        <f t="shared" si="191"/>
        <v>18</v>
      </c>
      <c r="E1388" t="str">
        <f>'(Raw) LensesGH'!C1388</f>
        <v>1:4.0</v>
      </c>
      <c r="F1388" s="9">
        <f t="shared" si="192"/>
        <v>4</v>
      </c>
      <c r="G1388" s="9">
        <f t="shared" si="193"/>
        <v>4</v>
      </c>
      <c r="H1388" t="str">
        <f>'(Raw) LensesGH'!D1388</f>
        <v>62mm</v>
      </c>
      <c r="I1388" s="2">
        <f t="shared" si="194"/>
        <v>62</v>
      </c>
      <c r="J1388" s="2" t="str">
        <f>'(Raw) LensesGH'!E1388</f>
        <v>1:10.00</v>
      </c>
      <c r="K1388" s="40">
        <f t="shared" si="195"/>
        <v>10</v>
      </c>
      <c r="L1388" t="str">
        <f>'(Raw) LensesGH'!F1388</f>
        <v>Sony E</v>
      </c>
      <c r="M1388" t="str">
        <f>'(Raw) LensesGH'!G1388</f>
        <v>APS-C</v>
      </c>
      <c r="N1388" t="str">
        <f>'(Raw) LensesGH'!H1388</f>
        <v>225g</v>
      </c>
      <c r="O1388" s="5">
        <f t="shared" si="196"/>
        <v>225</v>
      </c>
      <c r="P1388" t="str">
        <f>'(Raw) LensesGH'!I1388</f>
        <v>70 x 63.5mm</v>
      </c>
      <c r="Q1388" s="39">
        <f t="shared" si="197"/>
        <v>70</v>
      </c>
      <c r="R1388" s="39">
        <f t="shared" si="189"/>
        <v>63.5</v>
      </c>
    </row>
    <row r="1389" spans="1:18" x14ac:dyDescent="0.25">
      <c r="A1389" t="str">
        <f>'(Raw) LensesGH'!A1389</f>
        <v>Sony E 16-50mm 3.5-5.6 OSS PZ schwarz</v>
      </c>
      <c r="B1389" t="str">
        <f>'(Raw) LensesGH'!B1389</f>
        <v>16 - 50mm</v>
      </c>
      <c r="C1389" s="5">
        <f t="shared" si="190"/>
        <v>16</v>
      </c>
      <c r="D1389" s="5">
        <f t="shared" si="191"/>
        <v>50</v>
      </c>
      <c r="E1389" t="str">
        <f>'(Raw) LensesGH'!C1389</f>
        <v>1:3.5-1:5.6</v>
      </c>
      <c r="F1389" s="9">
        <f t="shared" si="192"/>
        <v>3.5</v>
      </c>
      <c r="G1389" s="9">
        <f t="shared" si="193"/>
        <v>3.5</v>
      </c>
      <c r="H1389" t="str">
        <f>'(Raw) LensesGH'!D1389</f>
        <v>40.5mm</v>
      </c>
      <c r="I1389" s="2">
        <f t="shared" si="194"/>
        <v>40.5</v>
      </c>
      <c r="J1389" s="2" t="str">
        <f>'(Raw) LensesGH'!E1389</f>
        <v>1:4.65</v>
      </c>
      <c r="K1389" s="40">
        <f t="shared" si="195"/>
        <v>4.6500000000000004</v>
      </c>
      <c r="L1389" t="str">
        <f>'(Raw) LensesGH'!F1389</f>
        <v>Sony E</v>
      </c>
      <c r="M1389" t="str">
        <f>'(Raw) LensesGH'!G1389</f>
        <v>APS-C</v>
      </c>
      <c r="N1389" t="str">
        <f>'(Raw) LensesGH'!H1389</f>
        <v>116g</v>
      </c>
      <c r="O1389" s="5">
        <f t="shared" si="196"/>
        <v>116</v>
      </c>
      <c r="P1389" t="str">
        <f>'(Raw) LensesGH'!I1389</f>
        <v>65 x 30mm</v>
      </c>
      <c r="Q1389" s="39">
        <f t="shared" si="197"/>
        <v>65</v>
      </c>
      <c r="R1389" s="39">
        <f t="shared" si="189"/>
        <v>30</v>
      </c>
    </row>
    <row r="1390" spans="1:18" x14ac:dyDescent="0.25">
      <c r="A1390" t="str">
        <f>'(Raw) LensesGH'!A1390</f>
        <v>Sony E 16-70mm 4.0 ZA OSS schwarz</v>
      </c>
      <c r="B1390" t="str">
        <f>'(Raw) LensesGH'!B1390</f>
        <v>16 - 70mm</v>
      </c>
      <c r="C1390" s="5">
        <f t="shared" si="190"/>
        <v>16</v>
      </c>
      <c r="D1390" s="5">
        <f t="shared" si="191"/>
        <v>70</v>
      </c>
      <c r="E1390" t="str">
        <f>'(Raw) LensesGH'!C1390</f>
        <v>1:4.0</v>
      </c>
      <c r="F1390" s="9">
        <f t="shared" si="192"/>
        <v>4</v>
      </c>
      <c r="G1390" s="9">
        <f t="shared" si="193"/>
        <v>4</v>
      </c>
      <c r="H1390" t="str">
        <f>'(Raw) LensesGH'!D1390</f>
        <v>55mm</v>
      </c>
      <c r="I1390" s="2">
        <f t="shared" si="194"/>
        <v>55</v>
      </c>
      <c r="J1390" s="2" t="str">
        <f>'(Raw) LensesGH'!E1390</f>
        <v>1:4.35</v>
      </c>
      <c r="K1390" s="40">
        <f t="shared" si="195"/>
        <v>4.3499999999999996</v>
      </c>
      <c r="L1390" t="str">
        <f>'(Raw) LensesGH'!F1390</f>
        <v>Sony E</v>
      </c>
      <c r="M1390" t="str">
        <f>'(Raw) LensesGH'!G1390</f>
        <v>APS-C</v>
      </c>
      <c r="N1390" t="str">
        <f>'(Raw) LensesGH'!H1390</f>
        <v>308g</v>
      </c>
      <c r="O1390" s="5">
        <f t="shared" si="196"/>
        <v>308</v>
      </c>
      <c r="P1390" t="str">
        <f>'(Raw) LensesGH'!I1390</f>
        <v>66.6 x 75mm</v>
      </c>
      <c r="Q1390" s="39">
        <f t="shared" si="197"/>
        <v>66.599999999999994</v>
      </c>
      <c r="R1390" s="39">
        <f t="shared" si="189"/>
        <v>75</v>
      </c>
    </row>
    <row r="1391" spans="1:18" x14ac:dyDescent="0.25">
      <c r="A1391" t="str">
        <f>'(Raw) LensesGH'!A1391</f>
        <v>Sony E 16mm 2.8 Pancake silber</v>
      </c>
      <c r="B1391" t="str">
        <f>'(Raw) LensesGH'!B1391</f>
        <v>16mm</v>
      </c>
      <c r="C1391" s="5">
        <f t="shared" si="190"/>
        <v>16</v>
      </c>
      <c r="D1391" s="5">
        <f t="shared" si="191"/>
        <v>16</v>
      </c>
      <c r="E1391" t="str">
        <f>'(Raw) LensesGH'!C1391</f>
        <v>1:2.8</v>
      </c>
      <c r="F1391" s="9">
        <f t="shared" si="192"/>
        <v>2.8</v>
      </c>
      <c r="G1391" s="9">
        <f t="shared" si="193"/>
        <v>2.8</v>
      </c>
      <c r="H1391" t="str">
        <f>'(Raw) LensesGH'!D1391</f>
        <v>49mm</v>
      </c>
      <c r="I1391" s="2">
        <f t="shared" si="194"/>
        <v>49</v>
      </c>
      <c r="J1391" s="2" t="str">
        <f>'(Raw) LensesGH'!E1391</f>
        <v>1:12.82</v>
      </c>
      <c r="K1391" s="40">
        <f t="shared" si="195"/>
        <v>12.82</v>
      </c>
      <c r="L1391" t="str">
        <f>'(Raw) LensesGH'!F1391</f>
        <v>Sony E</v>
      </c>
      <c r="M1391" t="str">
        <f>'(Raw) LensesGH'!G1391</f>
        <v>APS-C</v>
      </c>
      <c r="N1391" t="str">
        <f>'(Raw) LensesGH'!H1391</f>
        <v>67g</v>
      </c>
      <c r="O1391" s="5">
        <f t="shared" si="196"/>
        <v>67</v>
      </c>
      <c r="P1391" t="str">
        <f>'(Raw) LensesGH'!I1391</f>
        <v>62 x 22.5mm</v>
      </c>
      <c r="Q1391" s="39">
        <f t="shared" si="197"/>
        <v>62</v>
      </c>
      <c r="R1391" s="39">
        <f t="shared" si="189"/>
        <v>22.5</v>
      </c>
    </row>
    <row r="1392" spans="1:18" x14ac:dyDescent="0.25">
      <c r="A1392" t="str">
        <f>'(Raw) LensesGH'!A1392</f>
        <v>Sony E 18-200mm 3.5-6.3 OSS LE schwarz</v>
      </c>
      <c r="B1392" t="str">
        <f>'(Raw) LensesGH'!B1392</f>
        <v>18 - 200mm</v>
      </c>
      <c r="C1392" s="5">
        <f t="shared" si="190"/>
        <v>18</v>
      </c>
      <c r="D1392" s="5">
        <f t="shared" si="191"/>
        <v>200</v>
      </c>
      <c r="E1392" t="str">
        <f>'(Raw) LensesGH'!C1392</f>
        <v>1:3.5-1:6.3</v>
      </c>
      <c r="F1392" s="9">
        <f t="shared" si="192"/>
        <v>3.5</v>
      </c>
      <c r="G1392" s="9">
        <f t="shared" si="193"/>
        <v>3.5</v>
      </c>
      <c r="H1392" t="str">
        <f>'(Raw) LensesGH'!D1392</f>
        <v>62mm</v>
      </c>
      <c r="I1392" s="2">
        <f t="shared" si="194"/>
        <v>62</v>
      </c>
      <c r="J1392" s="2" t="str">
        <f>'(Raw) LensesGH'!E1392</f>
        <v>1:3.70</v>
      </c>
      <c r="K1392" s="40">
        <f t="shared" si="195"/>
        <v>3.7</v>
      </c>
      <c r="L1392" t="str">
        <f>'(Raw) LensesGH'!F1392</f>
        <v>Sony E</v>
      </c>
      <c r="M1392" t="str">
        <f>'(Raw) LensesGH'!G1392</f>
        <v>APS-C</v>
      </c>
      <c r="N1392" t="str">
        <f>'(Raw) LensesGH'!H1392</f>
        <v>460g</v>
      </c>
      <c r="O1392" s="5">
        <f t="shared" si="196"/>
        <v>460</v>
      </c>
      <c r="P1392" t="str">
        <f>'(Raw) LensesGH'!I1392</f>
        <v>68 x 97.1mm</v>
      </c>
      <c r="Q1392" s="39">
        <f t="shared" si="197"/>
        <v>68</v>
      </c>
      <c r="R1392" s="39">
        <f t="shared" si="189"/>
        <v>97.1</v>
      </c>
    </row>
    <row r="1393" spans="1:18" x14ac:dyDescent="0.25">
      <c r="A1393" t="str">
        <f>'(Raw) LensesGH'!A1393</f>
        <v>Sony E 18-200mm 3.5-6.3 OSS silber</v>
      </c>
      <c r="B1393" t="str">
        <f>'(Raw) LensesGH'!B1393</f>
        <v>18 - 200mm</v>
      </c>
      <c r="C1393" s="5">
        <f t="shared" si="190"/>
        <v>18</v>
      </c>
      <c r="D1393" s="5">
        <f t="shared" si="191"/>
        <v>200</v>
      </c>
      <c r="E1393" t="str">
        <f>'(Raw) LensesGH'!C1393</f>
        <v>1:3.5-1:6.3</v>
      </c>
      <c r="F1393" s="9">
        <f t="shared" si="192"/>
        <v>3.5</v>
      </c>
      <c r="G1393" s="9">
        <f t="shared" si="193"/>
        <v>3.5</v>
      </c>
      <c r="H1393" t="str">
        <f>'(Raw) LensesGH'!D1393</f>
        <v>67mm</v>
      </c>
      <c r="I1393" s="2">
        <f t="shared" si="194"/>
        <v>67</v>
      </c>
      <c r="J1393" s="2" t="str">
        <f>'(Raw) LensesGH'!E1393</f>
        <v>1:2.86</v>
      </c>
      <c r="K1393" s="40">
        <f t="shared" si="195"/>
        <v>2.86</v>
      </c>
      <c r="L1393" t="str">
        <f>'(Raw) LensesGH'!F1393</f>
        <v>Sony E</v>
      </c>
      <c r="M1393" t="str">
        <f>'(Raw) LensesGH'!G1393</f>
        <v>APS-C</v>
      </c>
      <c r="N1393" t="str">
        <f>'(Raw) LensesGH'!H1393</f>
        <v>524g</v>
      </c>
      <c r="O1393" s="5">
        <f t="shared" si="196"/>
        <v>524</v>
      </c>
      <c r="P1393" t="str">
        <f>'(Raw) LensesGH'!I1393</f>
        <v>75.5 x 99mm</v>
      </c>
      <c r="Q1393" s="39">
        <f t="shared" si="197"/>
        <v>75.5</v>
      </c>
      <c r="R1393" s="39">
        <f t="shared" si="189"/>
        <v>99</v>
      </c>
    </row>
    <row r="1394" spans="1:18" x14ac:dyDescent="0.25">
      <c r="A1394" t="str">
        <f>'(Raw) LensesGH'!A1394</f>
        <v>Sony E 18-55mm 3.5-5.6 OSS silber</v>
      </c>
      <c r="B1394" t="str">
        <f>'(Raw) LensesGH'!B1394</f>
        <v>18 - 55mm</v>
      </c>
      <c r="C1394" s="5">
        <f t="shared" si="190"/>
        <v>18</v>
      </c>
      <c r="D1394" s="5">
        <f t="shared" si="191"/>
        <v>55</v>
      </c>
      <c r="E1394" t="str">
        <f>'(Raw) LensesGH'!C1394</f>
        <v>1:3.5-1:5.6</v>
      </c>
      <c r="F1394" s="9">
        <f t="shared" si="192"/>
        <v>3.5</v>
      </c>
      <c r="G1394" s="9">
        <f t="shared" si="193"/>
        <v>3.5</v>
      </c>
      <c r="H1394" t="str">
        <f>'(Raw) LensesGH'!D1394</f>
        <v>49mm</v>
      </c>
      <c r="I1394" s="2">
        <f t="shared" si="194"/>
        <v>49</v>
      </c>
      <c r="J1394" s="2" t="str">
        <f>'(Raw) LensesGH'!E1394</f>
        <v>1:3.33</v>
      </c>
      <c r="K1394" s="40">
        <f t="shared" si="195"/>
        <v>3.33</v>
      </c>
      <c r="L1394" t="str">
        <f>'(Raw) LensesGH'!F1394</f>
        <v>Sony E</v>
      </c>
      <c r="M1394" t="str">
        <f>'(Raw) LensesGH'!G1394</f>
        <v>APS-C</v>
      </c>
      <c r="N1394" t="str">
        <f>'(Raw) LensesGH'!H1394</f>
        <v>194g</v>
      </c>
      <c r="O1394" s="5">
        <f t="shared" si="196"/>
        <v>194</v>
      </c>
      <c r="P1394" t="str">
        <f>'(Raw) LensesGH'!I1394</f>
        <v>62 x 60mm</v>
      </c>
      <c r="Q1394" s="39">
        <f t="shared" si="197"/>
        <v>62</v>
      </c>
      <c r="R1394" s="39">
        <f t="shared" si="189"/>
        <v>60</v>
      </c>
    </row>
    <row r="1395" spans="1:18" x14ac:dyDescent="0.25">
      <c r="A1395" t="str">
        <f>'(Raw) LensesGH'!A1395</f>
        <v>Sony E 20mm 2.8 Pancake schwarz</v>
      </c>
      <c r="B1395" t="str">
        <f>'(Raw) LensesGH'!B1395</f>
        <v>20mm</v>
      </c>
      <c r="C1395" s="5">
        <f t="shared" si="190"/>
        <v>20</v>
      </c>
      <c r="D1395" s="5">
        <f t="shared" si="191"/>
        <v>20</v>
      </c>
      <c r="E1395" t="str">
        <f>'(Raw) LensesGH'!C1395</f>
        <v>1:2.8</v>
      </c>
      <c r="F1395" s="9">
        <f t="shared" si="192"/>
        <v>2.8</v>
      </c>
      <c r="G1395" s="9">
        <f t="shared" si="193"/>
        <v>2.8</v>
      </c>
      <c r="H1395" t="str">
        <f>'(Raw) LensesGH'!D1395</f>
        <v>49mm</v>
      </c>
      <c r="I1395" s="2">
        <f t="shared" si="194"/>
        <v>49</v>
      </c>
      <c r="J1395" s="2">
        <f>'(Raw) LensesGH'!E1395</f>
        <v>0</v>
      </c>
      <c r="K1395" s="40">
        <f t="shared" si="195"/>
        <v>0</v>
      </c>
      <c r="L1395" t="str">
        <f>'(Raw) LensesGH'!F1395</f>
        <v>Sony E</v>
      </c>
      <c r="M1395" t="str">
        <f>'(Raw) LensesGH'!G1395</f>
        <v>APS-C</v>
      </c>
      <c r="N1395" t="str">
        <f>'(Raw) LensesGH'!H1395</f>
        <v>69g</v>
      </c>
      <c r="O1395" s="5">
        <f t="shared" si="196"/>
        <v>69</v>
      </c>
      <c r="P1395" t="str">
        <f>'(Raw) LensesGH'!I1395</f>
        <v>63 x 20.4mm</v>
      </c>
      <c r="Q1395" s="39">
        <f t="shared" si="197"/>
        <v>63</v>
      </c>
      <c r="R1395" s="39">
        <f t="shared" si="189"/>
        <v>20.399999999999999</v>
      </c>
    </row>
    <row r="1396" spans="1:18" x14ac:dyDescent="0.25">
      <c r="A1396" t="str">
        <f>'(Raw) LensesGH'!A1396</f>
        <v>Sony E 24mm 1.8 schwarz</v>
      </c>
      <c r="B1396" t="str">
        <f>'(Raw) LensesGH'!B1396</f>
        <v>24mm</v>
      </c>
      <c r="C1396" s="5">
        <f t="shared" si="190"/>
        <v>24</v>
      </c>
      <c r="D1396" s="5">
        <f t="shared" si="191"/>
        <v>24</v>
      </c>
      <c r="E1396" t="str">
        <f>'(Raw) LensesGH'!C1396</f>
        <v>1:1.8</v>
      </c>
      <c r="F1396" s="9">
        <f t="shared" si="192"/>
        <v>1.8</v>
      </c>
      <c r="G1396" s="9">
        <f t="shared" si="193"/>
        <v>1.8</v>
      </c>
      <c r="H1396" t="str">
        <f>'(Raw) LensesGH'!D1396</f>
        <v>49mm</v>
      </c>
      <c r="I1396" s="2">
        <f t="shared" si="194"/>
        <v>49</v>
      </c>
      <c r="J1396" s="2" t="str">
        <f>'(Raw) LensesGH'!E1396</f>
        <v>1:4.00</v>
      </c>
      <c r="K1396" s="40">
        <f t="shared" si="195"/>
        <v>4</v>
      </c>
      <c r="L1396" t="str">
        <f>'(Raw) LensesGH'!F1396</f>
        <v>Sony E</v>
      </c>
      <c r="M1396" t="str">
        <f>'(Raw) LensesGH'!G1396</f>
        <v>APS-C</v>
      </c>
      <c r="N1396" t="str">
        <f>'(Raw) LensesGH'!H1396</f>
        <v>225g</v>
      </c>
      <c r="O1396" s="5">
        <f t="shared" si="196"/>
        <v>225</v>
      </c>
      <c r="P1396" t="str">
        <f>'(Raw) LensesGH'!I1396</f>
        <v>63 x 65.5mm</v>
      </c>
      <c r="Q1396" s="39">
        <f t="shared" si="197"/>
        <v>63</v>
      </c>
      <c r="R1396" s="39">
        <f t="shared" si="189"/>
        <v>65.5</v>
      </c>
    </row>
    <row r="1397" spans="1:18" x14ac:dyDescent="0.25">
      <c r="A1397" t="str">
        <f>'(Raw) LensesGH'!A1397</f>
        <v>Sony E 28-135mm 4.0 G PZ OSS schwarz</v>
      </c>
      <c r="B1397" t="str">
        <f>'(Raw) LensesGH'!B1397</f>
        <v>28 - 135mm</v>
      </c>
      <c r="C1397" s="5">
        <f t="shared" si="190"/>
        <v>28</v>
      </c>
      <c r="D1397" s="5">
        <f t="shared" si="191"/>
        <v>135</v>
      </c>
      <c r="E1397" t="str">
        <f>'(Raw) LensesGH'!C1397</f>
        <v>1:4.0</v>
      </c>
      <c r="F1397" s="9">
        <f t="shared" si="192"/>
        <v>4</v>
      </c>
      <c r="G1397" s="9">
        <f t="shared" si="193"/>
        <v>4</v>
      </c>
      <c r="H1397" t="str">
        <f>'(Raw) LensesGH'!D1397</f>
        <v>95mm</v>
      </c>
      <c r="I1397" s="2">
        <f t="shared" si="194"/>
        <v>95</v>
      </c>
      <c r="J1397" s="2" t="str">
        <f>'(Raw) LensesGH'!E1397</f>
        <v>1:6.67</v>
      </c>
      <c r="K1397" s="40">
        <f t="shared" si="195"/>
        <v>6.67</v>
      </c>
      <c r="L1397" t="str">
        <f>'(Raw) LensesGH'!F1397</f>
        <v>Sony E</v>
      </c>
      <c r="M1397" t="str">
        <f>'(Raw) LensesGH'!G1397</f>
        <v>APS-C/ Kleinbild</v>
      </c>
      <c r="N1397" t="str">
        <f>'(Raw) LensesGH'!H1397</f>
        <v>1120g</v>
      </c>
      <c r="O1397" s="5">
        <f t="shared" si="196"/>
        <v>1120</v>
      </c>
      <c r="P1397" t="str">
        <f>'(Raw) LensesGH'!I1397</f>
        <v>105 x 162.5mm</v>
      </c>
      <c r="Q1397" s="39">
        <f t="shared" si="197"/>
        <v>105</v>
      </c>
      <c r="R1397" s="39">
        <f t="shared" si="189"/>
        <v>162.5</v>
      </c>
    </row>
    <row r="1398" spans="1:18" x14ac:dyDescent="0.25">
      <c r="A1398" t="str">
        <f>'(Raw) LensesGH'!A1398</f>
        <v>Sony E 30mm 3.5 Makro silber</v>
      </c>
      <c r="B1398" t="str">
        <f>'(Raw) LensesGH'!B1398</f>
        <v>30mm</v>
      </c>
      <c r="C1398" s="5">
        <f t="shared" si="190"/>
        <v>30</v>
      </c>
      <c r="D1398" s="5">
        <f t="shared" si="191"/>
        <v>30</v>
      </c>
      <c r="E1398" t="str">
        <f>'(Raw) LensesGH'!C1398</f>
        <v>1:3.5</v>
      </c>
      <c r="F1398" s="9">
        <f t="shared" si="192"/>
        <v>3.5</v>
      </c>
      <c r="G1398" s="9">
        <f t="shared" si="193"/>
        <v>3.5</v>
      </c>
      <c r="H1398" t="str">
        <f>'(Raw) LensesGH'!D1398</f>
        <v>49mm</v>
      </c>
      <c r="I1398" s="2">
        <f t="shared" si="194"/>
        <v>49</v>
      </c>
      <c r="J1398" s="2" t="str">
        <f>'(Raw) LensesGH'!E1398</f>
        <v>1:1.00</v>
      </c>
      <c r="K1398" s="40">
        <f t="shared" si="195"/>
        <v>1</v>
      </c>
      <c r="L1398" t="str">
        <f>'(Raw) LensesGH'!F1398</f>
        <v>Sony E</v>
      </c>
      <c r="M1398" t="str">
        <f>'(Raw) LensesGH'!G1398</f>
        <v>APS-C</v>
      </c>
      <c r="N1398" t="str">
        <f>'(Raw) LensesGH'!H1398</f>
        <v>138g</v>
      </c>
      <c r="O1398" s="5">
        <f t="shared" si="196"/>
        <v>138</v>
      </c>
      <c r="P1398" t="str">
        <f>'(Raw) LensesGH'!I1398</f>
        <v>62 x 55.5mm</v>
      </c>
      <c r="Q1398" s="39">
        <f t="shared" si="197"/>
        <v>62</v>
      </c>
      <c r="R1398" s="39">
        <f t="shared" si="189"/>
        <v>55.5</v>
      </c>
    </row>
    <row r="1399" spans="1:18" x14ac:dyDescent="0.25">
      <c r="A1399" t="str">
        <f>'(Raw) LensesGH'!A1399</f>
        <v>Sony E 35mm 1.8 OSS schwarz</v>
      </c>
      <c r="B1399" t="str">
        <f>'(Raw) LensesGH'!B1399</f>
        <v>35mm</v>
      </c>
      <c r="C1399" s="5">
        <f t="shared" si="190"/>
        <v>35</v>
      </c>
      <c r="D1399" s="5">
        <f t="shared" si="191"/>
        <v>35</v>
      </c>
      <c r="E1399" t="str">
        <f>'(Raw) LensesGH'!C1399</f>
        <v>1:1.8</v>
      </c>
      <c r="F1399" s="9">
        <f t="shared" si="192"/>
        <v>1.8</v>
      </c>
      <c r="G1399" s="9">
        <f t="shared" si="193"/>
        <v>1.8</v>
      </c>
      <c r="H1399" t="str">
        <f>'(Raw) LensesGH'!D1399</f>
        <v>49mm</v>
      </c>
      <c r="I1399" s="2">
        <f t="shared" si="194"/>
        <v>49</v>
      </c>
      <c r="J1399" s="2" t="str">
        <f>'(Raw) LensesGH'!E1399</f>
        <v>1:6.67</v>
      </c>
      <c r="K1399" s="40">
        <f t="shared" si="195"/>
        <v>6.67</v>
      </c>
      <c r="L1399" t="str">
        <f>'(Raw) LensesGH'!F1399</f>
        <v>Sony E</v>
      </c>
      <c r="M1399" t="str">
        <f>'(Raw) LensesGH'!G1399</f>
        <v>APS-C</v>
      </c>
      <c r="N1399" t="str">
        <f>'(Raw) LensesGH'!H1399</f>
        <v>155g</v>
      </c>
      <c r="O1399" s="5">
        <f t="shared" si="196"/>
        <v>155</v>
      </c>
      <c r="P1399" t="str">
        <f>'(Raw) LensesGH'!I1399</f>
        <v>62 x 55.5mm</v>
      </c>
      <c r="Q1399" s="39">
        <f t="shared" si="197"/>
        <v>62</v>
      </c>
      <c r="R1399" s="39">
        <f t="shared" si="189"/>
        <v>55.5</v>
      </c>
    </row>
    <row r="1400" spans="1:18" x14ac:dyDescent="0.25">
      <c r="A1400" t="str">
        <f>'(Raw) LensesGH'!A1400</f>
        <v>Sony E 50mm 1.8 OSS schwarz</v>
      </c>
      <c r="B1400" t="str">
        <f>'(Raw) LensesGH'!B1400</f>
        <v>50mm</v>
      </c>
      <c r="C1400" s="5">
        <f t="shared" si="190"/>
        <v>50</v>
      </c>
      <c r="D1400" s="5">
        <f t="shared" si="191"/>
        <v>50</v>
      </c>
      <c r="E1400" t="str">
        <f>'(Raw) LensesGH'!C1400</f>
        <v>1:1.8</v>
      </c>
      <c r="F1400" s="9">
        <f t="shared" si="192"/>
        <v>1.8</v>
      </c>
      <c r="G1400" s="9">
        <f t="shared" si="193"/>
        <v>1.8</v>
      </c>
      <c r="H1400" t="str">
        <f>'(Raw) LensesGH'!D1400</f>
        <v>49mm</v>
      </c>
      <c r="I1400" s="2">
        <f t="shared" si="194"/>
        <v>49</v>
      </c>
      <c r="J1400" s="2" t="str">
        <f>'(Raw) LensesGH'!E1400</f>
        <v>1:6.25</v>
      </c>
      <c r="K1400" s="40">
        <f t="shared" si="195"/>
        <v>6.25</v>
      </c>
      <c r="L1400" t="str">
        <f>'(Raw) LensesGH'!F1400</f>
        <v>Sony E</v>
      </c>
      <c r="M1400" t="str">
        <f>'(Raw) LensesGH'!G1400</f>
        <v>APS-C</v>
      </c>
      <c r="N1400" t="str">
        <f>'(Raw) LensesGH'!H1400</f>
        <v>202g</v>
      </c>
      <c r="O1400" s="5">
        <f t="shared" si="196"/>
        <v>202</v>
      </c>
      <c r="P1400" t="str">
        <f>'(Raw) LensesGH'!I1400</f>
        <v>62 x 62mm</v>
      </c>
      <c r="Q1400" s="39">
        <f t="shared" si="197"/>
        <v>62</v>
      </c>
      <c r="R1400" s="39">
        <f t="shared" si="189"/>
        <v>62</v>
      </c>
    </row>
    <row r="1401" spans="1:18" x14ac:dyDescent="0.25">
      <c r="A1401" t="str">
        <f>'(Raw) LensesGH'!A1401</f>
        <v>Sony E 50mm 1.8 OSS silber</v>
      </c>
      <c r="B1401" t="str">
        <f>'(Raw) LensesGH'!B1401</f>
        <v>50mm</v>
      </c>
      <c r="C1401" s="5">
        <f t="shared" si="190"/>
        <v>50</v>
      </c>
      <c r="D1401" s="5">
        <f t="shared" si="191"/>
        <v>50</v>
      </c>
      <c r="E1401" t="str">
        <f>'(Raw) LensesGH'!C1401</f>
        <v>1:1.8</v>
      </c>
      <c r="F1401" s="9">
        <f t="shared" si="192"/>
        <v>1.8</v>
      </c>
      <c r="G1401" s="9">
        <f t="shared" si="193"/>
        <v>1.8</v>
      </c>
      <c r="H1401" t="str">
        <f>'(Raw) LensesGH'!D1401</f>
        <v>49mm</v>
      </c>
      <c r="I1401" s="2">
        <f t="shared" si="194"/>
        <v>49</v>
      </c>
      <c r="J1401" s="2" t="str">
        <f>'(Raw) LensesGH'!E1401</f>
        <v>1:6.25</v>
      </c>
      <c r="K1401" s="40">
        <f t="shared" si="195"/>
        <v>6.25</v>
      </c>
      <c r="L1401" t="str">
        <f>'(Raw) LensesGH'!F1401</f>
        <v>Sony E</v>
      </c>
      <c r="M1401" t="str">
        <f>'(Raw) LensesGH'!G1401</f>
        <v>APS-C</v>
      </c>
      <c r="N1401" t="str">
        <f>'(Raw) LensesGH'!H1401</f>
        <v>202g</v>
      </c>
      <c r="O1401" s="5">
        <f t="shared" si="196"/>
        <v>202</v>
      </c>
      <c r="P1401" t="str">
        <f>'(Raw) LensesGH'!I1401</f>
        <v>62 x 62mm</v>
      </c>
      <c r="Q1401" s="39">
        <f t="shared" si="197"/>
        <v>62</v>
      </c>
      <c r="R1401" s="39">
        <f t="shared" si="189"/>
        <v>62</v>
      </c>
    </row>
    <row r="1402" spans="1:18" x14ac:dyDescent="0.25">
      <c r="A1402" t="str">
        <f>'(Raw) LensesGH'!A1402</f>
        <v>Sony E 55-210mm 4.5-6.3 OSS schwarz</v>
      </c>
      <c r="B1402" t="str">
        <f>'(Raw) LensesGH'!B1402</f>
        <v>55 - 210mm</v>
      </c>
      <c r="C1402" s="5">
        <f t="shared" si="190"/>
        <v>55</v>
      </c>
      <c r="D1402" s="5">
        <f t="shared" si="191"/>
        <v>210</v>
      </c>
      <c r="E1402" t="str">
        <f>'(Raw) LensesGH'!C1402</f>
        <v>1:4.5-1:6.3</v>
      </c>
      <c r="F1402" s="9">
        <f t="shared" si="192"/>
        <v>4.5</v>
      </c>
      <c r="G1402" s="9">
        <f t="shared" si="193"/>
        <v>4.5</v>
      </c>
      <c r="H1402" t="str">
        <f>'(Raw) LensesGH'!D1402</f>
        <v>49mm</v>
      </c>
      <c r="I1402" s="2">
        <f t="shared" si="194"/>
        <v>49</v>
      </c>
      <c r="J1402" s="2" t="str">
        <f>'(Raw) LensesGH'!E1402</f>
        <v>1:4.44</v>
      </c>
      <c r="K1402" s="40">
        <f t="shared" si="195"/>
        <v>4.4400000000000004</v>
      </c>
      <c r="L1402" t="str">
        <f>'(Raw) LensesGH'!F1402</f>
        <v>Sony E</v>
      </c>
      <c r="M1402" t="str">
        <f>'(Raw) LensesGH'!G1402</f>
        <v>APS-C</v>
      </c>
      <c r="N1402" t="str">
        <f>'(Raw) LensesGH'!H1402</f>
        <v>345g</v>
      </c>
      <c r="O1402" s="5">
        <f t="shared" si="196"/>
        <v>345</v>
      </c>
      <c r="P1402" t="str">
        <f>'(Raw) LensesGH'!I1402</f>
        <v>63.8 x 108mm</v>
      </c>
      <c r="Q1402" s="39">
        <f t="shared" si="197"/>
        <v>63.8</v>
      </c>
      <c r="R1402" s="39">
        <f t="shared" si="189"/>
        <v>108</v>
      </c>
    </row>
    <row r="1403" spans="1:18" x14ac:dyDescent="0.25">
      <c r="A1403" t="str">
        <f>'(Raw) LensesGH'!A1403</f>
        <v>Sony E 55-210mm 4.5-6.3 OSS silber</v>
      </c>
      <c r="B1403" t="str">
        <f>'(Raw) LensesGH'!B1403</f>
        <v>55 - 210mm</v>
      </c>
      <c r="C1403" s="5">
        <f t="shared" si="190"/>
        <v>55</v>
      </c>
      <c r="D1403" s="5">
        <f t="shared" si="191"/>
        <v>210</v>
      </c>
      <c r="E1403" t="str">
        <f>'(Raw) LensesGH'!C1403</f>
        <v>1:4.5-1:6.3</v>
      </c>
      <c r="F1403" s="9">
        <f t="shared" si="192"/>
        <v>4.5</v>
      </c>
      <c r="G1403" s="9">
        <f t="shared" si="193"/>
        <v>4.5</v>
      </c>
      <c r="H1403" t="str">
        <f>'(Raw) LensesGH'!D1403</f>
        <v>49mm</v>
      </c>
      <c r="I1403" s="2">
        <f t="shared" si="194"/>
        <v>49</v>
      </c>
      <c r="J1403" s="2" t="str">
        <f>'(Raw) LensesGH'!E1403</f>
        <v>1:4.44</v>
      </c>
      <c r="K1403" s="40">
        <f t="shared" si="195"/>
        <v>4.4400000000000004</v>
      </c>
      <c r="L1403" t="str">
        <f>'(Raw) LensesGH'!F1403</f>
        <v>Sony E</v>
      </c>
      <c r="M1403" t="str">
        <f>'(Raw) LensesGH'!G1403</f>
        <v>APS-C</v>
      </c>
      <c r="N1403" t="str">
        <f>'(Raw) LensesGH'!H1403</f>
        <v>345g</v>
      </c>
      <c r="O1403" s="5">
        <f t="shared" si="196"/>
        <v>345</v>
      </c>
      <c r="P1403" t="str">
        <f>'(Raw) LensesGH'!I1403</f>
        <v>63.8 x 108mm</v>
      </c>
      <c r="Q1403" s="39">
        <f t="shared" si="197"/>
        <v>63.8</v>
      </c>
      <c r="R1403" s="39">
        <f t="shared" si="189"/>
        <v>108</v>
      </c>
    </row>
    <row r="1404" spans="1:18" x14ac:dyDescent="0.25">
      <c r="A1404" t="str">
        <f>'(Raw) LensesGH'!A1404</f>
        <v>Sony E PZ 18-105mm 4.0 G OSS schwarz</v>
      </c>
      <c r="B1404" t="str">
        <f>'(Raw) LensesGH'!B1404</f>
        <v>18 - 105mm</v>
      </c>
      <c r="C1404" s="5">
        <f t="shared" si="190"/>
        <v>18</v>
      </c>
      <c r="D1404" s="5">
        <f t="shared" si="191"/>
        <v>105</v>
      </c>
      <c r="E1404" t="str">
        <f>'(Raw) LensesGH'!C1404</f>
        <v>1:4.0</v>
      </c>
      <c r="F1404" s="9">
        <f t="shared" si="192"/>
        <v>4</v>
      </c>
      <c r="G1404" s="9">
        <f t="shared" si="193"/>
        <v>4</v>
      </c>
      <c r="H1404" t="str">
        <f>'(Raw) LensesGH'!D1404</f>
        <v>72mm</v>
      </c>
      <c r="I1404" s="2">
        <f t="shared" si="194"/>
        <v>72</v>
      </c>
      <c r="J1404" s="2" t="str">
        <f>'(Raw) LensesGH'!E1404</f>
        <v>1:9.09</v>
      </c>
      <c r="K1404" s="40">
        <f t="shared" si="195"/>
        <v>9.09</v>
      </c>
      <c r="L1404" t="str">
        <f>'(Raw) LensesGH'!F1404</f>
        <v>Sony E</v>
      </c>
      <c r="M1404" t="str">
        <f>'(Raw) LensesGH'!G1404</f>
        <v>APS-C</v>
      </c>
      <c r="N1404" t="str">
        <f>'(Raw) LensesGH'!H1404</f>
        <v>427g</v>
      </c>
      <c r="O1404" s="5">
        <f t="shared" si="196"/>
        <v>427</v>
      </c>
      <c r="P1404" t="str">
        <f>'(Raw) LensesGH'!I1404</f>
        <v>78 x 110mm</v>
      </c>
      <c r="Q1404" s="39">
        <f t="shared" si="197"/>
        <v>78</v>
      </c>
      <c r="R1404" s="39">
        <f t="shared" si="189"/>
        <v>110</v>
      </c>
    </row>
    <row r="1405" spans="1:18" x14ac:dyDescent="0.25">
      <c r="A1405" t="str">
        <f>'(Raw) LensesGH'!A1405</f>
        <v>Sony E PZ 18-110mm 4.0 G OSS schwarz</v>
      </c>
      <c r="B1405" t="str">
        <f>'(Raw) LensesGH'!B1405</f>
        <v>18 - 110mm</v>
      </c>
      <c r="C1405" s="5">
        <f t="shared" si="190"/>
        <v>18</v>
      </c>
      <c r="D1405" s="5">
        <f t="shared" si="191"/>
        <v>110</v>
      </c>
      <c r="E1405" t="str">
        <f>'(Raw) LensesGH'!C1405</f>
        <v>1:4.0</v>
      </c>
      <c r="F1405" s="9">
        <f t="shared" si="192"/>
        <v>4</v>
      </c>
      <c r="G1405" s="9">
        <f t="shared" si="193"/>
        <v>4</v>
      </c>
      <c r="H1405" t="str">
        <f>'(Raw) LensesGH'!D1405</f>
        <v>95mm</v>
      </c>
      <c r="I1405" s="2">
        <f t="shared" si="194"/>
        <v>95</v>
      </c>
      <c r="J1405" s="2" t="str">
        <f>'(Raw) LensesGH'!E1405</f>
        <v>1:8.20</v>
      </c>
      <c r="K1405" s="40">
        <f t="shared" si="195"/>
        <v>8.1999999999999993</v>
      </c>
      <c r="L1405" t="str">
        <f>'(Raw) LensesGH'!F1405</f>
        <v>Sony E</v>
      </c>
      <c r="M1405" t="str">
        <f>'(Raw) LensesGH'!G1405</f>
        <v>APS-C</v>
      </c>
      <c r="N1405" t="str">
        <f>'(Raw) LensesGH'!H1405</f>
        <v>1110g</v>
      </c>
      <c r="O1405" s="5">
        <f t="shared" si="196"/>
        <v>1110</v>
      </c>
      <c r="P1405" t="str">
        <f>'(Raw) LensesGH'!I1405</f>
        <v>110 x 167.5mm</v>
      </c>
      <c r="Q1405" s="39">
        <f t="shared" si="197"/>
        <v>110</v>
      </c>
      <c r="R1405" s="39">
        <f t="shared" si="189"/>
        <v>167.5</v>
      </c>
    </row>
    <row r="1406" spans="1:18" x14ac:dyDescent="0.25">
      <c r="A1406" t="str">
        <f>'(Raw) LensesGH'!A1406</f>
        <v>Sony E PZ 18-200mm 3.5-6.3 OSS schwarz</v>
      </c>
      <c r="B1406" t="str">
        <f>'(Raw) LensesGH'!B1406</f>
        <v>18 - 200mm</v>
      </c>
      <c r="C1406" s="5">
        <f t="shared" si="190"/>
        <v>18</v>
      </c>
      <c r="D1406" s="5">
        <f t="shared" si="191"/>
        <v>200</v>
      </c>
      <c r="E1406" t="str">
        <f>'(Raw) LensesGH'!C1406</f>
        <v>1:3.5-1:6.3</v>
      </c>
      <c r="F1406" s="9">
        <f t="shared" si="192"/>
        <v>3.5</v>
      </c>
      <c r="G1406" s="9">
        <f t="shared" si="193"/>
        <v>3.5</v>
      </c>
      <c r="H1406" t="str">
        <f>'(Raw) LensesGH'!D1406</f>
        <v>67mm</v>
      </c>
      <c r="I1406" s="2">
        <f t="shared" si="194"/>
        <v>67</v>
      </c>
      <c r="J1406" s="2" t="str">
        <f>'(Raw) LensesGH'!E1406</f>
        <v>1:2.86</v>
      </c>
      <c r="K1406" s="40">
        <f t="shared" si="195"/>
        <v>2.86</v>
      </c>
      <c r="L1406" t="str">
        <f>'(Raw) LensesGH'!F1406</f>
        <v>Sony E</v>
      </c>
      <c r="M1406" t="str">
        <f>'(Raw) LensesGH'!G1406</f>
        <v>APS-C</v>
      </c>
      <c r="N1406" t="str">
        <f>'(Raw) LensesGH'!H1406</f>
        <v>649g</v>
      </c>
      <c r="O1406" s="5">
        <f t="shared" si="196"/>
        <v>649</v>
      </c>
      <c r="P1406" t="str">
        <f>'(Raw) LensesGH'!I1406</f>
        <v>93.2 x 99mm</v>
      </c>
      <c r="Q1406" s="39">
        <f t="shared" si="197"/>
        <v>93.2</v>
      </c>
      <c r="R1406" s="39">
        <f t="shared" si="189"/>
        <v>99</v>
      </c>
    </row>
    <row r="1407" spans="1:18" x14ac:dyDescent="0.25">
      <c r="A1407" t="str">
        <f>'(Raw) LensesGH'!A1407</f>
        <v>Sony FE 100-400mm 4.5-5.6 GM OSS weiß</v>
      </c>
      <c r="B1407" t="str">
        <f>'(Raw) LensesGH'!B1407</f>
        <v>100 - 400mm</v>
      </c>
      <c r="C1407" s="5">
        <f t="shared" si="190"/>
        <v>100</v>
      </c>
      <c r="D1407" s="5">
        <f t="shared" si="191"/>
        <v>400</v>
      </c>
      <c r="E1407" t="str">
        <f>'(Raw) LensesGH'!C1407</f>
        <v>1:4.5-1:5.6</v>
      </c>
      <c r="F1407" s="9">
        <f t="shared" si="192"/>
        <v>4.5</v>
      </c>
      <c r="G1407" s="9">
        <f t="shared" si="193"/>
        <v>4.5</v>
      </c>
      <c r="H1407" t="str">
        <f>'(Raw) LensesGH'!D1407</f>
        <v>77mm</v>
      </c>
      <c r="I1407" s="2">
        <f t="shared" si="194"/>
        <v>77</v>
      </c>
      <c r="J1407" s="2" t="str">
        <f>'(Raw) LensesGH'!E1407</f>
        <v>1:2.86</v>
      </c>
      <c r="K1407" s="40">
        <f t="shared" si="195"/>
        <v>2.86</v>
      </c>
      <c r="L1407" t="str">
        <f>'(Raw) LensesGH'!F1407</f>
        <v>Sony E</v>
      </c>
      <c r="M1407" t="str">
        <f>'(Raw) LensesGH'!G1407</f>
        <v>APS-C/ Kleinbild</v>
      </c>
      <c r="N1407" t="str">
        <f>'(Raw) LensesGH'!H1407</f>
        <v>1400g</v>
      </c>
      <c r="O1407" s="5">
        <f t="shared" si="196"/>
        <v>1400</v>
      </c>
      <c r="P1407" t="str">
        <f>'(Raw) LensesGH'!I1407</f>
        <v>93.9 x 205mm</v>
      </c>
      <c r="Q1407" s="39">
        <f t="shared" si="197"/>
        <v>93.9</v>
      </c>
      <c r="R1407" s="39">
        <f t="shared" si="189"/>
        <v>205</v>
      </c>
    </row>
    <row r="1408" spans="1:18" x14ac:dyDescent="0.25">
      <c r="A1408" t="str">
        <f>'(Raw) LensesGH'!A1408</f>
        <v>Sony FE 100mm 2.8 STF GM OSS schwarz</v>
      </c>
      <c r="B1408" t="str">
        <f>'(Raw) LensesGH'!B1408</f>
        <v>100mm</v>
      </c>
      <c r="C1408" s="5">
        <f t="shared" si="190"/>
        <v>100</v>
      </c>
      <c r="D1408" s="5">
        <f t="shared" si="191"/>
        <v>100</v>
      </c>
      <c r="E1408" t="str">
        <f>'(Raw) LensesGH'!C1408</f>
        <v>1:2.8</v>
      </c>
      <c r="F1408" s="9">
        <f t="shared" si="192"/>
        <v>2.8</v>
      </c>
      <c r="G1408" s="9">
        <f t="shared" si="193"/>
        <v>2.8</v>
      </c>
      <c r="H1408" t="str">
        <f>'(Raw) LensesGH'!D1408</f>
        <v>72mm</v>
      </c>
      <c r="I1408" s="2">
        <f t="shared" si="194"/>
        <v>72</v>
      </c>
      <c r="J1408" s="2" t="str">
        <f>'(Raw) LensesGH'!E1408</f>
        <v>1:7.14</v>
      </c>
      <c r="K1408" s="40">
        <f t="shared" si="195"/>
        <v>7.14</v>
      </c>
      <c r="L1408" t="str">
        <f>'(Raw) LensesGH'!F1408</f>
        <v>Sony E</v>
      </c>
      <c r="M1408" t="str">
        <f>'(Raw) LensesGH'!G1408</f>
        <v>APS-C/ Kleinbild</v>
      </c>
      <c r="N1408" t="str">
        <f>'(Raw) LensesGH'!H1408</f>
        <v>700g</v>
      </c>
      <c r="O1408" s="5">
        <f t="shared" si="196"/>
        <v>700</v>
      </c>
      <c r="P1408" t="str">
        <f>'(Raw) LensesGH'!I1408</f>
        <v>85.2 x 118.1mm</v>
      </c>
      <c r="Q1408" s="39">
        <f t="shared" si="197"/>
        <v>85.2</v>
      </c>
      <c r="R1408" s="39">
        <f t="shared" si="189"/>
        <v>118.1</v>
      </c>
    </row>
    <row r="1409" spans="1:18" x14ac:dyDescent="0.25">
      <c r="A1409" t="str">
        <f>'(Raw) LensesGH'!A1409</f>
        <v>Sony FE 12-24mm 4.0 G schwarz</v>
      </c>
      <c r="B1409" t="str">
        <f>'(Raw) LensesGH'!B1409</f>
        <v>12 - 24mm</v>
      </c>
      <c r="C1409" s="5">
        <f t="shared" si="190"/>
        <v>12</v>
      </c>
      <c r="D1409" s="5">
        <f t="shared" si="191"/>
        <v>24</v>
      </c>
      <c r="E1409" t="str">
        <f>'(Raw) LensesGH'!C1409</f>
        <v>1:4.0</v>
      </c>
      <c r="F1409" s="9">
        <f t="shared" si="192"/>
        <v>4</v>
      </c>
      <c r="G1409" s="9">
        <f t="shared" si="193"/>
        <v>4</v>
      </c>
      <c r="H1409">
        <f>'(Raw) LensesGH'!D1409</f>
        <v>0</v>
      </c>
      <c r="I1409" s="2">
        <f t="shared" si="194"/>
        <v>0</v>
      </c>
      <c r="J1409" s="2" t="str">
        <f>'(Raw) LensesGH'!E1409</f>
        <v>1:7.14</v>
      </c>
      <c r="K1409" s="40">
        <f t="shared" si="195"/>
        <v>7.14</v>
      </c>
      <c r="L1409" t="str">
        <f>'(Raw) LensesGH'!F1409</f>
        <v>Sony E</v>
      </c>
      <c r="M1409" t="str">
        <f>'(Raw) LensesGH'!G1409</f>
        <v>APS-C/ Kleinbild</v>
      </c>
      <c r="N1409" t="str">
        <f>'(Raw) LensesGH'!H1409</f>
        <v>565g</v>
      </c>
      <c r="O1409" s="5">
        <f t="shared" si="196"/>
        <v>565</v>
      </c>
      <c r="P1409" t="str">
        <f>'(Raw) LensesGH'!I1409</f>
        <v>87 x 117.4mm</v>
      </c>
      <c r="Q1409" s="39">
        <f t="shared" si="197"/>
        <v>87</v>
      </c>
      <c r="R1409" s="39">
        <f t="shared" si="189"/>
        <v>117.4</v>
      </c>
    </row>
    <row r="1410" spans="1:18" x14ac:dyDescent="0.25">
      <c r="A1410" t="str">
        <f>'(Raw) LensesGH'!A1410</f>
        <v>Sony FE 16-35mm 2.8 GM schwarz</v>
      </c>
      <c r="B1410" t="str">
        <f>'(Raw) LensesGH'!B1410</f>
        <v>16 - 35mm</v>
      </c>
      <c r="C1410" s="5">
        <f t="shared" si="190"/>
        <v>16</v>
      </c>
      <c r="D1410" s="5">
        <f t="shared" si="191"/>
        <v>35</v>
      </c>
      <c r="E1410" t="str">
        <f>'(Raw) LensesGH'!C1410</f>
        <v>1:2.8</v>
      </c>
      <c r="F1410" s="9">
        <f t="shared" si="192"/>
        <v>2.8</v>
      </c>
      <c r="G1410" s="9">
        <f t="shared" si="193"/>
        <v>2.8</v>
      </c>
      <c r="H1410" t="str">
        <f>'(Raw) LensesGH'!D1410</f>
        <v>82mm</v>
      </c>
      <c r="I1410" s="2">
        <f t="shared" si="194"/>
        <v>82</v>
      </c>
      <c r="J1410" s="2" t="str">
        <f>'(Raw) LensesGH'!E1410</f>
        <v>1:5.26</v>
      </c>
      <c r="K1410" s="40">
        <f t="shared" si="195"/>
        <v>5.26</v>
      </c>
      <c r="L1410" t="str">
        <f>'(Raw) LensesGH'!F1410</f>
        <v>Sony E</v>
      </c>
      <c r="M1410" t="str">
        <f>'(Raw) LensesGH'!G1410</f>
        <v>APS-C/ Kleinbild</v>
      </c>
      <c r="N1410" t="str">
        <f>'(Raw) LensesGH'!H1410</f>
        <v>680g</v>
      </c>
      <c r="O1410" s="5">
        <f t="shared" si="196"/>
        <v>680</v>
      </c>
      <c r="P1410" t="str">
        <f>'(Raw) LensesGH'!I1410</f>
        <v>88.5 x 121.6mm</v>
      </c>
      <c r="Q1410" s="39">
        <f t="shared" si="197"/>
        <v>88.5</v>
      </c>
      <c r="R1410" s="39">
        <f t="shared" ref="R1410:R1473" si="198">getSizeLength(P1410)</f>
        <v>121.6</v>
      </c>
    </row>
    <row r="1411" spans="1:18" x14ac:dyDescent="0.25">
      <c r="A1411" t="str">
        <f>'(Raw) LensesGH'!A1411</f>
        <v>Sony FE 16-35mm 4.0 ZA OSS schwarz</v>
      </c>
      <c r="B1411" t="str">
        <f>'(Raw) LensesGH'!B1411</f>
        <v>16 - 35mm</v>
      </c>
      <c r="C1411" s="5">
        <f t="shared" ref="C1411:C1474" si="199">getFocalLengthStart(B1411)</f>
        <v>16</v>
      </c>
      <c r="D1411" s="5">
        <f t="shared" ref="D1411:D1474" si="200">getFocalLengthEnd(B1411)</f>
        <v>35</v>
      </c>
      <c r="E1411" t="str">
        <f>'(Raw) LensesGH'!C1411</f>
        <v>1:4.0</v>
      </c>
      <c r="F1411" s="9">
        <f t="shared" ref="F1411:F1474" si="201">getApertureStart(E1411)</f>
        <v>4</v>
      </c>
      <c r="G1411" s="9">
        <f t="shared" ref="G1411:G1474" si="202">getApertureEnd(F1411)</f>
        <v>4</v>
      </c>
      <c r="H1411" t="str">
        <f>'(Raw) LensesGH'!D1411</f>
        <v>72mm</v>
      </c>
      <c r="I1411" s="2">
        <f t="shared" ref="I1411:I1474" si="203">getFiltersizeAsDouble(H1411)</f>
        <v>72</v>
      </c>
      <c r="J1411" s="2" t="str">
        <f>'(Raw) LensesGH'!E1411</f>
        <v>1:5.26</v>
      </c>
      <c r="K1411" s="40">
        <f t="shared" ref="K1411:K1474" si="204">getMagnification(J1411)</f>
        <v>5.26</v>
      </c>
      <c r="L1411" t="str">
        <f>'(Raw) LensesGH'!F1411</f>
        <v>Sony E</v>
      </c>
      <c r="M1411" t="str">
        <f>'(Raw) LensesGH'!G1411</f>
        <v>APS-C/ Kleinbild</v>
      </c>
      <c r="N1411" t="str">
        <f>'(Raw) LensesGH'!H1411</f>
        <v>518g</v>
      </c>
      <c r="O1411" s="5">
        <f t="shared" ref="O1411:O1474" si="205">getWeightAsDouble(N1411)</f>
        <v>518</v>
      </c>
      <c r="P1411" t="str">
        <f>'(Raw) LensesGH'!I1411</f>
        <v>78 x 98.5mm</v>
      </c>
      <c r="Q1411" s="39">
        <f t="shared" ref="Q1411:Q1474" si="206">getSizeDiameter(P1411)</f>
        <v>78</v>
      </c>
      <c r="R1411" s="39">
        <f t="shared" si="198"/>
        <v>98.5</v>
      </c>
    </row>
    <row r="1412" spans="1:18" x14ac:dyDescent="0.25">
      <c r="A1412" t="str">
        <f>'(Raw) LensesGH'!A1412</f>
        <v>Sony FE 24-105mm 4.0 G OSS schwarz</v>
      </c>
      <c r="B1412" t="str">
        <f>'(Raw) LensesGH'!B1412</f>
        <v>24 - 105mm</v>
      </c>
      <c r="C1412" s="5">
        <f t="shared" si="199"/>
        <v>24</v>
      </c>
      <c r="D1412" s="5">
        <f t="shared" si="200"/>
        <v>105</v>
      </c>
      <c r="E1412" t="str">
        <f>'(Raw) LensesGH'!C1412</f>
        <v>1:4.0</v>
      </c>
      <c r="F1412" s="9">
        <f t="shared" si="201"/>
        <v>4</v>
      </c>
      <c r="G1412" s="9">
        <f t="shared" si="202"/>
        <v>4</v>
      </c>
      <c r="H1412" t="str">
        <f>'(Raw) LensesGH'!D1412</f>
        <v>77mm</v>
      </c>
      <c r="I1412" s="2">
        <f t="shared" si="203"/>
        <v>77</v>
      </c>
      <c r="J1412" s="2" t="str">
        <f>'(Raw) LensesGH'!E1412</f>
        <v>1:3.23</v>
      </c>
      <c r="K1412" s="40">
        <f t="shared" si="204"/>
        <v>3.23</v>
      </c>
      <c r="L1412" t="str">
        <f>'(Raw) LensesGH'!F1412</f>
        <v>Sony E</v>
      </c>
      <c r="M1412" t="str">
        <f>'(Raw) LensesGH'!G1412</f>
        <v>APS-C/ Kleinbild</v>
      </c>
      <c r="N1412" t="str">
        <f>'(Raw) LensesGH'!H1412</f>
        <v>663g</v>
      </c>
      <c r="O1412" s="5">
        <f t="shared" si="205"/>
        <v>663</v>
      </c>
      <c r="P1412" t="str">
        <f>'(Raw) LensesGH'!I1412</f>
        <v>83.4 x 113.3mm</v>
      </c>
      <c r="Q1412" s="39">
        <f t="shared" si="206"/>
        <v>83.4</v>
      </c>
      <c r="R1412" s="39">
        <f t="shared" si="198"/>
        <v>113.3</v>
      </c>
    </row>
    <row r="1413" spans="1:18" x14ac:dyDescent="0.25">
      <c r="A1413" t="str">
        <f>'(Raw) LensesGH'!A1413</f>
        <v>Sony FE 24-240mm 3.5-6.3 OSS schwarz</v>
      </c>
      <c r="B1413" t="str">
        <f>'(Raw) LensesGH'!B1413</f>
        <v>24 - 240mm</v>
      </c>
      <c r="C1413" s="5">
        <f t="shared" si="199"/>
        <v>24</v>
      </c>
      <c r="D1413" s="5">
        <f t="shared" si="200"/>
        <v>240</v>
      </c>
      <c r="E1413" t="str">
        <f>'(Raw) LensesGH'!C1413</f>
        <v>1:3.5-1:6.3</v>
      </c>
      <c r="F1413" s="9">
        <f t="shared" si="201"/>
        <v>3.5</v>
      </c>
      <c r="G1413" s="9">
        <f t="shared" si="202"/>
        <v>3.5</v>
      </c>
      <c r="H1413" t="str">
        <f>'(Raw) LensesGH'!D1413</f>
        <v>72mm</v>
      </c>
      <c r="I1413" s="2">
        <f t="shared" si="203"/>
        <v>72</v>
      </c>
      <c r="J1413" s="2" t="str">
        <f>'(Raw) LensesGH'!E1413</f>
        <v>1:3.70</v>
      </c>
      <c r="K1413" s="40">
        <f t="shared" si="204"/>
        <v>3.7</v>
      </c>
      <c r="L1413" t="str">
        <f>'(Raw) LensesGH'!F1413</f>
        <v>Sony E</v>
      </c>
      <c r="M1413" t="str">
        <f>'(Raw) LensesGH'!G1413</f>
        <v>APS-C/ Kleinbild</v>
      </c>
      <c r="N1413" t="str">
        <f>'(Raw) LensesGH'!H1413</f>
        <v>780g</v>
      </c>
      <c r="O1413" s="5">
        <f t="shared" si="205"/>
        <v>780</v>
      </c>
      <c r="P1413" t="str">
        <f>'(Raw) LensesGH'!I1413</f>
        <v>80.5 x 118.5mm</v>
      </c>
      <c r="Q1413" s="39">
        <f t="shared" si="206"/>
        <v>80.5</v>
      </c>
      <c r="R1413" s="39">
        <f t="shared" si="198"/>
        <v>118.5</v>
      </c>
    </row>
    <row r="1414" spans="1:18" x14ac:dyDescent="0.25">
      <c r="A1414" t="str">
        <f>'(Raw) LensesGH'!A1414</f>
        <v>Sony FE 24-70mm 2.8 GM schwarz</v>
      </c>
      <c r="B1414" t="str">
        <f>'(Raw) LensesGH'!B1414</f>
        <v>24 - 70mm</v>
      </c>
      <c r="C1414" s="5">
        <f t="shared" si="199"/>
        <v>24</v>
      </c>
      <c r="D1414" s="5">
        <f t="shared" si="200"/>
        <v>70</v>
      </c>
      <c r="E1414" t="str">
        <f>'(Raw) LensesGH'!C1414</f>
        <v>1:2.8</v>
      </c>
      <c r="F1414" s="9">
        <f t="shared" si="201"/>
        <v>2.8</v>
      </c>
      <c r="G1414" s="9">
        <f t="shared" si="202"/>
        <v>2.8</v>
      </c>
      <c r="H1414" t="str">
        <f>'(Raw) LensesGH'!D1414</f>
        <v>82mm</v>
      </c>
      <c r="I1414" s="2">
        <f t="shared" si="203"/>
        <v>82</v>
      </c>
      <c r="J1414" s="2" t="str">
        <f>'(Raw) LensesGH'!E1414</f>
        <v>1:4.17</v>
      </c>
      <c r="K1414" s="40">
        <f t="shared" si="204"/>
        <v>4.17</v>
      </c>
      <c r="L1414" t="str">
        <f>'(Raw) LensesGH'!F1414</f>
        <v>Sony E</v>
      </c>
      <c r="M1414" t="str">
        <f>'(Raw) LensesGH'!G1414</f>
        <v>APS-C/ Kleinbild</v>
      </c>
      <c r="N1414" t="str">
        <f>'(Raw) LensesGH'!H1414</f>
        <v>886g</v>
      </c>
      <c r="O1414" s="5">
        <f t="shared" si="205"/>
        <v>886</v>
      </c>
      <c r="P1414" t="str">
        <f>'(Raw) LensesGH'!I1414</f>
        <v>87.6 x 136mm</v>
      </c>
      <c r="Q1414" s="39">
        <f t="shared" si="206"/>
        <v>87.6</v>
      </c>
      <c r="R1414" s="39">
        <f t="shared" si="198"/>
        <v>136</v>
      </c>
    </row>
    <row r="1415" spans="1:18" x14ac:dyDescent="0.25">
      <c r="A1415" t="str">
        <f>'(Raw) LensesGH'!A1415</f>
        <v>Sony FE 24-70mm 4.0 ZA OSS schwarz</v>
      </c>
      <c r="B1415" t="str">
        <f>'(Raw) LensesGH'!B1415</f>
        <v>24 - 70mm</v>
      </c>
      <c r="C1415" s="5">
        <f t="shared" si="199"/>
        <v>24</v>
      </c>
      <c r="D1415" s="5">
        <f t="shared" si="200"/>
        <v>70</v>
      </c>
      <c r="E1415" t="str">
        <f>'(Raw) LensesGH'!C1415</f>
        <v>1:4.0</v>
      </c>
      <c r="F1415" s="9">
        <f t="shared" si="201"/>
        <v>4</v>
      </c>
      <c r="G1415" s="9">
        <f t="shared" si="202"/>
        <v>4</v>
      </c>
      <c r="H1415" t="str">
        <f>'(Raw) LensesGH'!D1415</f>
        <v>67mm</v>
      </c>
      <c r="I1415" s="2">
        <f t="shared" si="203"/>
        <v>67</v>
      </c>
      <c r="J1415" s="2" t="str">
        <f>'(Raw) LensesGH'!E1415</f>
        <v>1:5.00</v>
      </c>
      <c r="K1415" s="40">
        <f t="shared" si="204"/>
        <v>5</v>
      </c>
      <c r="L1415" t="str">
        <f>'(Raw) LensesGH'!F1415</f>
        <v>Sony E</v>
      </c>
      <c r="M1415" t="str">
        <f>'(Raw) LensesGH'!G1415</f>
        <v>APS-C/ Kleinbild</v>
      </c>
      <c r="N1415" t="str">
        <f>'(Raw) LensesGH'!H1415</f>
        <v>426g</v>
      </c>
      <c r="O1415" s="5">
        <f t="shared" si="205"/>
        <v>426</v>
      </c>
      <c r="P1415" t="str">
        <f>'(Raw) LensesGH'!I1415</f>
        <v>73 x 94.5mm</v>
      </c>
      <c r="Q1415" s="39">
        <f t="shared" si="206"/>
        <v>73</v>
      </c>
      <c r="R1415" s="39">
        <f t="shared" si="198"/>
        <v>94.5</v>
      </c>
    </row>
    <row r="1416" spans="1:18" x14ac:dyDescent="0.25">
      <c r="A1416" t="str">
        <f>'(Raw) LensesGH'!A1416</f>
        <v>Sony FE 28-70mm 3.5-5.6 OSS schwarz</v>
      </c>
      <c r="B1416" t="str">
        <f>'(Raw) LensesGH'!B1416</f>
        <v>28 - 70mm</v>
      </c>
      <c r="C1416" s="5">
        <f t="shared" si="199"/>
        <v>28</v>
      </c>
      <c r="D1416" s="5">
        <f t="shared" si="200"/>
        <v>70</v>
      </c>
      <c r="E1416" t="str">
        <f>'(Raw) LensesGH'!C1416</f>
        <v>1:3.5-1:5.6</v>
      </c>
      <c r="F1416" s="9">
        <f t="shared" si="201"/>
        <v>3.5</v>
      </c>
      <c r="G1416" s="9">
        <f t="shared" si="202"/>
        <v>3.5</v>
      </c>
      <c r="H1416" t="str">
        <f>'(Raw) LensesGH'!D1416</f>
        <v>55mm</v>
      </c>
      <c r="I1416" s="2">
        <f t="shared" si="203"/>
        <v>55</v>
      </c>
      <c r="J1416" s="2" t="str">
        <f>'(Raw) LensesGH'!E1416</f>
        <v>1:5.26</v>
      </c>
      <c r="K1416" s="40">
        <f t="shared" si="204"/>
        <v>5.26</v>
      </c>
      <c r="L1416" t="str">
        <f>'(Raw) LensesGH'!F1416</f>
        <v>Sony E</v>
      </c>
      <c r="M1416" t="str">
        <f>'(Raw) LensesGH'!G1416</f>
        <v>APS-C/ Kleinbild</v>
      </c>
      <c r="N1416" t="str">
        <f>'(Raw) LensesGH'!H1416</f>
        <v>295g</v>
      </c>
      <c r="O1416" s="5">
        <f t="shared" si="205"/>
        <v>295</v>
      </c>
      <c r="P1416" t="str">
        <f>'(Raw) LensesGH'!I1416</f>
        <v>72.5 x 83mm</v>
      </c>
      <c r="Q1416" s="39">
        <f t="shared" si="206"/>
        <v>72.5</v>
      </c>
      <c r="R1416" s="39">
        <f t="shared" si="198"/>
        <v>83</v>
      </c>
    </row>
    <row r="1417" spans="1:18" x14ac:dyDescent="0.25">
      <c r="A1417" t="str">
        <f>'(Raw) LensesGH'!A1417</f>
        <v>Sony FE 28mm 2.0 schwarz</v>
      </c>
      <c r="B1417" t="str">
        <f>'(Raw) LensesGH'!B1417</f>
        <v>28mm</v>
      </c>
      <c r="C1417" s="5">
        <f t="shared" si="199"/>
        <v>28</v>
      </c>
      <c r="D1417" s="5">
        <f t="shared" si="200"/>
        <v>28</v>
      </c>
      <c r="E1417" t="str">
        <f>'(Raw) LensesGH'!C1417</f>
        <v>1:2.0</v>
      </c>
      <c r="F1417" s="9">
        <f t="shared" si="201"/>
        <v>2</v>
      </c>
      <c r="G1417" s="9">
        <f t="shared" si="202"/>
        <v>2</v>
      </c>
      <c r="H1417" t="str">
        <f>'(Raw) LensesGH'!D1417</f>
        <v>49mm</v>
      </c>
      <c r="I1417" s="2">
        <f t="shared" si="203"/>
        <v>49</v>
      </c>
      <c r="J1417" s="2" t="str">
        <f>'(Raw) LensesGH'!E1417</f>
        <v>1:7.69</v>
      </c>
      <c r="K1417" s="40">
        <f t="shared" si="204"/>
        <v>7.69</v>
      </c>
      <c r="L1417" t="str">
        <f>'(Raw) LensesGH'!F1417</f>
        <v>Sony E</v>
      </c>
      <c r="M1417" t="str">
        <f>'(Raw) LensesGH'!G1417</f>
        <v>APS-C/ Kleinbild</v>
      </c>
      <c r="N1417" t="str">
        <f>'(Raw) LensesGH'!H1417</f>
        <v>200g</v>
      </c>
      <c r="O1417" s="5">
        <f t="shared" si="205"/>
        <v>200</v>
      </c>
      <c r="P1417" t="str">
        <f>'(Raw) LensesGH'!I1417</f>
        <v>64 x 60mm</v>
      </c>
      <c r="Q1417" s="39">
        <f t="shared" si="206"/>
        <v>64</v>
      </c>
      <c r="R1417" s="39">
        <f t="shared" si="198"/>
        <v>60</v>
      </c>
    </row>
    <row r="1418" spans="1:18" x14ac:dyDescent="0.25">
      <c r="A1418" t="str">
        <f>'(Raw) LensesGH'!A1418</f>
        <v>Sony FE 35mm 1.4 ZA schwarz</v>
      </c>
      <c r="B1418" t="str">
        <f>'(Raw) LensesGH'!B1418</f>
        <v>35mm</v>
      </c>
      <c r="C1418" s="5">
        <f t="shared" si="199"/>
        <v>35</v>
      </c>
      <c r="D1418" s="5">
        <f t="shared" si="200"/>
        <v>35</v>
      </c>
      <c r="E1418" t="str">
        <f>'(Raw) LensesGH'!C1418</f>
        <v>1:1.4</v>
      </c>
      <c r="F1418" s="9">
        <f t="shared" si="201"/>
        <v>1.4</v>
      </c>
      <c r="G1418" s="9">
        <f t="shared" si="202"/>
        <v>1.4</v>
      </c>
      <c r="H1418" t="str">
        <f>'(Raw) LensesGH'!D1418</f>
        <v>72mm</v>
      </c>
      <c r="I1418" s="2">
        <f t="shared" si="203"/>
        <v>72</v>
      </c>
      <c r="J1418" s="2" t="str">
        <f>'(Raw) LensesGH'!E1418</f>
        <v>1:5.55</v>
      </c>
      <c r="K1418" s="40">
        <f t="shared" si="204"/>
        <v>5.55</v>
      </c>
      <c r="L1418" t="str">
        <f>'(Raw) LensesGH'!F1418</f>
        <v>Sony E</v>
      </c>
      <c r="M1418" t="str">
        <f>'(Raw) LensesGH'!G1418</f>
        <v>APS-C/ Kleinbild</v>
      </c>
      <c r="N1418" t="str">
        <f>'(Raw) LensesGH'!H1418</f>
        <v>630g</v>
      </c>
      <c r="O1418" s="5">
        <f t="shared" si="205"/>
        <v>630</v>
      </c>
      <c r="P1418" t="str">
        <f>'(Raw) LensesGH'!I1418</f>
        <v>78.5 x 112mm</v>
      </c>
      <c r="Q1418" s="39">
        <f t="shared" si="206"/>
        <v>78.5</v>
      </c>
      <c r="R1418" s="39">
        <f t="shared" si="198"/>
        <v>112</v>
      </c>
    </row>
    <row r="1419" spans="1:18" x14ac:dyDescent="0.25">
      <c r="A1419" t="str">
        <f>'(Raw) LensesGH'!A1419</f>
        <v>Sony FE 35mm 2.8 ZA schwarz</v>
      </c>
      <c r="B1419" t="str">
        <f>'(Raw) LensesGH'!B1419</f>
        <v>35mm</v>
      </c>
      <c r="C1419" s="5">
        <f t="shared" si="199"/>
        <v>35</v>
      </c>
      <c r="D1419" s="5">
        <f t="shared" si="200"/>
        <v>35</v>
      </c>
      <c r="E1419" t="str">
        <f>'(Raw) LensesGH'!C1419</f>
        <v>1:2.8</v>
      </c>
      <c r="F1419" s="9">
        <f t="shared" si="201"/>
        <v>2.8</v>
      </c>
      <c r="G1419" s="9">
        <f t="shared" si="202"/>
        <v>2.8</v>
      </c>
      <c r="H1419" t="str">
        <f>'(Raw) LensesGH'!D1419</f>
        <v>49mm</v>
      </c>
      <c r="I1419" s="2">
        <f t="shared" si="203"/>
        <v>49</v>
      </c>
      <c r="J1419" s="2" t="str">
        <f>'(Raw) LensesGH'!E1419</f>
        <v>1:8.33</v>
      </c>
      <c r="K1419" s="40">
        <f t="shared" si="204"/>
        <v>8.33</v>
      </c>
      <c r="L1419" t="str">
        <f>'(Raw) LensesGH'!F1419</f>
        <v>Sony E</v>
      </c>
      <c r="M1419" t="str">
        <f>'(Raw) LensesGH'!G1419</f>
        <v>APS-C/ Kleinbild</v>
      </c>
      <c r="N1419" t="str">
        <f>'(Raw) LensesGH'!H1419</f>
        <v>120g</v>
      </c>
      <c r="O1419" s="5">
        <f t="shared" si="205"/>
        <v>120</v>
      </c>
      <c r="P1419" t="str">
        <f>'(Raw) LensesGH'!I1419</f>
        <v>61.5 x 36.5mm</v>
      </c>
      <c r="Q1419" s="39">
        <f t="shared" si="206"/>
        <v>61.5</v>
      </c>
      <c r="R1419" s="39">
        <f t="shared" si="198"/>
        <v>36.5</v>
      </c>
    </row>
    <row r="1420" spans="1:18" x14ac:dyDescent="0.25">
      <c r="A1420" t="str">
        <f>'(Raw) LensesGH'!A1420</f>
        <v>Sony FE 50mm 1.4 ZA SSM schwarz</v>
      </c>
      <c r="B1420" t="str">
        <f>'(Raw) LensesGH'!B1420</f>
        <v>50mm</v>
      </c>
      <c r="C1420" s="5">
        <f t="shared" si="199"/>
        <v>50</v>
      </c>
      <c r="D1420" s="5">
        <f t="shared" si="200"/>
        <v>50</v>
      </c>
      <c r="E1420" t="str">
        <f>'(Raw) LensesGH'!C1420</f>
        <v>1:1.4</v>
      </c>
      <c r="F1420" s="9">
        <f t="shared" si="201"/>
        <v>1.4</v>
      </c>
      <c r="G1420" s="9">
        <f t="shared" si="202"/>
        <v>1.4</v>
      </c>
      <c r="H1420" t="str">
        <f>'(Raw) LensesGH'!D1420</f>
        <v>72mm</v>
      </c>
      <c r="I1420" s="2">
        <f t="shared" si="203"/>
        <v>72</v>
      </c>
      <c r="J1420" s="2" t="str">
        <f>'(Raw) LensesGH'!E1420</f>
        <v>1:6.67</v>
      </c>
      <c r="K1420" s="40">
        <f t="shared" si="204"/>
        <v>6.67</v>
      </c>
      <c r="L1420" t="str">
        <f>'(Raw) LensesGH'!F1420</f>
        <v>Sony E</v>
      </c>
      <c r="M1420" t="str">
        <f>'(Raw) LensesGH'!G1420</f>
        <v>APS-C/ Kleinbild</v>
      </c>
      <c r="N1420" t="str">
        <f>'(Raw) LensesGH'!H1420</f>
        <v>778g</v>
      </c>
      <c r="O1420" s="5">
        <f t="shared" si="205"/>
        <v>778</v>
      </c>
      <c r="P1420" t="str">
        <f>'(Raw) LensesGH'!I1420</f>
        <v>83.5 x 108mm</v>
      </c>
      <c r="Q1420" s="39">
        <f t="shared" si="206"/>
        <v>83.5</v>
      </c>
      <c r="R1420" s="39">
        <f t="shared" si="198"/>
        <v>108</v>
      </c>
    </row>
    <row r="1421" spans="1:18" x14ac:dyDescent="0.25">
      <c r="A1421" t="str">
        <f>'(Raw) LensesGH'!A1421</f>
        <v>Sony FE 50mm 1.8 schwarz</v>
      </c>
      <c r="B1421" t="str">
        <f>'(Raw) LensesGH'!B1421</f>
        <v>50mm</v>
      </c>
      <c r="C1421" s="5">
        <f t="shared" si="199"/>
        <v>50</v>
      </c>
      <c r="D1421" s="5">
        <f t="shared" si="200"/>
        <v>50</v>
      </c>
      <c r="E1421" t="str">
        <f>'(Raw) LensesGH'!C1421</f>
        <v>1:1.8</v>
      </c>
      <c r="F1421" s="9">
        <f t="shared" si="201"/>
        <v>1.8</v>
      </c>
      <c r="G1421" s="9">
        <f t="shared" si="202"/>
        <v>1.8</v>
      </c>
      <c r="H1421" t="str">
        <f>'(Raw) LensesGH'!D1421</f>
        <v>49mm</v>
      </c>
      <c r="I1421" s="2">
        <f t="shared" si="203"/>
        <v>49</v>
      </c>
      <c r="J1421" s="2" t="str">
        <f>'(Raw) LensesGH'!E1421</f>
        <v>1:7.14</v>
      </c>
      <c r="K1421" s="40">
        <f t="shared" si="204"/>
        <v>7.14</v>
      </c>
      <c r="L1421" t="str">
        <f>'(Raw) LensesGH'!F1421</f>
        <v>Sony E</v>
      </c>
      <c r="M1421" t="str">
        <f>'(Raw) LensesGH'!G1421</f>
        <v>APS-C/ Kleinbild</v>
      </c>
      <c r="N1421" t="str">
        <f>'(Raw) LensesGH'!H1421</f>
        <v>186g</v>
      </c>
      <c r="O1421" s="5">
        <f t="shared" si="205"/>
        <v>186</v>
      </c>
      <c r="P1421" t="str">
        <f>'(Raw) LensesGH'!I1421</f>
        <v>59.5 x 68.6mm</v>
      </c>
      <c r="Q1421" s="39">
        <f t="shared" si="206"/>
        <v>59.5</v>
      </c>
      <c r="R1421" s="39">
        <f t="shared" si="198"/>
        <v>68.599999999999994</v>
      </c>
    </row>
    <row r="1422" spans="1:18" x14ac:dyDescent="0.25">
      <c r="A1422" t="str">
        <f>'(Raw) LensesGH'!A1422</f>
        <v>Sony FE 50mm 2.8 Makro schwarz</v>
      </c>
      <c r="B1422" t="str">
        <f>'(Raw) LensesGH'!B1422</f>
        <v>50mm</v>
      </c>
      <c r="C1422" s="5">
        <f t="shared" si="199"/>
        <v>50</v>
      </c>
      <c r="D1422" s="5">
        <f t="shared" si="200"/>
        <v>50</v>
      </c>
      <c r="E1422" t="str">
        <f>'(Raw) LensesGH'!C1422</f>
        <v>1:2.8</v>
      </c>
      <c r="F1422" s="9">
        <f t="shared" si="201"/>
        <v>2.8</v>
      </c>
      <c r="G1422" s="9">
        <f t="shared" si="202"/>
        <v>2.8</v>
      </c>
      <c r="H1422" t="str">
        <f>'(Raw) LensesGH'!D1422</f>
        <v>55mm</v>
      </c>
      <c r="I1422" s="2">
        <f t="shared" si="203"/>
        <v>55</v>
      </c>
      <c r="J1422" s="2" t="str">
        <f>'(Raw) LensesGH'!E1422</f>
        <v>1:1.00</v>
      </c>
      <c r="K1422" s="40">
        <f t="shared" si="204"/>
        <v>1</v>
      </c>
      <c r="L1422" t="str">
        <f>'(Raw) LensesGH'!F1422</f>
        <v>Sony E</v>
      </c>
      <c r="M1422" t="str">
        <f>'(Raw) LensesGH'!G1422</f>
        <v>APS-C/ Kleinbild</v>
      </c>
      <c r="N1422" t="str">
        <f>'(Raw) LensesGH'!H1422</f>
        <v>236g</v>
      </c>
      <c r="O1422" s="5">
        <f t="shared" si="205"/>
        <v>236</v>
      </c>
      <c r="P1422" t="str">
        <f>'(Raw) LensesGH'!I1422</f>
        <v>70.8 x 71mm</v>
      </c>
      <c r="Q1422" s="39">
        <f t="shared" si="206"/>
        <v>70.8</v>
      </c>
      <c r="R1422" s="39">
        <f t="shared" si="198"/>
        <v>71</v>
      </c>
    </row>
    <row r="1423" spans="1:18" x14ac:dyDescent="0.25">
      <c r="A1423" t="str">
        <f>'(Raw) LensesGH'!A1423</f>
        <v>Sony FE 55mm 1.8 ZA schwarz</v>
      </c>
      <c r="B1423" t="str">
        <f>'(Raw) LensesGH'!B1423</f>
        <v>55mm</v>
      </c>
      <c r="C1423" s="5">
        <f t="shared" si="199"/>
        <v>55</v>
      </c>
      <c r="D1423" s="5">
        <f t="shared" si="200"/>
        <v>55</v>
      </c>
      <c r="E1423" t="str">
        <f>'(Raw) LensesGH'!C1423</f>
        <v>1:1.8</v>
      </c>
      <c r="F1423" s="9">
        <f t="shared" si="201"/>
        <v>1.8</v>
      </c>
      <c r="G1423" s="9">
        <f t="shared" si="202"/>
        <v>1.8</v>
      </c>
      <c r="H1423" t="str">
        <f>'(Raw) LensesGH'!D1423</f>
        <v>49mm</v>
      </c>
      <c r="I1423" s="2">
        <f t="shared" si="203"/>
        <v>49</v>
      </c>
      <c r="J1423" s="2" t="str">
        <f>'(Raw) LensesGH'!E1423</f>
        <v>1:7.14</v>
      </c>
      <c r="K1423" s="40">
        <f t="shared" si="204"/>
        <v>7.14</v>
      </c>
      <c r="L1423" t="str">
        <f>'(Raw) LensesGH'!F1423</f>
        <v>Sony E</v>
      </c>
      <c r="M1423" t="str">
        <f>'(Raw) LensesGH'!G1423</f>
        <v>APS-C/ Kleinbild</v>
      </c>
      <c r="N1423" t="str">
        <f>'(Raw) LensesGH'!H1423</f>
        <v>281g</v>
      </c>
      <c r="O1423" s="5">
        <f t="shared" si="205"/>
        <v>281</v>
      </c>
      <c r="P1423" t="str">
        <f>'(Raw) LensesGH'!I1423</f>
        <v>64.4 x 70.5mm</v>
      </c>
      <c r="Q1423" s="39">
        <f t="shared" si="206"/>
        <v>64.400000000000006</v>
      </c>
      <c r="R1423" s="39">
        <f t="shared" si="198"/>
        <v>70.5</v>
      </c>
    </row>
    <row r="1424" spans="1:18" x14ac:dyDescent="0.25">
      <c r="A1424" t="str">
        <f>'(Raw) LensesGH'!A1424</f>
        <v>Sony FE 70-200mm 2.8 GM OSS weiß</v>
      </c>
      <c r="B1424" t="str">
        <f>'(Raw) LensesGH'!B1424</f>
        <v>70 - 200mm</v>
      </c>
      <c r="C1424" s="5">
        <f t="shared" si="199"/>
        <v>70</v>
      </c>
      <c r="D1424" s="5">
        <f t="shared" si="200"/>
        <v>200</v>
      </c>
      <c r="E1424" t="str">
        <f>'(Raw) LensesGH'!C1424</f>
        <v>1:2.8</v>
      </c>
      <c r="F1424" s="9">
        <f t="shared" si="201"/>
        <v>2.8</v>
      </c>
      <c r="G1424" s="9">
        <f t="shared" si="202"/>
        <v>2.8</v>
      </c>
      <c r="H1424" t="str">
        <f>'(Raw) LensesGH'!D1424</f>
        <v>77mm</v>
      </c>
      <c r="I1424" s="2">
        <f t="shared" si="203"/>
        <v>77</v>
      </c>
      <c r="J1424" s="2" t="str">
        <f>'(Raw) LensesGH'!E1424</f>
        <v>1:4.00</v>
      </c>
      <c r="K1424" s="40">
        <f t="shared" si="204"/>
        <v>4</v>
      </c>
      <c r="L1424" t="str">
        <f>'(Raw) LensesGH'!F1424</f>
        <v>Sony E</v>
      </c>
      <c r="M1424" t="str">
        <f>'(Raw) LensesGH'!G1424</f>
        <v>APS-C/ Kleinbild</v>
      </c>
      <c r="N1424" t="str">
        <f>'(Raw) LensesGH'!H1424</f>
        <v>1480g</v>
      </c>
      <c r="O1424" s="5">
        <f t="shared" si="205"/>
        <v>1480</v>
      </c>
      <c r="P1424" t="str">
        <f>'(Raw) LensesGH'!I1424</f>
        <v>88 x 200mm</v>
      </c>
      <c r="Q1424" s="39">
        <f t="shared" si="206"/>
        <v>88</v>
      </c>
      <c r="R1424" s="39">
        <f t="shared" si="198"/>
        <v>200</v>
      </c>
    </row>
    <row r="1425" spans="1:18" x14ac:dyDescent="0.25">
      <c r="A1425" t="str">
        <f>'(Raw) LensesGH'!A1425</f>
        <v>Sony FE 70-200mm 4.0 G OSS weiß</v>
      </c>
      <c r="B1425" t="str">
        <f>'(Raw) LensesGH'!B1425</f>
        <v>70 - 200mm</v>
      </c>
      <c r="C1425" s="5">
        <f t="shared" si="199"/>
        <v>70</v>
      </c>
      <c r="D1425" s="5">
        <f t="shared" si="200"/>
        <v>200</v>
      </c>
      <c r="E1425" t="str">
        <f>'(Raw) LensesGH'!C1425</f>
        <v>1:4.0</v>
      </c>
      <c r="F1425" s="9">
        <f t="shared" si="201"/>
        <v>4</v>
      </c>
      <c r="G1425" s="9">
        <f t="shared" si="202"/>
        <v>4</v>
      </c>
      <c r="H1425" t="str">
        <f>'(Raw) LensesGH'!D1425</f>
        <v>72mm</v>
      </c>
      <c r="I1425" s="2">
        <f t="shared" si="203"/>
        <v>72</v>
      </c>
      <c r="J1425" s="2" t="str">
        <f>'(Raw) LensesGH'!E1425</f>
        <v>1:7.69</v>
      </c>
      <c r="K1425" s="40">
        <f t="shared" si="204"/>
        <v>7.69</v>
      </c>
      <c r="L1425" t="str">
        <f>'(Raw) LensesGH'!F1425</f>
        <v>Sony E</v>
      </c>
      <c r="M1425" t="str">
        <f>'(Raw) LensesGH'!G1425</f>
        <v>APS-C/ Kleinbild</v>
      </c>
      <c r="N1425" t="str">
        <f>'(Raw) LensesGH'!H1425</f>
        <v>840g</v>
      </c>
      <c r="O1425" s="5">
        <f t="shared" si="205"/>
        <v>840</v>
      </c>
      <c r="P1425" t="str">
        <f>'(Raw) LensesGH'!I1425</f>
        <v>80 x 175mm</v>
      </c>
      <c r="Q1425" s="39">
        <f t="shared" si="206"/>
        <v>80</v>
      </c>
      <c r="R1425" s="39">
        <f t="shared" si="198"/>
        <v>175</v>
      </c>
    </row>
    <row r="1426" spans="1:18" x14ac:dyDescent="0.25">
      <c r="A1426" t="str">
        <f>'(Raw) LensesGH'!A1426</f>
        <v>Sony FE 70-300mm 4.5-5.6 G OSS schwarz</v>
      </c>
      <c r="B1426" t="str">
        <f>'(Raw) LensesGH'!B1426</f>
        <v>70 - 300mm</v>
      </c>
      <c r="C1426" s="5">
        <f t="shared" si="199"/>
        <v>70</v>
      </c>
      <c r="D1426" s="5">
        <f t="shared" si="200"/>
        <v>300</v>
      </c>
      <c r="E1426" t="str">
        <f>'(Raw) LensesGH'!C1426</f>
        <v>1:4.0-1:5.6</v>
      </c>
      <c r="F1426" s="9">
        <f t="shared" si="201"/>
        <v>4</v>
      </c>
      <c r="G1426" s="9">
        <f t="shared" si="202"/>
        <v>4</v>
      </c>
      <c r="H1426" t="str">
        <f>'(Raw) LensesGH'!D1426</f>
        <v>72mm</v>
      </c>
      <c r="I1426" s="2">
        <f t="shared" si="203"/>
        <v>72</v>
      </c>
      <c r="J1426" s="2" t="str">
        <f>'(Raw) LensesGH'!E1426</f>
        <v>1:3.23</v>
      </c>
      <c r="K1426" s="40">
        <f t="shared" si="204"/>
        <v>3.23</v>
      </c>
      <c r="L1426" t="str">
        <f>'(Raw) LensesGH'!F1426</f>
        <v>Sony E</v>
      </c>
      <c r="M1426" t="str">
        <f>'(Raw) LensesGH'!G1426</f>
        <v>APS-C/ Kleinbild</v>
      </c>
      <c r="N1426" t="str">
        <f>'(Raw) LensesGH'!H1426</f>
        <v>854g</v>
      </c>
      <c r="O1426" s="5">
        <f t="shared" si="205"/>
        <v>854</v>
      </c>
      <c r="P1426" t="str">
        <f>'(Raw) LensesGH'!I1426</f>
        <v>84 x 143.5mm</v>
      </c>
      <c r="Q1426" s="39">
        <f t="shared" si="206"/>
        <v>84</v>
      </c>
      <c r="R1426" s="39">
        <f t="shared" si="198"/>
        <v>143.5</v>
      </c>
    </row>
    <row r="1427" spans="1:18" x14ac:dyDescent="0.25">
      <c r="A1427" t="str">
        <f>'(Raw) LensesGH'!A1427</f>
        <v>Sony FE 85mm 1.4 GM schwarz</v>
      </c>
      <c r="B1427" t="str">
        <f>'(Raw) LensesGH'!B1427</f>
        <v>85mm</v>
      </c>
      <c r="C1427" s="5">
        <f t="shared" si="199"/>
        <v>85</v>
      </c>
      <c r="D1427" s="5">
        <f t="shared" si="200"/>
        <v>85</v>
      </c>
      <c r="E1427" t="str">
        <f>'(Raw) LensesGH'!C1427</f>
        <v>1:1.4</v>
      </c>
      <c r="F1427" s="9">
        <f t="shared" si="201"/>
        <v>1.4</v>
      </c>
      <c r="G1427" s="9">
        <f t="shared" si="202"/>
        <v>1.4</v>
      </c>
      <c r="H1427" t="str">
        <f>'(Raw) LensesGH'!D1427</f>
        <v>77mm</v>
      </c>
      <c r="I1427" s="2">
        <f t="shared" si="203"/>
        <v>77</v>
      </c>
      <c r="J1427" s="2" t="str">
        <f>'(Raw) LensesGH'!E1427</f>
        <v>1:8.33</v>
      </c>
      <c r="K1427" s="40">
        <f t="shared" si="204"/>
        <v>8.33</v>
      </c>
      <c r="L1427" t="str">
        <f>'(Raw) LensesGH'!F1427</f>
        <v>Sony E</v>
      </c>
      <c r="M1427" t="str">
        <f>'(Raw) LensesGH'!G1427</f>
        <v>APS-C/ Kleinbild</v>
      </c>
      <c r="N1427" t="str">
        <f>'(Raw) LensesGH'!H1427</f>
        <v>820g</v>
      </c>
      <c r="O1427" s="5">
        <f t="shared" si="205"/>
        <v>820</v>
      </c>
      <c r="P1427" t="str">
        <f>'(Raw) LensesGH'!I1427</f>
        <v>89.5 x 107.5mm</v>
      </c>
      <c r="Q1427" s="39">
        <f t="shared" si="206"/>
        <v>89.5</v>
      </c>
      <c r="R1427" s="39">
        <f t="shared" si="198"/>
        <v>107.5</v>
      </c>
    </row>
    <row r="1428" spans="1:18" x14ac:dyDescent="0.25">
      <c r="A1428" t="str">
        <f>'(Raw) LensesGH'!A1428</f>
        <v>Sony FE 85mm 1.8 schwarz</v>
      </c>
      <c r="B1428" t="str">
        <f>'(Raw) LensesGH'!B1428</f>
        <v>85mm</v>
      </c>
      <c r="C1428" s="5">
        <f t="shared" si="199"/>
        <v>85</v>
      </c>
      <c r="D1428" s="5">
        <f t="shared" si="200"/>
        <v>85</v>
      </c>
      <c r="E1428" t="str">
        <f>'(Raw) LensesGH'!C1428</f>
        <v>1:1.8</v>
      </c>
      <c r="F1428" s="9">
        <f t="shared" si="201"/>
        <v>1.8</v>
      </c>
      <c r="G1428" s="9">
        <f t="shared" si="202"/>
        <v>1.8</v>
      </c>
      <c r="H1428" t="str">
        <f>'(Raw) LensesGH'!D1428</f>
        <v>67mm</v>
      </c>
      <c r="I1428" s="2">
        <f t="shared" si="203"/>
        <v>67</v>
      </c>
      <c r="J1428" s="2" t="str">
        <f>'(Raw) LensesGH'!E1428</f>
        <v>1:7.69</v>
      </c>
      <c r="K1428" s="40">
        <f t="shared" si="204"/>
        <v>7.69</v>
      </c>
      <c r="L1428" t="str">
        <f>'(Raw) LensesGH'!F1428</f>
        <v>Sony E</v>
      </c>
      <c r="M1428" t="str">
        <f>'(Raw) LensesGH'!G1428</f>
        <v>APS-C/ Kleinbild</v>
      </c>
      <c r="N1428" t="str">
        <f>'(Raw) LensesGH'!H1428</f>
        <v>371g</v>
      </c>
      <c r="O1428" s="5">
        <f t="shared" si="205"/>
        <v>371</v>
      </c>
      <c r="P1428" t="str">
        <f>'(Raw) LensesGH'!I1428</f>
        <v>78 x 82mm</v>
      </c>
      <c r="Q1428" s="39">
        <f t="shared" si="206"/>
        <v>78</v>
      </c>
      <c r="R1428" s="39">
        <f t="shared" si="198"/>
        <v>82</v>
      </c>
    </row>
    <row r="1429" spans="1:18" x14ac:dyDescent="0.25">
      <c r="A1429" t="str">
        <f>'(Raw) LensesGH'!A1429</f>
        <v>Sony FE 90mm 2.8 G OSS Makro schwarz</v>
      </c>
      <c r="B1429" t="str">
        <f>'(Raw) LensesGH'!B1429</f>
        <v>90mm</v>
      </c>
      <c r="C1429" s="5">
        <f t="shared" si="199"/>
        <v>90</v>
      </c>
      <c r="D1429" s="5">
        <f t="shared" si="200"/>
        <v>90</v>
      </c>
      <c r="E1429" t="str">
        <f>'(Raw) LensesGH'!C1429</f>
        <v>1:2.8</v>
      </c>
      <c r="F1429" s="9">
        <f t="shared" si="201"/>
        <v>2.8</v>
      </c>
      <c r="G1429" s="9">
        <f t="shared" si="202"/>
        <v>2.8</v>
      </c>
      <c r="H1429" t="str">
        <f>'(Raw) LensesGH'!D1429</f>
        <v>62mm</v>
      </c>
      <c r="I1429" s="2">
        <f t="shared" si="203"/>
        <v>62</v>
      </c>
      <c r="J1429" s="2" t="str">
        <f>'(Raw) LensesGH'!E1429</f>
        <v>1:1.00</v>
      </c>
      <c r="K1429" s="40">
        <f t="shared" si="204"/>
        <v>1</v>
      </c>
      <c r="L1429" t="str">
        <f>'(Raw) LensesGH'!F1429</f>
        <v>Sony E</v>
      </c>
      <c r="M1429" t="str">
        <f>'(Raw) LensesGH'!G1429</f>
        <v>APS-C/ Kleinbild</v>
      </c>
      <c r="N1429" t="str">
        <f>'(Raw) LensesGH'!H1429</f>
        <v>602g</v>
      </c>
      <c r="O1429" s="5">
        <f t="shared" si="205"/>
        <v>602</v>
      </c>
      <c r="P1429" t="str">
        <f>'(Raw) LensesGH'!I1429</f>
        <v>79 x 130.5mm</v>
      </c>
      <c r="Q1429" s="39">
        <f t="shared" si="206"/>
        <v>79</v>
      </c>
      <c r="R1429" s="39">
        <f t="shared" si="198"/>
        <v>130.5</v>
      </c>
    </row>
    <row r="1430" spans="1:18" x14ac:dyDescent="0.25">
      <c r="A1430" t="str">
        <f>'(Raw) LensesGH'!A1430</f>
        <v>Tamron 10-24mm 3.5-4.5 Di II VC HLD für Canon EF schwarz</v>
      </c>
      <c r="B1430" t="str">
        <f>'(Raw) LensesGH'!B1430</f>
        <v>10 - 24mm</v>
      </c>
      <c r="C1430" s="5">
        <f t="shared" si="199"/>
        <v>10</v>
      </c>
      <c r="D1430" s="5">
        <f t="shared" si="200"/>
        <v>24</v>
      </c>
      <c r="E1430" t="str">
        <f>'(Raw) LensesGH'!C1430</f>
        <v>1:3.5-1:4.5</v>
      </c>
      <c r="F1430" s="9">
        <f t="shared" si="201"/>
        <v>3.5</v>
      </c>
      <c r="G1430" s="9">
        <f t="shared" si="202"/>
        <v>3.5</v>
      </c>
      <c r="H1430" t="str">
        <f>'(Raw) LensesGH'!D1430</f>
        <v>77mm</v>
      </c>
      <c r="I1430" s="2">
        <f t="shared" si="203"/>
        <v>77</v>
      </c>
      <c r="J1430" s="2" t="str">
        <f>'(Raw) LensesGH'!E1430</f>
        <v>1:5.30</v>
      </c>
      <c r="K1430" s="40">
        <f t="shared" si="204"/>
        <v>5.3</v>
      </c>
      <c r="L1430" t="str">
        <f>'(Raw) LensesGH'!F1430</f>
        <v>Canon EF-S</v>
      </c>
      <c r="M1430" t="str">
        <f>'(Raw) LensesGH'!G1430</f>
        <v>APS-C</v>
      </c>
      <c r="N1430" t="str">
        <f>'(Raw) LensesGH'!H1430</f>
        <v>440g</v>
      </c>
      <c r="O1430" s="5">
        <f t="shared" si="205"/>
        <v>440</v>
      </c>
      <c r="P1430" t="str">
        <f>'(Raw) LensesGH'!I1430</f>
        <v>83.6 x 84.6mm</v>
      </c>
      <c r="Q1430" s="39">
        <f t="shared" si="206"/>
        <v>83.6</v>
      </c>
      <c r="R1430" s="39">
        <f t="shared" si="198"/>
        <v>84.6</v>
      </c>
    </row>
    <row r="1431" spans="1:18" x14ac:dyDescent="0.25">
      <c r="A1431" t="str">
        <f>'(Raw) LensesGH'!A1431</f>
        <v>Tamron 10-24mm 3.5-4.5 Di II VC HLD für Nikon F schwarz</v>
      </c>
      <c r="B1431" t="str">
        <f>'(Raw) LensesGH'!B1431</f>
        <v>10 - 24mm</v>
      </c>
      <c r="C1431" s="5">
        <f t="shared" si="199"/>
        <v>10</v>
      </c>
      <c r="D1431" s="5">
        <f t="shared" si="200"/>
        <v>24</v>
      </c>
      <c r="E1431" t="str">
        <f>'(Raw) LensesGH'!C1431</f>
        <v>1:3.5-1:4.5</v>
      </c>
      <c r="F1431" s="9">
        <f t="shared" si="201"/>
        <v>3.5</v>
      </c>
      <c r="G1431" s="9">
        <f t="shared" si="202"/>
        <v>3.5</v>
      </c>
      <c r="H1431" t="str">
        <f>'(Raw) LensesGH'!D1431</f>
        <v>77mm</v>
      </c>
      <c r="I1431" s="2">
        <f t="shared" si="203"/>
        <v>77</v>
      </c>
      <c r="J1431" s="2" t="str">
        <f>'(Raw) LensesGH'!E1431</f>
        <v>1:5.30</v>
      </c>
      <c r="K1431" s="40">
        <f t="shared" si="204"/>
        <v>5.3</v>
      </c>
      <c r="L1431" t="str">
        <f>'(Raw) LensesGH'!F1431</f>
        <v>Nikon F</v>
      </c>
      <c r="M1431" t="str">
        <f>'(Raw) LensesGH'!G1431</f>
        <v>APS-C</v>
      </c>
      <c r="N1431" t="str">
        <f>'(Raw) LensesGH'!H1431</f>
        <v>440g</v>
      </c>
      <c r="O1431" s="5">
        <f t="shared" si="205"/>
        <v>440</v>
      </c>
      <c r="P1431" t="str">
        <f>'(Raw) LensesGH'!I1431</f>
        <v>83.6 x 82.1mm</v>
      </c>
      <c r="Q1431" s="39">
        <f t="shared" si="206"/>
        <v>83.6</v>
      </c>
      <c r="R1431" s="39">
        <f t="shared" si="198"/>
        <v>82.1</v>
      </c>
    </row>
    <row r="1432" spans="1:18" x14ac:dyDescent="0.25">
      <c r="A1432" t="str">
        <f>'(Raw) LensesGH'!A1432</f>
        <v>Tamron 14-150mm 3.5-5.8 Di III für Micro-Four-Thirds schwarz</v>
      </c>
      <c r="B1432" t="str">
        <f>'(Raw) LensesGH'!B1432</f>
        <v>14 - 150mm</v>
      </c>
      <c r="C1432" s="5">
        <f t="shared" si="199"/>
        <v>14</v>
      </c>
      <c r="D1432" s="5">
        <f t="shared" si="200"/>
        <v>150</v>
      </c>
      <c r="E1432" t="str">
        <f>'(Raw) LensesGH'!C1432</f>
        <v>1:3.5-1:5.8</v>
      </c>
      <c r="F1432" s="9">
        <f t="shared" si="201"/>
        <v>3.5</v>
      </c>
      <c r="G1432" s="9">
        <f t="shared" si="202"/>
        <v>3.5</v>
      </c>
      <c r="H1432" t="str">
        <f>'(Raw) LensesGH'!D1432</f>
        <v>52mm</v>
      </c>
      <c r="I1432" s="2">
        <f t="shared" si="203"/>
        <v>52</v>
      </c>
      <c r="J1432" s="2" t="str">
        <f>'(Raw) LensesGH'!E1432</f>
        <v>1:3.80</v>
      </c>
      <c r="K1432" s="40">
        <f t="shared" si="204"/>
        <v>3.8</v>
      </c>
      <c r="L1432" t="str">
        <f>'(Raw) LensesGH'!F1432</f>
        <v>Micro-Four-Thirds</v>
      </c>
      <c r="M1432" t="str">
        <f>'(Raw) LensesGH'!G1432</f>
        <v>Four-Thirds</v>
      </c>
      <c r="N1432" t="str">
        <f>'(Raw) LensesGH'!H1432</f>
        <v>280g</v>
      </c>
      <c r="O1432" s="5">
        <f t="shared" si="205"/>
        <v>280</v>
      </c>
      <c r="P1432" t="str">
        <f>'(Raw) LensesGH'!I1432</f>
        <v>63 x 85.2mm</v>
      </c>
      <c r="Q1432" s="39">
        <f t="shared" si="206"/>
        <v>63</v>
      </c>
      <c r="R1432" s="39">
        <f t="shared" si="198"/>
        <v>85.2</v>
      </c>
    </row>
    <row r="1433" spans="1:18" x14ac:dyDescent="0.25">
      <c r="A1433" t="str">
        <f>'(Raw) LensesGH'!A1433</f>
        <v>Tamron 14-150mm 3.5-5.8 Di III für Micro-Four-Thirds silber</v>
      </c>
      <c r="B1433" t="str">
        <f>'(Raw) LensesGH'!B1433</f>
        <v>14 - 150mm</v>
      </c>
      <c r="C1433" s="5">
        <f t="shared" si="199"/>
        <v>14</v>
      </c>
      <c r="D1433" s="5">
        <f t="shared" si="200"/>
        <v>150</v>
      </c>
      <c r="E1433" t="str">
        <f>'(Raw) LensesGH'!C1433</f>
        <v>1:3.5-1:5.8</v>
      </c>
      <c r="F1433" s="9">
        <f t="shared" si="201"/>
        <v>3.5</v>
      </c>
      <c r="G1433" s="9">
        <f t="shared" si="202"/>
        <v>3.5</v>
      </c>
      <c r="H1433" t="str">
        <f>'(Raw) LensesGH'!D1433</f>
        <v>52mm</v>
      </c>
      <c r="I1433" s="2">
        <f t="shared" si="203"/>
        <v>52</v>
      </c>
      <c r="J1433" s="2" t="str">
        <f>'(Raw) LensesGH'!E1433</f>
        <v>1:3.80</v>
      </c>
      <c r="K1433" s="40">
        <f t="shared" si="204"/>
        <v>3.8</v>
      </c>
      <c r="L1433" t="str">
        <f>'(Raw) LensesGH'!F1433</f>
        <v>Micro-Four-Thirds</v>
      </c>
      <c r="M1433" t="str">
        <f>'(Raw) LensesGH'!G1433</f>
        <v>Four-Thirds</v>
      </c>
      <c r="N1433" t="str">
        <f>'(Raw) LensesGH'!H1433</f>
        <v>280g</v>
      </c>
      <c r="O1433" s="5">
        <f t="shared" si="205"/>
        <v>280</v>
      </c>
      <c r="P1433" t="str">
        <f>'(Raw) LensesGH'!I1433</f>
        <v>63 x 85.2mm</v>
      </c>
      <c r="Q1433" s="39">
        <f t="shared" si="206"/>
        <v>63</v>
      </c>
      <c r="R1433" s="39">
        <f t="shared" si="198"/>
        <v>85.2</v>
      </c>
    </row>
    <row r="1434" spans="1:18" x14ac:dyDescent="0.25">
      <c r="A1434" t="str">
        <f>'(Raw) LensesGH'!A1434</f>
        <v>Tamron 16-300mm 3.5-6.3 Di II PZD Macro für Sony A schwarz</v>
      </c>
      <c r="B1434" t="str">
        <f>'(Raw) LensesGH'!B1434</f>
        <v>16 - 300mm</v>
      </c>
      <c r="C1434" s="5">
        <f t="shared" si="199"/>
        <v>16</v>
      </c>
      <c r="D1434" s="5">
        <f t="shared" si="200"/>
        <v>300</v>
      </c>
      <c r="E1434" t="str">
        <f>'(Raw) LensesGH'!C1434</f>
        <v>1:3.5-1:6.3</v>
      </c>
      <c r="F1434" s="9">
        <f t="shared" si="201"/>
        <v>3.5</v>
      </c>
      <c r="G1434" s="9">
        <f t="shared" si="202"/>
        <v>3.5</v>
      </c>
      <c r="H1434" t="str">
        <f>'(Raw) LensesGH'!D1434</f>
        <v>67mm</v>
      </c>
      <c r="I1434" s="2">
        <f t="shared" si="203"/>
        <v>67</v>
      </c>
      <c r="J1434" s="2" t="str">
        <f>'(Raw) LensesGH'!E1434</f>
        <v>1:2.94</v>
      </c>
      <c r="K1434" s="40">
        <f t="shared" si="204"/>
        <v>2.94</v>
      </c>
      <c r="L1434" t="str">
        <f>'(Raw) LensesGH'!F1434</f>
        <v>Sony A</v>
      </c>
      <c r="M1434" t="str">
        <f>'(Raw) LensesGH'!G1434</f>
        <v>APS-C</v>
      </c>
      <c r="N1434" t="str">
        <f>'(Raw) LensesGH'!H1434</f>
        <v>540g</v>
      </c>
      <c r="O1434" s="5">
        <f t="shared" si="205"/>
        <v>540</v>
      </c>
      <c r="P1434" t="str">
        <f>'(Raw) LensesGH'!I1434</f>
        <v>75 x 100mm</v>
      </c>
      <c r="Q1434" s="39">
        <f t="shared" si="206"/>
        <v>75</v>
      </c>
      <c r="R1434" s="39">
        <f t="shared" si="198"/>
        <v>100</v>
      </c>
    </row>
    <row r="1435" spans="1:18" x14ac:dyDescent="0.25">
      <c r="A1435" t="str">
        <f>'(Raw) LensesGH'!A1435</f>
        <v>Tamron 16-300mm 3.5-6.3 Di II VC PZD Macro für Canon EF schwarz</v>
      </c>
      <c r="B1435" t="str">
        <f>'(Raw) LensesGH'!B1435</f>
        <v>16 - 300mm</v>
      </c>
      <c r="C1435" s="5">
        <f t="shared" si="199"/>
        <v>16</v>
      </c>
      <c r="D1435" s="5">
        <f t="shared" si="200"/>
        <v>300</v>
      </c>
      <c r="E1435" t="str">
        <f>'(Raw) LensesGH'!C1435</f>
        <v>1:3.5-1:6.3</v>
      </c>
      <c r="F1435" s="9">
        <f t="shared" si="201"/>
        <v>3.5</v>
      </c>
      <c r="G1435" s="9">
        <f t="shared" si="202"/>
        <v>3.5</v>
      </c>
      <c r="H1435" t="str">
        <f>'(Raw) LensesGH'!D1435</f>
        <v>67mm</v>
      </c>
      <c r="I1435" s="2">
        <f t="shared" si="203"/>
        <v>67</v>
      </c>
      <c r="J1435" s="2" t="str">
        <f>'(Raw) LensesGH'!E1435</f>
        <v>1:2.94</v>
      </c>
      <c r="K1435" s="40">
        <f t="shared" si="204"/>
        <v>2.94</v>
      </c>
      <c r="L1435" t="str">
        <f>'(Raw) LensesGH'!F1435</f>
        <v>Canon EF-S</v>
      </c>
      <c r="M1435" t="str">
        <f>'(Raw) LensesGH'!G1435</f>
        <v>APS-C</v>
      </c>
      <c r="N1435" t="str">
        <f>'(Raw) LensesGH'!H1435</f>
        <v>540g</v>
      </c>
      <c r="O1435" s="5">
        <f t="shared" si="205"/>
        <v>540</v>
      </c>
      <c r="P1435" t="str">
        <f>'(Raw) LensesGH'!I1435</f>
        <v>75 x 100mm</v>
      </c>
      <c r="Q1435" s="39">
        <f t="shared" si="206"/>
        <v>75</v>
      </c>
      <c r="R1435" s="39">
        <f t="shared" si="198"/>
        <v>100</v>
      </c>
    </row>
    <row r="1436" spans="1:18" x14ac:dyDescent="0.25">
      <c r="A1436" t="str">
        <f>'(Raw) LensesGH'!A1436</f>
        <v>Tamron 16-300mm 3.5-6.3 Di II VC PZD Macro für Nikon F schwarz</v>
      </c>
      <c r="B1436" t="str">
        <f>'(Raw) LensesGH'!B1436</f>
        <v>16 - 300mm</v>
      </c>
      <c r="C1436" s="5">
        <f t="shared" si="199"/>
        <v>16</v>
      </c>
      <c r="D1436" s="5">
        <f t="shared" si="200"/>
        <v>300</v>
      </c>
      <c r="E1436" t="str">
        <f>'(Raw) LensesGH'!C1436</f>
        <v>1:3.5-1:6.3</v>
      </c>
      <c r="F1436" s="9">
        <f t="shared" si="201"/>
        <v>3.5</v>
      </c>
      <c r="G1436" s="9">
        <f t="shared" si="202"/>
        <v>3.5</v>
      </c>
      <c r="H1436" t="str">
        <f>'(Raw) LensesGH'!D1436</f>
        <v>67mm</v>
      </c>
      <c r="I1436" s="2">
        <f t="shared" si="203"/>
        <v>67</v>
      </c>
      <c r="J1436" s="2" t="str">
        <f>'(Raw) LensesGH'!E1436</f>
        <v>1:2.94</v>
      </c>
      <c r="K1436" s="40">
        <f t="shared" si="204"/>
        <v>2.94</v>
      </c>
      <c r="L1436" t="str">
        <f>'(Raw) LensesGH'!F1436</f>
        <v>Nikon F</v>
      </c>
      <c r="M1436" t="str">
        <f>'(Raw) LensesGH'!G1436</f>
        <v>APS-C</v>
      </c>
      <c r="N1436" t="str">
        <f>'(Raw) LensesGH'!H1436</f>
        <v>540g</v>
      </c>
      <c r="O1436" s="5">
        <f t="shared" si="205"/>
        <v>540</v>
      </c>
      <c r="P1436" t="str">
        <f>'(Raw) LensesGH'!I1436</f>
        <v>75 x 100mm</v>
      </c>
      <c r="Q1436" s="39">
        <f t="shared" si="206"/>
        <v>75</v>
      </c>
      <c r="R1436" s="39">
        <f t="shared" si="198"/>
        <v>100</v>
      </c>
    </row>
    <row r="1437" spans="1:18" x14ac:dyDescent="0.25">
      <c r="A1437" t="str">
        <f>'(Raw) LensesGH'!A1437</f>
        <v>Tamron 18-200mm 3.5-6.3 Di II für Sony A schwarz</v>
      </c>
      <c r="B1437" t="str">
        <f>'(Raw) LensesGH'!B1437</f>
        <v>18 - 200mm</v>
      </c>
      <c r="C1437" s="5">
        <f t="shared" si="199"/>
        <v>18</v>
      </c>
      <c r="D1437" s="5">
        <f t="shared" si="200"/>
        <v>200</v>
      </c>
      <c r="E1437" t="str">
        <f>'(Raw) LensesGH'!C1437</f>
        <v>1:3.5-1:6.3</v>
      </c>
      <c r="F1437" s="9">
        <f t="shared" si="201"/>
        <v>3.5</v>
      </c>
      <c r="G1437" s="9">
        <f t="shared" si="202"/>
        <v>3.5</v>
      </c>
      <c r="H1437" t="str">
        <f>'(Raw) LensesGH'!D1437</f>
        <v>62mm</v>
      </c>
      <c r="I1437" s="2">
        <f t="shared" si="203"/>
        <v>62</v>
      </c>
      <c r="J1437" s="2" t="str">
        <f>'(Raw) LensesGH'!E1437</f>
        <v>1:4.00</v>
      </c>
      <c r="K1437" s="40">
        <f t="shared" si="204"/>
        <v>4</v>
      </c>
      <c r="L1437" t="str">
        <f>'(Raw) LensesGH'!F1437</f>
        <v>Sony A</v>
      </c>
      <c r="M1437" t="str">
        <f>'(Raw) LensesGH'!G1437</f>
        <v>APS-C</v>
      </c>
      <c r="N1437" t="str">
        <f>'(Raw) LensesGH'!H1437</f>
        <v>400g</v>
      </c>
      <c r="O1437" s="5">
        <f t="shared" si="205"/>
        <v>400</v>
      </c>
      <c r="P1437" t="str">
        <f>'(Raw) LensesGH'!I1437</f>
        <v>75 x 96.6mm</v>
      </c>
      <c r="Q1437" s="39">
        <f t="shared" si="206"/>
        <v>75</v>
      </c>
      <c r="R1437" s="39">
        <f t="shared" si="198"/>
        <v>96.6</v>
      </c>
    </row>
    <row r="1438" spans="1:18" x14ac:dyDescent="0.25">
      <c r="A1438" t="str">
        <f>'(Raw) LensesGH'!A1438</f>
        <v>Tamron 18-200mm 3.5-6.3 Di II VC für Canon EF schwarz</v>
      </c>
      <c r="B1438" t="str">
        <f>'(Raw) LensesGH'!B1438</f>
        <v>18 - 200mm</v>
      </c>
      <c r="C1438" s="5">
        <f t="shared" si="199"/>
        <v>18</v>
      </c>
      <c r="D1438" s="5">
        <f t="shared" si="200"/>
        <v>200</v>
      </c>
      <c r="E1438" t="str">
        <f>'(Raw) LensesGH'!C1438</f>
        <v>1:3.5-1:6.3</v>
      </c>
      <c r="F1438" s="9">
        <f t="shared" si="201"/>
        <v>3.5</v>
      </c>
      <c r="G1438" s="9">
        <f t="shared" si="202"/>
        <v>3.5</v>
      </c>
      <c r="H1438" t="str">
        <f>'(Raw) LensesGH'!D1438</f>
        <v>62mm</v>
      </c>
      <c r="I1438" s="2">
        <f t="shared" si="203"/>
        <v>62</v>
      </c>
      <c r="J1438" s="2" t="str">
        <f>'(Raw) LensesGH'!E1438</f>
        <v>1:4.00</v>
      </c>
      <c r="K1438" s="40">
        <f t="shared" si="204"/>
        <v>4</v>
      </c>
      <c r="L1438" t="str">
        <f>'(Raw) LensesGH'!F1438</f>
        <v>Canon EF-S</v>
      </c>
      <c r="M1438" t="str">
        <f>'(Raw) LensesGH'!G1438</f>
        <v>APS-C</v>
      </c>
      <c r="N1438" t="str">
        <f>'(Raw) LensesGH'!H1438</f>
        <v>400g</v>
      </c>
      <c r="O1438" s="5">
        <f t="shared" si="205"/>
        <v>400</v>
      </c>
      <c r="P1438" t="str">
        <f>'(Raw) LensesGH'!I1438</f>
        <v>75 x 96.6mm</v>
      </c>
      <c r="Q1438" s="39">
        <f t="shared" si="206"/>
        <v>75</v>
      </c>
      <c r="R1438" s="39">
        <f t="shared" si="198"/>
        <v>96.6</v>
      </c>
    </row>
    <row r="1439" spans="1:18" x14ac:dyDescent="0.25">
      <c r="A1439" t="str">
        <f>'(Raw) LensesGH'!A1439</f>
        <v>Tamron 18-200mm 3.5-6.3 Di II VC für Nikon F schwarz</v>
      </c>
      <c r="B1439" t="str">
        <f>'(Raw) LensesGH'!B1439</f>
        <v>18 - 200mm</v>
      </c>
      <c r="C1439" s="5">
        <f t="shared" si="199"/>
        <v>18</v>
      </c>
      <c r="D1439" s="5">
        <f t="shared" si="200"/>
        <v>200</v>
      </c>
      <c r="E1439" t="str">
        <f>'(Raw) LensesGH'!C1439</f>
        <v>1:3.5-1:6.3</v>
      </c>
      <c r="F1439" s="9">
        <f t="shared" si="201"/>
        <v>3.5</v>
      </c>
      <c r="G1439" s="9">
        <f t="shared" si="202"/>
        <v>3.5</v>
      </c>
      <c r="H1439" t="str">
        <f>'(Raw) LensesGH'!D1439</f>
        <v>62mm</v>
      </c>
      <c r="I1439" s="2">
        <f t="shared" si="203"/>
        <v>62</v>
      </c>
      <c r="J1439" s="2" t="str">
        <f>'(Raw) LensesGH'!E1439</f>
        <v>1:4.00</v>
      </c>
      <c r="K1439" s="40">
        <f t="shared" si="204"/>
        <v>4</v>
      </c>
      <c r="L1439" t="str">
        <f>'(Raw) LensesGH'!F1439</f>
        <v>Nikon F</v>
      </c>
      <c r="M1439" t="str">
        <f>'(Raw) LensesGH'!G1439</f>
        <v>APS-C</v>
      </c>
      <c r="N1439" t="str">
        <f>'(Raw) LensesGH'!H1439</f>
        <v>400g</v>
      </c>
      <c r="O1439" s="5">
        <f t="shared" si="205"/>
        <v>400</v>
      </c>
      <c r="P1439" t="str">
        <f>'(Raw) LensesGH'!I1439</f>
        <v>75 x 96.6mm</v>
      </c>
      <c r="Q1439" s="39">
        <f t="shared" si="206"/>
        <v>75</v>
      </c>
      <c r="R1439" s="39">
        <f t="shared" si="198"/>
        <v>96.6</v>
      </c>
    </row>
    <row r="1440" spans="1:18" x14ac:dyDescent="0.25">
      <c r="A1440" t="str">
        <f>'(Raw) LensesGH'!A1440</f>
        <v>Tamron 18-200mm 3.5-6.3 Di III VC für Canon EF-M schwarz</v>
      </c>
      <c r="B1440" t="str">
        <f>'(Raw) LensesGH'!B1440</f>
        <v>18 - 200mm</v>
      </c>
      <c r="C1440" s="5">
        <f t="shared" si="199"/>
        <v>18</v>
      </c>
      <c r="D1440" s="5">
        <f t="shared" si="200"/>
        <v>200</v>
      </c>
      <c r="E1440" t="str">
        <f>'(Raw) LensesGH'!C1440</f>
        <v>1:3.5-1:6.3</v>
      </c>
      <c r="F1440" s="9">
        <f t="shared" si="201"/>
        <v>3.5</v>
      </c>
      <c r="G1440" s="9">
        <f t="shared" si="202"/>
        <v>3.5</v>
      </c>
      <c r="H1440" t="str">
        <f>'(Raw) LensesGH'!D1440</f>
        <v>62mm</v>
      </c>
      <c r="I1440" s="2">
        <f t="shared" si="203"/>
        <v>62</v>
      </c>
      <c r="J1440" s="2" t="str">
        <f>'(Raw) LensesGH'!E1440</f>
        <v>1:3.70</v>
      </c>
      <c r="K1440" s="40">
        <f t="shared" si="204"/>
        <v>3.7</v>
      </c>
      <c r="L1440" t="str">
        <f>'(Raw) LensesGH'!F1440</f>
        <v>Canon EF-M</v>
      </c>
      <c r="M1440" t="str">
        <f>'(Raw) LensesGH'!G1440</f>
        <v>APS-C</v>
      </c>
      <c r="N1440" t="str">
        <f>'(Raw) LensesGH'!H1440</f>
        <v>460g</v>
      </c>
      <c r="O1440" s="5">
        <f t="shared" si="205"/>
        <v>460</v>
      </c>
      <c r="P1440" t="str">
        <f>'(Raw) LensesGH'!I1440</f>
        <v>68 x 96.7mm</v>
      </c>
      <c r="Q1440" s="39">
        <f t="shared" si="206"/>
        <v>68</v>
      </c>
      <c r="R1440" s="39">
        <f t="shared" si="198"/>
        <v>96.7</v>
      </c>
    </row>
    <row r="1441" spans="1:18" x14ac:dyDescent="0.25">
      <c r="A1441" t="str">
        <f>'(Raw) LensesGH'!A1441</f>
        <v>Tamron 18-200mm 3.5-6.3 Di III VC für Canon EF-M silber</v>
      </c>
      <c r="B1441" t="str">
        <f>'(Raw) LensesGH'!B1441</f>
        <v>18 - 200mm</v>
      </c>
      <c r="C1441" s="5">
        <f t="shared" si="199"/>
        <v>18</v>
      </c>
      <c r="D1441" s="5">
        <f t="shared" si="200"/>
        <v>200</v>
      </c>
      <c r="E1441" t="str">
        <f>'(Raw) LensesGH'!C1441</f>
        <v>1:3.5-1:6.3</v>
      </c>
      <c r="F1441" s="9">
        <f t="shared" si="201"/>
        <v>3.5</v>
      </c>
      <c r="G1441" s="9">
        <f t="shared" si="202"/>
        <v>3.5</v>
      </c>
      <c r="H1441" t="str">
        <f>'(Raw) LensesGH'!D1441</f>
        <v>62mm</v>
      </c>
      <c r="I1441" s="2">
        <f t="shared" si="203"/>
        <v>62</v>
      </c>
      <c r="J1441" s="2" t="str">
        <f>'(Raw) LensesGH'!E1441</f>
        <v>1:3.70</v>
      </c>
      <c r="K1441" s="40">
        <f t="shared" si="204"/>
        <v>3.7</v>
      </c>
      <c r="L1441" t="str">
        <f>'(Raw) LensesGH'!F1441</f>
        <v>Canon EF-M</v>
      </c>
      <c r="M1441" t="str">
        <f>'(Raw) LensesGH'!G1441</f>
        <v>APS-C</v>
      </c>
      <c r="N1441" t="str">
        <f>'(Raw) LensesGH'!H1441</f>
        <v>460g</v>
      </c>
      <c r="O1441" s="5">
        <f t="shared" si="205"/>
        <v>460</v>
      </c>
      <c r="P1441" t="str">
        <f>'(Raw) LensesGH'!I1441</f>
        <v>68 x 96.7mm</v>
      </c>
      <c r="Q1441" s="39">
        <f t="shared" si="206"/>
        <v>68</v>
      </c>
      <c r="R1441" s="39">
        <f t="shared" si="198"/>
        <v>96.7</v>
      </c>
    </row>
    <row r="1442" spans="1:18" x14ac:dyDescent="0.25">
      <c r="A1442" t="str">
        <f>'(Raw) LensesGH'!A1442</f>
        <v>Tamron 18-200mm 3.5-6.3 Di III VC für Sony E schwarz</v>
      </c>
      <c r="B1442" t="str">
        <f>'(Raw) LensesGH'!B1442</f>
        <v>18 - 200mm</v>
      </c>
      <c r="C1442" s="5">
        <f t="shared" si="199"/>
        <v>18</v>
      </c>
      <c r="D1442" s="5">
        <f t="shared" si="200"/>
        <v>200</v>
      </c>
      <c r="E1442" t="str">
        <f>'(Raw) LensesGH'!C1442</f>
        <v>1:3.5-1:6.3</v>
      </c>
      <c r="F1442" s="9">
        <f t="shared" si="201"/>
        <v>3.5</v>
      </c>
      <c r="G1442" s="9">
        <f t="shared" si="202"/>
        <v>3.5</v>
      </c>
      <c r="H1442" t="str">
        <f>'(Raw) LensesGH'!D1442</f>
        <v>62mm</v>
      </c>
      <c r="I1442" s="2">
        <f t="shared" si="203"/>
        <v>62</v>
      </c>
      <c r="J1442" s="2" t="str">
        <f>'(Raw) LensesGH'!E1442</f>
        <v>1:3.70</v>
      </c>
      <c r="K1442" s="40">
        <f t="shared" si="204"/>
        <v>3.7</v>
      </c>
      <c r="L1442" t="str">
        <f>'(Raw) LensesGH'!F1442</f>
        <v>Sony E</v>
      </c>
      <c r="M1442" t="str">
        <f>'(Raw) LensesGH'!G1442</f>
        <v>APS-C</v>
      </c>
      <c r="N1442" t="str">
        <f>'(Raw) LensesGH'!H1442</f>
        <v>460g</v>
      </c>
      <c r="O1442" s="5">
        <f t="shared" si="205"/>
        <v>460</v>
      </c>
      <c r="P1442" t="str">
        <f>'(Raw) LensesGH'!I1442</f>
        <v>68 x 96.7mm</v>
      </c>
      <c r="Q1442" s="39">
        <f t="shared" si="206"/>
        <v>68</v>
      </c>
      <c r="R1442" s="39">
        <f t="shared" si="198"/>
        <v>96.7</v>
      </c>
    </row>
    <row r="1443" spans="1:18" x14ac:dyDescent="0.25">
      <c r="A1443" t="str">
        <f>'(Raw) LensesGH'!A1443</f>
        <v>Tamron 18-200mm 3.5-6.3 Di III VC für Sony E silber</v>
      </c>
      <c r="B1443" t="str">
        <f>'(Raw) LensesGH'!B1443</f>
        <v>18 - 200mm</v>
      </c>
      <c r="C1443" s="5">
        <f t="shared" si="199"/>
        <v>18</v>
      </c>
      <c r="D1443" s="5">
        <f t="shared" si="200"/>
        <v>200</v>
      </c>
      <c r="E1443" t="str">
        <f>'(Raw) LensesGH'!C1443</f>
        <v>1:3.5-1:6.3</v>
      </c>
      <c r="F1443" s="9">
        <f t="shared" si="201"/>
        <v>3.5</v>
      </c>
      <c r="G1443" s="9">
        <f t="shared" si="202"/>
        <v>3.5</v>
      </c>
      <c r="H1443" t="str">
        <f>'(Raw) LensesGH'!D1443</f>
        <v>62mm</v>
      </c>
      <c r="I1443" s="2">
        <f t="shared" si="203"/>
        <v>62</v>
      </c>
      <c r="J1443" s="2" t="str">
        <f>'(Raw) LensesGH'!E1443</f>
        <v>1:3.70</v>
      </c>
      <c r="K1443" s="40">
        <f t="shared" si="204"/>
        <v>3.7</v>
      </c>
      <c r="L1443" t="str">
        <f>'(Raw) LensesGH'!F1443</f>
        <v>Sony E</v>
      </c>
      <c r="M1443" t="str">
        <f>'(Raw) LensesGH'!G1443</f>
        <v>APS-C</v>
      </c>
      <c r="N1443" t="str">
        <f>'(Raw) LensesGH'!H1443</f>
        <v>460g</v>
      </c>
      <c r="O1443" s="5">
        <f t="shared" si="205"/>
        <v>460</v>
      </c>
      <c r="P1443" t="str">
        <f>'(Raw) LensesGH'!I1443</f>
        <v>68 x 96.7mm</v>
      </c>
      <c r="Q1443" s="39">
        <f t="shared" si="206"/>
        <v>68</v>
      </c>
      <c r="R1443" s="39">
        <f t="shared" si="198"/>
        <v>96.7</v>
      </c>
    </row>
    <row r="1444" spans="1:18" x14ac:dyDescent="0.25">
      <c r="A1444" t="str">
        <f>'(Raw) LensesGH'!A1444</f>
        <v>Tamron 18-400mm 3.5-6.3 Di II VC HLD für Canon EF schwarz</v>
      </c>
      <c r="B1444" t="str">
        <f>'(Raw) LensesGH'!B1444</f>
        <v>18 - 400mm</v>
      </c>
      <c r="C1444" s="5">
        <f t="shared" si="199"/>
        <v>18</v>
      </c>
      <c r="D1444" s="5">
        <f t="shared" si="200"/>
        <v>400</v>
      </c>
      <c r="E1444" t="str">
        <f>'(Raw) LensesGH'!C1444</f>
        <v>1:3.5-1:6.3</v>
      </c>
      <c r="F1444" s="9">
        <f t="shared" si="201"/>
        <v>3.5</v>
      </c>
      <c r="G1444" s="9">
        <f t="shared" si="202"/>
        <v>3.5</v>
      </c>
      <c r="H1444" t="str">
        <f>'(Raw) LensesGH'!D1444</f>
        <v>72mm</v>
      </c>
      <c r="I1444" s="2">
        <f t="shared" si="203"/>
        <v>72</v>
      </c>
      <c r="J1444" s="2" t="str">
        <f>'(Raw) LensesGH'!E1444</f>
        <v>1:2.90</v>
      </c>
      <c r="K1444" s="40">
        <f t="shared" si="204"/>
        <v>2.9</v>
      </c>
      <c r="L1444" t="str">
        <f>'(Raw) LensesGH'!F1444</f>
        <v>Canon EF-S</v>
      </c>
      <c r="M1444" t="str">
        <f>'(Raw) LensesGH'!G1444</f>
        <v>APS-C</v>
      </c>
      <c r="N1444" t="str">
        <f>'(Raw) LensesGH'!H1444</f>
        <v>710g</v>
      </c>
      <c r="O1444" s="5">
        <f t="shared" si="205"/>
        <v>710</v>
      </c>
      <c r="P1444" t="str">
        <f>'(Raw) LensesGH'!I1444</f>
        <v>79 x 123.9mm</v>
      </c>
      <c r="Q1444" s="39">
        <f t="shared" si="206"/>
        <v>79</v>
      </c>
      <c r="R1444" s="39">
        <f t="shared" si="198"/>
        <v>123.9</v>
      </c>
    </row>
    <row r="1445" spans="1:18" x14ac:dyDescent="0.25">
      <c r="A1445" t="str">
        <f>'(Raw) LensesGH'!A1445</f>
        <v>Tamron 18-400mm 3.5-6.3 Di II VC HLD für Nikon F schwarz</v>
      </c>
      <c r="B1445" t="str">
        <f>'(Raw) LensesGH'!B1445</f>
        <v>18 - 400mm</v>
      </c>
      <c r="C1445" s="5">
        <f t="shared" si="199"/>
        <v>18</v>
      </c>
      <c r="D1445" s="5">
        <f t="shared" si="200"/>
        <v>400</v>
      </c>
      <c r="E1445" t="str">
        <f>'(Raw) LensesGH'!C1445</f>
        <v>1:3.5-1:6.3</v>
      </c>
      <c r="F1445" s="9">
        <f t="shared" si="201"/>
        <v>3.5</v>
      </c>
      <c r="G1445" s="9">
        <f t="shared" si="202"/>
        <v>3.5</v>
      </c>
      <c r="H1445" t="str">
        <f>'(Raw) LensesGH'!D1445</f>
        <v>72mm</v>
      </c>
      <c r="I1445" s="2">
        <f t="shared" si="203"/>
        <v>72</v>
      </c>
      <c r="J1445" s="2" t="str">
        <f>'(Raw) LensesGH'!E1445</f>
        <v>1:2.90</v>
      </c>
      <c r="K1445" s="40">
        <f t="shared" si="204"/>
        <v>2.9</v>
      </c>
      <c r="L1445" t="str">
        <f>'(Raw) LensesGH'!F1445</f>
        <v>Nikon F</v>
      </c>
      <c r="M1445" t="str">
        <f>'(Raw) LensesGH'!G1445</f>
        <v>APS-C</v>
      </c>
      <c r="N1445" t="str">
        <f>'(Raw) LensesGH'!H1445</f>
        <v>705g</v>
      </c>
      <c r="O1445" s="5">
        <f t="shared" si="205"/>
        <v>705</v>
      </c>
      <c r="P1445" t="str">
        <f>'(Raw) LensesGH'!I1445</f>
        <v>79 x 121.4mm</v>
      </c>
      <c r="Q1445" s="39">
        <f t="shared" si="206"/>
        <v>79</v>
      </c>
      <c r="R1445" s="39">
        <f t="shared" si="198"/>
        <v>121.4</v>
      </c>
    </row>
    <row r="1446" spans="1:18" x14ac:dyDescent="0.25">
      <c r="A1446" t="str">
        <f>'(Raw) LensesGH'!A1446</f>
        <v>Tamron 28-300mm 3.5-6.3 XR Di VC LD PZD IF für Canon EF schwarz</v>
      </c>
      <c r="B1446" t="str">
        <f>'(Raw) LensesGH'!B1446</f>
        <v>28 - 300mm</v>
      </c>
      <c r="C1446" s="5">
        <f t="shared" si="199"/>
        <v>28</v>
      </c>
      <c r="D1446" s="5">
        <f t="shared" si="200"/>
        <v>300</v>
      </c>
      <c r="E1446" t="str">
        <f>'(Raw) LensesGH'!C1446</f>
        <v>1:3.5-1:6.3</v>
      </c>
      <c r="F1446" s="9">
        <f t="shared" si="201"/>
        <v>3.5</v>
      </c>
      <c r="G1446" s="9">
        <f t="shared" si="202"/>
        <v>3.5</v>
      </c>
      <c r="H1446" t="str">
        <f>'(Raw) LensesGH'!D1446</f>
        <v>67mm</v>
      </c>
      <c r="I1446" s="2">
        <f t="shared" si="203"/>
        <v>67</v>
      </c>
      <c r="J1446" s="2" t="str">
        <f>'(Raw) LensesGH'!E1446</f>
        <v>1:2.80</v>
      </c>
      <c r="K1446" s="40">
        <f t="shared" si="204"/>
        <v>2.8</v>
      </c>
      <c r="L1446" t="str">
        <f>'(Raw) LensesGH'!F1446</f>
        <v>Canon EF</v>
      </c>
      <c r="M1446" t="str">
        <f>'(Raw) LensesGH'!G1446</f>
        <v>APS-C/ Kleinbild</v>
      </c>
      <c r="N1446" t="str">
        <f>'(Raw) LensesGH'!H1446</f>
        <v>540g</v>
      </c>
      <c r="O1446" s="5">
        <f t="shared" si="205"/>
        <v>540</v>
      </c>
      <c r="P1446" t="str">
        <f>'(Raw) LensesGH'!I1446</f>
        <v>75 x 99.5mm</v>
      </c>
      <c r="Q1446" s="39">
        <f t="shared" si="206"/>
        <v>75</v>
      </c>
      <c r="R1446" s="39">
        <f t="shared" si="198"/>
        <v>99.5</v>
      </c>
    </row>
    <row r="1447" spans="1:18" x14ac:dyDescent="0.25">
      <c r="A1447" t="str">
        <f>'(Raw) LensesGH'!A1447</f>
        <v>Tamron 28-300mm 3.5-6.3 XR Di VC LD PZD IF für Nikon F schwarz</v>
      </c>
      <c r="B1447" t="str">
        <f>'(Raw) LensesGH'!B1447</f>
        <v>28 - 300mm</v>
      </c>
      <c r="C1447" s="5">
        <f t="shared" si="199"/>
        <v>28</v>
      </c>
      <c r="D1447" s="5">
        <f t="shared" si="200"/>
        <v>300</v>
      </c>
      <c r="E1447" t="str">
        <f>'(Raw) LensesGH'!C1447</f>
        <v>1:3.5-1:6.3</v>
      </c>
      <c r="F1447" s="9">
        <f t="shared" si="201"/>
        <v>3.5</v>
      </c>
      <c r="G1447" s="9">
        <f t="shared" si="202"/>
        <v>3.5</v>
      </c>
      <c r="H1447" t="str">
        <f>'(Raw) LensesGH'!D1447</f>
        <v>67mm</v>
      </c>
      <c r="I1447" s="2">
        <f t="shared" si="203"/>
        <v>67</v>
      </c>
      <c r="J1447" s="2" t="str">
        <f>'(Raw) LensesGH'!E1447</f>
        <v>1:2.80</v>
      </c>
      <c r="K1447" s="40">
        <f t="shared" si="204"/>
        <v>2.8</v>
      </c>
      <c r="L1447" t="str">
        <f>'(Raw) LensesGH'!F1447</f>
        <v>Nikon F</v>
      </c>
      <c r="M1447" t="str">
        <f>'(Raw) LensesGH'!G1447</f>
        <v>APS-C/ Kleinbild</v>
      </c>
      <c r="N1447" t="str">
        <f>'(Raw) LensesGH'!H1447</f>
        <v>540g</v>
      </c>
      <c r="O1447" s="5">
        <f t="shared" si="205"/>
        <v>540</v>
      </c>
      <c r="P1447" t="str">
        <f>'(Raw) LensesGH'!I1447</f>
        <v>75 x 99.5mm</v>
      </c>
      <c r="Q1447" s="39">
        <f t="shared" si="206"/>
        <v>75</v>
      </c>
      <c r="R1447" s="39">
        <f t="shared" si="198"/>
        <v>99.5</v>
      </c>
    </row>
    <row r="1448" spans="1:18" x14ac:dyDescent="0.25">
      <c r="A1448" t="str">
        <f>'(Raw) LensesGH'!A1448</f>
        <v>Tamron 28-300mm 3.5-6.3 XR Di VC LD PZD IF für Sony A schwarz</v>
      </c>
      <c r="B1448" t="str">
        <f>'(Raw) LensesGH'!B1448</f>
        <v>28 - 300mm</v>
      </c>
      <c r="C1448" s="5">
        <f t="shared" si="199"/>
        <v>28</v>
      </c>
      <c r="D1448" s="5">
        <f t="shared" si="200"/>
        <v>300</v>
      </c>
      <c r="E1448" t="str">
        <f>'(Raw) LensesGH'!C1448</f>
        <v>1:3.5-1:6.3</v>
      </c>
      <c r="F1448" s="9">
        <f t="shared" si="201"/>
        <v>3.5</v>
      </c>
      <c r="G1448" s="9">
        <f t="shared" si="202"/>
        <v>3.5</v>
      </c>
      <c r="H1448" t="str">
        <f>'(Raw) LensesGH'!D1448</f>
        <v>67mm</v>
      </c>
      <c r="I1448" s="2">
        <f t="shared" si="203"/>
        <v>67</v>
      </c>
      <c r="J1448" s="2" t="str">
        <f>'(Raw) LensesGH'!E1448</f>
        <v>1:2.80</v>
      </c>
      <c r="K1448" s="40">
        <f t="shared" si="204"/>
        <v>2.8</v>
      </c>
      <c r="L1448" t="str">
        <f>'(Raw) LensesGH'!F1448</f>
        <v>Sony A</v>
      </c>
      <c r="M1448" t="str">
        <f>'(Raw) LensesGH'!G1448</f>
        <v>APS-C/ Kleinbild</v>
      </c>
      <c r="N1448" t="str">
        <f>'(Raw) LensesGH'!H1448</f>
        <v>540g</v>
      </c>
      <c r="O1448" s="5">
        <f t="shared" si="205"/>
        <v>540</v>
      </c>
      <c r="P1448" t="str">
        <f>'(Raw) LensesGH'!I1448</f>
        <v>75 x 99.5mm</v>
      </c>
      <c r="Q1448" s="39">
        <f t="shared" si="206"/>
        <v>75</v>
      </c>
      <c r="R1448" s="39">
        <f t="shared" si="198"/>
        <v>99.5</v>
      </c>
    </row>
    <row r="1449" spans="1:18" x14ac:dyDescent="0.25">
      <c r="A1449" t="str">
        <f>'(Raw) LensesGH'!A1449</f>
        <v>Tamron AF 18-200mm 3.5-6.3 XR Di II LD Asp IF Makro für Canon EF schwarz</v>
      </c>
      <c r="B1449" t="str">
        <f>'(Raw) LensesGH'!B1449</f>
        <v>18 - 200mm</v>
      </c>
      <c r="C1449" s="5">
        <f t="shared" si="199"/>
        <v>18</v>
      </c>
      <c r="D1449" s="5">
        <f t="shared" si="200"/>
        <v>200</v>
      </c>
      <c r="E1449" t="str">
        <f>'(Raw) LensesGH'!C1449</f>
        <v>1:3.5-1:6.3</v>
      </c>
      <c r="F1449" s="9">
        <f t="shared" si="201"/>
        <v>3.5</v>
      </c>
      <c r="G1449" s="9">
        <f t="shared" si="202"/>
        <v>3.5</v>
      </c>
      <c r="H1449" t="str">
        <f>'(Raw) LensesGH'!D1449</f>
        <v>62mm</v>
      </c>
      <c r="I1449" s="2">
        <f t="shared" si="203"/>
        <v>62</v>
      </c>
      <c r="J1449" s="2" t="str">
        <f>'(Raw) LensesGH'!E1449</f>
        <v>1:3.70</v>
      </c>
      <c r="K1449" s="40">
        <f t="shared" si="204"/>
        <v>3.7</v>
      </c>
      <c r="L1449" t="str">
        <f>'(Raw) LensesGH'!F1449</f>
        <v>Canon EF-S</v>
      </c>
      <c r="M1449" t="str">
        <f>'(Raw) LensesGH'!G1449</f>
        <v>APS-C</v>
      </c>
      <c r="N1449" t="str">
        <f>'(Raw) LensesGH'!H1449</f>
        <v>398g</v>
      </c>
      <c r="O1449" s="5">
        <f t="shared" si="205"/>
        <v>398</v>
      </c>
      <c r="P1449" t="str">
        <f>'(Raw) LensesGH'!I1449</f>
        <v>73.8 x 83.7mm</v>
      </c>
      <c r="Q1449" s="39">
        <f t="shared" si="206"/>
        <v>73.8</v>
      </c>
      <c r="R1449" s="39">
        <f t="shared" si="198"/>
        <v>83.7</v>
      </c>
    </row>
    <row r="1450" spans="1:18" x14ac:dyDescent="0.25">
      <c r="A1450" t="str">
        <f>'(Raw) LensesGH'!A1450</f>
        <v>Tamron AF 18-200mm 3.5-6.3 XR Di II LD Asp IF Makro für Pentax K schwarz</v>
      </c>
      <c r="B1450" t="str">
        <f>'(Raw) LensesGH'!B1450</f>
        <v>18 - 200mm</v>
      </c>
      <c r="C1450" s="5">
        <f t="shared" si="199"/>
        <v>18</v>
      </c>
      <c r="D1450" s="5">
        <f t="shared" si="200"/>
        <v>200</v>
      </c>
      <c r="E1450" t="str">
        <f>'(Raw) LensesGH'!C1450</f>
        <v>1:3.5-1:6.3</v>
      </c>
      <c r="F1450" s="9">
        <f t="shared" si="201"/>
        <v>3.5</v>
      </c>
      <c r="G1450" s="9">
        <f t="shared" si="202"/>
        <v>3.5</v>
      </c>
      <c r="H1450" t="str">
        <f>'(Raw) LensesGH'!D1450</f>
        <v>62mm</v>
      </c>
      <c r="I1450" s="2">
        <f t="shared" si="203"/>
        <v>62</v>
      </c>
      <c r="J1450" s="2" t="str">
        <f>'(Raw) LensesGH'!E1450</f>
        <v>1:3.70</v>
      </c>
      <c r="K1450" s="40">
        <f t="shared" si="204"/>
        <v>3.7</v>
      </c>
      <c r="L1450" t="str">
        <f>'(Raw) LensesGH'!F1450</f>
        <v>Pentax K</v>
      </c>
      <c r="M1450" t="str">
        <f>'(Raw) LensesGH'!G1450</f>
        <v>APS-C</v>
      </c>
      <c r="N1450" t="str">
        <f>'(Raw) LensesGH'!H1450</f>
        <v>398g</v>
      </c>
      <c r="O1450" s="5">
        <f t="shared" si="205"/>
        <v>398</v>
      </c>
      <c r="P1450" t="str">
        <f>'(Raw) LensesGH'!I1450</f>
        <v>73.8 x 83.7mm</v>
      </c>
      <c r="Q1450" s="39">
        <f t="shared" si="206"/>
        <v>73.8</v>
      </c>
      <c r="R1450" s="39">
        <f t="shared" si="198"/>
        <v>83.7</v>
      </c>
    </row>
    <row r="1451" spans="1:18" x14ac:dyDescent="0.25">
      <c r="A1451" t="str">
        <f>'(Raw) LensesGH'!A1451</f>
        <v>Tamron AF 18-200mm 3.5-6.3 XR Di II LD Asp IF Makro für Sony A schwarz</v>
      </c>
      <c r="B1451" t="str">
        <f>'(Raw) LensesGH'!B1451</f>
        <v>18 - 200mm</v>
      </c>
      <c r="C1451" s="5">
        <f t="shared" si="199"/>
        <v>18</v>
      </c>
      <c r="D1451" s="5">
        <f t="shared" si="200"/>
        <v>200</v>
      </c>
      <c r="E1451" t="str">
        <f>'(Raw) LensesGH'!C1451</f>
        <v>1:3.5-1:6.3</v>
      </c>
      <c r="F1451" s="9">
        <f t="shared" si="201"/>
        <v>3.5</v>
      </c>
      <c r="G1451" s="9">
        <f t="shared" si="202"/>
        <v>3.5</v>
      </c>
      <c r="H1451" t="str">
        <f>'(Raw) LensesGH'!D1451</f>
        <v>62mm</v>
      </c>
      <c r="I1451" s="2">
        <f t="shared" si="203"/>
        <v>62</v>
      </c>
      <c r="J1451" s="2" t="str">
        <f>'(Raw) LensesGH'!E1451</f>
        <v>1:3.70</v>
      </c>
      <c r="K1451" s="40">
        <f t="shared" si="204"/>
        <v>3.7</v>
      </c>
      <c r="L1451" t="str">
        <f>'(Raw) LensesGH'!F1451</f>
        <v>Sony A</v>
      </c>
      <c r="M1451" t="str">
        <f>'(Raw) LensesGH'!G1451</f>
        <v>APS-C</v>
      </c>
      <c r="N1451" t="str">
        <f>'(Raw) LensesGH'!H1451</f>
        <v>398g</v>
      </c>
      <c r="O1451" s="5">
        <f t="shared" si="205"/>
        <v>398</v>
      </c>
      <c r="P1451" t="str">
        <f>'(Raw) LensesGH'!I1451</f>
        <v>73.8 x 83.7mm</v>
      </c>
      <c r="Q1451" s="39">
        <f t="shared" si="206"/>
        <v>73.8</v>
      </c>
      <c r="R1451" s="39">
        <f t="shared" si="198"/>
        <v>83.7</v>
      </c>
    </row>
    <row r="1452" spans="1:18" x14ac:dyDescent="0.25">
      <c r="A1452" t="str">
        <f>'(Raw) LensesGH'!A1452</f>
        <v>Tamron AF 18-200mm 3.5-6.3 XR Di II LD Asp IF Makro mit AF-Motor für Nikon F schwarz</v>
      </c>
      <c r="B1452" t="str">
        <f>'(Raw) LensesGH'!B1452</f>
        <v>18 - 200mm</v>
      </c>
      <c r="C1452" s="5">
        <f t="shared" si="199"/>
        <v>18</v>
      </c>
      <c r="D1452" s="5">
        <f t="shared" si="200"/>
        <v>200</v>
      </c>
      <c r="E1452" t="str">
        <f>'(Raw) LensesGH'!C1452</f>
        <v>1:3.5-1:6.3</v>
      </c>
      <c r="F1452" s="9">
        <f t="shared" si="201"/>
        <v>3.5</v>
      </c>
      <c r="G1452" s="9">
        <f t="shared" si="202"/>
        <v>3.5</v>
      </c>
      <c r="H1452" t="str">
        <f>'(Raw) LensesGH'!D1452</f>
        <v>62mm</v>
      </c>
      <c r="I1452" s="2">
        <f t="shared" si="203"/>
        <v>62</v>
      </c>
      <c r="J1452" s="2" t="str">
        <f>'(Raw) LensesGH'!E1452</f>
        <v>1:3.70</v>
      </c>
      <c r="K1452" s="40">
        <f t="shared" si="204"/>
        <v>3.7</v>
      </c>
      <c r="L1452" t="str">
        <f>'(Raw) LensesGH'!F1452</f>
        <v>Nikon F</v>
      </c>
      <c r="M1452" t="str">
        <f>'(Raw) LensesGH'!G1452</f>
        <v>APS-C</v>
      </c>
      <c r="N1452" t="str">
        <f>'(Raw) LensesGH'!H1452</f>
        <v>398g</v>
      </c>
      <c r="O1452" s="5">
        <f t="shared" si="205"/>
        <v>398</v>
      </c>
      <c r="P1452" t="str">
        <f>'(Raw) LensesGH'!I1452</f>
        <v>73.8 x 83.7mm</v>
      </c>
      <c r="Q1452" s="39">
        <f t="shared" si="206"/>
        <v>73.8</v>
      </c>
      <c r="R1452" s="39">
        <f t="shared" si="198"/>
        <v>83.7</v>
      </c>
    </row>
    <row r="1453" spans="1:18" x14ac:dyDescent="0.25">
      <c r="A1453" t="str">
        <f>'(Raw) LensesGH'!A1453</f>
        <v>Tamron AF 18-250mm 3.5-6.3 Di II LD Asp IF Makro für Nikon F schwarz</v>
      </c>
      <c r="B1453" t="str">
        <f>'(Raw) LensesGH'!B1453</f>
        <v>18 - 250mm</v>
      </c>
      <c r="C1453" s="5">
        <f t="shared" si="199"/>
        <v>18</v>
      </c>
      <c r="D1453" s="5">
        <f t="shared" si="200"/>
        <v>250</v>
      </c>
      <c r="E1453" t="str">
        <f>'(Raw) LensesGH'!C1453</f>
        <v>1:3.5-1:6.3</v>
      </c>
      <c r="F1453" s="9">
        <f t="shared" si="201"/>
        <v>3.5</v>
      </c>
      <c r="G1453" s="9">
        <f t="shared" si="202"/>
        <v>3.5</v>
      </c>
      <c r="H1453" t="str">
        <f>'(Raw) LensesGH'!D1453</f>
        <v>62mm</v>
      </c>
      <c r="I1453" s="2">
        <f t="shared" si="203"/>
        <v>62</v>
      </c>
      <c r="J1453" s="2" t="str">
        <f>'(Raw) LensesGH'!E1453</f>
        <v>1:3.50</v>
      </c>
      <c r="K1453" s="40">
        <f t="shared" si="204"/>
        <v>3.5</v>
      </c>
      <c r="L1453" t="str">
        <f>'(Raw) LensesGH'!F1453</f>
        <v>Nikon F</v>
      </c>
      <c r="M1453" t="str">
        <f>'(Raw) LensesGH'!G1453</f>
        <v>APS-C</v>
      </c>
      <c r="N1453" t="str">
        <f>'(Raw) LensesGH'!H1453</f>
        <v>430g</v>
      </c>
      <c r="O1453" s="5">
        <f t="shared" si="205"/>
        <v>430</v>
      </c>
      <c r="P1453" t="str">
        <f>'(Raw) LensesGH'!I1453</f>
        <v>74.4 x 84.3mm</v>
      </c>
      <c r="Q1453" s="39">
        <f t="shared" si="206"/>
        <v>74.400000000000006</v>
      </c>
      <c r="R1453" s="39">
        <f t="shared" si="198"/>
        <v>84.3</v>
      </c>
    </row>
    <row r="1454" spans="1:18" x14ac:dyDescent="0.25">
      <c r="A1454" t="str">
        <f>'(Raw) LensesGH'!A1454</f>
        <v>Tamron AF 18-250mm 3.5-6.3 Di II LD Asp IF Makro mit AF-Motor für Nikon F schwarz</v>
      </c>
      <c r="B1454" t="str">
        <f>'(Raw) LensesGH'!B1454</f>
        <v>18 - 250mm</v>
      </c>
      <c r="C1454" s="5">
        <f t="shared" si="199"/>
        <v>18</v>
      </c>
      <c r="D1454" s="5">
        <f t="shared" si="200"/>
        <v>250</v>
      </c>
      <c r="E1454" t="str">
        <f>'(Raw) LensesGH'!C1454</f>
        <v>1:3.5-1:6.3</v>
      </c>
      <c r="F1454" s="9">
        <f t="shared" si="201"/>
        <v>3.5</v>
      </c>
      <c r="G1454" s="9">
        <f t="shared" si="202"/>
        <v>3.5</v>
      </c>
      <c r="H1454" t="str">
        <f>'(Raw) LensesGH'!D1454</f>
        <v>62mm</v>
      </c>
      <c r="I1454" s="2">
        <f t="shared" si="203"/>
        <v>62</v>
      </c>
      <c r="J1454" s="2" t="str">
        <f>'(Raw) LensesGH'!E1454</f>
        <v>1:3.50</v>
      </c>
      <c r="K1454" s="40">
        <f t="shared" si="204"/>
        <v>3.5</v>
      </c>
      <c r="L1454" t="str">
        <f>'(Raw) LensesGH'!F1454</f>
        <v>Nikon F</v>
      </c>
      <c r="M1454" t="str">
        <f>'(Raw) LensesGH'!G1454</f>
        <v>APS-C</v>
      </c>
      <c r="N1454" t="str">
        <f>'(Raw) LensesGH'!H1454</f>
        <v>430g</v>
      </c>
      <c r="O1454" s="5">
        <f t="shared" si="205"/>
        <v>430</v>
      </c>
      <c r="P1454" t="str">
        <f>'(Raw) LensesGH'!I1454</f>
        <v>74.4 x 84.3mm</v>
      </c>
      <c r="Q1454" s="39">
        <f t="shared" si="206"/>
        <v>74.400000000000006</v>
      </c>
      <c r="R1454" s="39">
        <f t="shared" si="198"/>
        <v>84.3</v>
      </c>
    </row>
    <row r="1455" spans="1:18" x14ac:dyDescent="0.25">
      <c r="A1455" t="str">
        <f>'(Raw) LensesGH'!A1455</f>
        <v>Tamron AF 18-270mm 3.5-6.3 Di II PZD für Sony A schwarz</v>
      </c>
      <c r="B1455" t="str">
        <f>'(Raw) LensesGH'!B1455</f>
        <v>18 - 270mm</v>
      </c>
      <c r="C1455" s="5">
        <f t="shared" si="199"/>
        <v>18</v>
      </c>
      <c r="D1455" s="5">
        <f t="shared" si="200"/>
        <v>270</v>
      </c>
      <c r="E1455" t="str">
        <f>'(Raw) LensesGH'!C1455</f>
        <v>1:3.5-1:6.3</v>
      </c>
      <c r="F1455" s="9">
        <f t="shared" si="201"/>
        <v>3.5</v>
      </c>
      <c r="G1455" s="9">
        <f t="shared" si="202"/>
        <v>3.5</v>
      </c>
      <c r="H1455" t="str">
        <f>'(Raw) LensesGH'!D1455</f>
        <v>62mm</v>
      </c>
      <c r="I1455" s="2">
        <f t="shared" si="203"/>
        <v>62</v>
      </c>
      <c r="J1455" s="2" t="str">
        <f>'(Raw) LensesGH'!E1455</f>
        <v>1:3.80</v>
      </c>
      <c r="K1455" s="40">
        <f t="shared" si="204"/>
        <v>3.8</v>
      </c>
      <c r="L1455" t="str">
        <f>'(Raw) LensesGH'!F1455</f>
        <v>Sony A</v>
      </c>
      <c r="M1455" t="str">
        <f>'(Raw) LensesGH'!G1455</f>
        <v>APS-C</v>
      </c>
      <c r="N1455" t="str">
        <f>'(Raw) LensesGH'!H1455</f>
        <v>450g</v>
      </c>
      <c r="O1455" s="5">
        <f t="shared" si="205"/>
        <v>450</v>
      </c>
      <c r="P1455" t="str">
        <f>'(Raw) LensesGH'!I1455</f>
        <v>74.4 x 96.4mm</v>
      </c>
      <c r="Q1455" s="39">
        <f t="shared" si="206"/>
        <v>74.400000000000006</v>
      </c>
      <c r="R1455" s="39">
        <f t="shared" si="198"/>
        <v>96.4</v>
      </c>
    </row>
    <row r="1456" spans="1:18" x14ac:dyDescent="0.25">
      <c r="A1456" t="str">
        <f>'(Raw) LensesGH'!A1456</f>
        <v>Tamron AF 18-270mm 3.5-6.3 Di II VC PZD für Canon EF schwarz (B008E)</v>
      </c>
      <c r="B1456" t="str">
        <f>'(Raw) LensesGH'!B1456</f>
        <v>18 - 270mm</v>
      </c>
      <c r="C1456" s="5">
        <f t="shared" si="199"/>
        <v>18</v>
      </c>
      <c r="D1456" s="5">
        <f t="shared" si="200"/>
        <v>270</v>
      </c>
      <c r="E1456" t="str">
        <f>'(Raw) LensesGH'!C1456</f>
        <v>1:3.5-1:6.3</v>
      </c>
      <c r="F1456" s="9">
        <f t="shared" si="201"/>
        <v>3.5</v>
      </c>
      <c r="G1456" s="9">
        <f t="shared" si="202"/>
        <v>3.5</v>
      </c>
      <c r="H1456" t="str">
        <f>'(Raw) LensesGH'!D1456</f>
        <v>62mm</v>
      </c>
      <c r="I1456" s="2">
        <f t="shared" si="203"/>
        <v>62</v>
      </c>
      <c r="J1456" s="2" t="str">
        <f>'(Raw) LensesGH'!E1456</f>
        <v>1:3.80</v>
      </c>
      <c r="K1456" s="40">
        <f t="shared" si="204"/>
        <v>3.8</v>
      </c>
      <c r="L1456" t="str">
        <f>'(Raw) LensesGH'!F1456</f>
        <v>Canon EF-S</v>
      </c>
      <c r="M1456" t="str">
        <f>'(Raw) LensesGH'!G1456</f>
        <v>APS-C</v>
      </c>
      <c r="N1456" t="str">
        <f>'(Raw) LensesGH'!H1456</f>
        <v>450g</v>
      </c>
      <c r="O1456" s="5">
        <f t="shared" si="205"/>
        <v>450</v>
      </c>
      <c r="P1456" t="str">
        <f>'(Raw) LensesGH'!I1456</f>
        <v>74.4 x 96.4mm</v>
      </c>
      <c r="Q1456" s="39">
        <f t="shared" si="206"/>
        <v>74.400000000000006</v>
      </c>
      <c r="R1456" s="39">
        <f t="shared" si="198"/>
        <v>96.4</v>
      </c>
    </row>
    <row r="1457" spans="1:18" x14ac:dyDescent="0.25">
      <c r="A1457" t="str">
        <f>'(Raw) LensesGH'!A1457</f>
        <v>Tamron AF 18-270mm 3.5-6.3 Di II VC PZD für Nikon F schwarz (B008N)</v>
      </c>
      <c r="B1457" t="str">
        <f>'(Raw) LensesGH'!B1457</f>
        <v>18 - 270mm</v>
      </c>
      <c r="C1457" s="5">
        <f t="shared" si="199"/>
        <v>18</v>
      </c>
      <c r="D1457" s="5">
        <f t="shared" si="200"/>
        <v>270</v>
      </c>
      <c r="E1457" t="str">
        <f>'(Raw) LensesGH'!C1457</f>
        <v>1:3.5-1:6.3</v>
      </c>
      <c r="F1457" s="9">
        <f t="shared" si="201"/>
        <v>3.5</v>
      </c>
      <c r="G1457" s="9">
        <f t="shared" si="202"/>
        <v>3.5</v>
      </c>
      <c r="H1457" t="str">
        <f>'(Raw) LensesGH'!D1457</f>
        <v>62mm</v>
      </c>
      <c r="I1457" s="2">
        <f t="shared" si="203"/>
        <v>62</v>
      </c>
      <c r="J1457" s="2" t="str">
        <f>'(Raw) LensesGH'!E1457</f>
        <v>1:3.80</v>
      </c>
      <c r="K1457" s="40">
        <f t="shared" si="204"/>
        <v>3.8</v>
      </c>
      <c r="L1457" t="str">
        <f>'(Raw) LensesGH'!F1457</f>
        <v>Nikon F</v>
      </c>
      <c r="M1457" t="str">
        <f>'(Raw) LensesGH'!G1457</f>
        <v>APS-C</v>
      </c>
      <c r="N1457" t="str">
        <f>'(Raw) LensesGH'!H1457</f>
        <v>450g</v>
      </c>
      <c r="O1457" s="5">
        <f t="shared" si="205"/>
        <v>450</v>
      </c>
      <c r="P1457" t="str">
        <f>'(Raw) LensesGH'!I1457</f>
        <v>74.4 x 96.4mm</v>
      </c>
      <c r="Q1457" s="39">
        <f t="shared" si="206"/>
        <v>74.400000000000006</v>
      </c>
      <c r="R1457" s="39">
        <f t="shared" si="198"/>
        <v>96.4</v>
      </c>
    </row>
    <row r="1458" spans="1:18" x14ac:dyDescent="0.25">
      <c r="A1458" t="str">
        <f>'(Raw) LensesGH'!A1458</f>
        <v>Tamron AF 20-40mm 2.7-3.5 Asp IF für Canon EF schwarz</v>
      </c>
      <c r="B1458" t="str">
        <f>'(Raw) LensesGH'!B1458</f>
        <v>20 - 40mm</v>
      </c>
      <c r="C1458" s="5">
        <f t="shared" si="199"/>
        <v>20</v>
      </c>
      <c r="D1458" s="5">
        <f t="shared" si="200"/>
        <v>40</v>
      </c>
      <c r="E1458" t="str">
        <f>'(Raw) LensesGH'!C1458</f>
        <v>1:2.7-1:3.5</v>
      </c>
      <c r="F1458" s="9">
        <f t="shared" si="201"/>
        <v>2.7</v>
      </c>
      <c r="G1458" s="9">
        <f t="shared" si="202"/>
        <v>2.7</v>
      </c>
      <c r="H1458" t="str">
        <f>'(Raw) LensesGH'!D1458</f>
        <v>77mm</v>
      </c>
      <c r="I1458" s="2">
        <f t="shared" si="203"/>
        <v>77</v>
      </c>
      <c r="J1458" s="2">
        <f>'(Raw) LensesGH'!E1458</f>
        <v>0</v>
      </c>
      <c r="K1458" s="40">
        <f t="shared" si="204"/>
        <v>0</v>
      </c>
      <c r="L1458">
        <f>'(Raw) LensesGH'!F1458</f>
        <v>0</v>
      </c>
      <c r="M1458" t="str">
        <f>'(Raw) LensesGH'!G1458</f>
        <v>APS-C/ Kleinbild</v>
      </c>
      <c r="N1458" t="str">
        <f>'(Raw) LensesGH'!H1458</f>
        <v>525g</v>
      </c>
      <c r="O1458" s="5">
        <f t="shared" si="205"/>
        <v>525</v>
      </c>
      <c r="P1458" t="str">
        <f>'(Raw) LensesGH'!I1458</f>
        <v>81.5 x 81mm</v>
      </c>
      <c r="Q1458" s="39">
        <f t="shared" si="206"/>
        <v>81.5</v>
      </c>
      <c r="R1458" s="39">
        <f t="shared" si="198"/>
        <v>81</v>
      </c>
    </row>
    <row r="1459" spans="1:18" x14ac:dyDescent="0.25">
      <c r="A1459" t="str">
        <f>'(Raw) LensesGH'!A1459</f>
        <v>Tamron AF 28-300mm 3.5-6.3 XR Di LD Asp IF Makro für Canon EF schwarz</v>
      </c>
      <c r="B1459" t="str">
        <f>'(Raw) LensesGH'!B1459</f>
        <v>28 - 300mm</v>
      </c>
      <c r="C1459" s="5">
        <f t="shared" si="199"/>
        <v>28</v>
      </c>
      <c r="D1459" s="5">
        <f t="shared" si="200"/>
        <v>300</v>
      </c>
      <c r="E1459" t="str">
        <f>'(Raw) LensesGH'!C1459</f>
        <v>1:3.5-1:6.3</v>
      </c>
      <c r="F1459" s="9">
        <f t="shared" si="201"/>
        <v>3.5</v>
      </c>
      <c r="G1459" s="9">
        <f t="shared" si="202"/>
        <v>3.5</v>
      </c>
      <c r="H1459" t="str">
        <f>'(Raw) LensesGH'!D1459</f>
        <v>62mm</v>
      </c>
      <c r="I1459" s="2">
        <f t="shared" si="203"/>
        <v>62</v>
      </c>
      <c r="J1459" s="2" t="str">
        <f>'(Raw) LensesGH'!E1459</f>
        <v>1:2.90</v>
      </c>
      <c r="K1459" s="40">
        <f t="shared" si="204"/>
        <v>2.9</v>
      </c>
      <c r="L1459" t="str">
        <f>'(Raw) LensesGH'!F1459</f>
        <v>Canon EF</v>
      </c>
      <c r="M1459" t="str">
        <f>'(Raw) LensesGH'!G1459</f>
        <v>APS-C/ Kleinbild</v>
      </c>
      <c r="N1459" t="str">
        <f>'(Raw) LensesGH'!H1459</f>
        <v>420g</v>
      </c>
      <c r="O1459" s="5">
        <f t="shared" si="205"/>
        <v>420</v>
      </c>
      <c r="P1459" t="str">
        <f>'(Raw) LensesGH'!I1459</f>
        <v>73 x 83.7mm</v>
      </c>
      <c r="Q1459" s="39">
        <f t="shared" si="206"/>
        <v>73</v>
      </c>
      <c r="R1459" s="39">
        <f t="shared" si="198"/>
        <v>83.7</v>
      </c>
    </row>
    <row r="1460" spans="1:18" x14ac:dyDescent="0.25">
      <c r="A1460" t="str">
        <f>'(Raw) LensesGH'!A1460</f>
        <v>Tamron AF 28-300mm 3.5-6.3 XR Di LD Asp IF Makro für Sony A schwarz</v>
      </c>
      <c r="B1460" t="str">
        <f>'(Raw) LensesGH'!B1460</f>
        <v>28 - 300mm</v>
      </c>
      <c r="C1460" s="5">
        <f t="shared" si="199"/>
        <v>28</v>
      </c>
      <c r="D1460" s="5">
        <f t="shared" si="200"/>
        <v>300</v>
      </c>
      <c r="E1460" t="str">
        <f>'(Raw) LensesGH'!C1460</f>
        <v>1:3.5-1:6.3</v>
      </c>
      <c r="F1460" s="9">
        <f t="shared" si="201"/>
        <v>3.5</v>
      </c>
      <c r="G1460" s="9">
        <f t="shared" si="202"/>
        <v>3.5</v>
      </c>
      <c r="H1460" t="str">
        <f>'(Raw) LensesGH'!D1460</f>
        <v>62mm</v>
      </c>
      <c r="I1460" s="2">
        <f t="shared" si="203"/>
        <v>62</v>
      </c>
      <c r="J1460" s="2" t="str">
        <f>'(Raw) LensesGH'!E1460</f>
        <v>1:2.90</v>
      </c>
      <c r="K1460" s="40">
        <f t="shared" si="204"/>
        <v>2.9</v>
      </c>
      <c r="L1460" t="str">
        <f>'(Raw) LensesGH'!F1460</f>
        <v>Sony A</v>
      </c>
      <c r="M1460" t="str">
        <f>'(Raw) LensesGH'!G1460</f>
        <v>APS-C/ Kleinbild</v>
      </c>
      <c r="N1460" t="str">
        <f>'(Raw) LensesGH'!H1460</f>
        <v>420g</v>
      </c>
      <c r="O1460" s="5">
        <f t="shared" si="205"/>
        <v>420</v>
      </c>
      <c r="P1460" t="str">
        <f>'(Raw) LensesGH'!I1460</f>
        <v>73 x 83.7mm</v>
      </c>
      <c r="Q1460" s="39">
        <f t="shared" si="206"/>
        <v>73</v>
      </c>
      <c r="R1460" s="39">
        <f t="shared" si="198"/>
        <v>83.7</v>
      </c>
    </row>
    <row r="1461" spans="1:18" x14ac:dyDescent="0.25">
      <c r="A1461" t="str">
        <f>'(Raw) LensesGH'!A1461</f>
        <v>Tamron AF 28-300mm 3.5-6.3 XR Di VC LD Asp IF Makro für Nikon F schwarz</v>
      </c>
      <c r="B1461" t="str">
        <f>'(Raw) LensesGH'!B1461</f>
        <v>28 - 300mm</v>
      </c>
      <c r="C1461" s="5">
        <f t="shared" si="199"/>
        <v>28</v>
      </c>
      <c r="D1461" s="5">
        <f t="shared" si="200"/>
        <v>300</v>
      </c>
      <c r="E1461" t="str">
        <f>'(Raw) LensesGH'!C1461</f>
        <v>1:3.5-1:6.3</v>
      </c>
      <c r="F1461" s="9">
        <f t="shared" si="201"/>
        <v>3.5</v>
      </c>
      <c r="G1461" s="9">
        <f t="shared" si="202"/>
        <v>3.5</v>
      </c>
      <c r="H1461" t="str">
        <f>'(Raw) LensesGH'!D1461</f>
        <v>67mm</v>
      </c>
      <c r="I1461" s="2">
        <f t="shared" si="203"/>
        <v>67</v>
      </c>
      <c r="J1461" s="2" t="str">
        <f>'(Raw) LensesGH'!E1461</f>
        <v>1:3.00</v>
      </c>
      <c r="K1461" s="40">
        <f t="shared" si="204"/>
        <v>3</v>
      </c>
      <c r="L1461" t="str">
        <f>'(Raw) LensesGH'!F1461</f>
        <v>Nikon F</v>
      </c>
      <c r="M1461" t="str">
        <f>'(Raw) LensesGH'!G1461</f>
        <v>APS-C/ Kleinbild</v>
      </c>
      <c r="N1461" t="str">
        <f>'(Raw) LensesGH'!H1461</f>
        <v>550g</v>
      </c>
      <c r="O1461" s="5">
        <f t="shared" si="205"/>
        <v>550</v>
      </c>
      <c r="P1461" t="str">
        <f>'(Raw) LensesGH'!I1461</f>
        <v>78 x 99mm</v>
      </c>
      <c r="Q1461" s="39">
        <f t="shared" si="206"/>
        <v>78</v>
      </c>
      <c r="R1461" s="39">
        <f t="shared" si="198"/>
        <v>99</v>
      </c>
    </row>
    <row r="1462" spans="1:18" x14ac:dyDescent="0.25">
      <c r="A1462" t="str">
        <f>'(Raw) LensesGH'!A1462</f>
        <v>Tamron AF 55-200mm 4.0-5.6 Di II LD Makro für Nikon F schwarz</v>
      </c>
      <c r="B1462" t="str">
        <f>'(Raw) LensesGH'!B1462</f>
        <v>55 - 200mm</v>
      </c>
      <c r="C1462" s="5">
        <f t="shared" si="199"/>
        <v>55</v>
      </c>
      <c r="D1462" s="5">
        <f t="shared" si="200"/>
        <v>200</v>
      </c>
      <c r="E1462" t="str">
        <f>'(Raw) LensesGH'!C1462</f>
        <v>1:4.0-1:5.6</v>
      </c>
      <c r="F1462" s="9">
        <f t="shared" si="201"/>
        <v>4</v>
      </c>
      <c r="G1462" s="9">
        <f t="shared" si="202"/>
        <v>4</v>
      </c>
      <c r="H1462" t="str">
        <f>'(Raw) LensesGH'!D1462</f>
        <v>52mm</v>
      </c>
      <c r="I1462" s="2">
        <f t="shared" si="203"/>
        <v>52</v>
      </c>
      <c r="J1462" s="2" t="str">
        <f>'(Raw) LensesGH'!E1462</f>
        <v>1:3.50</v>
      </c>
      <c r="K1462" s="40">
        <f t="shared" si="204"/>
        <v>3.5</v>
      </c>
      <c r="L1462" t="str">
        <f>'(Raw) LensesGH'!F1462</f>
        <v>Nikon F</v>
      </c>
      <c r="M1462" t="str">
        <f>'(Raw) LensesGH'!G1462</f>
        <v>APS-C</v>
      </c>
      <c r="N1462" t="str">
        <f>'(Raw) LensesGH'!H1462</f>
        <v>295g</v>
      </c>
      <c r="O1462" s="5">
        <f t="shared" si="205"/>
        <v>295</v>
      </c>
      <c r="P1462" t="str">
        <f>'(Raw) LensesGH'!I1462</f>
        <v>71.6 x 83mm</v>
      </c>
      <c r="Q1462" s="39">
        <f t="shared" si="206"/>
        <v>71.599999999999994</v>
      </c>
      <c r="R1462" s="39">
        <f t="shared" si="198"/>
        <v>83</v>
      </c>
    </row>
    <row r="1463" spans="1:18" x14ac:dyDescent="0.25">
      <c r="A1463" t="str">
        <f>'(Raw) LensesGH'!A1463</f>
        <v>Tamron AF 70-300mm 4.0-5.6 Di LD Makro 1:2 für Canon EF schwarz</v>
      </c>
      <c r="B1463" t="str">
        <f>'(Raw) LensesGH'!B1463</f>
        <v>70 - 300mm</v>
      </c>
      <c r="C1463" s="5">
        <f t="shared" si="199"/>
        <v>70</v>
      </c>
      <c r="D1463" s="5">
        <f t="shared" si="200"/>
        <v>300</v>
      </c>
      <c r="E1463" t="str">
        <f>'(Raw) LensesGH'!C1463</f>
        <v>1:4.0-1:5.6</v>
      </c>
      <c r="F1463" s="9">
        <f t="shared" si="201"/>
        <v>4</v>
      </c>
      <c r="G1463" s="9">
        <f t="shared" si="202"/>
        <v>4</v>
      </c>
      <c r="H1463" t="str">
        <f>'(Raw) LensesGH'!D1463</f>
        <v>62mm</v>
      </c>
      <c r="I1463" s="2">
        <f t="shared" si="203"/>
        <v>62</v>
      </c>
      <c r="J1463" s="2" t="str">
        <f>'(Raw) LensesGH'!E1463</f>
        <v>1:2.00</v>
      </c>
      <c r="K1463" s="40">
        <f t="shared" si="204"/>
        <v>2</v>
      </c>
      <c r="L1463" t="str">
        <f>'(Raw) LensesGH'!F1463</f>
        <v>Canon EF</v>
      </c>
      <c r="M1463" t="str">
        <f>'(Raw) LensesGH'!G1463</f>
        <v>APS-C/ Kleinbild</v>
      </c>
      <c r="N1463" t="str">
        <f>'(Raw) LensesGH'!H1463</f>
        <v>435g</v>
      </c>
      <c r="O1463" s="5">
        <f t="shared" si="205"/>
        <v>435</v>
      </c>
      <c r="P1463" t="str">
        <f>'(Raw) LensesGH'!I1463</f>
        <v>76.6 x 116.5mm</v>
      </c>
      <c r="Q1463" s="39">
        <f t="shared" si="206"/>
        <v>76.599999999999994</v>
      </c>
      <c r="R1463" s="39">
        <f t="shared" si="198"/>
        <v>116.5</v>
      </c>
    </row>
    <row r="1464" spans="1:18" x14ac:dyDescent="0.25">
      <c r="A1464" t="str">
        <f>'(Raw) LensesGH'!A1464</f>
        <v>Tamron AF 70-300mm 4.0-5.6 Di LD Makro 1:2 für Nikon F schwarz</v>
      </c>
      <c r="B1464" t="str">
        <f>'(Raw) LensesGH'!B1464</f>
        <v>70 - 300mm</v>
      </c>
      <c r="C1464" s="5">
        <f t="shared" si="199"/>
        <v>70</v>
      </c>
      <c r="D1464" s="5">
        <f t="shared" si="200"/>
        <v>300</v>
      </c>
      <c r="E1464" t="str">
        <f>'(Raw) LensesGH'!C1464</f>
        <v>1:4.0-1:5.6</v>
      </c>
      <c r="F1464" s="9">
        <f t="shared" si="201"/>
        <v>4</v>
      </c>
      <c r="G1464" s="9">
        <f t="shared" si="202"/>
        <v>4</v>
      </c>
      <c r="H1464" t="str">
        <f>'(Raw) LensesGH'!D1464</f>
        <v>62mm</v>
      </c>
      <c r="I1464" s="2">
        <f t="shared" si="203"/>
        <v>62</v>
      </c>
      <c r="J1464" s="2" t="str">
        <f>'(Raw) LensesGH'!E1464</f>
        <v>1:2.00</v>
      </c>
      <c r="K1464" s="40">
        <f t="shared" si="204"/>
        <v>2</v>
      </c>
      <c r="L1464" t="str">
        <f>'(Raw) LensesGH'!F1464</f>
        <v>Nikon F</v>
      </c>
      <c r="M1464" t="str">
        <f>'(Raw) LensesGH'!G1464</f>
        <v>APS-C/ Kleinbild</v>
      </c>
      <c r="N1464" t="str">
        <f>'(Raw) LensesGH'!H1464</f>
        <v>435g</v>
      </c>
      <c r="O1464" s="5">
        <f t="shared" si="205"/>
        <v>435</v>
      </c>
      <c r="P1464" t="str">
        <f>'(Raw) LensesGH'!I1464</f>
        <v>76.6 x 116.5mm</v>
      </c>
      <c r="Q1464" s="39">
        <f t="shared" si="206"/>
        <v>76.599999999999994</v>
      </c>
      <c r="R1464" s="39">
        <f t="shared" si="198"/>
        <v>116.5</v>
      </c>
    </row>
    <row r="1465" spans="1:18" x14ac:dyDescent="0.25">
      <c r="A1465" t="str">
        <f>'(Raw) LensesGH'!A1465</f>
        <v>Tamron AF 70-300mm 4.0-5.6 Di LD Makro 1:2 für Pentax K schwarz</v>
      </c>
      <c r="B1465" t="str">
        <f>'(Raw) LensesGH'!B1465</f>
        <v>70 - 300mm</v>
      </c>
      <c r="C1465" s="5">
        <f t="shared" si="199"/>
        <v>70</v>
      </c>
      <c r="D1465" s="5">
        <f t="shared" si="200"/>
        <v>300</v>
      </c>
      <c r="E1465" t="str">
        <f>'(Raw) LensesGH'!C1465</f>
        <v>1:4.0-1:5.6</v>
      </c>
      <c r="F1465" s="9">
        <f t="shared" si="201"/>
        <v>4</v>
      </c>
      <c r="G1465" s="9">
        <f t="shared" si="202"/>
        <v>4</v>
      </c>
      <c r="H1465" t="str">
        <f>'(Raw) LensesGH'!D1465</f>
        <v>62mm</v>
      </c>
      <c r="I1465" s="2">
        <f t="shared" si="203"/>
        <v>62</v>
      </c>
      <c r="J1465" s="2" t="str">
        <f>'(Raw) LensesGH'!E1465</f>
        <v>1:2.00</v>
      </c>
      <c r="K1465" s="40">
        <f t="shared" si="204"/>
        <v>2</v>
      </c>
      <c r="L1465" t="str">
        <f>'(Raw) LensesGH'!F1465</f>
        <v>Pentax K</v>
      </c>
      <c r="M1465" t="str">
        <f>'(Raw) LensesGH'!G1465</f>
        <v>APS-C/ Kleinbild</v>
      </c>
      <c r="N1465" t="str">
        <f>'(Raw) LensesGH'!H1465</f>
        <v>435g</v>
      </c>
      <c r="O1465" s="5">
        <f t="shared" si="205"/>
        <v>435</v>
      </c>
      <c r="P1465" t="str">
        <f>'(Raw) LensesGH'!I1465</f>
        <v>76.6 x 116.5mm</v>
      </c>
      <c r="Q1465" s="39">
        <f t="shared" si="206"/>
        <v>76.599999999999994</v>
      </c>
      <c r="R1465" s="39">
        <f t="shared" si="198"/>
        <v>116.5</v>
      </c>
    </row>
    <row r="1466" spans="1:18" x14ac:dyDescent="0.25">
      <c r="A1466" t="str">
        <f>'(Raw) LensesGH'!A1466</f>
        <v>Tamron AF 70-300mm 4.0-5.6 Di LD Makro 1:2 für Sony A schwarz</v>
      </c>
      <c r="B1466" t="str">
        <f>'(Raw) LensesGH'!B1466</f>
        <v>70 - 300mm</v>
      </c>
      <c r="C1466" s="5">
        <f t="shared" si="199"/>
        <v>70</v>
      </c>
      <c r="D1466" s="5">
        <f t="shared" si="200"/>
        <v>300</v>
      </c>
      <c r="E1466" t="str">
        <f>'(Raw) LensesGH'!C1466</f>
        <v>1:4.0-1:5.6</v>
      </c>
      <c r="F1466" s="9">
        <f t="shared" si="201"/>
        <v>4</v>
      </c>
      <c r="G1466" s="9">
        <f t="shared" si="202"/>
        <v>4</v>
      </c>
      <c r="H1466" t="str">
        <f>'(Raw) LensesGH'!D1466</f>
        <v>62mm</v>
      </c>
      <c r="I1466" s="2">
        <f t="shared" si="203"/>
        <v>62</v>
      </c>
      <c r="J1466" s="2" t="str">
        <f>'(Raw) LensesGH'!E1466</f>
        <v>1:2.00</v>
      </c>
      <c r="K1466" s="40">
        <f t="shared" si="204"/>
        <v>2</v>
      </c>
      <c r="L1466" t="str">
        <f>'(Raw) LensesGH'!F1466</f>
        <v>Sony A</v>
      </c>
      <c r="M1466" t="str">
        <f>'(Raw) LensesGH'!G1466</f>
        <v>APS-C/ Kleinbild</v>
      </c>
      <c r="N1466" t="str">
        <f>'(Raw) LensesGH'!H1466</f>
        <v>435g</v>
      </c>
      <c r="O1466" s="5">
        <f t="shared" si="205"/>
        <v>435</v>
      </c>
      <c r="P1466" t="str">
        <f>'(Raw) LensesGH'!I1466</f>
        <v>76.6 x 116.5mm</v>
      </c>
      <c r="Q1466" s="39">
        <f t="shared" si="206"/>
        <v>76.599999999999994</v>
      </c>
      <c r="R1466" s="39">
        <f t="shared" si="198"/>
        <v>116.5</v>
      </c>
    </row>
    <row r="1467" spans="1:18" x14ac:dyDescent="0.25">
      <c r="A1467" t="str">
        <f>'(Raw) LensesGH'!A1467</f>
        <v>Tamron AF 70-300mm 4.0-5.6 Di LD Makro 1:2 mit AF-Motor für Nikon F schwarz</v>
      </c>
      <c r="B1467" t="str">
        <f>'(Raw) LensesGH'!B1467</f>
        <v>70 - 300mm</v>
      </c>
      <c r="C1467" s="5">
        <f t="shared" si="199"/>
        <v>70</v>
      </c>
      <c r="D1467" s="5">
        <f t="shared" si="200"/>
        <v>300</v>
      </c>
      <c r="E1467" t="str">
        <f>'(Raw) LensesGH'!C1467</f>
        <v>1:4.0-1:5.6</v>
      </c>
      <c r="F1467" s="9">
        <f t="shared" si="201"/>
        <v>4</v>
      </c>
      <c r="G1467" s="9">
        <f t="shared" si="202"/>
        <v>4</v>
      </c>
      <c r="H1467" t="str">
        <f>'(Raw) LensesGH'!D1467</f>
        <v>62mm</v>
      </c>
      <c r="I1467" s="2">
        <f t="shared" si="203"/>
        <v>62</v>
      </c>
      <c r="J1467" s="2" t="str">
        <f>'(Raw) LensesGH'!E1467</f>
        <v>1:2.00</v>
      </c>
      <c r="K1467" s="40">
        <f t="shared" si="204"/>
        <v>2</v>
      </c>
      <c r="L1467" t="str">
        <f>'(Raw) LensesGH'!F1467</f>
        <v>Nikon F</v>
      </c>
      <c r="M1467" t="str">
        <f>'(Raw) LensesGH'!G1467</f>
        <v>APS-C/ Kleinbild</v>
      </c>
      <c r="N1467" t="str">
        <f>'(Raw) LensesGH'!H1467</f>
        <v>458g</v>
      </c>
      <c r="O1467" s="5">
        <f t="shared" si="205"/>
        <v>458</v>
      </c>
      <c r="P1467" t="str">
        <f>'(Raw) LensesGH'!I1467</f>
        <v>76.6 x 116.5mm</v>
      </c>
      <c r="Q1467" s="39">
        <f t="shared" si="206"/>
        <v>76.599999999999994</v>
      </c>
      <c r="R1467" s="39">
        <f t="shared" si="198"/>
        <v>116.5</v>
      </c>
    </row>
    <row r="1468" spans="1:18" x14ac:dyDescent="0.25">
      <c r="A1468" t="str">
        <f>'(Raw) LensesGH'!A1468</f>
        <v>Tamron AF 80-210mm 4.5-5.6 für Sony A schwarz</v>
      </c>
      <c r="B1468" t="str">
        <f>'(Raw) LensesGH'!B1468</f>
        <v>80 - 210mm</v>
      </c>
      <c r="C1468" s="5">
        <f t="shared" si="199"/>
        <v>80</v>
      </c>
      <c r="D1468" s="5">
        <f t="shared" si="200"/>
        <v>210</v>
      </c>
      <c r="E1468" t="str">
        <f>'(Raw) LensesGH'!C1468</f>
        <v>1:4.5-1:5.6</v>
      </c>
      <c r="F1468" s="9">
        <f t="shared" si="201"/>
        <v>4.5</v>
      </c>
      <c r="G1468" s="9">
        <f t="shared" si="202"/>
        <v>4.5</v>
      </c>
      <c r="H1468" t="str">
        <f>'(Raw) LensesGH'!D1468</f>
        <v>52mm</v>
      </c>
      <c r="I1468" s="2">
        <f t="shared" si="203"/>
        <v>52</v>
      </c>
      <c r="J1468" s="2">
        <f>'(Raw) LensesGH'!E1468</f>
        <v>0</v>
      </c>
      <c r="K1468" s="40">
        <f t="shared" si="204"/>
        <v>0</v>
      </c>
      <c r="L1468" t="str">
        <f>'(Raw) LensesGH'!F1468</f>
        <v>Sony A</v>
      </c>
      <c r="M1468" t="str">
        <f>'(Raw) LensesGH'!G1468</f>
        <v>APS-C</v>
      </c>
      <c r="N1468" t="str">
        <f>'(Raw) LensesGH'!H1468</f>
        <v>281g</v>
      </c>
      <c r="O1468" s="5">
        <f t="shared" si="205"/>
        <v>281</v>
      </c>
      <c r="P1468" t="str">
        <f>'(Raw) LensesGH'!I1468</f>
        <v>69 x 97.5mm</v>
      </c>
      <c r="Q1468" s="39">
        <f t="shared" si="206"/>
        <v>69</v>
      </c>
      <c r="R1468" s="39">
        <f t="shared" si="198"/>
        <v>97.5</v>
      </c>
    </row>
    <row r="1469" spans="1:18" x14ac:dyDescent="0.25">
      <c r="A1469" t="str">
        <f>'(Raw) LensesGH'!A1469</f>
        <v>Tamron SP AF 10-24mm 3.5-4.5 Di II LD Asp IF für Canon EF schwarz</v>
      </c>
      <c r="B1469" t="str">
        <f>'(Raw) LensesGH'!B1469</f>
        <v>10 - 24mm</v>
      </c>
      <c r="C1469" s="5">
        <f t="shared" si="199"/>
        <v>10</v>
      </c>
      <c r="D1469" s="5">
        <f t="shared" si="200"/>
        <v>24</v>
      </c>
      <c r="E1469" t="str">
        <f>'(Raw) LensesGH'!C1469</f>
        <v>1:3.5-1:4.5</v>
      </c>
      <c r="F1469" s="9">
        <f t="shared" si="201"/>
        <v>3.5</v>
      </c>
      <c r="G1469" s="9">
        <f t="shared" si="202"/>
        <v>3.5</v>
      </c>
      <c r="H1469" t="str">
        <f>'(Raw) LensesGH'!D1469</f>
        <v>77mm</v>
      </c>
      <c r="I1469" s="2">
        <f t="shared" si="203"/>
        <v>77</v>
      </c>
      <c r="J1469" s="2" t="str">
        <f>'(Raw) LensesGH'!E1469</f>
        <v>1:5.10</v>
      </c>
      <c r="K1469" s="40">
        <f t="shared" si="204"/>
        <v>5.0999999999999996</v>
      </c>
      <c r="L1469" t="str">
        <f>'(Raw) LensesGH'!F1469</f>
        <v>Canon EF-S</v>
      </c>
      <c r="M1469" t="str">
        <f>'(Raw) LensesGH'!G1469</f>
        <v>APS-C</v>
      </c>
      <c r="N1469" t="str">
        <f>'(Raw) LensesGH'!H1469</f>
        <v>370g</v>
      </c>
      <c r="O1469" s="5">
        <f t="shared" si="205"/>
        <v>370</v>
      </c>
      <c r="P1469" t="str">
        <f>'(Raw) LensesGH'!I1469</f>
        <v>83.2 x 86.5mm</v>
      </c>
      <c r="Q1469" s="39">
        <f t="shared" si="206"/>
        <v>83.2</v>
      </c>
      <c r="R1469" s="39">
        <f t="shared" si="198"/>
        <v>86.5</v>
      </c>
    </row>
    <row r="1470" spans="1:18" x14ac:dyDescent="0.25">
      <c r="A1470" t="str">
        <f>'(Raw) LensesGH'!A1470</f>
        <v>Tamron SP AF 10-24mm 3.5-4.5 Di II LD Asp IF für Nikon F schwarz</v>
      </c>
      <c r="B1470" t="str">
        <f>'(Raw) LensesGH'!B1470</f>
        <v>10 - 24mm</v>
      </c>
      <c r="C1470" s="5">
        <f t="shared" si="199"/>
        <v>10</v>
      </c>
      <c r="D1470" s="5">
        <f t="shared" si="200"/>
        <v>24</v>
      </c>
      <c r="E1470" t="str">
        <f>'(Raw) LensesGH'!C1470</f>
        <v>1:3.5-1:4.5</v>
      </c>
      <c r="F1470" s="9">
        <f t="shared" si="201"/>
        <v>3.5</v>
      </c>
      <c r="G1470" s="9">
        <f t="shared" si="202"/>
        <v>3.5</v>
      </c>
      <c r="H1470" t="str">
        <f>'(Raw) LensesGH'!D1470</f>
        <v>77mm</v>
      </c>
      <c r="I1470" s="2">
        <f t="shared" si="203"/>
        <v>77</v>
      </c>
      <c r="J1470" s="2" t="str">
        <f>'(Raw) LensesGH'!E1470</f>
        <v>1:5.10</v>
      </c>
      <c r="K1470" s="40">
        <f t="shared" si="204"/>
        <v>5.0999999999999996</v>
      </c>
      <c r="L1470" t="str">
        <f>'(Raw) LensesGH'!F1470</f>
        <v>Nikon F</v>
      </c>
      <c r="M1470" t="str">
        <f>'(Raw) LensesGH'!G1470</f>
        <v>APS-C</v>
      </c>
      <c r="N1470" t="str">
        <f>'(Raw) LensesGH'!H1470</f>
        <v>370g</v>
      </c>
      <c r="O1470" s="5">
        <f t="shared" si="205"/>
        <v>370</v>
      </c>
      <c r="P1470" t="str">
        <f>'(Raw) LensesGH'!I1470</f>
        <v>83.2 x 86.5mm</v>
      </c>
      <c r="Q1470" s="39">
        <f t="shared" si="206"/>
        <v>83.2</v>
      </c>
      <c r="R1470" s="39">
        <f t="shared" si="198"/>
        <v>86.5</v>
      </c>
    </row>
    <row r="1471" spans="1:18" x14ac:dyDescent="0.25">
      <c r="A1471" t="str">
        <f>'(Raw) LensesGH'!A1471</f>
        <v>Tamron SP AF 10-24mm 3.5-4.5 Di II LD Asp IF für Pentax K schwarz</v>
      </c>
      <c r="B1471" t="str">
        <f>'(Raw) LensesGH'!B1471</f>
        <v>10 - 24mm</v>
      </c>
      <c r="C1471" s="5">
        <f t="shared" si="199"/>
        <v>10</v>
      </c>
      <c r="D1471" s="5">
        <f t="shared" si="200"/>
        <v>24</v>
      </c>
      <c r="E1471" t="str">
        <f>'(Raw) LensesGH'!C1471</f>
        <v>1:3.5-1:4.5</v>
      </c>
      <c r="F1471" s="9">
        <f t="shared" si="201"/>
        <v>3.5</v>
      </c>
      <c r="G1471" s="9">
        <f t="shared" si="202"/>
        <v>3.5</v>
      </c>
      <c r="H1471" t="str">
        <f>'(Raw) LensesGH'!D1471</f>
        <v>77mm</v>
      </c>
      <c r="I1471" s="2">
        <f t="shared" si="203"/>
        <v>77</v>
      </c>
      <c r="J1471" s="2" t="str">
        <f>'(Raw) LensesGH'!E1471</f>
        <v>1:5.10</v>
      </c>
      <c r="K1471" s="40">
        <f t="shared" si="204"/>
        <v>5.0999999999999996</v>
      </c>
      <c r="L1471" t="str">
        <f>'(Raw) LensesGH'!F1471</f>
        <v>Pentax K</v>
      </c>
      <c r="M1471" t="str">
        <f>'(Raw) LensesGH'!G1471</f>
        <v>APS-C</v>
      </c>
      <c r="N1471" t="str">
        <f>'(Raw) LensesGH'!H1471</f>
        <v>370g</v>
      </c>
      <c r="O1471" s="5">
        <f t="shared" si="205"/>
        <v>370</v>
      </c>
      <c r="P1471" t="str">
        <f>'(Raw) LensesGH'!I1471</f>
        <v>83.2 x 86.5mm</v>
      </c>
      <c r="Q1471" s="39">
        <f t="shared" si="206"/>
        <v>83.2</v>
      </c>
      <c r="R1471" s="39">
        <f t="shared" si="198"/>
        <v>86.5</v>
      </c>
    </row>
    <row r="1472" spans="1:18" x14ac:dyDescent="0.25">
      <c r="A1472" t="str">
        <f>'(Raw) LensesGH'!A1472</f>
        <v>Tamron SP AF 10-24mm 3.5-4.5 Di II LD Asp IF für Sony A schwarz</v>
      </c>
      <c r="B1472" t="str">
        <f>'(Raw) LensesGH'!B1472</f>
        <v>10 - 24mm</v>
      </c>
      <c r="C1472" s="5">
        <f t="shared" si="199"/>
        <v>10</v>
      </c>
      <c r="D1472" s="5">
        <f t="shared" si="200"/>
        <v>24</v>
      </c>
      <c r="E1472" t="str">
        <f>'(Raw) LensesGH'!C1472</f>
        <v>1:3.5-1:4.5</v>
      </c>
      <c r="F1472" s="9">
        <f t="shared" si="201"/>
        <v>3.5</v>
      </c>
      <c r="G1472" s="9">
        <f t="shared" si="202"/>
        <v>3.5</v>
      </c>
      <c r="H1472" t="str">
        <f>'(Raw) LensesGH'!D1472</f>
        <v>77mm</v>
      </c>
      <c r="I1472" s="2">
        <f t="shared" si="203"/>
        <v>77</v>
      </c>
      <c r="J1472" s="2" t="str">
        <f>'(Raw) LensesGH'!E1472</f>
        <v>1:5.10</v>
      </c>
      <c r="K1472" s="40">
        <f t="shared" si="204"/>
        <v>5.0999999999999996</v>
      </c>
      <c r="L1472" t="str">
        <f>'(Raw) LensesGH'!F1472</f>
        <v>Sony A</v>
      </c>
      <c r="M1472" t="str">
        <f>'(Raw) LensesGH'!G1472</f>
        <v>APS-C</v>
      </c>
      <c r="N1472" t="str">
        <f>'(Raw) LensesGH'!H1472</f>
        <v>370g</v>
      </c>
      <c r="O1472" s="5">
        <f t="shared" si="205"/>
        <v>370</v>
      </c>
      <c r="P1472" t="str">
        <f>'(Raw) LensesGH'!I1472</f>
        <v>83.2 x 86.5mm</v>
      </c>
      <c r="Q1472" s="39">
        <f t="shared" si="206"/>
        <v>83.2</v>
      </c>
      <c r="R1472" s="39">
        <f t="shared" si="198"/>
        <v>86.5</v>
      </c>
    </row>
    <row r="1473" spans="1:18" x14ac:dyDescent="0.25">
      <c r="A1473" t="str">
        <f>'(Raw) LensesGH'!A1473</f>
        <v>Tamron SP AF 11-18mm 4.5-5.6 Di II LD Asp IF für Nikon F schwarz</v>
      </c>
      <c r="B1473" t="str">
        <f>'(Raw) LensesGH'!B1473</f>
        <v>11 - 18mm</v>
      </c>
      <c r="C1473" s="5">
        <f t="shared" si="199"/>
        <v>11</v>
      </c>
      <c r="D1473" s="5">
        <f t="shared" si="200"/>
        <v>18</v>
      </c>
      <c r="E1473" t="str">
        <f>'(Raw) LensesGH'!C1473</f>
        <v>1:4.5-1:5.6</v>
      </c>
      <c r="F1473" s="9">
        <f t="shared" si="201"/>
        <v>4.5</v>
      </c>
      <c r="G1473" s="9">
        <f t="shared" si="202"/>
        <v>4.5</v>
      </c>
      <c r="H1473" t="str">
        <f>'(Raw) LensesGH'!D1473</f>
        <v>77mm</v>
      </c>
      <c r="I1473" s="2">
        <f t="shared" si="203"/>
        <v>77</v>
      </c>
      <c r="J1473" s="2">
        <f>'(Raw) LensesGH'!E1473</f>
        <v>0</v>
      </c>
      <c r="K1473" s="40">
        <f t="shared" si="204"/>
        <v>0</v>
      </c>
      <c r="L1473" t="str">
        <f>'(Raw) LensesGH'!F1473</f>
        <v>Nikon F</v>
      </c>
      <c r="M1473" t="str">
        <f>'(Raw) LensesGH'!G1473</f>
        <v>APS-C</v>
      </c>
      <c r="N1473" t="str">
        <f>'(Raw) LensesGH'!H1473</f>
        <v>345g</v>
      </c>
      <c r="O1473" s="5">
        <f t="shared" si="205"/>
        <v>345</v>
      </c>
      <c r="P1473" t="str">
        <f>'(Raw) LensesGH'!I1473</f>
        <v>83.2 x 78.6mm</v>
      </c>
      <c r="Q1473" s="39">
        <f t="shared" si="206"/>
        <v>83.2</v>
      </c>
      <c r="R1473" s="39">
        <f t="shared" si="198"/>
        <v>78.599999999999994</v>
      </c>
    </row>
    <row r="1474" spans="1:18" x14ac:dyDescent="0.25">
      <c r="A1474" t="str">
        <f>'(Raw) LensesGH'!A1474</f>
        <v>Tamron SP AF 150-600mm 5.0-6.3 Di USD für Sony A schwarz</v>
      </c>
      <c r="B1474" t="str">
        <f>'(Raw) LensesGH'!B1474</f>
        <v>150 - 600mm</v>
      </c>
      <c r="C1474" s="5">
        <f t="shared" si="199"/>
        <v>150</v>
      </c>
      <c r="D1474" s="5">
        <f t="shared" si="200"/>
        <v>600</v>
      </c>
      <c r="E1474" t="str">
        <f>'(Raw) LensesGH'!C1474</f>
        <v>1:5.0-1:6.3</v>
      </c>
      <c r="F1474" s="9">
        <f t="shared" si="201"/>
        <v>5</v>
      </c>
      <c r="G1474" s="9">
        <f t="shared" si="202"/>
        <v>5</v>
      </c>
      <c r="H1474" t="str">
        <f>'(Raw) LensesGH'!D1474</f>
        <v>95mm</v>
      </c>
      <c r="I1474" s="2">
        <f t="shared" si="203"/>
        <v>95</v>
      </c>
      <c r="J1474" s="2" t="str">
        <f>'(Raw) LensesGH'!E1474</f>
        <v>1:5.00</v>
      </c>
      <c r="K1474" s="40">
        <f t="shared" si="204"/>
        <v>5</v>
      </c>
      <c r="L1474" t="str">
        <f>'(Raw) LensesGH'!F1474</f>
        <v>Sony A</v>
      </c>
      <c r="M1474" t="str">
        <f>'(Raw) LensesGH'!G1474</f>
        <v>APS-C/ Kleinbild</v>
      </c>
      <c r="N1474" t="str">
        <f>'(Raw) LensesGH'!H1474</f>
        <v>1950g</v>
      </c>
      <c r="O1474" s="5">
        <f t="shared" si="205"/>
        <v>1950</v>
      </c>
      <c r="P1474" t="str">
        <f>'(Raw) LensesGH'!I1474</f>
        <v>105.6 x 257.8mm</v>
      </c>
      <c r="Q1474" s="39">
        <f t="shared" si="206"/>
        <v>105.6</v>
      </c>
      <c r="R1474" s="39">
        <f t="shared" ref="R1474:R1537" si="207">getSizeLength(P1474)</f>
        <v>257.8</v>
      </c>
    </row>
    <row r="1475" spans="1:18" x14ac:dyDescent="0.25">
      <c r="A1475" t="str">
        <f>'(Raw) LensesGH'!A1475</f>
        <v>Tamron SP AF 150-600mm 5.0-6.3 Di USD G2 für Sony A schwarz</v>
      </c>
      <c r="B1475" t="str">
        <f>'(Raw) LensesGH'!B1475</f>
        <v>150 - 600mm</v>
      </c>
      <c r="C1475" s="5">
        <f t="shared" ref="C1475:C1538" si="208">getFocalLengthStart(B1475)</f>
        <v>150</v>
      </c>
      <c r="D1475" s="5">
        <f t="shared" ref="D1475:D1538" si="209">getFocalLengthEnd(B1475)</f>
        <v>600</v>
      </c>
      <c r="E1475" t="str">
        <f>'(Raw) LensesGH'!C1475</f>
        <v>1:5.0-1:6.3</v>
      </c>
      <c r="F1475" s="9">
        <f t="shared" ref="F1475:F1538" si="210">getApertureStart(E1475)</f>
        <v>5</v>
      </c>
      <c r="G1475" s="9">
        <f t="shared" ref="G1475:G1538" si="211">getApertureEnd(F1475)</f>
        <v>5</v>
      </c>
      <c r="H1475" t="str">
        <f>'(Raw) LensesGH'!D1475</f>
        <v>95mm</v>
      </c>
      <c r="I1475" s="2">
        <f t="shared" ref="I1475:I1538" si="212">getFiltersizeAsDouble(H1475)</f>
        <v>95</v>
      </c>
      <c r="J1475" s="2" t="str">
        <f>'(Raw) LensesGH'!E1475</f>
        <v>1:3.90</v>
      </c>
      <c r="K1475" s="40">
        <f t="shared" ref="K1475:K1538" si="213">getMagnification(J1475)</f>
        <v>3.9</v>
      </c>
      <c r="L1475" t="str">
        <f>'(Raw) LensesGH'!F1475</f>
        <v>Sony A</v>
      </c>
      <c r="M1475" t="str">
        <f>'(Raw) LensesGH'!G1475</f>
        <v>APS-C/ Kleinbild</v>
      </c>
      <c r="N1475" t="str">
        <f>'(Raw) LensesGH'!H1475</f>
        <v>2009g</v>
      </c>
      <c r="O1475" s="5">
        <f t="shared" ref="O1475:O1538" si="214">getWeightAsDouble(N1475)</f>
        <v>2009</v>
      </c>
      <c r="P1475" t="str">
        <f>'(Raw) LensesGH'!I1475</f>
        <v>108.4 x 260.2mm</v>
      </c>
      <c r="Q1475" s="39">
        <f t="shared" ref="Q1475:Q1538" si="215">getSizeDiameter(P1475)</f>
        <v>108.4</v>
      </c>
      <c r="R1475" s="39">
        <f t="shared" si="207"/>
        <v>260.2</v>
      </c>
    </row>
    <row r="1476" spans="1:18" x14ac:dyDescent="0.25">
      <c r="A1476" t="str">
        <f>'(Raw) LensesGH'!A1476</f>
        <v>Tamron SP AF 150-600mm 5.0-6.3 Di VC USD für Canon EF schwarz</v>
      </c>
      <c r="B1476" t="str">
        <f>'(Raw) LensesGH'!B1476</f>
        <v>150 - 600mm</v>
      </c>
      <c r="C1476" s="5">
        <f t="shared" si="208"/>
        <v>150</v>
      </c>
      <c r="D1476" s="5">
        <f t="shared" si="209"/>
        <v>600</v>
      </c>
      <c r="E1476" t="str">
        <f>'(Raw) LensesGH'!C1476</f>
        <v>1:5.0-1:6.3</v>
      </c>
      <c r="F1476" s="9">
        <f t="shared" si="210"/>
        <v>5</v>
      </c>
      <c r="G1476" s="9">
        <f t="shared" si="211"/>
        <v>5</v>
      </c>
      <c r="H1476" t="str">
        <f>'(Raw) LensesGH'!D1476</f>
        <v>95mm</v>
      </c>
      <c r="I1476" s="2">
        <f t="shared" si="212"/>
        <v>95</v>
      </c>
      <c r="J1476" s="2" t="str">
        <f>'(Raw) LensesGH'!E1476</f>
        <v>1:5.00</v>
      </c>
      <c r="K1476" s="40">
        <f t="shared" si="213"/>
        <v>5</v>
      </c>
      <c r="L1476" t="str">
        <f>'(Raw) LensesGH'!F1476</f>
        <v>Canon EF</v>
      </c>
      <c r="M1476" t="str">
        <f>'(Raw) LensesGH'!G1476</f>
        <v>APS-C/ Kleinbild</v>
      </c>
      <c r="N1476" t="str">
        <f>'(Raw) LensesGH'!H1476</f>
        <v>1950g</v>
      </c>
      <c r="O1476" s="5">
        <f t="shared" si="214"/>
        <v>1950</v>
      </c>
      <c r="P1476" t="str">
        <f>'(Raw) LensesGH'!I1476</f>
        <v>105.6 x 257.8mm</v>
      </c>
      <c r="Q1476" s="39">
        <f t="shared" si="215"/>
        <v>105.6</v>
      </c>
      <c r="R1476" s="39">
        <f t="shared" si="207"/>
        <v>257.8</v>
      </c>
    </row>
    <row r="1477" spans="1:18" x14ac:dyDescent="0.25">
      <c r="A1477" t="str">
        <f>'(Raw) LensesGH'!A1477</f>
        <v>Tamron SP AF 150-600mm 5.0-6.3 Di VC USD für Nikon F schwarz</v>
      </c>
      <c r="B1477" t="str">
        <f>'(Raw) LensesGH'!B1477</f>
        <v>150 - 600mm</v>
      </c>
      <c r="C1477" s="5">
        <f t="shared" si="208"/>
        <v>150</v>
      </c>
      <c r="D1477" s="5">
        <f t="shared" si="209"/>
        <v>600</v>
      </c>
      <c r="E1477" t="str">
        <f>'(Raw) LensesGH'!C1477</f>
        <v>1:5.0-1:6.3</v>
      </c>
      <c r="F1477" s="9">
        <f t="shared" si="210"/>
        <v>5</v>
      </c>
      <c r="G1477" s="9">
        <f t="shared" si="211"/>
        <v>5</v>
      </c>
      <c r="H1477" t="str">
        <f>'(Raw) LensesGH'!D1477</f>
        <v>95mm</v>
      </c>
      <c r="I1477" s="2">
        <f t="shared" si="212"/>
        <v>95</v>
      </c>
      <c r="J1477" s="2" t="str">
        <f>'(Raw) LensesGH'!E1477</f>
        <v>1:5.00</v>
      </c>
      <c r="K1477" s="40">
        <f t="shared" si="213"/>
        <v>5</v>
      </c>
      <c r="L1477" t="str">
        <f>'(Raw) LensesGH'!F1477</f>
        <v>Nikon F</v>
      </c>
      <c r="M1477" t="str">
        <f>'(Raw) LensesGH'!G1477</f>
        <v>APS-C/ Kleinbild</v>
      </c>
      <c r="N1477" t="str">
        <f>'(Raw) LensesGH'!H1477</f>
        <v>1950g</v>
      </c>
      <c r="O1477" s="5">
        <f t="shared" si="214"/>
        <v>1950</v>
      </c>
      <c r="P1477" t="str">
        <f>'(Raw) LensesGH'!I1477</f>
        <v>105.6 x 257.8mm</v>
      </c>
      <c r="Q1477" s="39">
        <f t="shared" si="215"/>
        <v>105.6</v>
      </c>
      <c r="R1477" s="39">
        <f t="shared" si="207"/>
        <v>257.8</v>
      </c>
    </row>
    <row r="1478" spans="1:18" x14ac:dyDescent="0.25">
      <c r="A1478" t="str">
        <f>'(Raw) LensesGH'!A1478</f>
        <v>Tamron SP AF 150-600mm 5.0-6.3 Di VC USD G2 für Canon EF schwarz</v>
      </c>
      <c r="B1478" t="str">
        <f>'(Raw) LensesGH'!B1478</f>
        <v>150 - 600mm</v>
      </c>
      <c r="C1478" s="5">
        <f t="shared" si="208"/>
        <v>150</v>
      </c>
      <c r="D1478" s="5">
        <f t="shared" si="209"/>
        <v>600</v>
      </c>
      <c r="E1478" t="str">
        <f>'(Raw) LensesGH'!C1478</f>
        <v>1:5.0-1:6.3</v>
      </c>
      <c r="F1478" s="9">
        <f t="shared" si="210"/>
        <v>5</v>
      </c>
      <c r="G1478" s="9">
        <f t="shared" si="211"/>
        <v>5</v>
      </c>
      <c r="H1478" t="str">
        <f>'(Raw) LensesGH'!D1478</f>
        <v>95mm</v>
      </c>
      <c r="I1478" s="2">
        <f t="shared" si="212"/>
        <v>95</v>
      </c>
      <c r="J1478" s="2" t="str">
        <f>'(Raw) LensesGH'!E1478</f>
        <v>1:3.90</v>
      </c>
      <c r="K1478" s="40">
        <f t="shared" si="213"/>
        <v>3.9</v>
      </c>
      <c r="L1478" t="str">
        <f>'(Raw) LensesGH'!F1478</f>
        <v>Canon EF</v>
      </c>
      <c r="M1478" t="str">
        <f>'(Raw) LensesGH'!G1478</f>
        <v>APS-C/ Kleinbild</v>
      </c>
      <c r="N1478" t="str">
        <f>'(Raw) LensesGH'!H1478</f>
        <v>2009g</v>
      </c>
      <c r="O1478" s="5">
        <f t="shared" si="214"/>
        <v>2009</v>
      </c>
      <c r="P1478" t="str">
        <f>'(Raw) LensesGH'!I1478</f>
        <v>108.4 x 260.2mm</v>
      </c>
      <c r="Q1478" s="39">
        <f t="shared" si="215"/>
        <v>108.4</v>
      </c>
      <c r="R1478" s="39">
        <f t="shared" si="207"/>
        <v>260.2</v>
      </c>
    </row>
    <row r="1479" spans="1:18" x14ac:dyDescent="0.25">
      <c r="A1479" t="str">
        <f>'(Raw) LensesGH'!A1479</f>
        <v>Tamron SP AF 150-600mm 5.0-6.3 Di VC USD G2 für Nikon F schwarz</v>
      </c>
      <c r="B1479" t="str">
        <f>'(Raw) LensesGH'!B1479</f>
        <v>150 - 600mm</v>
      </c>
      <c r="C1479" s="5">
        <f t="shared" si="208"/>
        <v>150</v>
      </c>
      <c r="D1479" s="5">
        <f t="shared" si="209"/>
        <v>600</v>
      </c>
      <c r="E1479" t="str">
        <f>'(Raw) LensesGH'!C1479</f>
        <v>1:5.0-1:6.3</v>
      </c>
      <c r="F1479" s="9">
        <f t="shared" si="210"/>
        <v>5</v>
      </c>
      <c r="G1479" s="9">
        <f t="shared" si="211"/>
        <v>5</v>
      </c>
      <c r="H1479" t="str">
        <f>'(Raw) LensesGH'!D1479</f>
        <v>95mm</v>
      </c>
      <c r="I1479" s="2">
        <f t="shared" si="212"/>
        <v>95</v>
      </c>
      <c r="J1479" s="2" t="str">
        <f>'(Raw) LensesGH'!E1479</f>
        <v>1:3.90</v>
      </c>
      <c r="K1479" s="40">
        <f t="shared" si="213"/>
        <v>3.9</v>
      </c>
      <c r="L1479" t="str">
        <f>'(Raw) LensesGH'!F1479</f>
        <v>Nikon F</v>
      </c>
      <c r="M1479" t="str">
        <f>'(Raw) LensesGH'!G1479</f>
        <v>APS-C/ Kleinbild</v>
      </c>
      <c r="N1479" t="str">
        <f>'(Raw) LensesGH'!H1479</f>
        <v>2009g</v>
      </c>
      <c r="O1479" s="5">
        <f t="shared" si="214"/>
        <v>2009</v>
      </c>
      <c r="P1479" t="str">
        <f>'(Raw) LensesGH'!I1479</f>
        <v>108.4 x 260.2mm</v>
      </c>
      <c r="Q1479" s="39">
        <f t="shared" si="215"/>
        <v>108.4</v>
      </c>
      <c r="R1479" s="39">
        <f t="shared" si="207"/>
        <v>260.2</v>
      </c>
    </row>
    <row r="1480" spans="1:18" x14ac:dyDescent="0.25">
      <c r="A1480" t="str">
        <f>'(Raw) LensesGH'!A1480</f>
        <v>Tamron SP AF 15-30mm 2.8 Di USD für Sony A schwarz</v>
      </c>
      <c r="B1480" t="str">
        <f>'(Raw) LensesGH'!B1480</f>
        <v>15 - 30mm</v>
      </c>
      <c r="C1480" s="5">
        <f t="shared" si="208"/>
        <v>15</v>
      </c>
      <c r="D1480" s="5">
        <f t="shared" si="209"/>
        <v>30</v>
      </c>
      <c r="E1480" t="str">
        <f>'(Raw) LensesGH'!C1480</f>
        <v>1:2.8</v>
      </c>
      <c r="F1480" s="9">
        <f t="shared" si="210"/>
        <v>2.8</v>
      </c>
      <c r="G1480" s="9">
        <f t="shared" si="211"/>
        <v>2.8</v>
      </c>
      <c r="H1480">
        <f>'(Raw) LensesGH'!D1480</f>
        <v>0</v>
      </c>
      <c r="I1480" s="2">
        <f t="shared" si="212"/>
        <v>0</v>
      </c>
      <c r="J1480" s="2" t="str">
        <f>'(Raw) LensesGH'!E1480</f>
        <v>1:5.00</v>
      </c>
      <c r="K1480" s="40">
        <f t="shared" si="213"/>
        <v>5</v>
      </c>
      <c r="L1480" t="str">
        <f>'(Raw) LensesGH'!F1480</f>
        <v>Sony A</v>
      </c>
      <c r="M1480" t="str">
        <f>'(Raw) LensesGH'!G1480</f>
        <v>APS-C/ Kleinbild</v>
      </c>
      <c r="N1480" t="str">
        <f>'(Raw) LensesGH'!H1480</f>
        <v>1100g</v>
      </c>
      <c r="O1480" s="5">
        <f t="shared" si="214"/>
        <v>1100</v>
      </c>
      <c r="P1480" t="str">
        <f>'(Raw) LensesGH'!I1480</f>
        <v>98.4 x 145mm</v>
      </c>
      <c r="Q1480" s="39">
        <f t="shared" si="215"/>
        <v>98.4</v>
      </c>
      <c r="R1480" s="39">
        <f t="shared" si="207"/>
        <v>145</v>
      </c>
    </row>
    <row r="1481" spans="1:18" x14ac:dyDescent="0.25">
      <c r="A1481" t="str">
        <f>'(Raw) LensesGH'!A1481</f>
        <v>Tamron SP AF 15-30mm 2.8 Di VC USD für Canon EF schwarz</v>
      </c>
      <c r="B1481" t="str">
        <f>'(Raw) LensesGH'!B1481</f>
        <v>15 - 30mm</v>
      </c>
      <c r="C1481" s="5">
        <f t="shared" si="208"/>
        <v>15</v>
      </c>
      <c r="D1481" s="5">
        <f t="shared" si="209"/>
        <v>30</v>
      </c>
      <c r="E1481" t="str">
        <f>'(Raw) LensesGH'!C1481</f>
        <v>1:2.8</v>
      </c>
      <c r="F1481" s="9">
        <f t="shared" si="210"/>
        <v>2.8</v>
      </c>
      <c r="G1481" s="9">
        <f t="shared" si="211"/>
        <v>2.8</v>
      </c>
      <c r="H1481">
        <f>'(Raw) LensesGH'!D1481</f>
        <v>0</v>
      </c>
      <c r="I1481" s="2">
        <f t="shared" si="212"/>
        <v>0</v>
      </c>
      <c r="J1481" s="2" t="str">
        <f>'(Raw) LensesGH'!E1481</f>
        <v>1:5.00</v>
      </c>
      <c r="K1481" s="40">
        <f t="shared" si="213"/>
        <v>5</v>
      </c>
      <c r="L1481" t="str">
        <f>'(Raw) LensesGH'!F1481</f>
        <v>Canon EF</v>
      </c>
      <c r="M1481" t="str">
        <f>'(Raw) LensesGH'!G1481</f>
        <v>APS-C/ Kleinbild</v>
      </c>
      <c r="N1481" t="str">
        <f>'(Raw) LensesGH'!H1481</f>
        <v>1100g</v>
      </c>
      <c r="O1481" s="5">
        <f t="shared" si="214"/>
        <v>1100</v>
      </c>
      <c r="P1481" t="str">
        <f>'(Raw) LensesGH'!I1481</f>
        <v>98.4 x 145mm</v>
      </c>
      <c r="Q1481" s="39">
        <f t="shared" si="215"/>
        <v>98.4</v>
      </c>
      <c r="R1481" s="39">
        <f t="shared" si="207"/>
        <v>145</v>
      </c>
    </row>
    <row r="1482" spans="1:18" x14ac:dyDescent="0.25">
      <c r="A1482" t="str">
        <f>'(Raw) LensesGH'!A1482</f>
        <v>Tamron SP AF 15-30mm 2.8 Di VC USD für Nikon F schwarz</v>
      </c>
      <c r="B1482" t="str">
        <f>'(Raw) LensesGH'!B1482</f>
        <v>15 - 30mm</v>
      </c>
      <c r="C1482" s="5">
        <f t="shared" si="208"/>
        <v>15</v>
      </c>
      <c r="D1482" s="5">
        <f t="shared" si="209"/>
        <v>30</v>
      </c>
      <c r="E1482" t="str">
        <f>'(Raw) LensesGH'!C1482</f>
        <v>1:2.8</v>
      </c>
      <c r="F1482" s="9">
        <f t="shared" si="210"/>
        <v>2.8</v>
      </c>
      <c r="G1482" s="9">
        <f t="shared" si="211"/>
        <v>2.8</v>
      </c>
      <c r="H1482">
        <f>'(Raw) LensesGH'!D1482</f>
        <v>0</v>
      </c>
      <c r="I1482" s="2">
        <f t="shared" si="212"/>
        <v>0</v>
      </c>
      <c r="J1482" s="2" t="str">
        <f>'(Raw) LensesGH'!E1482</f>
        <v>1:5.00</v>
      </c>
      <c r="K1482" s="40">
        <f t="shared" si="213"/>
        <v>5</v>
      </c>
      <c r="L1482" t="str">
        <f>'(Raw) LensesGH'!F1482</f>
        <v>Nikon F</v>
      </c>
      <c r="M1482" t="str">
        <f>'(Raw) LensesGH'!G1482</f>
        <v>APS-C/ Kleinbild</v>
      </c>
      <c r="N1482" t="str">
        <f>'(Raw) LensesGH'!H1482</f>
        <v>1100g</v>
      </c>
      <c r="O1482" s="5">
        <f t="shared" si="214"/>
        <v>1100</v>
      </c>
      <c r="P1482" t="str">
        <f>'(Raw) LensesGH'!I1482</f>
        <v>98.4 x 145mm</v>
      </c>
      <c r="Q1482" s="39">
        <f t="shared" si="215"/>
        <v>98.4</v>
      </c>
      <c r="R1482" s="39">
        <f t="shared" si="207"/>
        <v>145</v>
      </c>
    </row>
    <row r="1483" spans="1:18" x14ac:dyDescent="0.25">
      <c r="A1483" t="str">
        <f>'(Raw) LensesGH'!A1483</f>
        <v>Tamron SP AF 17-50mm 2.8 XR Di II LD Asp IF für Canon EF schwarz</v>
      </c>
      <c r="B1483" t="str">
        <f>'(Raw) LensesGH'!B1483</f>
        <v>17 - 50mm</v>
      </c>
      <c r="C1483" s="5">
        <f t="shared" si="208"/>
        <v>17</v>
      </c>
      <c r="D1483" s="5">
        <f t="shared" si="209"/>
        <v>50</v>
      </c>
      <c r="E1483" t="str">
        <f>'(Raw) LensesGH'!C1483</f>
        <v>1:2.8</v>
      </c>
      <c r="F1483" s="9">
        <f t="shared" si="210"/>
        <v>2.8</v>
      </c>
      <c r="G1483" s="9">
        <f t="shared" si="211"/>
        <v>2.8</v>
      </c>
      <c r="H1483" t="str">
        <f>'(Raw) LensesGH'!D1483</f>
        <v>67mm</v>
      </c>
      <c r="I1483" s="2">
        <f t="shared" si="212"/>
        <v>67</v>
      </c>
      <c r="J1483" s="2" t="str">
        <f>'(Raw) LensesGH'!E1483</f>
        <v>1:4.50</v>
      </c>
      <c r="K1483" s="40">
        <f t="shared" si="213"/>
        <v>4.5</v>
      </c>
      <c r="L1483" t="str">
        <f>'(Raw) LensesGH'!F1483</f>
        <v>Canon EF-S</v>
      </c>
      <c r="M1483" t="str">
        <f>'(Raw) LensesGH'!G1483</f>
        <v>APS-C</v>
      </c>
      <c r="N1483" t="str">
        <f>'(Raw) LensesGH'!H1483</f>
        <v>430g</v>
      </c>
      <c r="O1483" s="5">
        <f t="shared" si="214"/>
        <v>430</v>
      </c>
      <c r="P1483" t="str">
        <f>'(Raw) LensesGH'!I1483</f>
        <v>73.8 x 83.2mm</v>
      </c>
      <c r="Q1483" s="39">
        <f t="shared" si="215"/>
        <v>73.8</v>
      </c>
      <c r="R1483" s="39">
        <f t="shared" si="207"/>
        <v>83.2</v>
      </c>
    </row>
    <row r="1484" spans="1:18" x14ac:dyDescent="0.25">
      <c r="A1484" t="str">
        <f>'(Raw) LensesGH'!A1484</f>
        <v>Tamron SP AF 17-50mm 2.8 XR Di II LD Asp IF für Nikon F schwarz</v>
      </c>
      <c r="B1484" t="str">
        <f>'(Raw) LensesGH'!B1484</f>
        <v>17 - 50mm</v>
      </c>
      <c r="C1484" s="5">
        <f t="shared" si="208"/>
        <v>17</v>
      </c>
      <c r="D1484" s="5">
        <f t="shared" si="209"/>
        <v>50</v>
      </c>
      <c r="E1484" t="str">
        <f>'(Raw) LensesGH'!C1484</f>
        <v>1:2.8</v>
      </c>
      <c r="F1484" s="9">
        <f t="shared" si="210"/>
        <v>2.8</v>
      </c>
      <c r="G1484" s="9">
        <f t="shared" si="211"/>
        <v>2.8</v>
      </c>
      <c r="H1484" t="str">
        <f>'(Raw) LensesGH'!D1484</f>
        <v>67mm</v>
      </c>
      <c r="I1484" s="2">
        <f t="shared" si="212"/>
        <v>67</v>
      </c>
      <c r="J1484" s="2" t="str">
        <f>'(Raw) LensesGH'!E1484</f>
        <v>1:4.50</v>
      </c>
      <c r="K1484" s="40">
        <f t="shared" si="213"/>
        <v>4.5</v>
      </c>
      <c r="L1484" t="str">
        <f>'(Raw) LensesGH'!F1484</f>
        <v>Nikon F</v>
      </c>
      <c r="M1484" t="str">
        <f>'(Raw) LensesGH'!G1484</f>
        <v>APS-C</v>
      </c>
      <c r="N1484" t="str">
        <f>'(Raw) LensesGH'!H1484</f>
        <v>430g</v>
      </c>
      <c r="O1484" s="5">
        <f t="shared" si="214"/>
        <v>430</v>
      </c>
      <c r="P1484" t="str">
        <f>'(Raw) LensesGH'!I1484</f>
        <v>73.8 x 83.2mm</v>
      </c>
      <c r="Q1484" s="39">
        <f t="shared" si="215"/>
        <v>73.8</v>
      </c>
      <c r="R1484" s="39">
        <f t="shared" si="207"/>
        <v>83.2</v>
      </c>
    </row>
    <row r="1485" spans="1:18" x14ac:dyDescent="0.25">
      <c r="A1485" t="str">
        <f>'(Raw) LensesGH'!A1485</f>
        <v>Tamron SP AF 17-50mm 2.8 XR Di II LD Asp IF für Pentax K schwarz</v>
      </c>
      <c r="B1485" t="str">
        <f>'(Raw) LensesGH'!B1485</f>
        <v>17 - 50mm</v>
      </c>
      <c r="C1485" s="5">
        <f t="shared" si="208"/>
        <v>17</v>
      </c>
      <c r="D1485" s="5">
        <f t="shared" si="209"/>
        <v>50</v>
      </c>
      <c r="E1485" t="str">
        <f>'(Raw) LensesGH'!C1485</f>
        <v>1:2.8</v>
      </c>
      <c r="F1485" s="9">
        <f t="shared" si="210"/>
        <v>2.8</v>
      </c>
      <c r="G1485" s="9">
        <f t="shared" si="211"/>
        <v>2.8</v>
      </c>
      <c r="H1485" t="str">
        <f>'(Raw) LensesGH'!D1485</f>
        <v>67mm</v>
      </c>
      <c r="I1485" s="2">
        <f t="shared" si="212"/>
        <v>67</v>
      </c>
      <c r="J1485" s="2" t="str">
        <f>'(Raw) LensesGH'!E1485</f>
        <v>1:4.50</v>
      </c>
      <c r="K1485" s="40">
        <f t="shared" si="213"/>
        <v>4.5</v>
      </c>
      <c r="L1485" t="str">
        <f>'(Raw) LensesGH'!F1485</f>
        <v>Pentax K</v>
      </c>
      <c r="M1485" t="str">
        <f>'(Raw) LensesGH'!G1485</f>
        <v>APS-C</v>
      </c>
      <c r="N1485" t="str">
        <f>'(Raw) LensesGH'!H1485</f>
        <v>430g</v>
      </c>
      <c r="O1485" s="5">
        <f t="shared" si="214"/>
        <v>430</v>
      </c>
      <c r="P1485" t="str">
        <f>'(Raw) LensesGH'!I1485</f>
        <v>73.8 x 83.2mm</v>
      </c>
      <c r="Q1485" s="39">
        <f t="shared" si="215"/>
        <v>73.8</v>
      </c>
      <c r="R1485" s="39">
        <f t="shared" si="207"/>
        <v>83.2</v>
      </c>
    </row>
    <row r="1486" spans="1:18" x14ac:dyDescent="0.25">
      <c r="A1486" t="str">
        <f>'(Raw) LensesGH'!A1486</f>
        <v>Tamron SP AF 17-50mm 2.8 XR Di II LD Asp IF für Sony A schwarz</v>
      </c>
      <c r="B1486" t="str">
        <f>'(Raw) LensesGH'!B1486</f>
        <v>17 - 50mm</v>
      </c>
      <c r="C1486" s="5">
        <f t="shared" si="208"/>
        <v>17</v>
      </c>
      <c r="D1486" s="5">
        <f t="shared" si="209"/>
        <v>50</v>
      </c>
      <c r="E1486" t="str">
        <f>'(Raw) LensesGH'!C1486</f>
        <v>1:2.8</v>
      </c>
      <c r="F1486" s="9">
        <f t="shared" si="210"/>
        <v>2.8</v>
      </c>
      <c r="G1486" s="9">
        <f t="shared" si="211"/>
        <v>2.8</v>
      </c>
      <c r="H1486" t="str">
        <f>'(Raw) LensesGH'!D1486</f>
        <v>67mm</v>
      </c>
      <c r="I1486" s="2">
        <f t="shared" si="212"/>
        <v>67</v>
      </c>
      <c r="J1486" s="2" t="str">
        <f>'(Raw) LensesGH'!E1486</f>
        <v>1:4.50</v>
      </c>
      <c r="K1486" s="40">
        <f t="shared" si="213"/>
        <v>4.5</v>
      </c>
      <c r="L1486" t="str">
        <f>'(Raw) LensesGH'!F1486</f>
        <v>Sony A</v>
      </c>
      <c r="M1486" t="str">
        <f>'(Raw) LensesGH'!G1486</f>
        <v>APS-C</v>
      </c>
      <c r="N1486" t="str">
        <f>'(Raw) LensesGH'!H1486</f>
        <v>430g</v>
      </c>
      <c r="O1486" s="5">
        <f t="shared" si="214"/>
        <v>430</v>
      </c>
      <c r="P1486" t="str">
        <f>'(Raw) LensesGH'!I1486</f>
        <v>73.8 x 83.2mm</v>
      </c>
      <c r="Q1486" s="39">
        <f t="shared" si="215"/>
        <v>73.8</v>
      </c>
      <c r="R1486" s="39">
        <f t="shared" si="207"/>
        <v>83.2</v>
      </c>
    </row>
    <row r="1487" spans="1:18" x14ac:dyDescent="0.25">
      <c r="A1487" t="str">
        <f>'(Raw) LensesGH'!A1487</f>
        <v>Tamron SP AF 17-50mm 2.8 XR Di II LD Asp IF mit AF-Motor für Nikon F schwarz</v>
      </c>
      <c r="B1487" t="str">
        <f>'(Raw) LensesGH'!B1487</f>
        <v>17 - 50mm</v>
      </c>
      <c r="C1487" s="5">
        <f t="shared" si="208"/>
        <v>17</v>
      </c>
      <c r="D1487" s="5">
        <f t="shared" si="209"/>
        <v>50</v>
      </c>
      <c r="E1487" t="str">
        <f>'(Raw) LensesGH'!C1487</f>
        <v>1:2.8</v>
      </c>
      <c r="F1487" s="9">
        <f t="shared" si="210"/>
        <v>2.8</v>
      </c>
      <c r="G1487" s="9">
        <f t="shared" si="211"/>
        <v>2.8</v>
      </c>
      <c r="H1487" t="str">
        <f>'(Raw) LensesGH'!D1487</f>
        <v>67mm</v>
      </c>
      <c r="I1487" s="2">
        <f t="shared" si="212"/>
        <v>67</v>
      </c>
      <c r="J1487" s="2" t="str">
        <f>'(Raw) LensesGH'!E1487</f>
        <v>1:4.50</v>
      </c>
      <c r="K1487" s="40">
        <f t="shared" si="213"/>
        <v>4.5</v>
      </c>
      <c r="L1487" t="str">
        <f>'(Raw) LensesGH'!F1487</f>
        <v>Nikon F</v>
      </c>
      <c r="M1487" t="str">
        <f>'(Raw) LensesGH'!G1487</f>
        <v>APS-C</v>
      </c>
      <c r="N1487" t="str">
        <f>'(Raw) LensesGH'!H1487</f>
        <v>430g</v>
      </c>
      <c r="O1487" s="5">
        <f t="shared" si="214"/>
        <v>430</v>
      </c>
      <c r="P1487" t="str">
        <f>'(Raw) LensesGH'!I1487</f>
        <v>73.8 x 83.2mm</v>
      </c>
      <c r="Q1487" s="39">
        <f t="shared" si="215"/>
        <v>73.8</v>
      </c>
      <c r="R1487" s="39">
        <f t="shared" si="207"/>
        <v>83.2</v>
      </c>
    </row>
    <row r="1488" spans="1:18" x14ac:dyDescent="0.25">
      <c r="A1488" t="str">
        <f>'(Raw) LensesGH'!A1488</f>
        <v>Tamron SP AF 17-50mm 2.8 XR Di II VC LD Asp IF für Canon EF schwarz</v>
      </c>
      <c r="B1488" t="str">
        <f>'(Raw) LensesGH'!B1488</f>
        <v>17 - 50mm</v>
      </c>
      <c r="C1488" s="5">
        <f t="shared" si="208"/>
        <v>17</v>
      </c>
      <c r="D1488" s="5">
        <f t="shared" si="209"/>
        <v>50</v>
      </c>
      <c r="E1488" t="str">
        <f>'(Raw) LensesGH'!C1488</f>
        <v>1:2.8</v>
      </c>
      <c r="F1488" s="9">
        <f t="shared" si="210"/>
        <v>2.8</v>
      </c>
      <c r="G1488" s="9">
        <f t="shared" si="211"/>
        <v>2.8</v>
      </c>
      <c r="H1488" t="str">
        <f>'(Raw) LensesGH'!D1488</f>
        <v>72mm</v>
      </c>
      <c r="I1488" s="2">
        <f t="shared" si="212"/>
        <v>72</v>
      </c>
      <c r="J1488" s="2" t="str">
        <f>'(Raw) LensesGH'!E1488</f>
        <v>1:4.80</v>
      </c>
      <c r="K1488" s="40">
        <f t="shared" si="213"/>
        <v>4.8</v>
      </c>
      <c r="L1488" t="str">
        <f>'(Raw) LensesGH'!F1488</f>
        <v>Canon EF-S</v>
      </c>
      <c r="M1488" t="str">
        <f>'(Raw) LensesGH'!G1488</f>
        <v>APS-C</v>
      </c>
      <c r="N1488" t="str">
        <f>'(Raw) LensesGH'!H1488</f>
        <v>570g</v>
      </c>
      <c r="O1488" s="5">
        <f t="shared" si="214"/>
        <v>570</v>
      </c>
      <c r="P1488" t="str">
        <f>'(Raw) LensesGH'!I1488</f>
        <v>79.6 x 94.5mm</v>
      </c>
      <c r="Q1488" s="39">
        <f t="shared" si="215"/>
        <v>79.599999999999994</v>
      </c>
      <c r="R1488" s="39">
        <f t="shared" si="207"/>
        <v>94.5</v>
      </c>
    </row>
    <row r="1489" spans="1:18" x14ac:dyDescent="0.25">
      <c r="A1489" t="str">
        <f>'(Raw) LensesGH'!A1489</f>
        <v>Tamron SP AF 17-50mm 2.8 XR Di II VC LD Asp IF für Nikon F schwarz</v>
      </c>
      <c r="B1489" t="str">
        <f>'(Raw) LensesGH'!B1489</f>
        <v>17 - 50mm</v>
      </c>
      <c r="C1489" s="5">
        <f t="shared" si="208"/>
        <v>17</v>
      </c>
      <c r="D1489" s="5">
        <f t="shared" si="209"/>
        <v>50</v>
      </c>
      <c r="E1489" t="str">
        <f>'(Raw) LensesGH'!C1489</f>
        <v>1:2.8</v>
      </c>
      <c r="F1489" s="9">
        <f t="shared" si="210"/>
        <v>2.8</v>
      </c>
      <c r="G1489" s="9">
        <f t="shared" si="211"/>
        <v>2.8</v>
      </c>
      <c r="H1489" t="str">
        <f>'(Raw) LensesGH'!D1489</f>
        <v>72mm</v>
      </c>
      <c r="I1489" s="2">
        <f t="shared" si="212"/>
        <v>72</v>
      </c>
      <c r="J1489" s="2" t="str">
        <f>'(Raw) LensesGH'!E1489</f>
        <v>1:4.80</v>
      </c>
      <c r="K1489" s="40">
        <f t="shared" si="213"/>
        <v>4.8</v>
      </c>
      <c r="L1489" t="str">
        <f>'(Raw) LensesGH'!F1489</f>
        <v>Nikon F</v>
      </c>
      <c r="M1489" t="str">
        <f>'(Raw) LensesGH'!G1489</f>
        <v>APS-C</v>
      </c>
      <c r="N1489" t="str">
        <f>'(Raw) LensesGH'!H1489</f>
        <v>570g</v>
      </c>
      <c r="O1489" s="5">
        <f t="shared" si="214"/>
        <v>570</v>
      </c>
      <c r="P1489" t="str">
        <f>'(Raw) LensesGH'!I1489</f>
        <v>79.6 x 94.5mm</v>
      </c>
      <c r="Q1489" s="39">
        <f t="shared" si="215"/>
        <v>79.599999999999994</v>
      </c>
      <c r="R1489" s="39">
        <f t="shared" si="207"/>
        <v>94.5</v>
      </c>
    </row>
    <row r="1490" spans="1:18" x14ac:dyDescent="0.25">
      <c r="A1490" t="str">
        <f>'(Raw) LensesGH'!A1490</f>
        <v>Tamron SP AF 180mm 3.5 Di LD IF Makro 1:1 für Canon EF schwarz</v>
      </c>
      <c r="B1490" t="str">
        <f>'(Raw) LensesGH'!B1490</f>
        <v>180mm</v>
      </c>
      <c r="C1490" s="5">
        <f t="shared" si="208"/>
        <v>180</v>
      </c>
      <c r="D1490" s="5">
        <f t="shared" si="209"/>
        <v>180</v>
      </c>
      <c r="E1490" t="str">
        <f>'(Raw) LensesGH'!C1490</f>
        <v>1:3.5</v>
      </c>
      <c r="F1490" s="9">
        <f t="shared" si="210"/>
        <v>3.5</v>
      </c>
      <c r="G1490" s="9">
        <f t="shared" si="211"/>
        <v>3.5</v>
      </c>
      <c r="H1490" t="str">
        <f>'(Raw) LensesGH'!D1490</f>
        <v>72mm</v>
      </c>
      <c r="I1490" s="2">
        <f t="shared" si="212"/>
        <v>72</v>
      </c>
      <c r="J1490" s="2" t="str">
        <f>'(Raw) LensesGH'!E1490</f>
        <v>1:1.00</v>
      </c>
      <c r="K1490" s="40">
        <f t="shared" si="213"/>
        <v>1</v>
      </c>
      <c r="L1490" t="str">
        <f>'(Raw) LensesGH'!F1490</f>
        <v>Canon EF</v>
      </c>
      <c r="M1490" t="str">
        <f>'(Raw) LensesGH'!G1490</f>
        <v>APS-C/ Kleinbild</v>
      </c>
      <c r="N1490" t="str">
        <f>'(Raw) LensesGH'!H1490</f>
        <v>920g</v>
      </c>
      <c r="O1490" s="5">
        <f t="shared" si="214"/>
        <v>920</v>
      </c>
      <c r="P1490" t="str">
        <f>'(Raw) LensesGH'!I1490</f>
        <v>84.8 x 165.7mm</v>
      </c>
      <c r="Q1490" s="39">
        <f t="shared" si="215"/>
        <v>84.8</v>
      </c>
      <c r="R1490" s="39">
        <f t="shared" si="207"/>
        <v>165.7</v>
      </c>
    </row>
    <row r="1491" spans="1:18" x14ac:dyDescent="0.25">
      <c r="A1491" t="str">
        <f>'(Raw) LensesGH'!A1491</f>
        <v>Tamron SP AF 180mm 3.5 Di LD IF Makro 1:1 für Nikon F schwarz</v>
      </c>
      <c r="B1491" t="str">
        <f>'(Raw) LensesGH'!B1491</f>
        <v>180mm</v>
      </c>
      <c r="C1491" s="5">
        <f t="shared" si="208"/>
        <v>180</v>
      </c>
      <c r="D1491" s="5">
        <f t="shared" si="209"/>
        <v>180</v>
      </c>
      <c r="E1491" t="str">
        <f>'(Raw) LensesGH'!C1491</f>
        <v>1:3.5</v>
      </c>
      <c r="F1491" s="9">
        <f t="shared" si="210"/>
        <v>3.5</v>
      </c>
      <c r="G1491" s="9">
        <f t="shared" si="211"/>
        <v>3.5</v>
      </c>
      <c r="H1491" t="str">
        <f>'(Raw) LensesGH'!D1491</f>
        <v>72mm</v>
      </c>
      <c r="I1491" s="2">
        <f t="shared" si="212"/>
        <v>72</v>
      </c>
      <c r="J1491" s="2" t="str">
        <f>'(Raw) LensesGH'!E1491</f>
        <v>1:1.00</v>
      </c>
      <c r="K1491" s="40">
        <f t="shared" si="213"/>
        <v>1</v>
      </c>
      <c r="L1491" t="str">
        <f>'(Raw) LensesGH'!F1491</f>
        <v>Nikon F</v>
      </c>
      <c r="M1491" t="str">
        <f>'(Raw) LensesGH'!G1491</f>
        <v>APS-C/ Kleinbild</v>
      </c>
      <c r="N1491" t="str">
        <f>'(Raw) LensesGH'!H1491</f>
        <v>920g</v>
      </c>
      <c r="O1491" s="5">
        <f t="shared" si="214"/>
        <v>920</v>
      </c>
      <c r="P1491" t="str">
        <f>'(Raw) LensesGH'!I1491</f>
        <v>84.8 x 165.7mm</v>
      </c>
      <c r="Q1491" s="39">
        <f t="shared" si="215"/>
        <v>84.8</v>
      </c>
      <c r="R1491" s="39">
        <f t="shared" si="207"/>
        <v>165.7</v>
      </c>
    </row>
    <row r="1492" spans="1:18" x14ac:dyDescent="0.25">
      <c r="A1492" t="str">
        <f>'(Raw) LensesGH'!A1492</f>
        <v>Tamron SP AF 180mm 3.5 Di LD IF Makro 1:1 für Sony A schwarz</v>
      </c>
      <c r="B1492" t="str">
        <f>'(Raw) LensesGH'!B1492</f>
        <v>180mm</v>
      </c>
      <c r="C1492" s="5">
        <f t="shared" si="208"/>
        <v>180</v>
      </c>
      <c r="D1492" s="5">
        <f t="shared" si="209"/>
        <v>180</v>
      </c>
      <c r="E1492" t="str">
        <f>'(Raw) LensesGH'!C1492</f>
        <v>1:3.5</v>
      </c>
      <c r="F1492" s="9">
        <f t="shared" si="210"/>
        <v>3.5</v>
      </c>
      <c r="G1492" s="9">
        <f t="shared" si="211"/>
        <v>3.5</v>
      </c>
      <c r="H1492" t="str">
        <f>'(Raw) LensesGH'!D1492</f>
        <v>72mm</v>
      </c>
      <c r="I1492" s="2">
        <f t="shared" si="212"/>
        <v>72</v>
      </c>
      <c r="J1492" s="2" t="str">
        <f>'(Raw) LensesGH'!E1492</f>
        <v>1:1.00</v>
      </c>
      <c r="K1492" s="40">
        <f t="shared" si="213"/>
        <v>1</v>
      </c>
      <c r="L1492" t="str">
        <f>'(Raw) LensesGH'!F1492</f>
        <v>Sony A</v>
      </c>
      <c r="M1492" t="str">
        <f>'(Raw) LensesGH'!G1492</f>
        <v>APS-C/ Kleinbild</v>
      </c>
      <c r="N1492" t="str">
        <f>'(Raw) LensesGH'!H1492</f>
        <v>920g</v>
      </c>
      <c r="O1492" s="5">
        <f t="shared" si="214"/>
        <v>920</v>
      </c>
      <c r="P1492" t="str">
        <f>'(Raw) LensesGH'!I1492</f>
        <v>84.8 x 165.7mm</v>
      </c>
      <c r="Q1492" s="39">
        <f t="shared" si="215"/>
        <v>84.8</v>
      </c>
      <c r="R1492" s="39">
        <f t="shared" si="207"/>
        <v>165.7</v>
      </c>
    </row>
    <row r="1493" spans="1:18" x14ac:dyDescent="0.25">
      <c r="A1493" t="str">
        <f>'(Raw) LensesGH'!A1493</f>
        <v>Tamron SP AF 200-500mm 5.0-6.3 Di LD IF für Canon EF schwarz</v>
      </c>
      <c r="B1493" t="str">
        <f>'(Raw) LensesGH'!B1493</f>
        <v>200 - 500mm</v>
      </c>
      <c r="C1493" s="5">
        <f t="shared" si="208"/>
        <v>200</v>
      </c>
      <c r="D1493" s="5">
        <f t="shared" si="209"/>
        <v>500</v>
      </c>
      <c r="E1493" t="str">
        <f>'(Raw) LensesGH'!C1493</f>
        <v>1:5.0-1:6.3</v>
      </c>
      <c r="F1493" s="9">
        <f t="shared" si="210"/>
        <v>5</v>
      </c>
      <c r="G1493" s="9">
        <f t="shared" si="211"/>
        <v>5</v>
      </c>
      <c r="H1493" t="str">
        <f>'(Raw) LensesGH'!D1493</f>
        <v>86mm</v>
      </c>
      <c r="I1493" s="2">
        <f t="shared" si="212"/>
        <v>86</v>
      </c>
      <c r="J1493" s="2" t="str">
        <f>'(Raw) LensesGH'!E1493</f>
        <v>1:5.00</v>
      </c>
      <c r="K1493" s="40">
        <f t="shared" si="213"/>
        <v>5</v>
      </c>
      <c r="L1493" t="str">
        <f>'(Raw) LensesGH'!F1493</f>
        <v>Canon EF</v>
      </c>
      <c r="M1493" t="str">
        <f>'(Raw) LensesGH'!G1493</f>
        <v>APS-C/ Kleinbild</v>
      </c>
      <c r="N1493" t="str">
        <f>'(Raw) LensesGH'!H1493</f>
        <v>1240g</v>
      </c>
      <c r="O1493" s="5">
        <f t="shared" si="214"/>
        <v>1240</v>
      </c>
      <c r="P1493" t="str">
        <f>'(Raw) LensesGH'!I1493</f>
        <v>93.5 x 227mm</v>
      </c>
      <c r="Q1493" s="39">
        <f t="shared" si="215"/>
        <v>93.5</v>
      </c>
      <c r="R1493" s="39">
        <f t="shared" si="207"/>
        <v>227</v>
      </c>
    </row>
    <row r="1494" spans="1:18" x14ac:dyDescent="0.25">
      <c r="A1494" t="str">
        <f>'(Raw) LensesGH'!A1494</f>
        <v>Tamron SP AF 200-500mm 5-6.3 Di LD IF für Nikon F schwarz</v>
      </c>
      <c r="B1494" t="str">
        <f>'(Raw) LensesGH'!B1494</f>
        <v>200 - 500mm</v>
      </c>
      <c r="C1494" s="5">
        <f t="shared" si="208"/>
        <v>200</v>
      </c>
      <c r="D1494" s="5">
        <f t="shared" si="209"/>
        <v>500</v>
      </c>
      <c r="E1494" t="str">
        <f>'(Raw) LensesGH'!C1494</f>
        <v>1:5.0-1:6.3</v>
      </c>
      <c r="F1494" s="9">
        <f t="shared" si="210"/>
        <v>5</v>
      </c>
      <c r="G1494" s="9">
        <f t="shared" si="211"/>
        <v>5</v>
      </c>
      <c r="H1494" t="str">
        <f>'(Raw) LensesGH'!D1494</f>
        <v>86mm</v>
      </c>
      <c r="I1494" s="2">
        <f t="shared" si="212"/>
        <v>86</v>
      </c>
      <c r="J1494" s="2" t="str">
        <f>'(Raw) LensesGH'!E1494</f>
        <v>1:5.00</v>
      </c>
      <c r="K1494" s="40">
        <f t="shared" si="213"/>
        <v>5</v>
      </c>
      <c r="L1494" t="str">
        <f>'(Raw) LensesGH'!F1494</f>
        <v>Nikon F</v>
      </c>
      <c r="M1494" t="str">
        <f>'(Raw) LensesGH'!G1494</f>
        <v>APS-C/ Kleinbild</v>
      </c>
      <c r="N1494" t="str">
        <f>'(Raw) LensesGH'!H1494</f>
        <v>1240g</v>
      </c>
      <c r="O1494" s="5">
        <f t="shared" si="214"/>
        <v>1240</v>
      </c>
      <c r="P1494" t="str">
        <f>'(Raw) LensesGH'!I1494</f>
        <v>93.5 x 227mm</v>
      </c>
      <c r="Q1494" s="39">
        <f t="shared" si="215"/>
        <v>93.5</v>
      </c>
      <c r="R1494" s="39">
        <f t="shared" si="207"/>
        <v>227</v>
      </c>
    </row>
    <row r="1495" spans="1:18" x14ac:dyDescent="0.25">
      <c r="A1495" t="str">
        <f>'(Raw) LensesGH'!A1495</f>
        <v>Tamron SP AF 200-500mm 5-6.3 Di LD IF für Sony A schwarz</v>
      </c>
      <c r="B1495" t="str">
        <f>'(Raw) LensesGH'!B1495</f>
        <v>200 - 500mm</v>
      </c>
      <c r="C1495" s="5">
        <f t="shared" si="208"/>
        <v>200</v>
      </c>
      <c r="D1495" s="5">
        <f t="shared" si="209"/>
        <v>500</v>
      </c>
      <c r="E1495" t="str">
        <f>'(Raw) LensesGH'!C1495</f>
        <v>1:5.0-1:6.3</v>
      </c>
      <c r="F1495" s="9">
        <f t="shared" si="210"/>
        <v>5</v>
      </c>
      <c r="G1495" s="9">
        <f t="shared" si="211"/>
        <v>5</v>
      </c>
      <c r="H1495" t="str">
        <f>'(Raw) LensesGH'!D1495</f>
        <v>86mm</v>
      </c>
      <c r="I1495" s="2">
        <f t="shared" si="212"/>
        <v>86</v>
      </c>
      <c r="J1495" s="2" t="str">
        <f>'(Raw) LensesGH'!E1495</f>
        <v>1:5.00</v>
      </c>
      <c r="K1495" s="40">
        <f t="shared" si="213"/>
        <v>5</v>
      </c>
      <c r="L1495" t="str">
        <f>'(Raw) LensesGH'!F1495</f>
        <v>Sony A</v>
      </c>
      <c r="M1495" t="str">
        <f>'(Raw) LensesGH'!G1495</f>
        <v>APS-C/ Kleinbild</v>
      </c>
      <c r="N1495" t="str">
        <f>'(Raw) LensesGH'!H1495</f>
        <v>1240g</v>
      </c>
      <c r="O1495" s="5">
        <f t="shared" si="214"/>
        <v>1240</v>
      </c>
      <c r="P1495" t="str">
        <f>'(Raw) LensesGH'!I1495</f>
        <v>93.5 x 227mm</v>
      </c>
      <c r="Q1495" s="39">
        <f t="shared" si="215"/>
        <v>93.5</v>
      </c>
      <c r="R1495" s="39">
        <f t="shared" si="207"/>
        <v>227</v>
      </c>
    </row>
    <row r="1496" spans="1:18" x14ac:dyDescent="0.25">
      <c r="A1496" t="str">
        <f>'(Raw) LensesGH'!A1496</f>
        <v>Tamron SP AF 24-70mm 2.8 Di USD für Sony A schwarz</v>
      </c>
      <c r="B1496" t="str">
        <f>'(Raw) LensesGH'!B1496</f>
        <v>24 - 70mm</v>
      </c>
      <c r="C1496" s="5">
        <f t="shared" si="208"/>
        <v>24</v>
      </c>
      <c r="D1496" s="5">
        <f t="shared" si="209"/>
        <v>70</v>
      </c>
      <c r="E1496" t="str">
        <f>'(Raw) LensesGH'!C1496</f>
        <v>1:2.8</v>
      </c>
      <c r="F1496" s="9">
        <f t="shared" si="210"/>
        <v>2.8</v>
      </c>
      <c r="G1496" s="9">
        <f t="shared" si="211"/>
        <v>2.8</v>
      </c>
      <c r="H1496" t="str">
        <f>'(Raw) LensesGH'!D1496</f>
        <v>82mm</v>
      </c>
      <c r="I1496" s="2">
        <f t="shared" si="212"/>
        <v>82</v>
      </c>
      <c r="J1496" s="2" t="str">
        <f>'(Raw) LensesGH'!E1496</f>
        <v>1:5.00</v>
      </c>
      <c r="K1496" s="40">
        <f t="shared" si="213"/>
        <v>5</v>
      </c>
      <c r="L1496" t="str">
        <f>'(Raw) LensesGH'!F1496</f>
        <v>Sony A</v>
      </c>
      <c r="M1496" t="str">
        <f>'(Raw) LensesGH'!G1496</f>
        <v>APS-C/ Kleinbild</v>
      </c>
      <c r="N1496" t="str">
        <f>'(Raw) LensesGH'!H1496</f>
        <v>825g</v>
      </c>
      <c r="O1496" s="5">
        <f t="shared" si="214"/>
        <v>825</v>
      </c>
      <c r="P1496" t="str">
        <f>'(Raw) LensesGH'!I1496</f>
        <v>88.2 x 116.9mm</v>
      </c>
      <c r="Q1496" s="39">
        <f t="shared" si="215"/>
        <v>88.2</v>
      </c>
      <c r="R1496" s="39">
        <f t="shared" si="207"/>
        <v>116.9</v>
      </c>
    </row>
    <row r="1497" spans="1:18" x14ac:dyDescent="0.25">
      <c r="A1497" t="str">
        <f>'(Raw) LensesGH'!A1497</f>
        <v>Tamron SP AF 24-70mm 2.8 Di VC USD für Canon EF schwarz</v>
      </c>
      <c r="B1497" t="str">
        <f>'(Raw) LensesGH'!B1497</f>
        <v>24 - 70mm</v>
      </c>
      <c r="C1497" s="5">
        <f t="shared" si="208"/>
        <v>24</v>
      </c>
      <c r="D1497" s="5">
        <f t="shared" si="209"/>
        <v>70</v>
      </c>
      <c r="E1497" t="str">
        <f>'(Raw) LensesGH'!C1497</f>
        <v>1:2.8</v>
      </c>
      <c r="F1497" s="9">
        <f t="shared" si="210"/>
        <v>2.8</v>
      </c>
      <c r="G1497" s="9">
        <f t="shared" si="211"/>
        <v>2.8</v>
      </c>
      <c r="H1497" t="str">
        <f>'(Raw) LensesGH'!D1497</f>
        <v>82mm</v>
      </c>
      <c r="I1497" s="2">
        <f t="shared" si="212"/>
        <v>82</v>
      </c>
      <c r="J1497" s="2" t="str">
        <f>'(Raw) LensesGH'!E1497</f>
        <v>1:5.00</v>
      </c>
      <c r="K1497" s="40">
        <f t="shared" si="213"/>
        <v>5</v>
      </c>
      <c r="L1497" t="str">
        <f>'(Raw) LensesGH'!F1497</f>
        <v>Canon EF</v>
      </c>
      <c r="M1497" t="str">
        <f>'(Raw) LensesGH'!G1497</f>
        <v>APS-C/ Kleinbild</v>
      </c>
      <c r="N1497" t="str">
        <f>'(Raw) LensesGH'!H1497</f>
        <v>825g</v>
      </c>
      <c r="O1497" s="5">
        <f t="shared" si="214"/>
        <v>825</v>
      </c>
      <c r="P1497" t="str">
        <f>'(Raw) LensesGH'!I1497</f>
        <v>88.2 x 116.9mm</v>
      </c>
      <c r="Q1497" s="39">
        <f t="shared" si="215"/>
        <v>88.2</v>
      </c>
      <c r="R1497" s="39">
        <f t="shared" si="207"/>
        <v>116.9</v>
      </c>
    </row>
    <row r="1498" spans="1:18" x14ac:dyDescent="0.25">
      <c r="A1498" t="str">
        <f>'(Raw) LensesGH'!A1498</f>
        <v>Tamron SP AF 24-70mm 2.8 Di VC USD für Nikon F schwarz</v>
      </c>
      <c r="B1498" t="str">
        <f>'(Raw) LensesGH'!B1498</f>
        <v>24 - 70mm</v>
      </c>
      <c r="C1498" s="5">
        <f t="shared" si="208"/>
        <v>24</v>
      </c>
      <c r="D1498" s="5">
        <f t="shared" si="209"/>
        <v>70</v>
      </c>
      <c r="E1498" t="str">
        <f>'(Raw) LensesGH'!C1498</f>
        <v>1:2.8</v>
      </c>
      <c r="F1498" s="9">
        <f t="shared" si="210"/>
        <v>2.8</v>
      </c>
      <c r="G1498" s="9">
        <f t="shared" si="211"/>
        <v>2.8</v>
      </c>
      <c r="H1498" t="str">
        <f>'(Raw) LensesGH'!D1498</f>
        <v>82mm</v>
      </c>
      <c r="I1498" s="2">
        <f t="shared" si="212"/>
        <v>82</v>
      </c>
      <c r="J1498" s="2" t="str">
        <f>'(Raw) LensesGH'!E1498</f>
        <v>1:5.00</v>
      </c>
      <c r="K1498" s="40">
        <f t="shared" si="213"/>
        <v>5</v>
      </c>
      <c r="L1498" t="str">
        <f>'(Raw) LensesGH'!F1498</f>
        <v>Nikon F</v>
      </c>
      <c r="M1498" t="str">
        <f>'(Raw) LensesGH'!G1498</f>
        <v>APS-C/ Kleinbild</v>
      </c>
      <c r="N1498" t="str">
        <f>'(Raw) LensesGH'!H1498</f>
        <v>825g</v>
      </c>
      <c r="O1498" s="5">
        <f t="shared" si="214"/>
        <v>825</v>
      </c>
      <c r="P1498" t="str">
        <f>'(Raw) LensesGH'!I1498</f>
        <v>88.2 x 116.9mm</v>
      </c>
      <c r="Q1498" s="39">
        <f t="shared" si="215"/>
        <v>88.2</v>
      </c>
      <c r="R1498" s="39">
        <f t="shared" si="207"/>
        <v>116.9</v>
      </c>
    </row>
    <row r="1499" spans="1:18" x14ac:dyDescent="0.25">
      <c r="A1499" t="str">
        <f>'(Raw) LensesGH'!A1499</f>
        <v>Tamron SP AF 24-70mm 2.8 Di VC USD G2 für Canon EF schwarz</v>
      </c>
      <c r="B1499" t="str">
        <f>'(Raw) LensesGH'!B1499</f>
        <v>24 - 70mm</v>
      </c>
      <c r="C1499" s="5">
        <f t="shared" si="208"/>
        <v>24</v>
      </c>
      <c r="D1499" s="5">
        <f t="shared" si="209"/>
        <v>70</v>
      </c>
      <c r="E1499" t="str">
        <f>'(Raw) LensesGH'!C1499</f>
        <v>1:2.8</v>
      </c>
      <c r="F1499" s="9">
        <f t="shared" si="210"/>
        <v>2.8</v>
      </c>
      <c r="G1499" s="9">
        <f t="shared" si="211"/>
        <v>2.8</v>
      </c>
      <c r="H1499" t="str">
        <f>'(Raw) LensesGH'!D1499</f>
        <v>82mm</v>
      </c>
      <c r="I1499" s="2">
        <f t="shared" si="212"/>
        <v>82</v>
      </c>
      <c r="J1499" s="2" t="str">
        <f>'(Raw) LensesGH'!E1499</f>
        <v>1:5.00</v>
      </c>
      <c r="K1499" s="40">
        <f t="shared" si="213"/>
        <v>5</v>
      </c>
      <c r="L1499" t="str">
        <f>'(Raw) LensesGH'!F1499</f>
        <v>Canon EF</v>
      </c>
      <c r="M1499" t="str">
        <f>'(Raw) LensesGH'!G1499</f>
        <v>APS-C/ Kleinbild</v>
      </c>
      <c r="N1499" t="str">
        <f>'(Raw) LensesGH'!H1499</f>
        <v>905g</v>
      </c>
      <c r="O1499" s="5">
        <f t="shared" si="214"/>
        <v>905</v>
      </c>
      <c r="P1499" t="str">
        <f>'(Raw) LensesGH'!I1499</f>
        <v>88.4 x 111mm</v>
      </c>
      <c r="Q1499" s="39">
        <f t="shared" si="215"/>
        <v>88.4</v>
      </c>
      <c r="R1499" s="39">
        <f t="shared" si="207"/>
        <v>111</v>
      </c>
    </row>
    <row r="1500" spans="1:18" x14ac:dyDescent="0.25">
      <c r="A1500" t="str">
        <f>'(Raw) LensesGH'!A1500</f>
        <v>Tamron SP AF 24-70mm 2.8 Di VC USD G2 für Nikon F schwarz</v>
      </c>
      <c r="B1500" t="str">
        <f>'(Raw) LensesGH'!B1500</f>
        <v>24 - 70mm</v>
      </c>
      <c r="C1500" s="5">
        <f t="shared" si="208"/>
        <v>24</v>
      </c>
      <c r="D1500" s="5">
        <f t="shared" si="209"/>
        <v>70</v>
      </c>
      <c r="E1500" t="str">
        <f>'(Raw) LensesGH'!C1500</f>
        <v>1:2.8</v>
      </c>
      <c r="F1500" s="9">
        <f t="shared" si="210"/>
        <v>2.8</v>
      </c>
      <c r="G1500" s="9">
        <f t="shared" si="211"/>
        <v>2.8</v>
      </c>
      <c r="H1500" t="str">
        <f>'(Raw) LensesGH'!D1500</f>
        <v>82mm</v>
      </c>
      <c r="I1500" s="2">
        <f t="shared" si="212"/>
        <v>82</v>
      </c>
      <c r="J1500" s="2" t="str">
        <f>'(Raw) LensesGH'!E1500</f>
        <v>1:5.00</v>
      </c>
      <c r="K1500" s="40">
        <f t="shared" si="213"/>
        <v>5</v>
      </c>
      <c r="L1500" t="str">
        <f>'(Raw) LensesGH'!F1500</f>
        <v>Nikon F</v>
      </c>
      <c r="M1500" t="str">
        <f>'(Raw) LensesGH'!G1500</f>
        <v>APS-C/ Kleinbild</v>
      </c>
      <c r="N1500" t="str">
        <f>'(Raw) LensesGH'!H1500</f>
        <v>900g</v>
      </c>
      <c r="O1500" s="5">
        <f t="shared" si="214"/>
        <v>900</v>
      </c>
      <c r="P1500" t="str">
        <f>'(Raw) LensesGH'!I1500</f>
        <v>88.4 x 108.5mm</v>
      </c>
      <c r="Q1500" s="39">
        <f t="shared" si="215"/>
        <v>88.4</v>
      </c>
      <c r="R1500" s="39">
        <f t="shared" si="207"/>
        <v>108.5</v>
      </c>
    </row>
    <row r="1501" spans="1:18" x14ac:dyDescent="0.25">
      <c r="A1501" t="str">
        <f>'(Raw) LensesGH'!A1501</f>
        <v>Tamron SP AF 28-75mm 2.8 XR Di LD Asp IF Makro für Canon EF schwarz</v>
      </c>
      <c r="B1501" t="str">
        <f>'(Raw) LensesGH'!B1501</f>
        <v>28 - 75mm</v>
      </c>
      <c r="C1501" s="5">
        <f t="shared" si="208"/>
        <v>28</v>
      </c>
      <c r="D1501" s="5">
        <f t="shared" si="209"/>
        <v>75</v>
      </c>
      <c r="E1501" t="str">
        <f>'(Raw) LensesGH'!C1501</f>
        <v>1:2.8</v>
      </c>
      <c r="F1501" s="9">
        <f t="shared" si="210"/>
        <v>2.8</v>
      </c>
      <c r="G1501" s="9">
        <f t="shared" si="211"/>
        <v>2.8</v>
      </c>
      <c r="H1501" t="str">
        <f>'(Raw) LensesGH'!D1501</f>
        <v>67mm</v>
      </c>
      <c r="I1501" s="2">
        <f t="shared" si="212"/>
        <v>67</v>
      </c>
      <c r="J1501" s="2" t="str">
        <f>'(Raw) LensesGH'!E1501</f>
        <v>1:3.90</v>
      </c>
      <c r="K1501" s="40">
        <f t="shared" si="213"/>
        <v>3.9</v>
      </c>
      <c r="L1501" t="str">
        <f>'(Raw) LensesGH'!F1501</f>
        <v>Canon EF</v>
      </c>
      <c r="M1501" t="str">
        <f>'(Raw) LensesGH'!G1501</f>
        <v>APS-C/ Kleinbild</v>
      </c>
      <c r="N1501" t="str">
        <f>'(Raw) LensesGH'!H1501</f>
        <v>510g</v>
      </c>
      <c r="O1501" s="5">
        <f t="shared" si="214"/>
        <v>510</v>
      </c>
      <c r="P1501" t="str">
        <f>'(Raw) LensesGH'!I1501</f>
        <v>73 x 92mm</v>
      </c>
      <c r="Q1501" s="39">
        <f t="shared" si="215"/>
        <v>73</v>
      </c>
      <c r="R1501" s="39">
        <f t="shared" si="207"/>
        <v>92</v>
      </c>
    </row>
    <row r="1502" spans="1:18" x14ac:dyDescent="0.25">
      <c r="A1502" t="str">
        <f>'(Raw) LensesGH'!A1502</f>
        <v>Tamron SP AF 28-75mm 2.8 XR Di LD Asp IF Makro für Nikon F schwarz</v>
      </c>
      <c r="B1502" t="str">
        <f>'(Raw) LensesGH'!B1502</f>
        <v>28 - 75mm</v>
      </c>
      <c r="C1502" s="5">
        <f t="shared" si="208"/>
        <v>28</v>
      </c>
      <c r="D1502" s="5">
        <f t="shared" si="209"/>
        <v>75</v>
      </c>
      <c r="E1502" t="str">
        <f>'(Raw) LensesGH'!C1502</f>
        <v>1:2.8</v>
      </c>
      <c r="F1502" s="9">
        <f t="shared" si="210"/>
        <v>2.8</v>
      </c>
      <c r="G1502" s="9">
        <f t="shared" si="211"/>
        <v>2.8</v>
      </c>
      <c r="H1502" t="str">
        <f>'(Raw) LensesGH'!D1502</f>
        <v>67mm</v>
      </c>
      <c r="I1502" s="2">
        <f t="shared" si="212"/>
        <v>67</v>
      </c>
      <c r="J1502" s="2" t="str">
        <f>'(Raw) LensesGH'!E1502</f>
        <v>1:3.90</v>
      </c>
      <c r="K1502" s="40">
        <f t="shared" si="213"/>
        <v>3.9</v>
      </c>
      <c r="L1502" t="str">
        <f>'(Raw) LensesGH'!F1502</f>
        <v>Nikon F</v>
      </c>
      <c r="M1502" t="str">
        <f>'(Raw) LensesGH'!G1502</f>
        <v>APS-C/ Kleinbild</v>
      </c>
      <c r="N1502" t="str">
        <f>'(Raw) LensesGH'!H1502</f>
        <v>510g</v>
      </c>
      <c r="O1502" s="5">
        <f t="shared" si="214"/>
        <v>510</v>
      </c>
      <c r="P1502" t="str">
        <f>'(Raw) LensesGH'!I1502</f>
        <v>73 x 92mm</v>
      </c>
      <c r="Q1502" s="39">
        <f t="shared" si="215"/>
        <v>73</v>
      </c>
      <c r="R1502" s="39">
        <f t="shared" si="207"/>
        <v>92</v>
      </c>
    </row>
    <row r="1503" spans="1:18" x14ac:dyDescent="0.25">
      <c r="A1503" t="str">
        <f>'(Raw) LensesGH'!A1503</f>
        <v>Tamron SP AF 28-75mm 2.8 XR Di LD Asp IF Makro für Pentax K schwarz</v>
      </c>
      <c r="B1503" t="str">
        <f>'(Raw) LensesGH'!B1503</f>
        <v>28 - 75mm</v>
      </c>
      <c r="C1503" s="5">
        <f t="shared" si="208"/>
        <v>28</v>
      </c>
      <c r="D1503" s="5">
        <f t="shared" si="209"/>
        <v>75</v>
      </c>
      <c r="E1503" t="str">
        <f>'(Raw) LensesGH'!C1503</f>
        <v>1:2.8</v>
      </c>
      <c r="F1503" s="9">
        <f t="shared" si="210"/>
        <v>2.8</v>
      </c>
      <c r="G1503" s="9">
        <f t="shared" si="211"/>
        <v>2.8</v>
      </c>
      <c r="H1503" t="str">
        <f>'(Raw) LensesGH'!D1503</f>
        <v>67mm</v>
      </c>
      <c r="I1503" s="2">
        <f t="shared" si="212"/>
        <v>67</v>
      </c>
      <c r="J1503" s="2" t="str">
        <f>'(Raw) LensesGH'!E1503</f>
        <v>1:3.90</v>
      </c>
      <c r="K1503" s="40">
        <f t="shared" si="213"/>
        <v>3.9</v>
      </c>
      <c r="L1503" t="str">
        <f>'(Raw) LensesGH'!F1503</f>
        <v>Pentax K</v>
      </c>
      <c r="M1503" t="str">
        <f>'(Raw) LensesGH'!G1503</f>
        <v>APS-C/ Kleinbild</v>
      </c>
      <c r="N1503" t="str">
        <f>'(Raw) LensesGH'!H1503</f>
        <v>510g</v>
      </c>
      <c r="O1503" s="5">
        <f t="shared" si="214"/>
        <v>510</v>
      </c>
      <c r="P1503" t="str">
        <f>'(Raw) LensesGH'!I1503</f>
        <v>73 x 92mm</v>
      </c>
      <c r="Q1503" s="39">
        <f t="shared" si="215"/>
        <v>73</v>
      </c>
      <c r="R1503" s="39">
        <f t="shared" si="207"/>
        <v>92</v>
      </c>
    </row>
    <row r="1504" spans="1:18" x14ac:dyDescent="0.25">
      <c r="A1504" t="str">
        <f>'(Raw) LensesGH'!A1504</f>
        <v>Tamron SP AF 28-75mm 2.8 XR Di LD Asp IF Makro für Sony A schwarz</v>
      </c>
      <c r="B1504" t="str">
        <f>'(Raw) LensesGH'!B1504</f>
        <v>28 - 75mm</v>
      </c>
      <c r="C1504" s="5">
        <f t="shared" si="208"/>
        <v>28</v>
      </c>
      <c r="D1504" s="5">
        <f t="shared" si="209"/>
        <v>75</v>
      </c>
      <c r="E1504" t="str">
        <f>'(Raw) LensesGH'!C1504</f>
        <v>1:2.8</v>
      </c>
      <c r="F1504" s="9">
        <f t="shared" si="210"/>
        <v>2.8</v>
      </c>
      <c r="G1504" s="9">
        <f t="shared" si="211"/>
        <v>2.8</v>
      </c>
      <c r="H1504" t="str">
        <f>'(Raw) LensesGH'!D1504</f>
        <v>67mm</v>
      </c>
      <c r="I1504" s="2">
        <f t="shared" si="212"/>
        <v>67</v>
      </c>
      <c r="J1504" s="2" t="str">
        <f>'(Raw) LensesGH'!E1504</f>
        <v>1:3.90</v>
      </c>
      <c r="K1504" s="40">
        <f t="shared" si="213"/>
        <v>3.9</v>
      </c>
      <c r="L1504" t="str">
        <f>'(Raw) LensesGH'!F1504</f>
        <v>Sony A</v>
      </c>
      <c r="M1504" t="str">
        <f>'(Raw) LensesGH'!G1504</f>
        <v>APS-C/ Kleinbild</v>
      </c>
      <c r="N1504" t="str">
        <f>'(Raw) LensesGH'!H1504</f>
        <v>510g</v>
      </c>
      <c r="O1504" s="5">
        <f t="shared" si="214"/>
        <v>510</v>
      </c>
      <c r="P1504" t="str">
        <f>'(Raw) LensesGH'!I1504</f>
        <v>73 x 92mm</v>
      </c>
      <c r="Q1504" s="39">
        <f t="shared" si="215"/>
        <v>73</v>
      </c>
      <c r="R1504" s="39">
        <f t="shared" si="207"/>
        <v>92</v>
      </c>
    </row>
    <row r="1505" spans="1:18" x14ac:dyDescent="0.25">
      <c r="A1505" t="str">
        <f>'(Raw) LensesGH'!A1505</f>
        <v>Tamron SP AF 35mm 1.8 Di USD für Sony A schwarz</v>
      </c>
      <c r="B1505" t="str">
        <f>'(Raw) LensesGH'!B1505</f>
        <v>35mm</v>
      </c>
      <c r="C1505" s="5">
        <f t="shared" si="208"/>
        <v>35</v>
      </c>
      <c r="D1505" s="5">
        <f t="shared" si="209"/>
        <v>35</v>
      </c>
      <c r="E1505" t="str">
        <f>'(Raw) LensesGH'!C1505</f>
        <v>1:1.8</v>
      </c>
      <c r="F1505" s="9">
        <f t="shared" si="210"/>
        <v>1.8</v>
      </c>
      <c r="G1505" s="9">
        <f t="shared" si="211"/>
        <v>1.8</v>
      </c>
      <c r="H1505" t="str">
        <f>'(Raw) LensesGH'!D1505</f>
        <v>67mm</v>
      </c>
      <c r="I1505" s="2">
        <f t="shared" si="212"/>
        <v>67</v>
      </c>
      <c r="J1505" s="2" t="str">
        <f>'(Raw) LensesGH'!E1505</f>
        <v>1:2.50</v>
      </c>
      <c r="K1505" s="40">
        <f t="shared" si="213"/>
        <v>2.5</v>
      </c>
      <c r="L1505" t="str">
        <f>'(Raw) LensesGH'!F1505</f>
        <v>Sony A</v>
      </c>
      <c r="M1505" t="str">
        <f>'(Raw) LensesGH'!G1505</f>
        <v>APS-C/ Kleinbild</v>
      </c>
      <c r="N1505" t="str">
        <f>'(Raw) LensesGH'!H1505</f>
        <v>480g</v>
      </c>
      <c r="O1505" s="5">
        <f t="shared" si="214"/>
        <v>480</v>
      </c>
      <c r="P1505" t="str">
        <f>'(Raw) LensesGH'!I1505</f>
        <v>80.4 x 80.8mm</v>
      </c>
      <c r="Q1505" s="39">
        <f t="shared" si="215"/>
        <v>80.400000000000006</v>
      </c>
      <c r="R1505" s="39">
        <f t="shared" si="207"/>
        <v>80.8</v>
      </c>
    </row>
    <row r="1506" spans="1:18" x14ac:dyDescent="0.25">
      <c r="A1506" t="str">
        <f>'(Raw) LensesGH'!A1506</f>
        <v>Tamron SP AF 35mm 1.8 Di VC USD für Canon EF schwarz</v>
      </c>
      <c r="B1506" t="str">
        <f>'(Raw) LensesGH'!B1506</f>
        <v>35mm</v>
      </c>
      <c r="C1506" s="5">
        <f t="shared" si="208"/>
        <v>35</v>
      </c>
      <c r="D1506" s="5">
        <f t="shared" si="209"/>
        <v>35</v>
      </c>
      <c r="E1506" t="str">
        <f>'(Raw) LensesGH'!C1506</f>
        <v>1:1.8</v>
      </c>
      <c r="F1506" s="9">
        <f t="shared" si="210"/>
        <v>1.8</v>
      </c>
      <c r="G1506" s="9">
        <f t="shared" si="211"/>
        <v>1.8</v>
      </c>
      <c r="H1506" t="str">
        <f>'(Raw) LensesGH'!D1506</f>
        <v>67mm</v>
      </c>
      <c r="I1506" s="2">
        <f t="shared" si="212"/>
        <v>67</v>
      </c>
      <c r="J1506" s="2" t="str">
        <f>'(Raw) LensesGH'!E1506</f>
        <v>1:2.50</v>
      </c>
      <c r="K1506" s="40">
        <f t="shared" si="213"/>
        <v>2.5</v>
      </c>
      <c r="L1506" t="str">
        <f>'(Raw) LensesGH'!F1506</f>
        <v>Canon EF</v>
      </c>
      <c r="M1506" t="str">
        <f>'(Raw) LensesGH'!G1506</f>
        <v>APS-C/ Kleinbild</v>
      </c>
      <c r="N1506" t="str">
        <f>'(Raw) LensesGH'!H1506</f>
        <v>480g</v>
      </c>
      <c r="O1506" s="5">
        <f t="shared" si="214"/>
        <v>480</v>
      </c>
      <c r="P1506" t="str">
        <f>'(Raw) LensesGH'!I1506</f>
        <v>80.4 x 80.8mm</v>
      </c>
      <c r="Q1506" s="39">
        <f t="shared" si="215"/>
        <v>80.400000000000006</v>
      </c>
      <c r="R1506" s="39">
        <f t="shared" si="207"/>
        <v>80.8</v>
      </c>
    </row>
    <row r="1507" spans="1:18" x14ac:dyDescent="0.25">
      <c r="A1507" t="str">
        <f>'(Raw) LensesGH'!A1507</f>
        <v>Tamron SP AF 35mm 1.8 Di VC USD für Nikon F schwarz</v>
      </c>
      <c r="B1507" t="str">
        <f>'(Raw) LensesGH'!B1507</f>
        <v>35mm</v>
      </c>
      <c r="C1507" s="5">
        <f t="shared" si="208"/>
        <v>35</v>
      </c>
      <c r="D1507" s="5">
        <f t="shared" si="209"/>
        <v>35</v>
      </c>
      <c r="E1507" t="str">
        <f>'(Raw) LensesGH'!C1507</f>
        <v>1:1.8</v>
      </c>
      <c r="F1507" s="9">
        <f t="shared" si="210"/>
        <v>1.8</v>
      </c>
      <c r="G1507" s="9">
        <f t="shared" si="211"/>
        <v>1.8</v>
      </c>
      <c r="H1507" t="str">
        <f>'(Raw) LensesGH'!D1507</f>
        <v>67mm</v>
      </c>
      <c r="I1507" s="2">
        <f t="shared" si="212"/>
        <v>67</v>
      </c>
      <c r="J1507" s="2" t="str">
        <f>'(Raw) LensesGH'!E1507</f>
        <v>1:2.50</v>
      </c>
      <c r="K1507" s="40">
        <f t="shared" si="213"/>
        <v>2.5</v>
      </c>
      <c r="L1507" t="str">
        <f>'(Raw) LensesGH'!F1507</f>
        <v>Nikon F</v>
      </c>
      <c r="M1507" t="str">
        <f>'(Raw) LensesGH'!G1507</f>
        <v>APS-C/ Kleinbild</v>
      </c>
      <c r="N1507" t="str">
        <f>'(Raw) LensesGH'!H1507</f>
        <v>450g</v>
      </c>
      <c r="O1507" s="5">
        <f t="shared" si="214"/>
        <v>450</v>
      </c>
      <c r="P1507" t="str">
        <f>'(Raw) LensesGH'!I1507</f>
        <v>80.4 x 78.3mm</v>
      </c>
      <c r="Q1507" s="39">
        <f t="shared" si="215"/>
        <v>80.400000000000006</v>
      </c>
      <c r="R1507" s="39">
        <f t="shared" si="207"/>
        <v>78.3</v>
      </c>
    </row>
    <row r="1508" spans="1:18" x14ac:dyDescent="0.25">
      <c r="A1508" t="str">
        <f>'(Raw) LensesGH'!A1508</f>
        <v>Tamron SP AF 45mm 1.8 Di USD für Sony A schwarz</v>
      </c>
      <c r="B1508" t="str">
        <f>'(Raw) LensesGH'!B1508</f>
        <v>45mm</v>
      </c>
      <c r="C1508" s="5">
        <f t="shared" si="208"/>
        <v>45</v>
      </c>
      <c r="D1508" s="5">
        <f t="shared" si="209"/>
        <v>45</v>
      </c>
      <c r="E1508" t="str">
        <f>'(Raw) LensesGH'!C1508</f>
        <v>1:1.8</v>
      </c>
      <c r="F1508" s="9">
        <f t="shared" si="210"/>
        <v>1.8</v>
      </c>
      <c r="G1508" s="9">
        <f t="shared" si="211"/>
        <v>1.8</v>
      </c>
      <c r="H1508" t="str">
        <f>'(Raw) LensesGH'!D1508</f>
        <v>67mm</v>
      </c>
      <c r="I1508" s="2">
        <f t="shared" si="212"/>
        <v>67</v>
      </c>
      <c r="J1508" s="2" t="str">
        <f>'(Raw) LensesGH'!E1508</f>
        <v>1:3.40</v>
      </c>
      <c r="K1508" s="40">
        <f t="shared" si="213"/>
        <v>3.4</v>
      </c>
      <c r="L1508" t="str">
        <f>'(Raw) LensesGH'!F1508</f>
        <v>Sony A</v>
      </c>
      <c r="M1508" t="str">
        <f>'(Raw) LensesGH'!G1508</f>
        <v>APS-C/ Kleinbild</v>
      </c>
      <c r="N1508" t="str">
        <f>'(Raw) LensesGH'!H1508</f>
        <v>540g</v>
      </c>
      <c r="O1508" s="5">
        <f t="shared" si="214"/>
        <v>540</v>
      </c>
      <c r="P1508" t="str">
        <f>'(Raw) LensesGH'!I1508</f>
        <v>80.4 x 91.7mm</v>
      </c>
      <c r="Q1508" s="39">
        <f t="shared" si="215"/>
        <v>80.400000000000006</v>
      </c>
      <c r="R1508" s="39">
        <f t="shared" si="207"/>
        <v>91.7</v>
      </c>
    </row>
    <row r="1509" spans="1:18" x14ac:dyDescent="0.25">
      <c r="A1509" t="str">
        <f>'(Raw) LensesGH'!A1509</f>
        <v>Tamron SP AF 45mm 1.8 Di VC USD für Canon EF schwarz</v>
      </c>
      <c r="B1509" t="str">
        <f>'(Raw) LensesGH'!B1509</f>
        <v>45mm</v>
      </c>
      <c r="C1509" s="5">
        <f t="shared" si="208"/>
        <v>45</v>
      </c>
      <c r="D1509" s="5">
        <f t="shared" si="209"/>
        <v>45</v>
      </c>
      <c r="E1509" t="str">
        <f>'(Raw) LensesGH'!C1509</f>
        <v>1:1.8</v>
      </c>
      <c r="F1509" s="9">
        <f t="shared" si="210"/>
        <v>1.8</v>
      </c>
      <c r="G1509" s="9">
        <f t="shared" si="211"/>
        <v>1.8</v>
      </c>
      <c r="H1509" t="str">
        <f>'(Raw) LensesGH'!D1509</f>
        <v>67mm</v>
      </c>
      <c r="I1509" s="2">
        <f t="shared" si="212"/>
        <v>67</v>
      </c>
      <c r="J1509" s="2" t="str">
        <f>'(Raw) LensesGH'!E1509</f>
        <v>1:3.40</v>
      </c>
      <c r="K1509" s="40">
        <f t="shared" si="213"/>
        <v>3.4</v>
      </c>
      <c r="L1509" t="str">
        <f>'(Raw) LensesGH'!F1509</f>
        <v>Canon EF</v>
      </c>
      <c r="M1509" t="str">
        <f>'(Raw) LensesGH'!G1509</f>
        <v>APS-C/ Kleinbild</v>
      </c>
      <c r="N1509" t="str">
        <f>'(Raw) LensesGH'!H1509</f>
        <v>540g</v>
      </c>
      <c r="O1509" s="5">
        <f t="shared" si="214"/>
        <v>540</v>
      </c>
      <c r="P1509" t="str">
        <f>'(Raw) LensesGH'!I1509</f>
        <v>80.4 x 91.7mm</v>
      </c>
      <c r="Q1509" s="39">
        <f t="shared" si="215"/>
        <v>80.400000000000006</v>
      </c>
      <c r="R1509" s="39">
        <f t="shared" si="207"/>
        <v>91.7</v>
      </c>
    </row>
    <row r="1510" spans="1:18" x14ac:dyDescent="0.25">
      <c r="A1510" t="str">
        <f>'(Raw) LensesGH'!A1510</f>
        <v>Tamron SP AF 45mm 1.8 Di VC USD für Nikon F schwarz</v>
      </c>
      <c r="B1510" t="str">
        <f>'(Raw) LensesGH'!B1510</f>
        <v>45mm</v>
      </c>
      <c r="C1510" s="5">
        <f t="shared" si="208"/>
        <v>45</v>
      </c>
      <c r="D1510" s="5">
        <f t="shared" si="209"/>
        <v>45</v>
      </c>
      <c r="E1510" t="str">
        <f>'(Raw) LensesGH'!C1510</f>
        <v>1:1.8</v>
      </c>
      <c r="F1510" s="9">
        <f t="shared" si="210"/>
        <v>1.8</v>
      </c>
      <c r="G1510" s="9">
        <f t="shared" si="211"/>
        <v>1.8</v>
      </c>
      <c r="H1510" t="str">
        <f>'(Raw) LensesGH'!D1510</f>
        <v>67mm</v>
      </c>
      <c r="I1510" s="2">
        <f t="shared" si="212"/>
        <v>67</v>
      </c>
      <c r="J1510" s="2" t="str">
        <f>'(Raw) LensesGH'!E1510</f>
        <v>1:3.40</v>
      </c>
      <c r="K1510" s="40">
        <f t="shared" si="213"/>
        <v>3.4</v>
      </c>
      <c r="L1510" t="str">
        <f>'(Raw) LensesGH'!F1510</f>
        <v>Nikon F</v>
      </c>
      <c r="M1510" t="str">
        <f>'(Raw) LensesGH'!G1510</f>
        <v>APS-C/ Kleinbild</v>
      </c>
      <c r="N1510" t="str">
        <f>'(Raw) LensesGH'!H1510</f>
        <v>520g</v>
      </c>
      <c r="O1510" s="5">
        <f t="shared" si="214"/>
        <v>520</v>
      </c>
      <c r="P1510" t="str">
        <f>'(Raw) LensesGH'!I1510</f>
        <v>80.4 x 89.2mm</v>
      </c>
      <c r="Q1510" s="39">
        <f t="shared" si="215"/>
        <v>80.400000000000006</v>
      </c>
      <c r="R1510" s="39">
        <f t="shared" si="207"/>
        <v>89.2</v>
      </c>
    </row>
    <row r="1511" spans="1:18" x14ac:dyDescent="0.25">
      <c r="A1511" t="str">
        <f>'(Raw) LensesGH'!A1511</f>
        <v>Tamron SP AF 60mm 2.0 Di II LD IF Makro 1:1 für Canon EF schwarz</v>
      </c>
      <c r="B1511" t="str">
        <f>'(Raw) LensesGH'!B1511</f>
        <v>60mm</v>
      </c>
      <c r="C1511" s="5">
        <f t="shared" si="208"/>
        <v>60</v>
      </c>
      <c r="D1511" s="5">
        <f t="shared" si="209"/>
        <v>60</v>
      </c>
      <c r="E1511" t="str">
        <f>'(Raw) LensesGH'!C1511</f>
        <v>1:2.0</v>
      </c>
      <c r="F1511" s="9">
        <f t="shared" si="210"/>
        <v>2</v>
      </c>
      <c r="G1511" s="9">
        <f t="shared" si="211"/>
        <v>2</v>
      </c>
      <c r="H1511" t="str">
        <f>'(Raw) LensesGH'!D1511</f>
        <v>55mm</v>
      </c>
      <c r="I1511" s="2">
        <f t="shared" si="212"/>
        <v>55</v>
      </c>
      <c r="J1511" s="2" t="str">
        <f>'(Raw) LensesGH'!E1511</f>
        <v>1:1.00</v>
      </c>
      <c r="K1511" s="40">
        <f t="shared" si="213"/>
        <v>1</v>
      </c>
      <c r="L1511" t="str">
        <f>'(Raw) LensesGH'!F1511</f>
        <v>Canon EF-S</v>
      </c>
      <c r="M1511" t="str">
        <f>'(Raw) LensesGH'!G1511</f>
        <v>APS-C</v>
      </c>
      <c r="N1511" t="str">
        <f>'(Raw) LensesGH'!H1511</f>
        <v>400g</v>
      </c>
      <c r="O1511" s="5">
        <f t="shared" si="214"/>
        <v>400</v>
      </c>
      <c r="P1511" t="str">
        <f>'(Raw) LensesGH'!I1511</f>
        <v>73 x 80mm</v>
      </c>
      <c r="Q1511" s="39">
        <f t="shared" si="215"/>
        <v>73</v>
      </c>
      <c r="R1511" s="39">
        <f t="shared" si="207"/>
        <v>80</v>
      </c>
    </row>
    <row r="1512" spans="1:18" x14ac:dyDescent="0.25">
      <c r="A1512" t="str">
        <f>'(Raw) LensesGH'!A1512</f>
        <v>Tamron SP AF 60mm 2.0 Di II LD IF Makro 1:1 für Nikon F schwarz</v>
      </c>
      <c r="B1512" t="str">
        <f>'(Raw) LensesGH'!B1512</f>
        <v>60mm</v>
      </c>
      <c r="C1512" s="5">
        <f t="shared" si="208"/>
        <v>60</v>
      </c>
      <c r="D1512" s="5">
        <f t="shared" si="209"/>
        <v>60</v>
      </c>
      <c r="E1512" t="str">
        <f>'(Raw) LensesGH'!C1512</f>
        <v>1:2.0</v>
      </c>
      <c r="F1512" s="9">
        <f t="shared" si="210"/>
        <v>2</v>
      </c>
      <c r="G1512" s="9">
        <f t="shared" si="211"/>
        <v>2</v>
      </c>
      <c r="H1512" t="str">
        <f>'(Raw) LensesGH'!D1512</f>
        <v>55mm</v>
      </c>
      <c r="I1512" s="2">
        <f t="shared" si="212"/>
        <v>55</v>
      </c>
      <c r="J1512" s="2" t="str">
        <f>'(Raw) LensesGH'!E1512</f>
        <v>1:1.00</v>
      </c>
      <c r="K1512" s="40">
        <f t="shared" si="213"/>
        <v>1</v>
      </c>
      <c r="L1512" t="str">
        <f>'(Raw) LensesGH'!F1512</f>
        <v>Nikon F</v>
      </c>
      <c r="M1512" t="str">
        <f>'(Raw) LensesGH'!G1512</f>
        <v>APS-C</v>
      </c>
      <c r="N1512" t="str">
        <f>'(Raw) LensesGH'!H1512</f>
        <v>400g</v>
      </c>
      <c r="O1512" s="5">
        <f t="shared" si="214"/>
        <v>400</v>
      </c>
      <c r="P1512" t="str">
        <f>'(Raw) LensesGH'!I1512</f>
        <v>73 x 80mm</v>
      </c>
      <c r="Q1512" s="39">
        <f t="shared" si="215"/>
        <v>73</v>
      </c>
      <c r="R1512" s="39">
        <f t="shared" si="207"/>
        <v>80</v>
      </c>
    </row>
    <row r="1513" spans="1:18" x14ac:dyDescent="0.25">
      <c r="A1513" t="str">
        <f>'(Raw) LensesGH'!A1513</f>
        <v>Tamron SP AF 60mm 2.0 Di II LD IF Makro 1:1 für Sony A schwarz</v>
      </c>
      <c r="B1513" t="str">
        <f>'(Raw) LensesGH'!B1513</f>
        <v>60mm</v>
      </c>
      <c r="C1513" s="5">
        <f t="shared" si="208"/>
        <v>60</v>
      </c>
      <c r="D1513" s="5">
        <f t="shared" si="209"/>
        <v>60</v>
      </c>
      <c r="E1513" t="str">
        <f>'(Raw) LensesGH'!C1513</f>
        <v>1:2.0</v>
      </c>
      <c r="F1513" s="9">
        <f t="shared" si="210"/>
        <v>2</v>
      </c>
      <c r="G1513" s="9">
        <f t="shared" si="211"/>
        <v>2</v>
      </c>
      <c r="H1513" t="str">
        <f>'(Raw) LensesGH'!D1513</f>
        <v>55mm</v>
      </c>
      <c r="I1513" s="2">
        <f t="shared" si="212"/>
        <v>55</v>
      </c>
      <c r="J1513" s="2" t="str">
        <f>'(Raw) LensesGH'!E1513</f>
        <v>1:1.00</v>
      </c>
      <c r="K1513" s="40">
        <f t="shared" si="213"/>
        <v>1</v>
      </c>
      <c r="L1513" t="str">
        <f>'(Raw) LensesGH'!F1513</f>
        <v>Sony A</v>
      </c>
      <c r="M1513" t="str">
        <f>'(Raw) LensesGH'!G1513</f>
        <v>APS-C</v>
      </c>
      <c r="N1513" t="str">
        <f>'(Raw) LensesGH'!H1513</f>
        <v>400g</v>
      </c>
      <c r="O1513" s="5">
        <f t="shared" si="214"/>
        <v>400</v>
      </c>
      <c r="P1513" t="str">
        <f>'(Raw) LensesGH'!I1513</f>
        <v>73 x 80mm</v>
      </c>
      <c r="Q1513" s="39">
        <f t="shared" si="215"/>
        <v>73</v>
      </c>
      <c r="R1513" s="39">
        <f t="shared" si="207"/>
        <v>80</v>
      </c>
    </row>
    <row r="1514" spans="1:18" x14ac:dyDescent="0.25">
      <c r="A1514" t="str">
        <f>'(Raw) LensesGH'!A1514</f>
        <v>Tamron SP AF 70-200mm 2.8 Di LD IF Makro für Canon EF schwarz</v>
      </c>
      <c r="B1514" t="str">
        <f>'(Raw) LensesGH'!B1514</f>
        <v>70 - 200mm</v>
      </c>
      <c r="C1514" s="5">
        <f t="shared" si="208"/>
        <v>70</v>
      </c>
      <c r="D1514" s="5">
        <f t="shared" si="209"/>
        <v>200</v>
      </c>
      <c r="E1514" t="str">
        <f>'(Raw) LensesGH'!C1514</f>
        <v>1:2.8</v>
      </c>
      <c r="F1514" s="9">
        <f t="shared" si="210"/>
        <v>2.8</v>
      </c>
      <c r="G1514" s="9">
        <f t="shared" si="211"/>
        <v>2.8</v>
      </c>
      <c r="H1514" t="str">
        <f>'(Raw) LensesGH'!D1514</f>
        <v>77mm</v>
      </c>
      <c r="I1514" s="2">
        <f t="shared" si="212"/>
        <v>77</v>
      </c>
      <c r="J1514" s="2" t="str">
        <f>'(Raw) LensesGH'!E1514</f>
        <v>1:3.10</v>
      </c>
      <c r="K1514" s="40">
        <f t="shared" si="213"/>
        <v>3.1</v>
      </c>
      <c r="L1514" t="str">
        <f>'(Raw) LensesGH'!F1514</f>
        <v>Canon EF</v>
      </c>
      <c r="M1514" t="str">
        <f>'(Raw) LensesGH'!G1514</f>
        <v>APS-C/ Kleinbild</v>
      </c>
      <c r="N1514" t="str">
        <f>'(Raw) LensesGH'!H1514</f>
        <v>1150g</v>
      </c>
      <c r="O1514" s="5">
        <f t="shared" si="214"/>
        <v>1150</v>
      </c>
      <c r="P1514" t="str">
        <f>'(Raw) LensesGH'!I1514</f>
        <v>89.5 x 194.3mm</v>
      </c>
      <c r="Q1514" s="39">
        <f t="shared" si="215"/>
        <v>89.5</v>
      </c>
      <c r="R1514" s="39">
        <f t="shared" si="207"/>
        <v>194.3</v>
      </c>
    </row>
    <row r="1515" spans="1:18" x14ac:dyDescent="0.25">
      <c r="A1515" t="str">
        <f>'(Raw) LensesGH'!A1515</f>
        <v>Tamron SP AF 70-200mm 2.8 Di LD IF Makro für Nikon F schwarz</v>
      </c>
      <c r="B1515" t="str">
        <f>'(Raw) LensesGH'!B1515</f>
        <v>70 - 200mm</v>
      </c>
      <c r="C1515" s="5">
        <f t="shared" si="208"/>
        <v>70</v>
      </c>
      <c r="D1515" s="5">
        <f t="shared" si="209"/>
        <v>200</v>
      </c>
      <c r="E1515" t="str">
        <f>'(Raw) LensesGH'!C1515</f>
        <v>1:2.8</v>
      </c>
      <c r="F1515" s="9">
        <f t="shared" si="210"/>
        <v>2.8</v>
      </c>
      <c r="G1515" s="9">
        <f t="shared" si="211"/>
        <v>2.8</v>
      </c>
      <c r="H1515" t="str">
        <f>'(Raw) LensesGH'!D1515</f>
        <v>77mm</v>
      </c>
      <c r="I1515" s="2">
        <f t="shared" si="212"/>
        <v>77</v>
      </c>
      <c r="J1515" s="2" t="str">
        <f>'(Raw) LensesGH'!E1515</f>
        <v>1:3.10</v>
      </c>
      <c r="K1515" s="40">
        <f t="shared" si="213"/>
        <v>3.1</v>
      </c>
      <c r="L1515" t="str">
        <f>'(Raw) LensesGH'!F1515</f>
        <v>Nikon F</v>
      </c>
      <c r="M1515" t="str">
        <f>'(Raw) LensesGH'!G1515</f>
        <v>APS-C/ Kleinbild</v>
      </c>
      <c r="N1515" t="str">
        <f>'(Raw) LensesGH'!H1515</f>
        <v>1150g</v>
      </c>
      <c r="O1515" s="5">
        <f t="shared" si="214"/>
        <v>1150</v>
      </c>
      <c r="P1515" t="str">
        <f>'(Raw) LensesGH'!I1515</f>
        <v>89.5 x 194.3mm</v>
      </c>
      <c r="Q1515" s="39">
        <f t="shared" si="215"/>
        <v>89.5</v>
      </c>
      <c r="R1515" s="39">
        <f t="shared" si="207"/>
        <v>194.3</v>
      </c>
    </row>
    <row r="1516" spans="1:18" x14ac:dyDescent="0.25">
      <c r="A1516" t="str">
        <f>'(Raw) LensesGH'!A1516</f>
        <v>Tamron SP AF 70-200mm 2.8 Di LD IF Makro für Pentax K schwarz</v>
      </c>
      <c r="B1516" t="str">
        <f>'(Raw) LensesGH'!B1516</f>
        <v>70 - 200mm</v>
      </c>
      <c r="C1516" s="5">
        <f t="shared" si="208"/>
        <v>70</v>
      </c>
      <c r="D1516" s="5">
        <f t="shared" si="209"/>
        <v>200</v>
      </c>
      <c r="E1516" t="str">
        <f>'(Raw) LensesGH'!C1516</f>
        <v>1:2.8</v>
      </c>
      <c r="F1516" s="9">
        <f t="shared" si="210"/>
        <v>2.8</v>
      </c>
      <c r="G1516" s="9">
        <f t="shared" si="211"/>
        <v>2.8</v>
      </c>
      <c r="H1516" t="str">
        <f>'(Raw) LensesGH'!D1516</f>
        <v>77mm</v>
      </c>
      <c r="I1516" s="2">
        <f t="shared" si="212"/>
        <v>77</v>
      </c>
      <c r="J1516" s="2" t="str">
        <f>'(Raw) LensesGH'!E1516</f>
        <v>1:3.10</v>
      </c>
      <c r="K1516" s="40">
        <f t="shared" si="213"/>
        <v>3.1</v>
      </c>
      <c r="L1516" t="str">
        <f>'(Raw) LensesGH'!F1516</f>
        <v>Pentax K</v>
      </c>
      <c r="M1516" t="str">
        <f>'(Raw) LensesGH'!G1516</f>
        <v>APS-C/ Kleinbild</v>
      </c>
      <c r="N1516" t="str">
        <f>'(Raw) LensesGH'!H1516</f>
        <v>1150g</v>
      </c>
      <c r="O1516" s="5">
        <f t="shared" si="214"/>
        <v>1150</v>
      </c>
      <c r="P1516" t="str">
        <f>'(Raw) LensesGH'!I1516</f>
        <v>89.5 x 194.3mm</v>
      </c>
      <c r="Q1516" s="39">
        <f t="shared" si="215"/>
        <v>89.5</v>
      </c>
      <c r="R1516" s="39">
        <f t="shared" si="207"/>
        <v>194.3</v>
      </c>
    </row>
    <row r="1517" spans="1:18" x14ac:dyDescent="0.25">
      <c r="A1517" t="str">
        <f>'(Raw) LensesGH'!A1517</f>
        <v>Tamron SP AF 70-200mm 2.8 Di LD IF Makro für Sony A schwarz</v>
      </c>
      <c r="B1517" t="str">
        <f>'(Raw) LensesGH'!B1517</f>
        <v>70 - 200mm</v>
      </c>
      <c r="C1517" s="5">
        <f t="shared" si="208"/>
        <v>70</v>
      </c>
      <c r="D1517" s="5">
        <f t="shared" si="209"/>
        <v>200</v>
      </c>
      <c r="E1517" t="str">
        <f>'(Raw) LensesGH'!C1517</f>
        <v>1:2.8</v>
      </c>
      <c r="F1517" s="9">
        <f t="shared" si="210"/>
        <v>2.8</v>
      </c>
      <c r="G1517" s="9">
        <f t="shared" si="211"/>
        <v>2.8</v>
      </c>
      <c r="H1517" t="str">
        <f>'(Raw) LensesGH'!D1517</f>
        <v>77mm</v>
      </c>
      <c r="I1517" s="2">
        <f t="shared" si="212"/>
        <v>77</v>
      </c>
      <c r="J1517" s="2" t="str">
        <f>'(Raw) LensesGH'!E1517</f>
        <v>1:3.10</v>
      </c>
      <c r="K1517" s="40">
        <f t="shared" si="213"/>
        <v>3.1</v>
      </c>
      <c r="L1517" t="str">
        <f>'(Raw) LensesGH'!F1517</f>
        <v>Sony A</v>
      </c>
      <c r="M1517" t="str">
        <f>'(Raw) LensesGH'!G1517</f>
        <v>APS-C/ Kleinbild</v>
      </c>
      <c r="N1517" t="str">
        <f>'(Raw) LensesGH'!H1517</f>
        <v>1150g</v>
      </c>
      <c r="O1517" s="5">
        <f t="shared" si="214"/>
        <v>1150</v>
      </c>
      <c r="P1517" t="str">
        <f>'(Raw) LensesGH'!I1517</f>
        <v>89.5 x 194.3mm</v>
      </c>
      <c r="Q1517" s="39">
        <f t="shared" si="215"/>
        <v>89.5</v>
      </c>
      <c r="R1517" s="39">
        <f t="shared" si="207"/>
        <v>194.3</v>
      </c>
    </row>
    <row r="1518" spans="1:18" x14ac:dyDescent="0.25">
      <c r="A1518" t="str">
        <f>'(Raw) LensesGH'!A1518</f>
        <v>Tamron SP AF 70-200mm 2.8 Di USD für Sony A schwarz</v>
      </c>
      <c r="B1518" t="str">
        <f>'(Raw) LensesGH'!B1518</f>
        <v>70 - 200mm</v>
      </c>
      <c r="C1518" s="5">
        <f t="shared" si="208"/>
        <v>70</v>
      </c>
      <c r="D1518" s="5">
        <f t="shared" si="209"/>
        <v>200</v>
      </c>
      <c r="E1518" t="str">
        <f>'(Raw) LensesGH'!C1518</f>
        <v>1:2.8</v>
      </c>
      <c r="F1518" s="9">
        <f t="shared" si="210"/>
        <v>2.8</v>
      </c>
      <c r="G1518" s="9">
        <f t="shared" si="211"/>
        <v>2.8</v>
      </c>
      <c r="H1518" t="str">
        <f>'(Raw) LensesGH'!D1518</f>
        <v>77mm</v>
      </c>
      <c r="I1518" s="2">
        <f t="shared" si="212"/>
        <v>77</v>
      </c>
      <c r="J1518" s="2" t="str">
        <f>'(Raw) LensesGH'!E1518</f>
        <v>1:8.00</v>
      </c>
      <c r="K1518" s="40">
        <f t="shared" si="213"/>
        <v>8</v>
      </c>
      <c r="L1518" t="str">
        <f>'(Raw) LensesGH'!F1518</f>
        <v>Sony A</v>
      </c>
      <c r="M1518" t="str">
        <f>'(Raw) LensesGH'!G1518</f>
        <v>APS-C/ Kleinbild</v>
      </c>
      <c r="N1518" t="str">
        <f>'(Raw) LensesGH'!H1518</f>
        <v>1470g</v>
      </c>
      <c r="O1518" s="5">
        <f t="shared" si="214"/>
        <v>1470</v>
      </c>
      <c r="P1518" t="str">
        <f>'(Raw) LensesGH'!I1518</f>
        <v>85.8 x 188.3mm</v>
      </c>
      <c r="Q1518" s="39">
        <f t="shared" si="215"/>
        <v>85.8</v>
      </c>
      <c r="R1518" s="39">
        <f t="shared" si="207"/>
        <v>188.3</v>
      </c>
    </row>
    <row r="1519" spans="1:18" x14ac:dyDescent="0.25">
      <c r="A1519" t="str">
        <f>'(Raw) LensesGH'!A1519</f>
        <v>Tamron SP AF 70-200mm 2.8 Di VC USD für Canon EF schwarz</v>
      </c>
      <c r="B1519" t="str">
        <f>'(Raw) LensesGH'!B1519</f>
        <v>70 - 200mm</v>
      </c>
      <c r="C1519" s="5">
        <f t="shared" si="208"/>
        <v>70</v>
      </c>
      <c r="D1519" s="5">
        <f t="shared" si="209"/>
        <v>200</v>
      </c>
      <c r="E1519" t="str">
        <f>'(Raw) LensesGH'!C1519</f>
        <v>1:2.8</v>
      </c>
      <c r="F1519" s="9">
        <f t="shared" si="210"/>
        <v>2.8</v>
      </c>
      <c r="G1519" s="9">
        <f t="shared" si="211"/>
        <v>2.8</v>
      </c>
      <c r="H1519" t="str">
        <f>'(Raw) LensesGH'!D1519</f>
        <v>77mm</v>
      </c>
      <c r="I1519" s="2">
        <f t="shared" si="212"/>
        <v>77</v>
      </c>
      <c r="J1519" s="2" t="str">
        <f>'(Raw) LensesGH'!E1519</f>
        <v>1:8.00</v>
      </c>
      <c r="K1519" s="40">
        <f t="shared" si="213"/>
        <v>8</v>
      </c>
      <c r="L1519" t="str">
        <f>'(Raw) LensesGH'!F1519</f>
        <v>Canon EF</v>
      </c>
      <c r="M1519" t="str">
        <f>'(Raw) LensesGH'!G1519</f>
        <v>APS-C/ Kleinbild</v>
      </c>
      <c r="N1519" t="str">
        <f>'(Raw) LensesGH'!H1519</f>
        <v>1470g</v>
      </c>
      <c r="O1519" s="5">
        <f t="shared" si="214"/>
        <v>1470</v>
      </c>
      <c r="P1519" t="str">
        <f>'(Raw) LensesGH'!I1519</f>
        <v>85.8 x 188.3mm</v>
      </c>
      <c r="Q1519" s="39">
        <f t="shared" si="215"/>
        <v>85.8</v>
      </c>
      <c r="R1519" s="39">
        <f t="shared" si="207"/>
        <v>188.3</v>
      </c>
    </row>
    <row r="1520" spans="1:18" x14ac:dyDescent="0.25">
      <c r="A1520" t="str">
        <f>'(Raw) LensesGH'!A1520</f>
        <v>Tamron SP AF 70-200mm 2.8 Di VC USD für Nikon F schwarz</v>
      </c>
      <c r="B1520" t="str">
        <f>'(Raw) LensesGH'!B1520</f>
        <v>70 - 200mm</v>
      </c>
      <c r="C1520" s="5">
        <f t="shared" si="208"/>
        <v>70</v>
      </c>
      <c r="D1520" s="5">
        <f t="shared" si="209"/>
        <v>200</v>
      </c>
      <c r="E1520" t="str">
        <f>'(Raw) LensesGH'!C1520</f>
        <v>1:2.8</v>
      </c>
      <c r="F1520" s="9">
        <f t="shared" si="210"/>
        <v>2.8</v>
      </c>
      <c r="G1520" s="9">
        <f t="shared" si="211"/>
        <v>2.8</v>
      </c>
      <c r="H1520" t="str">
        <f>'(Raw) LensesGH'!D1520</f>
        <v>77mm</v>
      </c>
      <c r="I1520" s="2">
        <f t="shared" si="212"/>
        <v>77</v>
      </c>
      <c r="J1520" s="2" t="str">
        <f>'(Raw) LensesGH'!E1520</f>
        <v>1:8.00</v>
      </c>
      <c r="K1520" s="40">
        <f t="shared" si="213"/>
        <v>8</v>
      </c>
      <c r="L1520" t="str">
        <f>'(Raw) LensesGH'!F1520</f>
        <v>Nikon F</v>
      </c>
      <c r="M1520" t="str">
        <f>'(Raw) LensesGH'!G1520</f>
        <v>APS-C/ Kleinbild</v>
      </c>
      <c r="N1520" t="str">
        <f>'(Raw) LensesGH'!H1520</f>
        <v>1470g</v>
      </c>
      <c r="O1520" s="5">
        <f t="shared" si="214"/>
        <v>1470</v>
      </c>
      <c r="P1520" t="str">
        <f>'(Raw) LensesGH'!I1520</f>
        <v>85.8 x 188.3mm</v>
      </c>
      <c r="Q1520" s="39">
        <f t="shared" si="215"/>
        <v>85.8</v>
      </c>
      <c r="R1520" s="39">
        <f t="shared" si="207"/>
        <v>188.3</v>
      </c>
    </row>
    <row r="1521" spans="1:18" x14ac:dyDescent="0.25">
      <c r="A1521" t="str">
        <f>'(Raw) LensesGH'!A1521</f>
        <v>Tamron SP AF 70-200mm 2.8 Di VC USD G2 für Canon EF schwarz</v>
      </c>
      <c r="B1521" t="str">
        <f>'(Raw) LensesGH'!B1521</f>
        <v>70 - 200mm</v>
      </c>
      <c r="C1521" s="5">
        <f t="shared" si="208"/>
        <v>70</v>
      </c>
      <c r="D1521" s="5">
        <f t="shared" si="209"/>
        <v>200</v>
      </c>
      <c r="E1521" t="str">
        <f>'(Raw) LensesGH'!C1521</f>
        <v>1:2.8</v>
      </c>
      <c r="F1521" s="9">
        <f t="shared" si="210"/>
        <v>2.8</v>
      </c>
      <c r="G1521" s="9">
        <f t="shared" si="211"/>
        <v>2.8</v>
      </c>
      <c r="H1521" t="str">
        <f>'(Raw) LensesGH'!D1521</f>
        <v>77mm</v>
      </c>
      <c r="I1521" s="2">
        <f t="shared" si="212"/>
        <v>77</v>
      </c>
      <c r="J1521" s="2" t="str">
        <f>'(Raw) LensesGH'!E1521</f>
        <v>1:6.10</v>
      </c>
      <c r="K1521" s="40">
        <f t="shared" si="213"/>
        <v>6.1</v>
      </c>
      <c r="L1521" t="str">
        <f>'(Raw) LensesGH'!F1521</f>
        <v>Canon EF</v>
      </c>
      <c r="M1521" t="str">
        <f>'(Raw) LensesGH'!G1521</f>
        <v>APS-C/ Kleinbild</v>
      </c>
      <c r="N1521" t="str">
        <f>'(Raw) LensesGH'!H1521</f>
        <v>1500g</v>
      </c>
      <c r="O1521" s="5">
        <f t="shared" si="214"/>
        <v>1500</v>
      </c>
      <c r="P1521" t="str">
        <f>'(Raw) LensesGH'!I1521</f>
        <v>88 x 193.8mm</v>
      </c>
      <c r="Q1521" s="39">
        <f t="shared" si="215"/>
        <v>88</v>
      </c>
      <c r="R1521" s="39">
        <f t="shared" si="207"/>
        <v>193.8</v>
      </c>
    </row>
    <row r="1522" spans="1:18" x14ac:dyDescent="0.25">
      <c r="A1522" t="str">
        <f>'(Raw) LensesGH'!A1522</f>
        <v>Tamron SP AF 70-200mm 2.8 Di VC USD G2 für Nikon F schwarz</v>
      </c>
      <c r="B1522" t="str">
        <f>'(Raw) LensesGH'!B1522</f>
        <v>70 - 200mm</v>
      </c>
      <c r="C1522" s="5">
        <f t="shared" si="208"/>
        <v>70</v>
      </c>
      <c r="D1522" s="5">
        <f t="shared" si="209"/>
        <v>200</v>
      </c>
      <c r="E1522" t="str">
        <f>'(Raw) LensesGH'!C1522</f>
        <v>1:2.8</v>
      </c>
      <c r="F1522" s="9">
        <f t="shared" si="210"/>
        <v>2.8</v>
      </c>
      <c r="G1522" s="9">
        <f t="shared" si="211"/>
        <v>2.8</v>
      </c>
      <c r="H1522" t="str">
        <f>'(Raw) LensesGH'!D1522</f>
        <v>77mm</v>
      </c>
      <c r="I1522" s="2">
        <f t="shared" si="212"/>
        <v>77</v>
      </c>
      <c r="J1522" s="2" t="str">
        <f>'(Raw) LensesGH'!E1522</f>
        <v>1:6.10</v>
      </c>
      <c r="K1522" s="40">
        <f t="shared" si="213"/>
        <v>6.1</v>
      </c>
      <c r="L1522" t="str">
        <f>'(Raw) LensesGH'!F1522</f>
        <v>Nikon F</v>
      </c>
      <c r="M1522" t="str">
        <f>'(Raw) LensesGH'!G1522</f>
        <v>APS-C/ Kleinbild</v>
      </c>
      <c r="N1522" t="str">
        <f>'(Raw) LensesGH'!H1522</f>
        <v>1490g</v>
      </c>
      <c r="O1522" s="5">
        <f t="shared" si="214"/>
        <v>1490</v>
      </c>
      <c r="P1522" t="str">
        <f>'(Raw) LensesGH'!I1522</f>
        <v>88 x 191.3mm</v>
      </c>
      <c r="Q1522" s="39">
        <f t="shared" si="215"/>
        <v>88</v>
      </c>
      <c r="R1522" s="39">
        <f t="shared" si="207"/>
        <v>191.3</v>
      </c>
    </row>
    <row r="1523" spans="1:18" x14ac:dyDescent="0.25">
      <c r="A1523" t="str">
        <f>'(Raw) LensesGH'!A1523</f>
        <v>Tamron SP AF 70-300mm 4.0-5.6 Di USD für Sony A schwarz</v>
      </c>
      <c r="B1523" t="str">
        <f>'(Raw) LensesGH'!B1523</f>
        <v>70 - 300mm</v>
      </c>
      <c r="C1523" s="5">
        <f t="shared" si="208"/>
        <v>70</v>
      </c>
      <c r="D1523" s="5">
        <f t="shared" si="209"/>
        <v>300</v>
      </c>
      <c r="E1523" t="str">
        <f>'(Raw) LensesGH'!C1523</f>
        <v>1:4.0-1:5.6</v>
      </c>
      <c r="F1523" s="9">
        <f t="shared" si="210"/>
        <v>4</v>
      </c>
      <c r="G1523" s="9">
        <f t="shared" si="211"/>
        <v>4</v>
      </c>
      <c r="H1523" t="str">
        <f>'(Raw) LensesGH'!D1523</f>
        <v>62mm</v>
      </c>
      <c r="I1523" s="2">
        <f t="shared" si="212"/>
        <v>62</v>
      </c>
      <c r="J1523" s="2" t="str">
        <f>'(Raw) LensesGH'!E1523</f>
        <v>1:4.00</v>
      </c>
      <c r="K1523" s="40">
        <f t="shared" si="213"/>
        <v>4</v>
      </c>
      <c r="L1523" t="str">
        <f>'(Raw) LensesGH'!F1523</f>
        <v>Sony A</v>
      </c>
      <c r="M1523" t="str">
        <f>'(Raw) LensesGH'!G1523</f>
        <v>APS-C/ Kleinbild</v>
      </c>
      <c r="N1523" t="str">
        <f>'(Raw) LensesGH'!H1523</f>
        <v>765g</v>
      </c>
      <c r="O1523" s="5">
        <f t="shared" si="214"/>
        <v>765</v>
      </c>
      <c r="P1523" t="str">
        <f>'(Raw) LensesGH'!I1523</f>
        <v>81.5 x 142.7mm</v>
      </c>
      <c r="Q1523" s="39">
        <f t="shared" si="215"/>
        <v>81.5</v>
      </c>
      <c r="R1523" s="39">
        <f t="shared" si="207"/>
        <v>142.69999999999999</v>
      </c>
    </row>
    <row r="1524" spans="1:18" x14ac:dyDescent="0.25">
      <c r="A1524" t="str">
        <f>'(Raw) LensesGH'!A1524</f>
        <v>Tamron SP AF 70-300mm 4.0-5.6 Di VC USD für Canon EF schwarz</v>
      </c>
      <c r="B1524" t="str">
        <f>'(Raw) LensesGH'!B1524</f>
        <v>70 - 300mm</v>
      </c>
      <c r="C1524" s="5">
        <f t="shared" si="208"/>
        <v>70</v>
      </c>
      <c r="D1524" s="5">
        <f t="shared" si="209"/>
        <v>300</v>
      </c>
      <c r="E1524" t="str">
        <f>'(Raw) LensesGH'!C1524</f>
        <v>1:4.0-1:5.6</v>
      </c>
      <c r="F1524" s="9">
        <f t="shared" si="210"/>
        <v>4</v>
      </c>
      <c r="G1524" s="9">
        <f t="shared" si="211"/>
        <v>4</v>
      </c>
      <c r="H1524" t="str">
        <f>'(Raw) LensesGH'!D1524</f>
        <v>62mm</v>
      </c>
      <c r="I1524" s="2">
        <f t="shared" si="212"/>
        <v>62</v>
      </c>
      <c r="J1524" s="2" t="str">
        <f>'(Raw) LensesGH'!E1524</f>
        <v>1:4.00</v>
      </c>
      <c r="K1524" s="40">
        <f t="shared" si="213"/>
        <v>4</v>
      </c>
      <c r="L1524" t="str">
        <f>'(Raw) LensesGH'!F1524</f>
        <v>Canon EF</v>
      </c>
      <c r="M1524" t="str">
        <f>'(Raw) LensesGH'!G1524</f>
        <v>APS-C/ Kleinbild</v>
      </c>
      <c r="N1524" t="str">
        <f>'(Raw) LensesGH'!H1524</f>
        <v>765g</v>
      </c>
      <c r="O1524" s="5">
        <f t="shared" si="214"/>
        <v>765</v>
      </c>
      <c r="P1524" t="str">
        <f>'(Raw) LensesGH'!I1524</f>
        <v>81.5 x 142.7mm</v>
      </c>
      <c r="Q1524" s="39">
        <f t="shared" si="215"/>
        <v>81.5</v>
      </c>
      <c r="R1524" s="39">
        <f t="shared" si="207"/>
        <v>142.69999999999999</v>
      </c>
    </row>
    <row r="1525" spans="1:18" x14ac:dyDescent="0.25">
      <c r="A1525" t="str">
        <f>'(Raw) LensesGH'!A1525</f>
        <v>Tamron SP AF 70-300mm 4.0-5.6 Di VC USD für Nikon F schwarz</v>
      </c>
      <c r="B1525" t="str">
        <f>'(Raw) LensesGH'!B1525</f>
        <v>70 - 300mm</v>
      </c>
      <c r="C1525" s="5">
        <f t="shared" si="208"/>
        <v>70</v>
      </c>
      <c r="D1525" s="5">
        <f t="shared" si="209"/>
        <v>300</v>
      </c>
      <c r="E1525" t="str">
        <f>'(Raw) LensesGH'!C1525</f>
        <v>1:4.0-1:5.6</v>
      </c>
      <c r="F1525" s="9">
        <f t="shared" si="210"/>
        <v>4</v>
      </c>
      <c r="G1525" s="9">
        <f t="shared" si="211"/>
        <v>4</v>
      </c>
      <c r="H1525" t="str">
        <f>'(Raw) LensesGH'!D1525</f>
        <v>62mm</v>
      </c>
      <c r="I1525" s="2">
        <f t="shared" si="212"/>
        <v>62</v>
      </c>
      <c r="J1525" s="2" t="str">
        <f>'(Raw) LensesGH'!E1525</f>
        <v>1:4.00</v>
      </c>
      <c r="K1525" s="40">
        <f t="shared" si="213"/>
        <v>4</v>
      </c>
      <c r="L1525" t="str">
        <f>'(Raw) LensesGH'!F1525</f>
        <v>Nikon F</v>
      </c>
      <c r="M1525" t="str">
        <f>'(Raw) LensesGH'!G1525</f>
        <v>APS-C/ Kleinbild</v>
      </c>
      <c r="N1525" t="str">
        <f>'(Raw) LensesGH'!H1525</f>
        <v>765g</v>
      </c>
      <c r="O1525" s="5">
        <f t="shared" si="214"/>
        <v>765</v>
      </c>
      <c r="P1525" t="str">
        <f>'(Raw) LensesGH'!I1525</f>
        <v>81.5 x 142.7mm</v>
      </c>
      <c r="Q1525" s="39">
        <f t="shared" si="215"/>
        <v>81.5</v>
      </c>
      <c r="R1525" s="39">
        <f t="shared" si="207"/>
        <v>142.69999999999999</v>
      </c>
    </row>
    <row r="1526" spans="1:18" x14ac:dyDescent="0.25">
      <c r="A1526" t="str">
        <f>'(Raw) LensesGH'!A1526</f>
        <v>Tamron SP AF 85mm 1.8 Di USD für Sony A schwarz</v>
      </c>
      <c r="B1526" t="str">
        <f>'(Raw) LensesGH'!B1526</f>
        <v>85mm</v>
      </c>
      <c r="C1526" s="5">
        <f t="shared" si="208"/>
        <v>85</v>
      </c>
      <c r="D1526" s="5">
        <f t="shared" si="209"/>
        <v>85</v>
      </c>
      <c r="E1526" t="str">
        <f>'(Raw) LensesGH'!C1526</f>
        <v>1:1.8</v>
      </c>
      <c r="F1526" s="9">
        <f t="shared" si="210"/>
        <v>1.8</v>
      </c>
      <c r="G1526" s="9">
        <f t="shared" si="211"/>
        <v>1.8</v>
      </c>
      <c r="H1526" t="str">
        <f>'(Raw) LensesGH'!D1526</f>
        <v>67mm</v>
      </c>
      <c r="I1526" s="2">
        <f t="shared" si="212"/>
        <v>67</v>
      </c>
      <c r="J1526" s="2" t="str">
        <f>'(Raw) LensesGH'!E1526</f>
        <v>1:7.20</v>
      </c>
      <c r="K1526" s="40">
        <f t="shared" si="213"/>
        <v>7.2</v>
      </c>
      <c r="L1526" t="str">
        <f>'(Raw) LensesGH'!F1526</f>
        <v>Sony A</v>
      </c>
      <c r="M1526" t="str">
        <f>'(Raw) LensesGH'!G1526</f>
        <v>APS-C/ Kleinbild</v>
      </c>
      <c r="N1526" t="str">
        <f>'(Raw) LensesGH'!H1526</f>
        <v>700g</v>
      </c>
      <c r="O1526" s="5">
        <f t="shared" si="214"/>
        <v>700</v>
      </c>
      <c r="P1526" t="str">
        <f>'(Raw) LensesGH'!I1526</f>
        <v>84.8 x 91.3mm</v>
      </c>
      <c r="Q1526" s="39">
        <f t="shared" si="215"/>
        <v>84.8</v>
      </c>
      <c r="R1526" s="39">
        <f t="shared" si="207"/>
        <v>91.3</v>
      </c>
    </row>
    <row r="1527" spans="1:18" x14ac:dyDescent="0.25">
      <c r="A1527" t="str">
        <f>'(Raw) LensesGH'!A1527</f>
        <v>Tamron SP AF 85mm 1.8 Di VC USD für Canon EF schwarz</v>
      </c>
      <c r="B1527" t="str">
        <f>'(Raw) LensesGH'!B1527</f>
        <v>85mm</v>
      </c>
      <c r="C1527" s="5">
        <f t="shared" si="208"/>
        <v>85</v>
      </c>
      <c r="D1527" s="5">
        <f t="shared" si="209"/>
        <v>85</v>
      </c>
      <c r="E1527" t="str">
        <f>'(Raw) LensesGH'!C1527</f>
        <v>1:1.8</v>
      </c>
      <c r="F1527" s="9">
        <f t="shared" si="210"/>
        <v>1.8</v>
      </c>
      <c r="G1527" s="9">
        <f t="shared" si="211"/>
        <v>1.8</v>
      </c>
      <c r="H1527" t="str">
        <f>'(Raw) LensesGH'!D1527</f>
        <v>67mm</v>
      </c>
      <c r="I1527" s="2">
        <f t="shared" si="212"/>
        <v>67</v>
      </c>
      <c r="J1527" s="2" t="str">
        <f>'(Raw) LensesGH'!E1527</f>
        <v>1:7.20</v>
      </c>
      <c r="K1527" s="40">
        <f t="shared" si="213"/>
        <v>7.2</v>
      </c>
      <c r="L1527" t="str">
        <f>'(Raw) LensesGH'!F1527</f>
        <v>Canon EF</v>
      </c>
      <c r="M1527" t="str">
        <f>'(Raw) LensesGH'!G1527</f>
        <v>APS-C/ Kleinbild</v>
      </c>
      <c r="N1527" t="str">
        <f>'(Raw) LensesGH'!H1527</f>
        <v>700g</v>
      </c>
      <c r="O1527" s="5">
        <f t="shared" si="214"/>
        <v>700</v>
      </c>
      <c r="P1527" t="str">
        <f>'(Raw) LensesGH'!I1527</f>
        <v>84.8 x 91.3mm</v>
      </c>
      <c r="Q1527" s="39">
        <f t="shared" si="215"/>
        <v>84.8</v>
      </c>
      <c r="R1527" s="39">
        <f t="shared" si="207"/>
        <v>91.3</v>
      </c>
    </row>
    <row r="1528" spans="1:18" x14ac:dyDescent="0.25">
      <c r="A1528" t="str">
        <f>'(Raw) LensesGH'!A1528</f>
        <v>Tamron SP AF 85mm 1.8 Di VC USD für Nikon F schwarz</v>
      </c>
      <c r="B1528" t="str">
        <f>'(Raw) LensesGH'!B1528</f>
        <v>85mm</v>
      </c>
      <c r="C1528" s="5">
        <f t="shared" si="208"/>
        <v>85</v>
      </c>
      <c r="D1528" s="5">
        <f t="shared" si="209"/>
        <v>85</v>
      </c>
      <c r="E1528" t="str">
        <f>'(Raw) LensesGH'!C1528</f>
        <v>1:1.8</v>
      </c>
      <c r="F1528" s="9">
        <f t="shared" si="210"/>
        <v>1.8</v>
      </c>
      <c r="G1528" s="9">
        <f t="shared" si="211"/>
        <v>1.8</v>
      </c>
      <c r="H1528" t="str">
        <f>'(Raw) LensesGH'!D1528</f>
        <v>67mm</v>
      </c>
      <c r="I1528" s="2">
        <f t="shared" si="212"/>
        <v>67</v>
      </c>
      <c r="J1528" s="2" t="str">
        <f>'(Raw) LensesGH'!E1528</f>
        <v>1:7.20</v>
      </c>
      <c r="K1528" s="40">
        <f t="shared" si="213"/>
        <v>7.2</v>
      </c>
      <c r="L1528" t="str">
        <f>'(Raw) LensesGH'!F1528</f>
        <v>Nikon F</v>
      </c>
      <c r="M1528" t="str">
        <f>'(Raw) LensesGH'!G1528</f>
        <v>APS-C/ Kleinbild</v>
      </c>
      <c r="N1528" t="str">
        <f>'(Raw) LensesGH'!H1528</f>
        <v>700g</v>
      </c>
      <c r="O1528" s="5">
        <f t="shared" si="214"/>
        <v>700</v>
      </c>
      <c r="P1528" t="str">
        <f>'(Raw) LensesGH'!I1528</f>
        <v>84.8 x 91.3mm</v>
      </c>
      <c r="Q1528" s="39">
        <f t="shared" si="215"/>
        <v>84.8</v>
      </c>
      <c r="R1528" s="39">
        <f t="shared" si="207"/>
        <v>91.3</v>
      </c>
    </row>
    <row r="1529" spans="1:18" x14ac:dyDescent="0.25">
      <c r="A1529" t="str">
        <f>'(Raw) LensesGH'!A1529</f>
        <v>Tamron SP AF 90mm 2.8 Di Makro 1:1 für Canon EF schwarz</v>
      </c>
      <c r="B1529" t="str">
        <f>'(Raw) LensesGH'!B1529</f>
        <v>90mm</v>
      </c>
      <c r="C1529" s="5">
        <f t="shared" si="208"/>
        <v>90</v>
      </c>
      <c r="D1529" s="5">
        <f t="shared" si="209"/>
        <v>90</v>
      </c>
      <c r="E1529" t="str">
        <f>'(Raw) LensesGH'!C1529</f>
        <v>1:2.8</v>
      </c>
      <c r="F1529" s="9">
        <f t="shared" si="210"/>
        <v>2.8</v>
      </c>
      <c r="G1529" s="9">
        <f t="shared" si="211"/>
        <v>2.8</v>
      </c>
      <c r="H1529" t="str">
        <f>'(Raw) LensesGH'!D1529</f>
        <v>55mm</v>
      </c>
      <c r="I1529" s="2">
        <f t="shared" si="212"/>
        <v>55</v>
      </c>
      <c r="J1529" s="2" t="str">
        <f>'(Raw) LensesGH'!E1529</f>
        <v>1:1.00</v>
      </c>
      <c r="K1529" s="40">
        <f t="shared" si="213"/>
        <v>1</v>
      </c>
      <c r="L1529" t="str">
        <f>'(Raw) LensesGH'!F1529</f>
        <v>Canon EF</v>
      </c>
      <c r="M1529" t="str">
        <f>'(Raw) LensesGH'!G1529</f>
        <v>APS-C/ Kleinbild</v>
      </c>
      <c r="N1529" t="str">
        <f>'(Raw) LensesGH'!H1529</f>
        <v>405g</v>
      </c>
      <c r="O1529" s="5">
        <f t="shared" si="214"/>
        <v>405</v>
      </c>
      <c r="P1529" t="str">
        <f>'(Raw) LensesGH'!I1529</f>
        <v>71.5 x 97mm</v>
      </c>
      <c r="Q1529" s="39">
        <f t="shared" si="215"/>
        <v>71.5</v>
      </c>
      <c r="R1529" s="39">
        <f t="shared" si="207"/>
        <v>97</v>
      </c>
    </row>
    <row r="1530" spans="1:18" x14ac:dyDescent="0.25">
      <c r="A1530" t="str">
        <f>'(Raw) LensesGH'!A1530</f>
        <v>Tamron SP AF 90mm 2.8 Di Makro 1:1 für Nikon F schwarz</v>
      </c>
      <c r="B1530" t="str">
        <f>'(Raw) LensesGH'!B1530</f>
        <v>90mm</v>
      </c>
      <c r="C1530" s="5">
        <f t="shared" si="208"/>
        <v>90</v>
      </c>
      <c r="D1530" s="5">
        <f t="shared" si="209"/>
        <v>90</v>
      </c>
      <c r="E1530" t="str">
        <f>'(Raw) LensesGH'!C1530</f>
        <v>1:2.8</v>
      </c>
      <c r="F1530" s="9">
        <f t="shared" si="210"/>
        <v>2.8</v>
      </c>
      <c r="G1530" s="9">
        <f t="shared" si="211"/>
        <v>2.8</v>
      </c>
      <c r="H1530" t="str">
        <f>'(Raw) LensesGH'!D1530</f>
        <v>55mm</v>
      </c>
      <c r="I1530" s="2">
        <f t="shared" si="212"/>
        <v>55</v>
      </c>
      <c r="J1530" s="2" t="str">
        <f>'(Raw) LensesGH'!E1530</f>
        <v>1:1.00</v>
      </c>
      <c r="K1530" s="40">
        <f t="shared" si="213"/>
        <v>1</v>
      </c>
      <c r="L1530" t="str">
        <f>'(Raw) LensesGH'!F1530</f>
        <v>Nikon F</v>
      </c>
      <c r="M1530" t="str">
        <f>'(Raw) LensesGH'!G1530</f>
        <v>APS-C/ Kleinbild</v>
      </c>
      <c r="N1530" t="str">
        <f>'(Raw) LensesGH'!H1530</f>
        <v>405g</v>
      </c>
      <c r="O1530" s="5">
        <f t="shared" si="214"/>
        <v>405</v>
      </c>
      <c r="P1530" t="str">
        <f>'(Raw) LensesGH'!I1530</f>
        <v>71.5 x 97mm</v>
      </c>
      <c r="Q1530" s="39">
        <f t="shared" si="215"/>
        <v>71.5</v>
      </c>
      <c r="R1530" s="39">
        <f t="shared" si="207"/>
        <v>97</v>
      </c>
    </row>
    <row r="1531" spans="1:18" x14ac:dyDescent="0.25">
      <c r="A1531" t="str">
        <f>'(Raw) LensesGH'!A1531</f>
        <v>Tamron SP AF 90mm 2.8 Di Makro 1:1 für Pentax K schwarz</v>
      </c>
      <c r="B1531" t="str">
        <f>'(Raw) LensesGH'!B1531</f>
        <v>90mm</v>
      </c>
      <c r="C1531" s="5">
        <f t="shared" si="208"/>
        <v>90</v>
      </c>
      <c r="D1531" s="5">
        <f t="shared" si="209"/>
        <v>90</v>
      </c>
      <c r="E1531" t="str">
        <f>'(Raw) LensesGH'!C1531</f>
        <v>1:2.8</v>
      </c>
      <c r="F1531" s="9">
        <f t="shared" si="210"/>
        <v>2.8</v>
      </c>
      <c r="G1531" s="9">
        <f t="shared" si="211"/>
        <v>2.8</v>
      </c>
      <c r="H1531" t="str">
        <f>'(Raw) LensesGH'!D1531</f>
        <v>55mm</v>
      </c>
      <c r="I1531" s="2">
        <f t="shared" si="212"/>
        <v>55</v>
      </c>
      <c r="J1531" s="2" t="str">
        <f>'(Raw) LensesGH'!E1531</f>
        <v>1:1.00</v>
      </c>
      <c r="K1531" s="40">
        <f t="shared" si="213"/>
        <v>1</v>
      </c>
      <c r="L1531" t="str">
        <f>'(Raw) LensesGH'!F1531</f>
        <v>Pentax K</v>
      </c>
      <c r="M1531" t="str">
        <f>'(Raw) LensesGH'!G1531</f>
        <v>APS-C/ Kleinbild</v>
      </c>
      <c r="N1531" t="str">
        <f>'(Raw) LensesGH'!H1531</f>
        <v>405g</v>
      </c>
      <c r="O1531" s="5">
        <f t="shared" si="214"/>
        <v>405</v>
      </c>
      <c r="P1531" t="str">
        <f>'(Raw) LensesGH'!I1531</f>
        <v>71.5 x 97mm</v>
      </c>
      <c r="Q1531" s="39">
        <f t="shared" si="215"/>
        <v>71.5</v>
      </c>
      <c r="R1531" s="39">
        <f t="shared" si="207"/>
        <v>97</v>
      </c>
    </row>
    <row r="1532" spans="1:18" x14ac:dyDescent="0.25">
      <c r="A1532" t="str">
        <f>'(Raw) LensesGH'!A1532</f>
        <v>Tamron SP AF 90mm 2.8 Di Makro 1:1 für Sony A schwarz</v>
      </c>
      <c r="B1532" t="str">
        <f>'(Raw) LensesGH'!B1532</f>
        <v>90mm</v>
      </c>
      <c r="C1532" s="5">
        <f t="shared" si="208"/>
        <v>90</v>
      </c>
      <c r="D1532" s="5">
        <f t="shared" si="209"/>
        <v>90</v>
      </c>
      <c r="E1532" t="str">
        <f>'(Raw) LensesGH'!C1532</f>
        <v>1:2.8</v>
      </c>
      <c r="F1532" s="9">
        <f t="shared" si="210"/>
        <v>2.8</v>
      </c>
      <c r="G1532" s="9">
        <f t="shared" si="211"/>
        <v>2.8</v>
      </c>
      <c r="H1532" t="str">
        <f>'(Raw) LensesGH'!D1532</f>
        <v>55mm</v>
      </c>
      <c r="I1532" s="2">
        <f t="shared" si="212"/>
        <v>55</v>
      </c>
      <c r="J1532" s="2" t="str">
        <f>'(Raw) LensesGH'!E1532</f>
        <v>1:1.00</v>
      </c>
      <c r="K1532" s="40">
        <f t="shared" si="213"/>
        <v>1</v>
      </c>
      <c r="L1532" t="str">
        <f>'(Raw) LensesGH'!F1532</f>
        <v>Sony A</v>
      </c>
      <c r="M1532" t="str">
        <f>'(Raw) LensesGH'!G1532</f>
        <v>APS-C/ Kleinbild</v>
      </c>
      <c r="N1532" t="str">
        <f>'(Raw) LensesGH'!H1532</f>
        <v>405g</v>
      </c>
      <c r="O1532" s="5">
        <f t="shared" si="214"/>
        <v>405</v>
      </c>
      <c r="P1532" t="str">
        <f>'(Raw) LensesGH'!I1532</f>
        <v>71.5 x 97mm</v>
      </c>
      <c r="Q1532" s="39">
        <f t="shared" si="215"/>
        <v>71.5</v>
      </c>
      <c r="R1532" s="39">
        <f t="shared" si="207"/>
        <v>97</v>
      </c>
    </row>
    <row r="1533" spans="1:18" x14ac:dyDescent="0.25">
      <c r="A1533" t="str">
        <f>'(Raw) LensesGH'!A1533</f>
        <v>Tamron SP AF 90mm 2.8 Di Makro 1:1 mit AF-Motor für Nikon F schwarz</v>
      </c>
      <c r="B1533" t="str">
        <f>'(Raw) LensesGH'!B1533</f>
        <v>90mm</v>
      </c>
      <c r="C1533" s="5">
        <f t="shared" si="208"/>
        <v>90</v>
      </c>
      <c r="D1533" s="5">
        <f t="shared" si="209"/>
        <v>90</v>
      </c>
      <c r="E1533" t="str">
        <f>'(Raw) LensesGH'!C1533</f>
        <v>1:2.8</v>
      </c>
      <c r="F1533" s="9">
        <f t="shared" si="210"/>
        <v>2.8</v>
      </c>
      <c r="G1533" s="9">
        <f t="shared" si="211"/>
        <v>2.8</v>
      </c>
      <c r="H1533" t="str">
        <f>'(Raw) LensesGH'!D1533</f>
        <v>55mm</v>
      </c>
      <c r="I1533" s="2">
        <f t="shared" si="212"/>
        <v>55</v>
      </c>
      <c r="J1533" s="2" t="str">
        <f>'(Raw) LensesGH'!E1533</f>
        <v>1:1.00</v>
      </c>
      <c r="K1533" s="40">
        <f t="shared" si="213"/>
        <v>1</v>
      </c>
      <c r="L1533" t="str">
        <f>'(Raw) LensesGH'!F1533</f>
        <v>Nikon F</v>
      </c>
      <c r="M1533" t="str">
        <f>'(Raw) LensesGH'!G1533</f>
        <v>APS-C/ Kleinbild</v>
      </c>
      <c r="N1533" t="str">
        <f>'(Raw) LensesGH'!H1533</f>
        <v>405g</v>
      </c>
      <c r="O1533" s="5">
        <f t="shared" si="214"/>
        <v>405</v>
      </c>
      <c r="P1533" t="str">
        <f>'(Raw) LensesGH'!I1533</f>
        <v>71.5 x 97mm</v>
      </c>
      <c r="Q1533" s="39">
        <f t="shared" si="215"/>
        <v>71.5</v>
      </c>
      <c r="R1533" s="39">
        <f t="shared" si="207"/>
        <v>97</v>
      </c>
    </row>
    <row r="1534" spans="1:18" x14ac:dyDescent="0.25">
      <c r="A1534" t="str">
        <f>'(Raw) LensesGH'!A1534</f>
        <v>Tamron SP AF 90mm 2.8 Di USD Makro 1:1 für Sony A schwarz (F004S)</v>
      </c>
      <c r="B1534" t="str">
        <f>'(Raw) LensesGH'!B1534</f>
        <v>90mm</v>
      </c>
      <c r="C1534" s="5">
        <f t="shared" si="208"/>
        <v>90</v>
      </c>
      <c r="D1534" s="5">
        <f t="shared" si="209"/>
        <v>90</v>
      </c>
      <c r="E1534" t="str">
        <f>'(Raw) LensesGH'!C1534</f>
        <v>1:2.8</v>
      </c>
      <c r="F1534" s="9">
        <f t="shared" si="210"/>
        <v>2.8</v>
      </c>
      <c r="G1534" s="9">
        <f t="shared" si="211"/>
        <v>2.8</v>
      </c>
      <c r="H1534" t="str">
        <f>'(Raw) LensesGH'!D1534</f>
        <v>58mm</v>
      </c>
      <c r="I1534" s="2">
        <f t="shared" si="212"/>
        <v>58</v>
      </c>
      <c r="J1534" s="2" t="str">
        <f>'(Raw) LensesGH'!E1534</f>
        <v>1:1.00</v>
      </c>
      <c r="K1534" s="40">
        <f t="shared" si="213"/>
        <v>1</v>
      </c>
      <c r="L1534" t="str">
        <f>'(Raw) LensesGH'!F1534</f>
        <v>Sony A</v>
      </c>
      <c r="M1534" t="str">
        <f>'(Raw) LensesGH'!G1534</f>
        <v>APS-C/ Kleinbild</v>
      </c>
      <c r="N1534" t="str">
        <f>'(Raw) LensesGH'!H1534</f>
        <v>550g</v>
      </c>
      <c r="O1534" s="5">
        <f t="shared" si="214"/>
        <v>550</v>
      </c>
      <c r="P1534" t="str">
        <f>'(Raw) LensesGH'!I1534</f>
        <v>76.4 x 114.5mm</v>
      </c>
      <c r="Q1534" s="39">
        <f t="shared" si="215"/>
        <v>76.400000000000006</v>
      </c>
      <c r="R1534" s="39">
        <f t="shared" si="207"/>
        <v>114.5</v>
      </c>
    </row>
    <row r="1535" spans="1:18" x14ac:dyDescent="0.25">
      <c r="A1535" t="str">
        <f>'(Raw) LensesGH'!A1535</f>
        <v>Tamron SP AF 90mm 2.8 Di USD Makro 1:1 für Sony A schwarz (F017S)</v>
      </c>
      <c r="B1535" t="str">
        <f>'(Raw) LensesGH'!B1535</f>
        <v>90mm</v>
      </c>
      <c r="C1535" s="5">
        <f t="shared" si="208"/>
        <v>90</v>
      </c>
      <c r="D1535" s="5">
        <f t="shared" si="209"/>
        <v>90</v>
      </c>
      <c r="E1535" t="str">
        <f>'(Raw) LensesGH'!C1535</f>
        <v>1:2.8</v>
      </c>
      <c r="F1535" s="9">
        <f t="shared" si="210"/>
        <v>2.8</v>
      </c>
      <c r="G1535" s="9">
        <f t="shared" si="211"/>
        <v>2.8</v>
      </c>
      <c r="H1535" t="str">
        <f>'(Raw) LensesGH'!D1535</f>
        <v>62mm</v>
      </c>
      <c r="I1535" s="2">
        <f t="shared" si="212"/>
        <v>62</v>
      </c>
      <c r="J1535" s="2" t="str">
        <f>'(Raw) LensesGH'!E1535</f>
        <v>1:1.00</v>
      </c>
      <c r="K1535" s="40">
        <f t="shared" si="213"/>
        <v>1</v>
      </c>
      <c r="L1535" t="str">
        <f>'(Raw) LensesGH'!F1535</f>
        <v>Sony A</v>
      </c>
      <c r="M1535" t="str">
        <f>'(Raw) LensesGH'!G1535</f>
        <v>APS-C/ Kleinbild</v>
      </c>
      <c r="N1535" t="str">
        <f>'(Raw) LensesGH'!H1535</f>
        <v>610g</v>
      </c>
      <c r="O1535" s="5">
        <f t="shared" si="214"/>
        <v>610</v>
      </c>
      <c r="P1535" t="str">
        <f>'(Raw) LensesGH'!I1535</f>
        <v>79 x 117.1mm</v>
      </c>
      <c r="Q1535" s="39">
        <f t="shared" si="215"/>
        <v>79</v>
      </c>
      <c r="R1535" s="39">
        <f t="shared" si="207"/>
        <v>117.1</v>
      </c>
    </row>
    <row r="1536" spans="1:18" x14ac:dyDescent="0.25">
      <c r="A1536" t="str">
        <f>'(Raw) LensesGH'!A1536</f>
        <v>Tamron SP AF 90mm 2.8 Di VC USD Makro 1:1 für Canon EF schwarz (F004E)</v>
      </c>
      <c r="B1536" t="str">
        <f>'(Raw) LensesGH'!B1536</f>
        <v>90mm</v>
      </c>
      <c r="C1536" s="5">
        <f t="shared" si="208"/>
        <v>90</v>
      </c>
      <c r="D1536" s="5">
        <f t="shared" si="209"/>
        <v>90</v>
      </c>
      <c r="E1536" t="str">
        <f>'(Raw) LensesGH'!C1536</f>
        <v>1:2.8</v>
      </c>
      <c r="F1536" s="9">
        <f t="shared" si="210"/>
        <v>2.8</v>
      </c>
      <c r="G1536" s="9">
        <f t="shared" si="211"/>
        <v>2.8</v>
      </c>
      <c r="H1536" t="str">
        <f>'(Raw) LensesGH'!D1536</f>
        <v>58mm</v>
      </c>
      <c r="I1536" s="2">
        <f t="shared" si="212"/>
        <v>58</v>
      </c>
      <c r="J1536" s="2" t="str">
        <f>'(Raw) LensesGH'!E1536</f>
        <v>1:1.00</v>
      </c>
      <c r="K1536" s="40">
        <f t="shared" si="213"/>
        <v>1</v>
      </c>
      <c r="L1536" t="str">
        <f>'(Raw) LensesGH'!F1536</f>
        <v>Canon EF</v>
      </c>
      <c r="M1536" t="str">
        <f>'(Raw) LensesGH'!G1536</f>
        <v>APS-C/ Kleinbild</v>
      </c>
      <c r="N1536" t="str">
        <f>'(Raw) LensesGH'!H1536</f>
        <v>550g</v>
      </c>
      <c r="O1536" s="5">
        <f t="shared" si="214"/>
        <v>550</v>
      </c>
      <c r="P1536" t="str">
        <f>'(Raw) LensesGH'!I1536</f>
        <v>76.4 x 114.5mm</v>
      </c>
      <c r="Q1536" s="39">
        <f t="shared" si="215"/>
        <v>76.400000000000006</v>
      </c>
      <c r="R1536" s="39">
        <f t="shared" si="207"/>
        <v>114.5</v>
      </c>
    </row>
    <row r="1537" spans="1:18" x14ac:dyDescent="0.25">
      <c r="A1537" t="str">
        <f>'(Raw) LensesGH'!A1537</f>
        <v>Tamron SP AF 90mm 2.8 Di VC USD Makro 1:1 für Canon EF schwarz (F017E)</v>
      </c>
      <c r="B1537" t="str">
        <f>'(Raw) LensesGH'!B1537</f>
        <v>90mm</v>
      </c>
      <c r="C1537" s="5">
        <f t="shared" si="208"/>
        <v>90</v>
      </c>
      <c r="D1537" s="5">
        <f t="shared" si="209"/>
        <v>90</v>
      </c>
      <c r="E1537" t="str">
        <f>'(Raw) LensesGH'!C1537</f>
        <v>1:2.8</v>
      </c>
      <c r="F1537" s="9">
        <f t="shared" si="210"/>
        <v>2.8</v>
      </c>
      <c r="G1537" s="9">
        <f t="shared" si="211"/>
        <v>2.8</v>
      </c>
      <c r="H1537" t="str">
        <f>'(Raw) LensesGH'!D1537</f>
        <v>62mm</v>
      </c>
      <c r="I1537" s="2">
        <f t="shared" si="212"/>
        <v>62</v>
      </c>
      <c r="J1537" s="2" t="str">
        <f>'(Raw) LensesGH'!E1537</f>
        <v>1:1.00</v>
      </c>
      <c r="K1537" s="40">
        <f t="shared" si="213"/>
        <v>1</v>
      </c>
      <c r="L1537" t="str">
        <f>'(Raw) LensesGH'!F1537</f>
        <v>Canon EF</v>
      </c>
      <c r="M1537" t="str">
        <f>'(Raw) LensesGH'!G1537</f>
        <v>APS-C/ Kleinbild</v>
      </c>
      <c r="N1537" t="str">
        <f>'(Raw) LensesGH'!H1537</f>
        <v>610g</v>
      </c>
      <c r="O1537" s="5">
        <f t="shared" si="214"/>
        <v>610</v>
      </c>
      <c r="P1537" t="str">
        <f>'(Raw) LensesGH'!I1537</f>
        <v>79 x 117.1mm</v>
      </c>
      <c r="Q1537" s="39">
        <f t="shared" si="215"/>
        <v>79</v>
      </c>
      <c r="R1537" s="39">
        <f t="shared" si="207"/>
        <v>117.1</v>
      </c>
    </row>
    <row r="1538" spans="1:18" x14ac:dyDescent="0.25">
      <c r="A1538" t="str">
        <f>'(Raw) LensesGH'!A1538</f>
        <v>Tamron SP AF 90mm 2.8 Di VC USD Makro 1:1 für Nikon F schwarz (F004N)</v>
      </c>
      <c r="B1538" t="str">
        <f>'(Raw) LensesGH'!B1538</f>
        <v>90mm</v>
      </c>
      <c r="C1538" s="5">
        <f t="shared" si="208"/>
        <v>90</v>
      </c>
      <c r="D1538" s="5">
        <f t="shared" si="209"/>
        <v>90</v>
      </c>
      <c r="E1538" t="str">
        <f>'(Raw) LensesGH'!C1538</f>
        <v>1:2.8</v>
      </c>
      <c r="F1538" s="9">
        <f t="shared" si="210"/>
        <v>2.8</v>
      </c>
      <c r="G1538" s="9">
        <f t="shared" si="211"/>
        <v>2.8</v>
      </c>
      <c r="H1538" t="str">
        <f>'(Raw) LensesGH'!D1538</f>
        <v>58mm</v>
      </c>
      <c r="I1538" s="2">
        <f t="shared" si="212"/>
        <v>58</v>
      </c>
      <c r="J1538" s="2" t="str">
        <f>'(Raw) LensesGH'!E1538</f>
        <v>1:1.00</v>
      </c>
      <c r="K1538" s="40">
        <f t="shared" si="213"/>
        <v>1</v>
      </c>
      <c r="L1538" t="str">
        <f>'(Raw) LensesGH'!F1538</f>
        <v>Nikon F</v>
      </c>
      <c r="M1538" t="str">
        <f>'(Raw) LensesGH'!G1538</f>
        <v>APS-C/ Kleinbild</v>
      </c>
      <c r="N1538" t="str">
        <f>'(Raw) LensesGH'!H1538</f>
        <v>550g</v>
      </c>
      <c r="O1538" s="5">
        <f t="shared" si="214"/>
        <v>550</v>
      </c>
      <c r="P1538" t="str">
        <f>'(Raw) LensesGH'!I1538</f>
        <v>76.4 x 114.5mm</v>
      </c>
      <c r="Q1538" s="39">
        <f t="shared" si="215"/>
        <v>76.400000000000006</v>
      </c>
      <c r="R1538" s="39">
        <f t="shared" ref="R1538:R1601" si="216">getSizeLength(P1538)</f>
        <v>114.5</v>
      </c>
    </row>
    <row r="1539" spans="1:18" x14ac:dyDescent="0.25">
      <c r="A1539" t="str">
        <f>'(Raw) LensesGH'!A1539</f>
        <v>Tamron SP AF 90mm 2.8 Di VC USD Makro 1:1 für Nikon F schwarz (F017N)</v>
      </c>
      <c r="B1539" t="str">
        <f>'(Raw) LensesGH'!B1539</f>
        <v>90mm</v>
      </c>
      <c r="C1539" s="5">
        <f t="shared" ref="C1539:C1602" si="217">getFocalLengthStart(B1539)</f>
        <v>90</v>
      </c>
      <c r="D1539" s="5">
        <f t="shared" ref="D1539:D1602" si="218">getFocalLengthEnd(B1539)</f>
        <v>90</v>
      </c>
      <c r="E1539" t="str">
        <f>'(Raw) LensesGH'!C1539</f>
        <v>1:2.8</v>
      </c>
      <c r="F1539" s="9">
        <f t="shared" ref="F1539:F1602" si="219">getApertureStart(E1539)</f>
        <v>2.8</v>
      </c>
      <c r="G1539" s="9">
        <f t="shared" ref="G1539:G1602" si="220">getApertureEnd(F1539)</f>
        <v>2.8</v>
      </c>
      <c r="H1539" t="str">
        <f>'(Raw) LensesGH'!D1539</f>
        <v>62mm</v>
      </c>
      <c r="I1539" s="2">
        <f t="shared" ref="I1539:I1602" si="221">getFiltersizeAsDouble(H1539)</f>
        <v>62</v>
      </c>
      <c r="J1539" s="2" t="str">
        <f>'(Raw) LensesGH'!E1539</f>
        <v>1:1.00</v>
      </c>
      <c r="K1539" s="40">
        <f t="shared" ref="K1539:K1602" si="222">getMagnification(J1539)</f>
        <v>1</v>
      </c>
      <c r="L1539" t="str">
        <f>'(Raw) LensesGH'!F1539</f>
        <v>Nikon F</v>
      </c>
      <c r="M1539" t="str">
        <f>'(Raw) LensesGH'!G1539</f>
        <v>APS-C/ Kleinbild</v>
      </c>
      <c r="N1539" t="str">
        <f>'(Raw) LensesGH'!H1539</f>
        <v>610g</v>
      </c>
      <c r="O1539" s="5">
        <f t="shared" ref="O1539:O1602" si="223">getWeightAsDouble(N1539)</f>
        <v>610</v>
      </c>
      <c r="P1539" t="str">
        <f>'(Raw) LensesGH'!I1539</f>
        <v>79 x 117.1mm</v>
      </c>
      <c r="Q1539" s="39">
        <f t="shared" ref="Q1539:Q1602" si="224">getSizeDiameter(P1539)</f>
        <v>79</v>
      </c>
      <c r="R1539" s="39">
        <f t="shared" si="216"/>
        <v>117.1</v>
      </c>
    </row>
    <row r="1540" spans="1:18" x14ac:dyDescent="0.25">
      <c r="A1540" t="str">
        <f>'(Raw) LensesGH'!A1540</f>
        <v>Tokina AT-X 10-17mm 3.5-4.5 AF DX Fisheye für Canon EF schwarz</v>
      </c>
      <c r="B1540" t="str">
        <f>'(Raw) LensesGH'!B1540</f>
        <v>10 - 17mm</v>
      </c>
      <c r="C1540" s="5">
        <f t="shared" si="217"/>
        <v>10</v>
      </c>
      <c r="D1540" s="5">
        <f t="shared" si="218"/>
        <v>17</v>
      </c>
      <c r="E1540" t="str">
        <f>'(Raw) LensesGH'!C1540</f>
        <v>1:3.5-1:4.5</v>
      </c>
      <c r="F1540" s="9">
        <f t="shared" si="219"/>
        <v>3.5</v>
      </c>
      <c r="G1540" s="9">
        <f t="shared" si="220"/>
        <v>3.5</v>
      </c>
      <c r="H1540">
        <f>'(Raw) LensesGH'!D1540</f>
        <v>0</v>
      </c>
      <c r="I1540" s="2">
        <f t="shared" si="221"/>
        <v>0</v>
      </c>
      <c r="J1540" s="2" t="str">
        <f>'(Raw) LensesGH'!E1540</f>
        <v>1:2.56</v>
      </c>
      <c r="K1540" s="40">
        <f t="shared" si="222"/>
        <v>2.56</v>
      </c>
      <c r="L1540" t="str">
        <f>'(Raw) LensesGH'!F1540</f>
        <v>Canon EF-S</v>
      </c>
      <c r="M1540" t="str">
        <f>'(Raw) LensesGH'!G1540</f>
        <v>APS-C</v>
      </c>
      <c r="N1540" t="str">
        <f>'(Raw) LensesGH'!H1540</f>
        <v>350g</v>
      </c>
      <c r="O1540" s="5">
        <f t="shared" si="223"/>
        <v>350</v>
      </c>
      <c r="P1540" t="str">
        <f>'(Raw) LensesGH'!I1540</f>
        <v>70 x 71.1mm</v>
      </c>
      <c r="Q1540" s="39">
        <f t="shared" si="224"/>
        <v>70</v>
      </c>
      <c r="R1540" s="39">
        <f t="shared" si="216"/>
        <v>71.099999999999994</v>
      </c>
    </row>
    <row r="1541" spans="1:18" x14ac:dyDescent="0.25">
      <c r="A1541" t="str">
        <f>'(Raw) LensesGH'!A1541</f>
        <v>Tokina AT-X 10-17mm 3.5-4.5 AF DX Fisheye für Nikon F schwarz</v>
      </c>
      <c r="B1541" t="str">
        <f>'(Raw) LensesGH'!B1541</f>
        <v>10 - 17mm</v>
      </c>
      <c r="C1541" s="5">
        <f t="shared" si="217"/>
        <v>10</v>
      </c>
      <c r="D1541" s="5">
        <f t="shared" si="218"/>
        <v>17</v>
      </c>
      <c r="E1541" t="str">
        <f>'(Raw) LensesGH'!C1541</f>
        <v>1:3.5-1:4.5</v>
      </c>
      <c r="F1541" s="9">
        <f t="shared" si="219"/>
        <v>3.5</v>
      </c>
      <c r="G1541" s="9">
        <f t="shared" si="220"/>
        <v>3.5</v>
      </c>
      <c r="H1541">
        <f>'(Raw) LensesGH'!D1541</f>
        <v>0</v>
      </c>
      <c r="I1541" s="2">
        <f t="shared" si="221"/>
        <v>0</v>
      </c>
      <c r="J1541" s="2" t="str">
        <f>'(Raw) LensesGH'!E1541</f>
        <v>1:2.56</v>
      </c>
      <c r="K1541" s="40">
        <f t="shared" si="222"/>
        <v>2.56</v>
      </c>
      <c r="L1541" t="str">
        <f>'(Raw) LensesGH'!F1541</f>
        <v>Nikon F</v>
      </c>
      <c r="M1541" t="str">
        <f>'(Raw) LensesGH'!G1541</f>
        <v>APS-C</v>
      </c>
      <c r="N1541" t="str">
        <f>'(Raw) LensesGH'!H1541</f>
        <v>350g</v>
      </c>
      <c r="O1541" s="5">
        <f t="shared" si="223"/>
        <v>350</v>
      </c>
      <c r="P1541" t="str">
        <f>'(Raw) LensesGH'!I1541</f>
        <v>70 x 71.1mm</v>
      </c>
      <c r="Q1541" s="39">
        <f t="shared" si="224"/>
        <v>70</v>
      </c>
      <c r="R1541" s="39">
        <f t="shared" si="216"/>
        <v>71.099999999999994</v>
      </c>
    </row>
    <row r="1542" spans="1:18" x14ac:dyDescent="0.25">
      <c r="A1542" t="str">
        <f>'(Raw) LensesGH'!A1542</f>
        <v>Tokina AT-X 10-17mm 3.5-4.5 AF DX NH Fisheye für Canon EF schwarz</v>
      </c>
      <c r="B1542" t="str">
        <f>'(Raw) LensesGH'!B1542</f>
        <v>10 - 17mm</v>
      </c>
      <c r="C1542" s="5">
        <f t="shared" si="217"/>
        <v>10</v>
      </c>
      <c r="D1542" s="5">
        <f t="shared" si="218"/>
        <v>17</v>
      </c>
      <c r="E1542" t="str">
        <f>'(Raw) LensesGH'!C1542</f>
        <v>1:3.5-1:4.5</v>
      </c>
      <c r="F1542" s="9">
        <f t="shared" si="219"/>
        <v>3.5</v>
      </c>
      <c r="G1542" s="9">
        <f t="shared" si="220"/>
        <v>3.5</v>
      </c>
      <c r="H1542">
        <f>'(Raw) LensesGH'!D1542</f>
        <v>0</v>
      </c>
      <c r="I1542" s="2">
        <f t="shared" si="221"/>
        <v>0</v>
      </c>
      <c r="J1542" s="2" t="str">
        <f>'(Raw) LensesGH'!E1542</f>
        <v>1:2.56</v>
      </c>
      <c r="K1542" s="40">
        <f t="shared" si="222"/>
        <v>2.56</v>
      </c>
      <c r="L1542" t="str">
        <f>'(Raw) LensesGH'!F1542</f>
        <v>Canon EF-S</v>
      </c>
      <c r="M1542" t="str">
        <f>'(Raw) LensesGH'!G1542</f>
        <v>APS-C/ Kleinbild</v>
      </c>
      <c r="N1542" t="str">
        <f>'(Raw) LensesGH'!H1542</f>
        <v>350g</v>
      </c>
      <c r="O1542" s="5">
        <f t="shared" si="223"/>
        <v>350</v>
      </c>
      <c r="P1542" t="str">
        <f>'(Raw) LensesGH'!I1542</f>
        <v>69.9 x 70.9mm</v>
      </c>
      <c r="Q1542" s="39">
        <f t="shared" si="224"/>
        <v>69.900000000000006</v>
      </c>
      <c r="R1542" s="39">
        <f t="shared" si="216"/>
        <v>70.900000000000006</v>
      </c>
    </row>
    <row r="1543" spans="1:18" x14ac:dyDescent="0.25">
      <c r="A1543" t="str">
        <f>'(Raw) LensesGH'!A1543</f>
        <v>Tokina AT-X 10-17mm 3.5-4.5 AF DX NH Fisheye für Nikon F schwarz</v>
      </c>
      <c r="B1543" t="str">
        <f>'(Raw) LensesGH'!B1543</f>
        <v>10 - 17mm</v>
      </c>
      <c r="C1543" s="5">
        <f t="shared" si="217"/>
        <v>10</v>
      </c>
      <c r="D1543" s="5">
        <f t="shared" si="218"/>
        <v>17</v>
      </c>
      <c r="E1543" t="str">
        <f>'(Raw) LensesGH'!C1543</f>
        <v>1:3.5-1:4.5</v>
      </c>
      <c r="F1543" s="9">
        <f t="shared" si="219"/>
        <v>3.5</v>
      </c>
      <c r="G1543" s="9">
        <f t="shared" si="220"/>
        <v>3.5</v>
      </c>
      <c r="H1543">
        <f>'(Raw) LensesGH'!D1543</f>
        <v>0</v>
      </c>
      <c r="I1543" s="2">
        <f t="shared" si="221"/>
        <v>0</v>
      </c>
      <c r="J1543" s="2" t="str">
        <f>'(Raw) LensesGH'!E1543</f>
        <v>1:2.56</v>
      </c>
      <c r="K1543" s="40">
        <f t="shared" si="222"/>
        <v>2.56</v>
      </c>
      <c r="L1543" t="str">
        <f>'(Raw) LensesGH'!F1543</f>
        <v>Nikon F</v>
      </c>
      <c r="M1543" t="str">
        <f>'(Raw) LensesGH'!G1543</f>
        <v>APS-C/ Kleinbild</v>
      </c>
      <c r="N1543" t="str">
        <f>'(Raw) LensesGH'!H1543</f>
        <v>350g</v>
      </c>
      <c r="O1543" s="5">
        <f t="shared" si="223"/>
        <v>350</v>
      </c>
      <c r="P1543" t="str">
        <f>'(Raw) LensesGH'!I1543</f>
        <v>69.9 x 70.9mm</v>
      </c>
      <c r="Q1543" s="39">
        <f t="shared" si="224"/>
        <v>69.900000000000006</v>
      </c>
      <c r="R1543" s="39">
        <f t="shared" si="216"/>
        <v>70.900000000000006</v>
      </c>
    </row>
    <row r="1544" spans="1:18" x14ac:dyDescent="0.25">
      <c r="A1544" t="str">
        <f>'(Raw) LensesGH'!A1544</f>
        <v>Tokina AT-X 16.5-135mm 3.5-5.6 DX für Canon EF schwarz</v>
      </c>
      <c r="B1544" t="str">
        <f>'(Raw) LensesGH'!B1544</f>
        <v>16.5 - 135mm</v>
      </c>
      <c r="C1544" s="5">
        <f t="shared" si="217"/>
        <v>16.5</v>
      </c>
      <c r="D1544" s="5">
        <f t="shared" si="218"/>
        <v>135</v>
      </c>
      <c r="E1544" t="str">
        <f>'(Raw) LensesGH'!C1544</f>
        <v>1:3.5-1:5.6</v>
      </c>
      <c r="F1544" s="9">
        <f t="shared" si="219"/>
        <v>3.5</v>
      </c>
      <c r="G1544" s="9">
        <f t="shared" si="220"/>
        <v>3.5</v>
      </c>
      <c r="H1544" t="str">
        <f>'(Raw) LensesGH'!D1544</f>
        <v>77mm</v>
      </c>
      <c r="I1544" s="2">
        <f t="shared" si="221"/>
        <v>77</v>
      </c>
      <c r="J1544" s="2" t="str">
        <f>'(Raw) LensesGH'!E1544</f>
        <v>1:5.43</v>
      </c>
      <c r="K1544" s="40">
        <f t="shared" si="222"/>
        <v>5.43</v>
      </c>
      <c r="L1544" t="str">
        <f>'(Raw) LensesGH'!F1544</f>
        <v>Canon EF-S</v>
      </c>
      <c r="M1544" t="str">
        <f>'(Raw) LensesGH'!G1544</f>
        <v>APS-C</v>
      </c>
      <c r="N1544" t="str">
        <f>'(Raw) LensesGH'!H1544</f>
        <v>610g</v>
      </c>
      <c r="O1544" s="5">
        <f t="shared" si="223"/>
        <v>610</v>
      </c>
      <c r="P1544" t="str">
        <f>'(Raw) LensesGH'!I1544</f>
        <v>84 x 78mm</v>
      </c>
      <c r="Q1544" s="39">
        <f t="shared" si="224"/>
        <v>84</v>
      </c>
      <c r="R1544" s="39">
        <f t="shared" si="216"/>
        <v>78</v>
      </c>
    </row>
    <row r="1545" spans="1:18" x14ac:dyDescent="0.25">
      <c r="A1545" t="str">
        <f>'(Raw) LensesGH'!A1545</f>
        <v>Tokina AT-X 16.5-135mm 3.5-5.6 DX für Nikon F schwarz</v>
      </c>
      <c r="B1545" t="str">
        <f>'(Raw) LensesGH'!B1545</f>
        <v>16.5 - 135mm</v>
      </c>
      <c r="C1545" s="5">
        <f t="shared" si="217"/>
        <v>16.5</v>
      </c>
      <c r="D1545" s="5">
        <f t="shared" si="218"/>
        <v>135</v>
      </c>
      <c r="E1545" t="str">
        <f>'(Raw) LensesGH'!C1545</f>
        <v>1:3.5-1:5.6</v>
      </c>
      <c r="F1545" s="9">
        <f t="shared" si="219"/>
        <v>3.5</v>
      </c>
      <c r="G1545" s="9">
        <f t="shared" si="220"/>
        <v>3.5</v>
      </c>
      <c r="H1545" t="str">
        <f>'(Raw) LensesGH'!D1545</f>
        <v>77mm</v>
      </c>
      <c r="I1545" s="2">
        <f t="shared" si="221"/>
        <v>77</v>
      </c>
      <c r="J1545" s="2" t="str">
        <f>'(Raw) LensesGH'!E1545</f>
        <v>1:5.43</v>
      </c>
      <c r="K1545" s="40">
        <f t="shared" si="222"/>
        <v>5.43</v>
      </c>
      <c r="L1545" t="str">
        <f>'(Raw) LensesGH'!F1545</f>
        <v>Nikon F</v>
      </c>
      <c r="M1545" t="str">
        <f>'(Raw) LensesGH'!G1545</f>
        <v>APS-C</v>
      </c>
      <c r="N1545" t="str">
        <f>'(Raw) LensesGH'!H1545</f>
        <v>610g</v>
      </c>
      <c r="O1545" s="5">
        <f t="shared" si="223"/>
        <v>610</v>
      </c>
      <c r="P1545" t="str">
        <f>'(Raw) LensesGH'!I1545</f>
        <v>84 x 78mm</v>
      </c>
      <c r="Q1545" s="39">
        <f t="shared" si="224"/>
        <v>84</v>
      </c>
      <c r="R1545" s="39">
        <f t="shared" si="216"/>
        <v>78</v>
      </c>
    </row>
    <row r="1546" spans="1:18" x14ac:dyDescent="0.25">
      <c r="A1546" t="str">
        <f>'(Raw) LensesGH'!A1546</f>
        <v>Tokina AT-X 17-35mm 4.0 FX für Canon EF schwarz</v>
      </c>
      <c r="B1546" t="str">
        <f>'(Raw) LensesGH'!B1546</f>
        <v>17 - 35mm</v>
      </c>
      <c r="C1546" s="5">
        <f t="shared" si="217"/>
        <v>17</v>
      </c>
      <c r="D1546" s="5">
        <f t="shared" si="218"/>
        <v>35</v>
      </c>
      <c r="E1546" t="str">
        <f>'(Raw) LensesGH'!C1546</f>
        <v>1:4.0</v>
      </c>
      <c r="F1546" s="9">
        <f t="shared" si="219"/>
        <v>4</v>
      </c>
      <c r="G1546" s="9">
        <f t="shared" si="220"/>
        <v>4</v>
      </c>
      <c r="H1546">
        <f>'(Raw) LensesGH'!D1546</f>
        <v>0</v>
      </c>
      <c r="I1546" s="2">
        <f t="shared" si="221"/>
        <v>0</v>
      </c>
      <c r="J1546" s="2" t="str">
        <f>'(Raw) LensesGH'!E1546</f>
        <v>1:4.82</v>
      </c>
      <c r="K1546" s="40">
        <f t="shared" si="222"/>
        <v>4.82</v>
      </c>
      <c r="L1546" t="str">
        <f>'(Raw) LensesGH'!F1546</f>
        <v>Canon EF</v>
      </c>
      <c r="M1546" t="str">
        <f>'(Raw) LensesGH'!G1546</f>
        <v>APS-C/ Kleinbild</v>
      </c>
      <c r="N1546" t="str">
        <f>'(Raw) LensesGH'!H1546</f>
        <v>600g</v>
      </c>
      <c r="O1546" s="5">
        <f t="shared" si="223"/>
        <v>600</v>
      </c>
      <c r="P1546" t="str">
        <f>'(Raw) LensesGH'!I1546</f>
        <v>89 x 94mm</v>
      </c>
      <c r="Q1546" s="39">
        <f t="shared" si="224"/>
        <v>89</v>
      </c>
      <c r="R1546" s="39">
        <f t="shared" si="216"/>
        <v>94</v>
      </c>
    </row>
    <row r="1547" spans="1:18" x14ac:dyDescent="0.25">
      <c r="A1547" t="str">
        <f>'(Raw) LensesGH'!A1547</f>
        <v>Tokina AT-X 17-35mm 4.0 FX für Nikon F schwarz</v>
      </c>
      <c r="B1547" t="str">
        <f>'(Raw) LensesGH'!B1547</f>
        <v>17 - 35mm</v>
      </c>
      <c r="C1547" s="5">
        <f t="shared" si="217"/>
        <v>17</v>
      </c>
      <c r="D1547" s="5">
        <f t="shared" si="218"/>
        <v>35</v>
      </c>
      <c r="E1547" t="str">
        <f>'(Raw) LensesGH'!C1547</f>
        <v>1:4.0</v>
      </c>
      <c r="F1547" s="9">
        <f t="shared" si="219"/>
        <v>4</v>
      </c>
      <c r="G1547" s="9">
        <f t="shared" si="220"/>
        <v>4</v>
      </c>
      <c r="H1547">
        <f>'(Raw) LensesGH'!D1547</f>
        <v>0</v>
      </c>
      <c r="I1547" s="2">
        <f t="shared" si="221"/>
        <v>0</v>
      </c>
      <c r="J1547" s="2" t="str">
        <f>'(Raw) LensesGH'!E1547</f>
        <v>1:4.82</v>
      </c>
      <c r="K1547" s="40">
        <f t="shared" si="222"/>
        <v>4.82</v>
      </c>
      <c r="L1547" t="str">
        <f>'(Raw) LensesGH'!F1547</f>
        <v>Nikon F</v>
      </c>
      <c r="M1547" t="str">
        <f>'(Raw) LensesGH'!G1547</f>
        <v>APS-C/ Kleinbild</v>
      </c>
      <c r="N1547" t="str">
        <f>'(Raw) LensesGH'!H1547</f>
        <v>600g</v>
      </c>
      <c r="O1547" s="5">
        <f t="shared" si="223"/>
        <v>600</v>
      </c>
      <c r="P1547" t="str">
        <f>'(Raw) LensesGH'!I1547</f>
        <v>89 x 94mm</v>
      </c>
      <c r="Q1547" s="39">
        <f t="shared" si="224"/>
        <v>89</v>
      </c>
      <c r="R1547" s="39">
        <f t="shared" si="216"/>
        <v>94</v>
      </c>
    </row>
    <row r="1548" spans="1:18" x14ac:dyDescent="0.25">
      <c r="A1548" t="str">
        <f>'(Raw) LensesGH'!A1548</f>
        <v>Tokina AT-X 28-70mm 2.6-2.8 für Sony/Konica Minolta schwarz</v>
      </c>
      <c r="B1548">
        <f>'(Raw) LensesGH'!B1548</f>
        <v>0</v>
      </c>
      <c r="C1548" s="5">
        <f t="shared" si="217"/>
        <v>0</v>
      </c>
      <c r="D1548" s="5">
        <f t="shared" si="218"/>
        <v>0</v>
      </c>
      <c r="E1548">
        <f>'(Raw) LensesGH'!C1548</f>
        <v>0</v>
      </c>
      <c r="F1548" s="9">
        <f t="shared" si="219"/>
        <v>0</v>
      </c>
      <c r="G1548" s="9">
        <f t="shared" si="220"/>
        <v>0</v>
      </c>
      <c r="H1548">
        <f>'(Raw) LensesGH'!D1548</f>
        <v>0</v>
      </c>
      <c r="I1548" s="2">
        <f t="shared" si="221"/>
        <v>0</v>
      </c>
      <c r="J1548" s="2">
        <f>'(Raw) LensesGH'!E1548</f>
        <v>0</v>
      </c>
      <c r="K1548" s="40">
        <f t="shared" si="222"/>
        <v>0</v>
      </c>
      <c r="L1548">
        <f>'(Raw) LensesGH'!F1548</f>
        <v>0</v>
      </c>
      <c r="M1548">
        <f>'(Raw) LensesGH'!G1548</f>
        <v>0</v>
      </c>
      <c r="N1548">
        <f>'(Raw) LensesGH'!H1548</f>
        <v>0</v>
      </c>
      <c r="O1548" s="5">
        <f t="shared" si="223"/>
        <v>0</v>
      </c>
      <c r="P1548">
        <f>'(Raw) LensesGH'!I1548</f>
        <v>0</v>
      </c>
      <c r="Q1548" s="39">
        <f t="shared" si="224"/>
        <v>0</v>
      </c>
      <c r="R1548" s="39">
        <f t="shared" si="216"/>
        <v>0</v>
      </c>
    </row>
    <row r="1549" spans="1:18" x14ac:dyDescent="0.25">
      <c r="A1549" t="str">
        <f>'(Raw) LensesGH'!A1549</f>
        <v>Tokina AT-X Pro 100mm 2.8 Makro für Canon EF schwarz</v>
      </c>
      <c r="B1549" t="str">
        <f>'(Raw) LensesGH'!B1549</f>
        <v>100mm</v>
      </c>
      <c r="C1549" s="5">
        <f t="shared" si="217"/>
        <v>100</v>
      </c>
      <c r="D1549" s="5">
        <f t="shared" si="218"/>
        <v>100</v>
      </c>
      <c r="E1549" t="str">
        <f>'(Raw) LensesGH'!C1549</f>
        <v>1:2.8</v>
      </c>
      <c r="F1549" s="9">
        <f t="shared" si="219"/>
        <v>2.8</v>
      </c>
      <c r="G1549" s="9">
        <f t="shared" si="220"/>
        <v>2.8</v>
      </c>
      <c r="H1549" t="str">
        <f>'(Raw) LensesGH'!D1549</f>
        <v>55mm</v>
      </c>
      <c r="I1549" s="2">
        <f t="shared" si="221"/>
        <v>55</v>
      </c>
      <c r="J1549" s="2" t="str">
        <f>'(Raw) LensesGH'!E1549</f>
        <v>1:1.00</v>
      </c>
      <c r="K1549" s="40">
        <f t="shared" si="222"/>
        <v>1</v>
      </c>
      <c r="L1549" t="str">
        <f>'(Raw) LensesGH'!F1549</f>
        <v>Canon EF</v>
      </c>
      <c r="M1549" t="str">
        <f>'(Raw) LensesGH'!G1549</f>
        <v>APS-C/ Kleinbild</v>
      </c>
      <c r="N1549" t="str">
        <f>'(Raw) LensesGH'!H1549</f>
        <v>540g</v>
      </c>
      <c r="O1549" s="5">
        <f t="shared" si="223"/>
        <v>540</v>
      </c>
      <c r="P1549" t="str">
        <f>'(Raw) LensesGH'!I1549</f>
        <v>73 x 95.1mm</v>
      </c>
      <c r="Q1549" s="39">
        <f t="shared" si="224"/>
        <v>73</v>
      </c>
      <c r="R1549" s="39">
        <f t="shared" si="216"/>
        <v>95.1</v>
      </c>
    </row>
    <row r="1550" spans="1:18" x14ac:dyDescent="0.25">
      <c r="A1550" t="str">
        <f>'(Raw) LensesGH'!A1550</f>
        <v>Tokina AT-X Pro 100mm 2.8 Makro für Nikon F schwarz</v>
      </c>
      <c r="B1550" t="str">
        <f>'(Raw) LensesGH'!B1550</f>
        <v>100mm</v>
      </c>
      <c r="C1550" s="5">
        <f t="shared" si="217"/>
        <v>100</v>
      </c>
      <c r="D1550" s="5">
        <f t="shared" si="218"/>
        <v>100</v>
      </c>
      <c r="E1550" t="str">
        <f>'(Raw) LensesGH'!C1550</f>
        <v>1:2.8</v>
      </c>
      <c r="F1550" s="9">
        <f t="shared" si="219"/>
        <v>2.8</v>
      </c>
      <c r="G1550" s="9">
        <f t="shared" si="220"/>
        <v>2.8</v>
      </c>
      <c r="H1550" t="str">
        <f>'(Raw) LensesGH'!D1550</f>
        <v>55mm</v>
      </c>
      <c r="I1550" s="2">
        <f t="shared" si="221"/>
        <v>55</v>
      </c>
      <c r="J1550" s="2" t="str">
        <f>'(Raw) LensesGH'!E1550</f>
        <v>1:1.00</v>
      </c>
      <c r="K1550" s="40">
        <f t="shared" si="222"/>
        <v>1</v>
      </c>
      <c r="L1550" t="str">
        <f>'(Raw) LensesGH'!F1550</f>
        <v>Nikon F</v>
      </c>
      <c r="M1550" t="str">
        <f>'(Raw) LensesGH'!G1550</f>
        <v>APS-C/ Kleinbild</v>
      </c>
      <c r="N1550" t="str">
        <f>'(Raw) LensesGH'!H1550</f>
        <v>540g</v>
      </c>
      <c r="O1550" s="5">
        <f t="shared" si="223"/>
        <v>540</v>
      </c>
      <c r="P1550" t="str">
        <f>'(Raw) LensesGH'!I1550</f>
        <v>73 x 95.1mm</v>
      </c>
      <c r="Q1550" s="39">
        <f t="shared" si="224"/>
        <v>73</v>
      </c>
      <c r="R1550" s="39">
        <f t="shared" si="216"/>
        <v>95.1</v>
      </c>
    </row>
    <row r="1551" spans="1:18" x14ac:dyDescent="0.25">
      <c r="A1551" t="str">
        <f>'(Raw) LensesGH'!A1551</f>
        <v>Tokina AT-X Pro 11-16mm 2.8 DX für Canon EF schwarz</v>
      </c>
      <c r="B1551" t="str">
        <f>'(Raw) LensesGH'!B1551</f>
        <v>11 - 16mm</v>
      </c>
      <c r="C1551" s="5">
        <f t="shared" si="217"/>
        <v>11</v>
      </c>
      <c r="D1551" s="5">
        <f t="shared" si="218"/>
        <v>16</v>
      </c>
      <c r="E1551" t="str">
        <f>'(Raw) LensesGH'!C1551</f>
        <v>1:2.8</v>
      </c>
      <c r="F1551" s="9">
        <f t="shared" si="219"/>
        <v>2.8</v>
      </c>
      <c r="G1551" s="9">
        <f t="shared" si="220"/>
        <v>2.8</v>
      </c>
      <c r="H1551" t="str">
        <f>'(Raw) LensesGH'!D1551</f>
        <v>77mm</v>
      </c>
      <c r="I1551" s="2">
        <f t="shared" si="221"/>
        <v>77</v>
      </c>
      <c r="J1551" s="2" t="str">
        <f>'(Raw) LensesGH'!E1551</f>
        <v>1:11.60</v>
      </c>
      <c r="K1551" s="40">
        <f t="shared" si="222"/>
        <v>11.6</v>
      </c>
      <c r="L1551" t="str">
        <f>'(Raw) LensesGH'!F1551</f>
        <v>Canon EF-S</v>
      </c>
      <c r="M1551" t="str">
        <f>'(Raw) LensesGH'!G1551</f>
        <v>APS-C</v>
      </c>
      <c r="N1551" t="str">
        <f>'(Raw) LensesGH'!H1551</f>
        <v>560g</v>
      </c>
      <c r="O1551" s="5">
        <f t="shared" si="223"/>
        <v>560</v>
      </c>
      <c r="P1551" t="str">
        <f>'(Raw) LensesGH'!I1551</f>
        <v>84 x 96mm</v>
      </c>
      <c r="Q1551" s="39">
        <f t="shared" si="224"/>
        <v>84</v>
      </c>
      <c r="R1551" s="39">
        <f t="shared" si="216"/>
        <v>96</v>
      </c>
    </row>
    <row r="1552" spans="1:18" x14ac:dyDescent="0.25">
      <c r="A1552" t="str">
        <f>'(Raw) LensesGH'!A1552</f>
        <v>Tokina AT-X Pro 11-16mm 2.8 DX für Nikon F schwarz</v>
      </c>
      <c r="B1552" t="str">
        <f>'(Raw) LensesGH'!B1552</f>
        <v>11 - 16mm</v>
      </c>
      <c r="C1552" s="5">
        <f t="shared" si="217"/>
        <v>11</v>
      </c>
      <c r="D1552" s="5">
        <f t="shared" si="218"/>
        <v>16</v>
      </c>
      <c r="E1552" t="str">
        <f>'(Raw) LensesGH'!C1552</f>
        <v>1:2.8</v>
      </c>
      <c r="F1552" s="9">
        <f t="shared" si="219"/>
        <v>2.8</v>
      </c>
      <c r="G1552" s="9">
        <f t="shared" si="220"/>
        <v>2.8</v>
      </c>
      <c r="H1552" t="str">
        <f>'(Raw) LensesGH'!D1552</f>
        <v>77mm</v>
      </c>
      <c r="I1552" s="2">
        <f t="shared" si="221"/>
        <v>77</v>
      </c>
      <c r="J1552" s="2" t="str">
        <f>'(Raw) LensesGH'!E1552</f>
        <v>1:11.60</v>
      </c>
      <c r="K1552" s="40">
        <f t="shared" si="222"/>
        <v>11.6</v>
      </c>
      <c r="L1552" t="str">
        <f>'(Raw) LensesGH'!F1552</f>
        <v>Nikon F</v>
      </c>
      <c r="M1552" t="str">
        <f>'(Raw) LensesGH'!G1552</f>
        <v>APS-C</v>
      </c>
      <c r="N1552" t="str">
        <f>'(Raw) LensesGH'!H1552</f>
        <v>560g</v>
      </c>
      <c r="O1552" s="5">
        <f t="shared" si="223"/>
        <v>560</v>
      </c>
      <c r="P1552" t="str">
        <f>'(Raw) LensesGH'!I1552</f>
        <v>84 x 96mm</v>
      </c>
      <c r="Q1552" s="39">
        <f t="shared" si="224"/>
        <v>84</v>
      </c>
      <c r="R1552" s="39">
        <f t="shared" si="216"/>
        <v>96</v>
      </c>
    </row>
    <row r="1553" spans="1:18" x14ac:dyDescent="0.25">
      <c r="A1553" t="str">
        <f>'(Raw) LensesGH'!A1553</f>
        <v>Tokina AT-X Pro 11-16mm 2.8 DX für Sony A schwarz</v>
      </c>
      <c r="B1553" t="str">
        <f>'(Raw) LensesGH'!B1553</f>
        <v>11 - 16mm</v>
      </c>
      <c r="C1553" s="5">
        <f t="shared" si="217"/>
        <v>11</v>
      </c>
      <c r="D1553" s="5">
        <f t="shared" si="218"/>
        <v>16</v>
      </c>
      <c r="E1553" t="str">
        <f>'(Raw) LensesGH'!C1553</f>
        <v>1:2.8</v>
      </c>
      <c r="F1553" s="9">
        <f t="shared" si="219"/>
        <v>2.8</v>
      </c>
      <c r="G1553" s="9">
        <f t="shared" si="220"/>
        <v>2.8</v>
      </c>
      <c r="H1553" t="str">
        <f>'(Raw) LensesGH'!D1553</f>
        <v>77mm</v>
      </c>
      <c r="I1553" s="2">
        <f t="shared" si="221"/>
        <v>77</v>
      </c>
      <c r="J1553" s="2" t="str">
        <f>'(Raw) LensesGH'!E1553</f>
        <v>1:11.60</v>
      </c>
      <c r="K1553" s="40">
        <f t="shared" si="222"/>
        <v>11.6</v>
      </c>
      <c r="L1553" t="str">
        <f>'(Raw) LensesGH'!F1553</f>
        <v>Sony A</v>
      </c>
      <c r="M1553" t="str">
        <f>'(Raw) LensesGH'!G1553</f>
        <v>APS-C</v>
      </c>
      <c r="N1553" t="str">
        <f>'(Raw) LensesGH'!H1553</f>
        <v>560g</v>
      </c>
      <c r="O1553" s="5">
        <f t="shared" si="223"/>
        <v>560</v>
      </c>
      <c r="P1553" t="str">
        <f>'(Raw) LensesGH'!I1553</f>
        <v>84 x 96mm</v>
      </c>
      <c r="Q1553" s="39">
        <f t="shared" si="224"/>
        <v>84</v>
      </c>
      <c r="R1553" s="39">
        <f t="shared" si="216"/>
        <v>96</v>
      </c>
    </row>
    <row r="1554" spans="1:18" x14ac:dyDescent="0.25">
      <c r="A1554" t="str">
        <f>'(Raw) LensesGH'!A1554</f>
        <v>Tokina AT-X Pro 11-16mm 2.8 DX II für Canon EF schwarz</v>
      </c>
      <c r="B1554" t="str">
        <f>'(Raw) LensesGH'!B1554</f>
        <v>11 - 16mm</v>
      </c>
      <c r="C1554" s="5">
        <f t="shared" si="217"/>
        <v>11</v>
      </c>
      <c r="D1554" s="5">
        <f t="shared" si="218"/>
        <v>16</v>
      </c>
      <c r="E1554" t="str">
        <f>'(Raw) LensesGH'!C1554</f>
        <v>1:2.8</v>
      </c>
      <c r="F1554" s="9">
        <f t="shared" si="219"/>
        <v>2.8</v>
      </c>
      <c r="G1554" s="9">
        <f t="shared" si="220"/>
        <v>2.8</v>
      </c>
      <c r="H1554" t="str">
        <f>'(Raw) LensesGH'!D1554</f>
        <v>77mm</v>
      </c>
      <c r="I1554" s="2">
        <f t="shared" si="221"/>
        <v>77</v>
      </c>
      <c r="J1554" s="2" t="str">
        <f>'(Raw) LensesGH'!E1554</f>
        <v>1:11.60</v>
      </c>
      <c r="K1554" s="40">
        <f t="shared" si="222"/>
        <v>11.6</v>
      </c>
      <c r="L1554" t="str">
        <f>'(Raw) LensesGH'!F1554</f>
        <v>Canon EF-S</v>
      </c>
      <c r="M1554" t="str">
        <f>'(Raw) LensesGH'!G1554</f>
        <v>APS-C</v>
      </c>
      <c r="N1554" t="str">
        <f>'(Raw) LensesGH'!H1554</f>
        <v>550g</v>
      </c>
      <c r="O1554" s="5">
        <f t="shared" si="223"/>
        <v>550</v>
      </c>
      <c r="P1554" t="str">
        <f>'(Raw) LensesGH'!I1554</f>
        <v>84 x 89mm</v>
      </c>
      <c r="Q1554" s="39">
        <f t="shared" si="224"/>
        <v>84</v>
      </c>
      <c r="R1554" s="39">
        <f t="shared" si="216"/>
        <v>89</v>
      </c>
    </row>
    <row r="1555" spans="1:18" x14ac:dyDescent="0.25">
      <c r="A1555" t="str">
        <f>'(Raw) LensesGH'!A1555</f>
        <v>Tokina AT-X Pro 11-16mm 2.8 DX II für Nikon F schwarz</v>
      </c>
      <c r="B1555" t="str">
        <f>'(Raw) LensesGH'!B1555</f>
        <v>11 - 16mm</v>
      </c>
      <c r="C1555" s="5">
        <f t="shared" si="217"/>
        <v>11</v>
      </c>
      <c r="D1555" s="5">
        <f t="shared" si="218"/>
        <v>16</v>
      </c>
      <c r="E1555" t="str">
        <f>'(Raw) LensesGH'!C1555</f>
        <v>1:2.8</v>
      </c>
      <c r="F1555" s="9">
        <f t="shared" si="219"/>
        <v>2.8</v>
      </c>
      <c r="G1555" s="9">
        <f t="shared" si="220"/>
        <v>2.8</v>
      </c>
      <c r="H1555" t="str">
        <f>'(Raw) LensesGH'!D1555</f>
        <v>77mm</v>
      </c>
      <c r="I1555" s="2">
        <f t="shared" si="221"/>
        <v>77</v>
      </c>
      <c r="J1555" s="2" t="str">
        <f>'(Raw) LensesGH'!E1555</f>
        <v>1:11.60</v>
      </c>
      <c r="K1555" s="40">
        <f t="shared" si="222"/>
        <v>11.6</v>
      </c>
      <c r="L1555" t="str">
        <f>'(Raw) LensesGH'!F1555</f>
        <v>Nikon F</v>
      </c>
      <c r="M1555" t="str">
        <f>'(Raw) LensesGH'!G1555</f>
        <v>APS-C</v>
      </c>
      <c r="N1555" t="str">
        <f>'(Raw) LensesGH'!H1555</f>
        <v>550g</v>
      </c>
      <c r="O1555" s="5">
        <f t="shared" si="223"/>
        <v>550</v>
      </c>
      <c r="P1555" t="str">
        <f>'(Raw) LensesGH'!I1555</f>
        <v>84 x 89mm</v>
      </c>
      <c r="Q1555" s="39">
        <f t="shared" si="224"/>
        <v>84</v>
      </c>
      <c r="R1555" s="39">
        <f t="shared" si="216"/>
        <v>89</v>
      </c>
    </row>
    <row r="1556" spans="1:18" x14ac:dyDescent="0.25">
      <c r="A1556" t="str">
        <f>'(Raw) LensesGH'!A1556</f>
        <v>Tokina AT-X Pro 11-20mm 2.8 DX für Canon EF schwarz</v>
      </c>
      <c r="B1556" t="str">
        <f>'(Raw) LensesGH'!B1556</f>
        <v>11 - 20mm</v>
      </c>
      <c r="C1556" s="5">
        <f t="shared" si="217"/>
        <v>11</v>
      </c>
      <c r="D1556" s="5">
        <f t="shared" si="218"/>
        <v>20</v>
      </c>
      <c r="E1556" t="str">
        <f>'(Raw) LensesGH'!C1556</f>
        <v>1:2.8</v>
      </c>
      <c r="F1556" s="9">
        <f t="shared" si="219"/>
        <v>2.8</v>
      </c>
      <c r="G1556" s="9">
        <f t="shared" si="220"/>
        <v>2.8</v>
      </c>
      <c r="H1556" t="str">
        <f>'(Raw) LensesGH'!D1556</f>
        <v>82mm</v>
      </c>
      <c r="I1556" s="2">
        <f t="shared" si="221"/>
        <v>82</v>
      </c>
      <c r="J1556" s="2" t="str">
        <f>'(Raw) LensesGH'!E1556</f>
        <v>1:8.62</v>
      </c>
      <c r="K1556" s="40">
        <f t="shared" si="222"/>
        <v>8.6199999999999992</v>
      </c>
      <c r="L1556" t="str">
        <f>'(Raw) LensesGH'!F1556</f>
        <v>Canon EF-S</v>
      </c>
      <c r="M1556" t="str">
        <f>'(Raw) LensesGH'!G1556</f>
        <v>APS-C</v>
      </c>
      <c r="N1556" t="str">
        <f>'(Raw) LensesGH'!H1556</f>
        <v>560g</v>
      </c>
      <c r="O1556" s="5">
        <f t="shared" si="223"/>
        <v>560</v>
      </c>
      <c r="P1556" t="str">
        <f>'(Raw) LensesGH'!I1556</f>
        <v>89 x 92mm</v>
      </c>
      <c r="Q1556" s="39">
        <f t="shared" si="224"/>
        <v>89</v>
      </c>
      <c r="R1556" s="39">
        <f t="shared" si="216"/>
        <v>92</v>
      </c>
    </row>
    <row r="1557" spans="1:18" x14ac:dyDescent="0.25">
      <c r="A1557" t="str">
        <f>'(Raw) LensesGH'!A1557</f>
        <v>Tokina AT-X Pro 11-20mm 2.8 DX für Nikon F schwarz</v>
      </c>
      <c r="B1557" t="str">
        <f>'(Raw) LensesGH'!B1557</f>
        <v>11 - 20mm</v>
      </c>
      <c r="C1557" s="5">
        <f t="shared" si="217"/>
        <v>11</v>
      </c>
      <c r="D1557" s="5">
        <f t="shared" si="218"/>
        <v>20</v>
      </c>
      <c r="E1557" t="str">
        <f>'(Raw) LensesGH'!C1557</f>
        <v>1:2.8</v>
      </c>
      <c r="F1557" s="9">
        <f t="shared" si="219"/>
        <v>2.8</v>
      </c>
      <c r="G1557" s="9">
        <f t="shared" si="220"/>
        <v>2.8</v>
      </c>
      <c r="H1557" t="str">
        <f>'(Raw) LensesGH'!D1557</f>
        <v>82mm</v>
      </c>
      <c r="I1557" s="2">
        <f t="shared" si="221"/>
        <v>82</v>
      </c>
      <c r="J1557" s="2" t="str">
        <f>'(Raw) LensesGH'!E1557</f>
        <v>1:8.62</v>
      </c>
      <c r="K1557" s="40">
        <f t="shared" si="222"/>
        <v>8.6199999999999992</v>
      </c>
      <c r="L1557" t="str">
        <f>'(Raw) LensesGH'!F1557</f>
        <v>Nikon F</v>
      </c>
      <c r="M1557" t="str">
        <f>'(Raw) LensesGH'!G1557</f>
        <v>APS-C</v>
      </c>
      <c r="N1557" t="str">
        <f>'(Raw) LensesGH'!H1557</f>
        <v>560g</v>
      </c>
      <c r="O1557" s="5">
        <f t="shared" si="223"/>
        <v>560</v>
      </c>
      <c r="P1557" t="str">
        <f>'(Raw) LensesGH'!I1557</f>
        <v>89 x 92mm</v>
      </c>
      <c r="Q1557" s="39">
        <f t="shared" si="224"/>
        <v>89</v>
      </c>
      <c r="R1557" s="39">
        <f t="shared" si="216"/>
        <v>92</v>
      </c>
    </row>
    <row r="1558" spans="1:18" x14ac:dyDescent="0.25">
      <c r="A1558" t="str">
        <f>'(Raw) LensesGH'!A1558</f>
        <v>Tokina AT-X Pro 12-24mm 4.0 DX II für Canon EF schwarz</v>
      </c>
      <c r="B1558" t="str">
        <f>'(Raw) LensesGH'!B1558</f>
        <v>12 - 24mm</v>
      </c>
      <c r="C1558" s="5">
        <f t="shared" si="217"/>
        <v>12</v>
      </c>
      <c r="D1558" s="5">
        <f t="shared" si="218"/>
        <v>24</v>
      </c>
      <c r="E1558" t="str">
        <f>'(Raw) LensesGH'!C1558</f>
        <v>1:4.0</v>
      </c>
      <c r="F1558" s="9">
        <f t="shared" si="219"/>
        <v>4</v>
      </c>
      <c r="G1558" s="9">
        <f t="shared" si="220"/>
        <v>4</v>
      </c>
      <c r="H1558" t="str">
        <f>'(Raw) LensesGH'!D1558</f>
        <v>77mm</v>
      </c>
      <c r="I1558" s="2">
        <f t="shared" si="221"/>
        <v>77</v>
      </c>
      <c r="J1558" s="2" t="str">
        <f>'(Raw) LensesGH'!E1558</f>
        <v>1:8.00</v>
      </c>
      <c r="K1558" s="40">
        <f t="shared" si="222"/>
        <v>8</v>
      </c>
      <c r="L1558" t="str">
        <f>'(Raw) LensesGH'!F1558</f>
        <v>Canon EF-S</v>
      </c>
      <c r="M1558" t="str">
        <f>'(Raw) LensesGH'!G1558</f>
        <v>APS-C</v>
      </c>
      <c r="N1558" t="str">
        <f>'(Raw) LensesGH'!H1558</f>
        <v>540g</v>
      </c>
      <c r="O1558" s="5">
        <f t="shared" si="223"/>
        <v>540</v>
      </c>
      <c r="P1558" t="str">
        <f>'(Raw) LensesGH'!I1558</f>
        <v>84 x 89.5mm</v>
      </c>
      <c r="Q1558" s="39">
        <f t="shared" si="224"/>
        <v>84</v>
      </c>
      <c r="R1558" s="39">
        <f t="shared" si="216"/>
        <v>89.5</v>
      </c>
    </row>
    <row r="1559" spans="1:18" x14ac:dyDescent="0.25">
      <c r="A1559" t="str">
        <f>'(Raw) LensesGH'!A1559</f>
        <v>Tokina AT-X Pro 12-24mm 4.0 DX II für Nikon F schwarz</v>
      </c>
      <c r="B1559" t="str">
        <f>'(Raw) LensesGH'!B1559</f>
        <v>12 - 24mm</v>
      </c>
      <c r="C1559" s="5">
        <f t="shared" si="217"/>
        <v>12</v>
      </c>
      <c r="D1559" s="5">
        <f t="shared" si="218"/>
        <v>24</v>
      </c>
      <c r="E1559" t="str">
        <f>'(Raw) LensesGH'!C1559</f>
        <v>1:4.0</v>
      </c>
      <c r="F1559" s="9">
        <f t="shared" si="219"/>
        <v>4</v>
      </c>
      <c r="G1559" s="9">
        <f t="shared" si="220"/>
        <v>4</v>
      </c>
      <c r="H1559" t="str">
        <f>'(Raw) LensesGH'!D1559</f>
        <v>77mm</v>
      </c>
      <c r="I1559" s="2">
        <f t="shared" si="221"/>
        <v>77</v>
      </c>
      <c r="J1559" s="2" t="str">
        <f>'(Raw) LensesGH'!E1559</f>
        <v>1:8.00</v>
      </c>
      <c r="K1559" s="40">
        <f t="shared" si="222"/>
        <v>8</v>
      </c>
      <c r="L1559" t="str">
        <f>'(Raw) LensesGH'!F1559</f>
        <v>Nikon F</v>
      </c>
      <c r="M1559" t="str">
        <f>'(Raw) LensesGH'!G1559</f>
        <v>APS-C</v>
      </c>
      <c r="N1559" t="str">
        <f>'(Raw) LensesGH'!H1559</f>
        <v>540g</v>
      </c>
      <c r="O1559" s="5">
        <f t="shared" si="223"/>
        <v>540</v>
      </c>
      <c r="P1559" t="str">
        <f>'(Raw) LensesGH'!I1559</f>
        <v>84 x 89.5mm</v>
      </c>
      <c r="Q1559" s="39">
        <f t="shared" si="224"/>
        <v>84</v>
      </c>
      <c r="R1559" s="39">
        <f t="shared" si="216"/>
        <v>89.5</v>
      </c>
    </row>
    <row r="1560" spans="1:18" x14ac:dyDescent="0.25">
      <c r="A1560" t="str">
        <f>'(Raw) LensesGH'!A1560</f>
        <v>Tokina AT-X Pro 12-28mm 4.0 DX für Canon EF schwarz</v>
      </c>
      <c r="B1560" t="str">
        <f>'(Raw) LensesGH'!B1560</f>
        <v>12 - 28mm</v>
      </c>
      <c r="C1560" s="5">
        <f t="shared" si="217"/>
        <v>12</v>
      </c>
      <c r="D1560" s="5">
        <f t="shared" si="218"/>
        <v>28</v>
      </c>
      <c r="E1560" t="str">
        <f>'(Raw) LensesGH'!C1560</f>
        <v>1:4.0</v>
      </c>
      <c r="F1560" s="9">
        <f t="shared" si="219"/>
        <v>4</v>
      </c>
      <c r="G1560" s="9">
        <f t="shared" si="220"/>
        <v>4</v>
      </c>
      <c r="H1560" t="str">
        <f>'(Raw) LensesGH'!D1560</f>
        <v>77mm</v>
      </c>
      <c r="I1560" s="2">
        <f t="shared" si="221"/>
        <v>77</v>
      </c>
      <c r="J1560" s="2" t="str">
        <f>'(Raw) LensesGH'!E1560</f>
        <v>1:4.94</v>
      </c>
      <c r="K1560" s="40">
        <f t="shared" si="222"/>
        <v>4.9400000000000004</v>
      </c>
      <c r="L1560" t="str">
        <f>'(Raw) LensesGH'!F1560</f>
        <v>Canon EF-S</v>
      </c>
      <c r="M1560" t="str">
        <f>'(Raw) LensesGH'!G1560</f>
        <v>APS-C</v>
      </c>
      <c r="N1560" t="str">
        <f>'(Raw) LensesGH'!H1560</f>
        <v>600g</v>
      </c>
      <c r="O1560" s="5">
        <f t="shared" si="223"/>
        <v>600</v>
      </c>
      <c r="P1560" t="str">
        <f>'(Raw) LensesGH'!I1560</f>
        <v>84 x 90.2mm</v>
      </c>
      <c r="Q1560" s="39">
        <f t="shared" si="224"/>
        <v>84</v>
      </c>
      <c r="R1560" s="39">
        <f t="shared" si="216"/>
        <v>90.2</v>
      </c>
    </row>
    <row r="1561" spans="1:18" x14ac:dyDescent="0.25">
      <c r="A1561" t="str">
        <f>'(Raw) LensesGH'!A1561</f>
        <v>Tokina AT-X Pro 12-28mm 4.0 DX für Nikon F schwarz</v>
      </c>
      <c r="B1561" t="str">
        <f>'(Raw) LensesGH'!B1561</f>
        <v>12 - 28mm</v>
      </c>
      <c r="C1561" s="5">
        <f t="shared" si="217"/>
        <v>12</v>
      </c>
      <c r="D1561" s="5">
        <f t="shared" si="218"/>
        <v>28</v>
      </c>
      <c r="E1561" t="str">
        <f>'(Raw) LensesGH'!C1561</f>
        <v>1:4.0</v>
      </c>
      <c r="F1561" s="9">
        <f t="shared" si="219"/>
        <v>4</v>
      </c>
      <c r="G1561" s="9">
        <f t="shared" si="220"/>
        <v>4</v>
      </c>
      <c r="H1561" t="str">
        <f>'(Raw) LensesGH'!D1561</f>
        <v>77mm</v>
      </c>
      <c r="I1561" s="2">
        <f t="shared" si="221"/>
        <v>77</v>
      </c>
      <c r="J1561" s="2" t="str">
        <f>'(Raw) LensesGH'!E1561</f>
        <v>1:4.94</v>
      </c>
      <c r="K1561" s="40">
        <f t="shared" si="222"/>
        <v>4.9400000000000004</v>
      </c>
      <c r="L1561" t="str">
        <f>'(Raw) LensesGH'!F1561</f>
        <v>Nikon F</v>
      </c>
      <c r="M1561" t="str">
        <f>'(Raw) LensesGH'!G1561</f>
        <v>APS-C</v>
      </c>
      <c r="N1561" t="str">
        <f>'(Raw) LensesGH'!H1561</f>
        <v>600g</v>
      </c>
      <c r="O1561" s="5">
        <f t="shared" si="223"/>
        <v>600</v>
      </c>
      <c r="P1561" t="str">
        <f>'(Raw) LensesGH'!I1561</f>
        <v>84 x 90.2mm</v>
      </c>
      <c r="Q1561" s="39">
        <f t="shared" si="224"/>
        <v>84</v>
      </c>
      <c r="R1561" s="39">
        <f t="shared" si="216"/>
        <v>90.2</v>
      </c>
    </row>
    <row r="1562" spans="1:18" x14ac:dyDescent="0.25">
      <c r="A1562" t="str">
        <f>'(Raw) LensesGH'!A1562</f>
        <v>Tokina AT-X Pro 14-20mm 2.0 DX für Canon EF schwarz</v>
      </c>
      <c r="B1562" t="str">
        <f>'(Raw) LensesGH'!B1562</f>
        <v>14 - 20mm</v>
      </c>
      <c r="C1562" s="5">
        <f t="shared" si="217"/>
        <v>14</v>
      </c>
      <c r="D1562" s="5">
        <f t="shared" si="218"/>
        <v>20</v>
      </c>
      <c r="E1562" t="str">
        <f>'(Raw) LensesGH'!C1562</f>
        <v>1:2.0</v>
      </c>
      <c r="F1562" s="9">
        <f t="shared" si="219"/>
        <v>2</v>
      </c>
      <c r="G1562" s="9">
        <f t="shared" si="220"/>
        <v>2</v>
      </c>
      <c r="H1562" t="str">
        <f>'(Raw) LensesGH'!D1562</f>
        <v>82mm</v>
      </c>
      <c r="I1562" s="2">
        <f t="shared" si="221"/>
        <v>82</v>
      </c>
      <c r="J1562" s="2" t="str">
        <f>'(Raw) LensesGH'!E1562</f>
        <v>1:8.36</v>
      </c>
      <c r="K1562" s="40">
        <f t="shared" si="222"/>
        <v>8.36</v>
      </c>
      <c r="L1562" t="str">
        <f>'(Raw) LensesGH'!F1562</f>
        <v>Canon EF-S</v>
      </c>
      <c r="M1562" t="str">
        <f>'(Raw) LensesGH'!G1562</f>
        <v>APS-C</v>
      </c>
      <c r="N1562" t="str">
        <f>'(Raw) LensesGH'!H1562</f>
        <v>725g</v>
      </c>
      <c r="O1562" s="5">
        <f t="shared" si="223"/>
        <v>725</v>
      </c>
      <c r="P1562" t="str">
        <f>'(Raw) LensesGH'!I1562</f>
        <v>89 x 106mm</v>
      </c>
      <c r="Q1562" s="39">
        <f t="shared" si="224"/>
        <v>89</v>
      </c>
      <c r="R1562" s="39">
        <f t="shared" si="216"/>
        <v>106</v>
      </c>
    </row>
    <row r="1563" spans="1:18" x14ac:dyDescent="0.25">
      <c r="A1563" t="str">
        <f>'(Raw) LensesGH'!A1563</f>
        <v>Tokina AT-X Pro 14-20mm 2.0 DX für Nikon F schwarz</v>
      </c>
      <c r="B1563" t="str">
        <f>'(Raw) LensesGH'!B1563</f>
        <v>14 - 20mm</v>
      </c>
      <c r="C1563" s="5">
        <f t="shared" si="217"/>
        <v>14</v>
      </c>
      <c r="D1563" s="5">
        <f t="shared" si="218"/>
        <v>20</v>
      </c>
      <c r="E1563" t="str">
        <f>'(Raw) LensesGH'!C1563</f>
        <v>1:2.0</v>
      </c>
      <c r="F1563" s="9">
        <f t="shared" si="219"/>
        <v>2</v>
      </c>
      <c r="G1563" s="9">
        <f t="shared" si="220"/>
        <v>2</v>
      </c>
      <c r="H1563" t="str">
        <f>'(Raw) LensesGH'!D1563</f>
        <v>82mm</v>
      </c>
      <c r="I1563" s="2">
        <f t="shared" si="221"/>
        <v>82</v>
      </c>
      <c r="J1563" s="2" t="str">
        <f>'(Raw) LensesGH'!E1563</f>
        <v>1:8.36</v>
      </c>
      <c r="K1563" s="40">
        <f t="shared" si="222"/>
        <v>8.36</v>
      </c>
      <c r="L1563" t="str">
        <f>'(Raw) LensesGH'!F1563</f>
        <v>Nikon F</v>
      </c>
      <c r="M1563" t="str">
        <f>'(Raw) LensesGH'!G1563</f>
        <v>APS-C</v>
      </c>
      <c r="N1563" t="str">
        <f>'(Raw) LensesGH'!H1563</f>
        <v>725g</v>
      </c>
      <c r="O1563" s="5">
        <f t="shared" si="223"/>
        <v>725</v>
      </c>
      <c r="P1563" t="str">
        <f>'(Raw) LensesGH'!I1563</f>
        <v>89 x 106mm</v>
      </c>
      <c r="Q1563" s="39">
        <f t="shared" si="224"/>
        <v>89</v>
      </c>
      <c r="R1563" s="39">
        <f t="shared" si="216"/>
        <v>106</v>
      </c>
    </row>
    <row r="1564" spans="1:18" x14ac:dyDescent="0.25">
      <c r="A1564" t="str">
        <f>'(Raw) LensesGH'!A1564</f>
        <v>Tokina AT-X Pro 16-28mm 2.8 FX für Canon EF schwarz</v>
      </c>
      <c r="B1564" t="str">
        <f>'(Raw) LensesGH'!B1564</f>
        <v>16 - 28mm</v>
      </c>
      <c r="C1564" s="5">
        <f t="shared" si="217"/>
        <v>16</v>
      </c>
      <c r="D1564" s="5">
        <f t="shared" si="218"/>
        <v>28</v>
      </c>
      <c r="E1564" t="str">
        <f>'(Raw) LensesGH'!C1564</f>
        <v>1:2.8</v>
      </c>
      <c r="F1564" s="9">
        <f t="shared" si="219"/>
        <v>2.8</v>
      </c>
      <c r="G1564" s="9">
        <f t="shared" si="220"/>
        <v>2.8</v>
      </c>
      <c r="H1564">
        <f>'(Raw) LensesGH'!D1564</f>
        <v>0</v>
      </c>
      <c r="I1564" s="2">
        <f t="shared" si="221"/>
        <v>0</v>
      </c>
      <c r="J1564" s="2" t="str">
        <f>'(Raw) LensesGH'!E1564</f>
        <v>1:5.62</v>
      </c>
      <c r="K1564" s="40">
        <f t="shared" si="222"/>
        <v>5.62</v>
      </c>
      <c r="L1564" t="str">
        <f>'(Raw) LensesGH'!F1564</f>
        <v>Canon EF</v>
      </c>
      <c r="M1564" t="str">
        <f>'(Raw) LensesGH'!G1564</f>
        <v>APS-C/ Kleinbild</v>
      </c>
      <c r="N1564" t="str">
        <f>'(Raw) LensesGH'!H1564</f>
        <v>950g</v>
      </c>
      <c r="O1564" s="5">
        <f t="shared" si="223"/>
        <v>950</v>
      </c>
      <c r="P1564" t="str">
        <f>'(Raw) LensesGH'!I1564</f>
        <v>90 x 133.3mm</v>
      </c>
      <c r="Q1564" s="39">
        <f t="shared" si="224"/>
        <v>90</v>
      </c>
      <c r="R1564" s="39">
        <f t="shared" si="216"/>
        <v>133.30000000000001</v>
      </c>
    </row>
    <row r="1565" spans="1:18" x14ac:dyDescent="0.25">
      <c r="A1565" t="str">
        <f>'(Raw) LensesGH'!A1565</f>
        <v>Tokina AT-X Pro 16-28mm 2.8 FX für Nikon F schwarz</v>
      </c>
      <c r="B1565" t="str">
        <f>'(Raw) LensesGH'!B1565</f>
        <v>16 - 28mm</v>
      </c>
      <c r="C1565" s="5">
        <f t="shared" si="217"/>
        <v>16</v>
      </c>
      <c r="D1565" s="5">
        <f t="shared" si="218"/>
        <v>28</v>
      </c>
      <c r="E1565" t="str">
        <f>'(Raw) LensesGH'!C1565</f>
        <v>1:2.8</v>
      </c>
      <c r="F1565" s="9">
        <f t="shared" si="219"/>
        <v>2.8</v>
      </c>
      <c r="G1565" s="9">
        <f t="shared" si="220"/>
        <v>2.8</v>
      </c>
      <c r="H1565">
        <f>'(Raw) LensesGH'!D1565</f>
        <v>0</v>
      </c>
      <c r="I1565" s="2">
        <f t="shared" si="221"/>
        <v>0</v>
      </c>
      <c r="J1565" s="2" t="str">
        <f>'(Raw) LensesGH'!E1565</f>
        <v>1:5.62</v>
      </c>
      <c r="K1565" s="40">
        <f t="shared" si="222"/>
        <v>5.62</v>
      </c>
      <c r="L1565" t="str">
        <f>'(Raw) LensesGH'!F1565</f>
        <v>Nikon F</v>
      </c>
      <c r="M1565" t="str">
        <f>'(Raw) LensesGH'!G1565</f>
        <v>APS-C/ Kleinbild</v>
      </c>
      <c r="N1565" t="str">
        <f>'(Raw) LensesGH'!H1565</f>
        <v>950g</v>
      </c>
      <c r="O1565" s="5">
        <f t="shared" si="223"/>
        <v>950</v>
      </c>
      <c r="P1565" t="str">
        <f>'(Raw) LensesGH'!I1565</f>
        <v>90 x 133.3mm</v>
      </c>
      <c r="Q1565" s="39">
        <f t="shared" si="224"/>
        <v>90</v>
      </c>
      <c r="R1565" s="39">
        <f t="shared" si="216"/>
        <v>133.30000000000001</v>
      </c>
    </row>
    <row r="1566" spans="1:18" x14ac:dyDescent="0.25">
      <c r="A1566" t="str">
        <f>'(Raw) LensesGH'!A1566</f>
        <v>Tokina AT-X Pro 24-70mm 2.8 FX für Canon EF schwarz</v>
      </c>
      <c r="B1566" t="str">
        <f>'(Raw) LensesGH'!B1566</f>
        <v>24 - 70mm</v>
      </c>
      <c r="C1566" s="5">
        <f t="shared" si="217"/>
        <v>24</v>
      </c>
      <c r="D1566" s="5">
        <f t="shared" si="218"/>
        <v>70</v>
      </c>
      <c r="E1566" t="str">
        <f>'(Raw) LensesGH'!C1566</f>
        <v>1:2.8</v>
      </c>
      <c r="F1566" s="9">
        <f t="shared" si="219"/>
        <v>2.8</v>
      </c>
      <c r="G1566" s="9">
        <f t="shared" si="220"/>
        <v>2.8</v>
      </c>
      <c r="H1566" t="str">
        <f>'(Raw) LensesGH'!D1566</f>
        <v>82mm</v>
      </c>
      <c r="I1566" s="2">
        <f t="shared" si="221"/>
        <v>82</v>
      </c>
      <c r="J1566" s="2" t="str">
        <f>'(Raw) LensesGH'!E1566</f>
        <v>1:4.73</v>
      </c>
      <c r="K1566" s="40">
        <f t="shared" si="222"/>
        <v>4.7300000000000004</v>
      </c>
      <c r="L1566" t="str">
        <f>'(Raw) LensesGH'!F1566</f>
        <v>Canon EF</v>
      </c>
      <c r="M1566" t="str">
        <f>'(Raw) LensesGH'!G1566</f>
        <v>APS-C/ Kleinbild</v>
      </c>
      <c r="N1566" t="str">
        <f>'(Raw) LensesGH'!H1566</f>
        <v>1010g</v>
      </c>
      <c r="O1566" s="5">
        <f t="shared" si="223"/>
        <v>1010</v>
      </c>
      <c r="P1566" t="str">
        <f>'(Raw) LensesGH'!I1566</f>
        <v>89.6 x 107.5mm</v>
      </c>
      <c r="Q1566" s="39">
        <f t="shared" si="224"/>
        <v>89.6</v>
      </c>
      <c r="R1566" s="39">
        <f t="shared" si="216"/>
        <v>107.5</v>
      </c>
    </row>
    <row r="1567" spans="1:18" x14ac:dyDescent="0.25">
      <c r="A1567" t="str">
        <f>'(Raw) LensesGH'!A1567</f>
        <v>Tokina AT-X Pro 24-70mm 2.8 FX für Nikon F schwarz</v>
      </c>
      <c r="B1567" t="str">
        <f>'(Raw) LensesGH'!B1567</f>
        <v>24 - 70mm</v>
      </c>
      <c r="C1567" s="5">
        <f t="shared" si="217"/>
        <v>24</v>
      </c>
      <c r="D1567" s="5">
        <f t="shared" si="218"/>
        <v>70</v>
      </c>
      <c r="E1567" t="str">
        <f>'(Raw) LensesGH'!C1567</f>
        <v>1:2.8</v>
      </c>
      <c r="F1567" s="9">
        <f t="shared" si="219"/>
        <v>2.8</v>
      </c>
      <c r="G1567" s="9">
        <f t="shared" si="220"/>
        <v>2.8</v>
      </c>
      <c r="H1567" t="str">
        <f>'(Raw) LensesGH'!D1567</f>
        <v>82mm</v>
      </c>
      <c r="I1567" s="2">
        <f t="shared" si="221"/>
        <v>82</v>
      </c>
      <c r="J1567" s="2" t="str">
        <f>'(Raw) LensesGH'!E1567</f>
        <v>1:4.73</v>
      </c>
      <c r="K1567" s="40">
        <f t="shared" si="222"/>
        <v>4.7300000000000004</v>
      </c>
      <c r="L1567" t="str">
        <f>'(Raw) LensesGH'!F1567</f>
        <v>Nikon F</v>
      </c>
      <c r="M1567" t="str">
        <f>'(Raw) LensesGH'!G1567</f>
        <v>APS-C/ Kleinbild</v>
      </c>
      <c r="N1567" t="str">
        <f>'(Raw) LensesGH'!H1567</f>
        <v>1010g</v>
      </c>
      <c r="O1567" s="5">
        <f t="shared" si="223"/>
        <v>1010</v>
      </c>
      <c r="P1567" t="str">
        <f>'(Raw) LensesGH'!I1567</f>
        <v>89.6 x 107.5mm</v>
      </c>
      <c r="Q1567" s="39">
        <f t="shared" si="224"/>
        <v>89.6</v>
      </c>
      <c r="R1567" s="39">
        <f t="shared" si="216"/>
        <v>107.5</v>
      </c>
    </row>
    <row r="1568" spans="1:18" x14ac:dyDescent="0.25">
      <c r="A1568" t="str">
        <f>'(Raw) LensesGH'!A1568</f>
        <v>Tokina AT-X Pro 35mm 2.8 DX Makro für Canon EF schwarz</v>
      </c>
      <c r="B1568" t="str">
        <f>'(Raw) LensesGH'!B1568</f>
        <v>35mm</v>
      </c>
      <c r="C1568" s="5">
        <f t="shared" si="217"/>
        <v>35</v>
      </c>
      <c r="D1568" s="5">
        <f t="shared" si="218"/>
        <v>35</v>
      </c>
      <c r="E1568" t="str">
        <f>'(Raw) LensesGH'!C1568</f>
        <v>1:2.8</v>
      </c>
      <c r="F1568" s="9">
        <f t="shared" si="219"/>
        <v>2.8</v>
      </c>
      <c r="G1568" s="9">
        <f t="shared" si="220"/>
        <v>2.8</v>
      </c>
      <c r="H1568" t="str">
        <f>'(Raw) LensesGH'!D1568</f>
        <v>52mm</v>
      </c>
      <c r="I1568" s="2">
        <f t="shared" si="221"/>
        <v>52</v>
      </c>
      <c r="J1568" s="2" t="str">
        <f>'(Raw) LensesGH'!E1568</f>
        <v>1:1.00</v>
      </c>
      <c r="K1568" s="40">
        <f t="shared" si="222"/>
        <v>1</v>
      </c>
      <c r="L1568" t="str">
        <f>'(Raw) LensesGH'!F1568</f>
        <v>Canon EF-S</v>
      </c>
      <c r="M1568" t="str">
        <f>'(Raw) LensesGH'!G1568</f>
        <v>APS-C</v>
      </c>
      <c r="N1568" t="str">
        <f>'(Raw) LensesGH'!H1568</f>
        <v>340g</v>
      </c>
      <c r="O1568" s="5">
        <f t="shared" si="223"/>
        <v>340</v>
      </c>
      <c r="P1568" t="str">
        <f>'(Raw) LensesGH'!I1568</f>
        <v>73.2 x 60.4mm</v>
      </c>
      <c r="Q1568" s="39">
        <f t="shared" si="224"/>
        <v>73.2</v>
      </c>
      <c r="R1568" s="39">
        <f t="shared" si="216"/>
        <v>60.4</v>
      </c>
    </row>
    <row r="1569" spans="1:18" x14ac:dyDescent="0.25">
      <c r="A1569" t="str">
        <f>'(Raw) LensesGH'!A1569</f>
        <v>Tokina AT-X Pro 70-200mm 4.0 FX VCM-S für Nikon F schwarz</v>
      </c>
      <c r="B1569" t="str">
        <f>'(Raw) LensesGH'!B1569</f>
        <v>70 - 200mm</v>
      </c>
      <c r="C1569" s="5">
        <f t="shared" si="217"/>
        <v>70</v>
      </c>
      <c r="D1569" s="5">
        <f t="shared" si="218"/>
        <v>200</v>
      </c>
      <c r="E1569" t="str">
        <f>'(Raw) LensesGH'!C1569</f>
        <v>1:4.0</v>
      </c>
      <c r="F1569" s="9">
        <f t="shared" si="219"/>
        <v>4</v>
      </c>
      <c r="G1569" s="9">
        <f t="shared" si="220"/>
        <v>4</v>
      </c>
      <c r="H1569" t="str">
        <f>'(Raw) LensesGH'!D1569</f>
        <v>67mm</v>
      </c>
      <c r="I1569" s="2">
        <f t="shared" si="221"/>
        <v>67</v>
      </c>
      <c r="J1569" s="2" t="str">
        <f>'(Raw) LensesGH'!E1569</f>
        <v>1:3.57</v>
      </c>
      <c r="K1569" s="40">
        <f t="shared" si="222"/>
        <v>3.57</v>
      </c>
      <c r="L1569" t="str">
        <f>'(Raw) LensesGH'!F1569</f>
        <v>Nikon F</v>
      </c>
      <c r="M1569" t="str">
        <f>'(Raw) LensesGH'!G1569</f>
        <v>APS-C/ Kleinbild</v>
      </c>
      <c r="N1569" t="str">
        <f>'(Raw) LensesGH'!H1569</f>
        <v>980g</v>
      </c>
      <c r="O1569" s="5">
        <f t="shared" si="223"/>
        <v>980</v>
      </c>
      <c r="P1569" t="str">
        <f>'(Raw) LensesGH'!I1569</f>
        <v>82 x 167.5mm</v>
      </c>
      <c r="Q1569" s="39">
        <f t="shared" si="224"/>
        <v>82</v>
      </c>
      <c r="R1569" s="39">
        <f t="shared" si="216"/>
        <v>167.5</v>
      </c>
    </row>
    <row r="1570" spans="1:18" x14ac:dyDescent="0.25">
      <c r="A1570" t="str">
        <f>'(Raw) LensesGH'!A1570</f>
        <v>Tokina FiRIN 20mm 2.0 FE MF für Sony E schwarz</v>
      </c>
      <c r="B1570" t="str">
        <f>'(Raw) LensesGH'!B1570</f>
        <v>20mm</v>
      </c>
      <c r="C1570" s="5">
        <f t="shared" si="217"/>
        <v>20</v>
      </c>
      <c r="D1570" s="5">
        <f t="shared" si="218"/>
        <v>20</v>
      </c>
      <c r="E1570" t="str">
        <f>'(Raw) LensesGH'!C1570</f>
        <v>1:2.0</v>
      </c>
      <c r="F1570" s="9">
        <f t="shared" si="219"/>
        <v>2</v>
      </c>
      <c r="G1570" s="9">
        <f t="shared" si="220"/>
        <v>2</v>
      </c>
      <c r="H1570" t="str">
        <f>'(Raw) LensesGH'!D1570</f>
        <v>62mm</v>
      </c>
      <c r="I1570" s="2">
        <f t="shared" si="221"/>
        <v>62</v>
      </c>
      <c r="J1570" s="2" t="str">
        <f>'(Raw) LensesGH'!E1570</f>
        <v>1:10.29</v>
      </c>
      <c r="K1570" s="40">
        <f t="shared" si="222"/>
        <v>10.29</v>
      </c>
      <c r="L1570" t="str">
        <f>'(Raw) LensesGH'!F1570</f>
        <v>Sony E</v>
      </c>
      <c r="M1570" t="str">
        <f>'(Raw) LensesGH'!G1570</f>
        <v>APS-C/ Kleinbild</v>
      </c>
      <c r="N1570" t="str">
        <f>'(Raw) LensesGH'!H1570</f>
        <v>490g</v>
      </c>
      <c r="O1570" s="5">
        <f t="shared" si="223"/>
        <v>490</v>
      </c>
      <c r="P1570" t="str">
        <f>'(Raw) LensesGH'!I1570</f>
        <v>69 x 81.5mm</v>
      </c>
      <c r="Q1570" s="39">
        <f t="shared" si="224"/>
        <v>69</v>
      </c>
      <c r="R1570" s="39">
        <f t="shared" si="216"/>
        <v>81.5</v>
      </c>
    </row>
    <row r="1571" spans="1:18" x14ac:dyDescent="0.25">
      <c r="A1571" t="str">
        <f>'(Raw) LensesGH'!A1571</f>
        <v>Tokina Reflex 300mm 6.3 MF Makro für Micro-Four-Thirds silber</v>
      </c>
      <c r="B1571" t="str">
        <f>'(Raw) LensesGH'!B1571</f>
        <v>300mm</v>
      </c>
      <c r="C1571" s="5">
        <f t="shared" si="217"/>
        <v>300</v>
      </c>
      <c r="D1571" s="5">
        <f t="shared" si="218"/>
        <v>300</v>
      </c>
      <c r="E1571" t="str">
        <f>'(Raw) LensesGH'!C1571</f>
        <v>1:6.3</v>
      </c>
      <c r="F1571" s="9">
        <f t="shared" si="219"/>
        <v>6.3</v>
      </c>
      <c r="G1571" s="9">
        <f t="shared" si="220"/>
        <v>6.3</v>
      </c>
      <c r="H1571" t="str">
        <f>'(Raw) LensesGH'!D1571</f>
        <v>55mm</v>
      </c>
      <c r="I1571" s="2">
        <f t="shared" si="221"/>
        <v>55</v>
      </c>
      <c r="J1571" s="2" t="str">
        <f>'(Raw) LensesGH'!E1571</f>
        <v>1:2.00</v>
      </c>
      <c r="K1571" s="40">
        <f t="shared" si="222"/>
        <v>2</v>
      </c>
      <c r="L1571" t="str">
        <f>'(Raw) LensesGH'!F1571</f>
        <v>Micro-Four-Thirds</v>
      </c>
      <c r="M1571" t="str">
        <f>'(Raw) LensesGH'!G1571</f>
        <v>Four-Thirds</v>
      </c>
      <c r="N1571" t="str">
        <f>'(Raw) LensesGH'!H1571</f>
        <v>298g</v>
      </c>
      <c r="O1571" s="5">
        <f t="shared" si="223"/>
        <v>298</v>
      </c>
      <c r="P1571" t="str">
        <f>'(Raw) LensesGH'!I1571</f>
        <v>55 x 66mm</v>
      </c>
      <c r="Q1571" s="39">
        <f t="shared" si="224"/>
        <v>55</v>
      </c>
      <c r="R1571" s="39">
        <f t="shared" si="216"/>
        <v>66</v>
      </c>
    </row>
    <row r="1572" spans="1:18" x14ac:dyDescent="0.25">
      <c r="A1572" t="str">
        <f>'(Raw) LensesGH'!A1572</f>
        <v>Veydra Mini Prime 12mm T2.2 für Micro-Four-Thirds schwarz</v>
      </c>
      <c r="B1572" t="str">
        <f>'(Raw) LensesGH'!B1572</f>
        <v>12mm</v>
      </c>
      <c r="C1572" s="5">
        <f t="shared" si="217"/>
        <v>12</v>
      </c>
      <c r="D1572" s="5">
        <f t="shared" si="218"/>
        <v>12</v>
      </c>
      <c r="E1572" t="str">
        <f>'(Raw) LensesGH'!C1572</f>
        <v>1:2.2</v>
      </c>
      <c r="F1572" s="9">
        <f t="shared" si="219"/>
        <v>2.2000000000000002</v>
      </c>
      <c r="G1572" s="9">
        <f t="shared" si="220"/>
        <v>2.2000000000000002</v>
      </c>
      <c r="H1572" t="str">
        <f>'(Raw) LensesGH'!D1572</f>
        <v>77mm</v>
      </c>
      <c r="I1572" s="2">
        <f t="shared" si="221"/>
        <v>77</v>
      </c>
      <c r="J1572" s="2">
        <f>'(Raw) LensesGH'!E1572</f>
        <v>0</v>
      </c>
      <c r="K1572" s="40">
        <f t="shared" si="222"/>
        <v>0</v>
      </c>
      <c r="L1572" t="str">
        <f>'(Raw) LensesGH'!F1572</f>
        <v>Micro-Four-Thirds</v>
      </c>
      <c r="M1572" t="str">
        <f>'(Raw) LensesGH'!G1572</f>
        <v>APS-C/ Kleinbild</v>
      </c>
      <c r="N1572" t="str">
        <f>'(Raw) LensesGH'!H1572</f>
        <v>544g</v>
      </c>
      <c r="O1572" s="5">
        <f t="shared" si="223"/>
        <v>544</v>
      </c>
      <c r="P1572">
        <f>'(Raw) LensesGH'!I1572</f>
        <v>0</v>
      </c>
      <c r="Q1572" s="39">
        <f t="shared" si="224"/>
        <v>0</v>
      </c>
      <c r="R1572" s="39">
        <f t="shared" si="216"/>
        <v>0</v>
      </c>
    </row>
    <row r="1573" spans="1:18" x14ac:dyDescent="0.25">
      <c r="A1573" t="str">
        <f>'(Raw) LensesGH'!A1573</f>
        <v>Veydra Mini Prime 16mm T2.2 für Micro-Four-Thirds schwarz</v>
      </c>
      <c r="B1573" t="str">
        <f>'(Raw) LensesGH'!B1573</f>
        <v>16mm</v>
      </c>
      <c r="C1573" s="5">
        <f t="shared" si="217"/>
        <v>16</v>
      </c>
      <c r="D1573" s="5">
        <f t="shared" si="218"/>
        <v>16</v>
      </c>
      <c r="E1573" t="str">
        <f>'(Raw) LensesGH'!C1573</f>
        <v>1:2.2</v>
      </c>
      <c r="F1573" s="9">
        <f t="shared" si="219"/>
        <v>2.2000000000000002</v>
      </c>
      <c r="G1573" s="9">
        <f t="shared" si="220"/>
        <v>2.2000000000000002</v>
      </c>
      <c r="H1573" t="str">
        <f>'(Raw) LensesGH'!D1573</f>
        <v>77mm</v>
      </c>
      <c r="I1573" s="2">
        <f t="shared" si="221"/>
        <v>77</v>
      </c>
      <c r="J1573" s="2">
        <f>'(Raw) LensesGH'!E1573</f>
        <v>0</v>
      </c>
      <c r="K1573" s="40">
        <f t="shared" si="222"/>
        <v>0</v>
      </c>
      <c r="L1573" t="str">
        <f>'(Raw) LensesGH'!F1573</f>
        <v>Micro-Four-Thirds</v>
      </c>
      <c r="M1573" t="str">
        <f>'(Raw) LensesGH'!G1573</f>
        <v>APS-C/ Kleinbild</v>
      </c>
      <c r="N1573" t="str">
        <f>'(Raw) LensesGH'!H1573</f>
        <v>544g</v>
      </c>
      <c r="O1573" s="5">
        <f t="shared" si="223"/>
        <v>544</v>
      </c>
      <c r="P1573">
        <f>'(Raw) LensesGH'!I1573</f>
        <v>0</v>
      </c>
      <c r="Q1573" s="39">
        <f t="shared" si="224"/>
        <v>0</v>
      </c>
      <c r="R1573" s="39">
        <f t="shared" si="216"/>
        <v>0</v>
      </c>
    </row>
    <row r="1574" spans="1:18" x14ac:dyDescent="0.25">
      <c r="A1574" t="str">
        <f>'(Raw) LensesGH'!A1574</f>
        <v>Veydra Mini Prime 25mm T2.2 für Micro-Four-Thirds schwarz</v>
      </c>
      <c r="B1574" t="str">
        <f>'(Raw) LensesGH'!B1574</f>
        <v>25mm</v>
      </c>
      <c r="C1574" s="5">
        <f t="shared" si="217"/>
        <v>25</v>
      </c>
      <c r="D1574" s="5">
        <f t="shared" si="218"/>
        <v>25</v>
      </c>
      <c r="E1574" t="str">
        <f>'(Raw) LensesGH'!C1574</f>
        <v>1:2.2</v>
      </c>
      <c r="F1574" s="9">
        <f t="shared" si="219"/>
        <v>2.2000000000000002</v>
      </c>
      <c r="G1574" s="9">
        <f t="shared" si="220"/>
        <v>2.2000000000000002</v>
      </c>
      <c r="H1574" t="str">
        <f>'(Raw) LensesGH'!D1574</f>
        <v>77mm</v>
      </c>
      <c r="I1574" s="2">
        <f t="shared" si="221"/>
        <v>77</v>
      </c>
      <c r="J1574" s="2">
        <f>'(Raw) LensesGH'!E1574</f>
        <v>0</v>
      </c>
      <c r="K1574" s="40">
        <f t="shared" si="222"/>
        <v>0</v>
      </c>
      <c r="L1574" t="str">
        <f>'(Raw) LensesGH'!F1574</f>
        <v>Micro-Four-Thirds</v>
      </c>
      <c r="M1574" t="str">
        <f>'(Raw) LensesGH'!G1574</f>
        <v>APS-C</v>
      </c>
      <c r="N1574" t="str">
        <f>'(Raw) LensesGH'!H1574</f>
        <v>499g</v>
      </c>
      <c r="O1574" s="5">
        <f t="shared" si="223"/>
        <v>499</v>
      </c>
      <c r="P1574">
        <f>'(Raw) LensesGH'!I1574</f>
        <v>0</v>
      </c>
      <c r="Q1574" s="39">
        <f t="shared" si="224"/>
        <v>0</v>
      </c>
      <c r="R1574" s="39">
        <f t="shared" si="216"/>
        <v>0</v>
      </c>
    </row>
    <row r="1575" spans="1:18" x14ac:dyDescent="0.25">
      <c r="A1575" t="str">
        <f>'(Raw) LensesGH'!A1575</f>
        <v>Veydra Mini Prime 25mm T2.2 für Sony E schwarz</v>
      </c>
      <c r="B1575" t="str">
        <f>'(Raw) LensesGH'!B1575</f>
        <v>25mm</v>
      </c>
      <c r="C1575" s="5">
        <f t="shared" si="217"/>
        <v>25</v>
      </c>
      <c r="D1575" s="5">
        <f t="shared" si="218"/>
        <v>25</v>
      </c>
      <c r="E1575" t="str">
        <f>'(Raw) LensesGH'!C1575</f>
        <v>1:2.2</v>
      </c>
      <c r="F1575" s="9">
        <f t="shared" si="219"/>
        <v>2.2000000000000002</v>
      </c>
      <c r="G1575" s="9">
        <f t="shared" si="220"/>
        <v>2.2000000000000002</v>
      </c>
      <c r="H1575" t="str">
        <f>'(Raw) LensesGH'!D1575</f>
        <v>77mm</v>
      </c>
      <c r="I1575" s="2">
        <f t="shared" si="221"/>
        <v>77</v>
      </c>
      <c r="J1575" s="2">
        <f>'(Raw) LensesGH'!E1575</f>
        <v>0</v>
      </c>
      <c r="K1575" s="40">
        <f t="shared" si="222"/>
        <v>0</v>
      </c>
      <c r="L1575" t="str">
        <f>'(Raw) LensesGH'!F1575</f>
        <v>Sony E</v>
      </c>
      <c r="M1575" t="str">
        <f>'(Raw) LensesGH'!G1575</f>
        <v>APS-C</v>
      </c>
      <c r="N1575" t="str">
        <f>'(Raw) LensesGH'!H1575</f>
        <v>499g</v>
      </c>
      <c r="O1575" s="5">
        <f t="shared" si="223"/>
        <v>499</v>
      </c>
      <c r="P1575">
        <f>'(Raw) LensesGH'!I1575</f>
        <v>0</v>
      </c>
      <c r="Q1575" s="39">
        <f t="shared" si="224"/>
        <v>0</v>
      </c>
      <c r="R1575" s="39">
        <f t="shared" si="216"/>
        <v>0</v>
      </c>
    </row>
    <row r="1576" spans="1:18" x14ac:dyDescent="0.25">
      <c r="A1576" t="str">
        <f>'(Raw) LensesGH'!A1576</f>
        <v>Veydra Mini Prime 35mm T2.2 für Micro-Four-Thirds schwarz</v>
      </c>
      <c r="B1576" t="str">
        <f>'(Raw) LensesGH'!B1576</f>
        <v>35mm</v>
      </c>
      <c r="C1576" s="5">
        <f t="shared" si="217"/>
        <v>35</v>
      </c>
      <c r="D1576" s="5">
        <f t="shared" si="218"/>
        <v>35</v>
      </c>
      <c r="E1576" t="str">
        <f>'(Raw) LensesGH'!C1576</f>
        <v>1:2.2</v>
      </c>
      <c r="F1576" s="9">
        <f t="shared" si="219"/>
        <v>2.2000000000000002</v>
      </c>
      <c r="G1576" s="9">
        <f t="shared" si="220"/>
        <v>2.2000000000000002</v>
      </c>
      <c r="H1576" t="str">
        <f>'(Raw) LensesGH'!D1576</f>
        <v>77mm</v>
      </c>
      <c r="I1576" s="2">
        <f t="shared" si="221"/>
        <v>77</v>
      </c>
      <c r="J1576" s="2">
        <f>'(Raw) LensesGH'!E1576</f>
        <v>0</v>
      </c>
      <c r="K1576" s="40">
        <f t="shared" si="222"/>
        <v>0</v>
      </c>
      <c r="L1576" t="str">
        <f>'(Raw) LensesGH'!F1576</f>
        <v>Micro-Four-Thirds</v>
      </c>
      <c r="M1576" t="str">
        <f>'(Raw) LensesGH'!G1576</f>
        <v>APS-C/ Kleinbild</v>
      </c>
      <c r="N1576" t="str">
        <f>'(Raw) LensesGH'!H1576</f>
        <v>880g</v>
      </c>
      <c r="O1576" s="5">
        <f t="shared" si="223"/>
        <v>880</v>
      </c>
      <c r="P1576">
        <f>'(Raw) LensesGH'!I1576</f>
        <v>0</v>
      </c>
      <c r="Q1576" s="39">
        <f t="shared" si="224"/>
        <v>0</v>
      </c>
      <c r="R1576" s="39">
        <f t="shared" si="216"/>
        <v>0</v>
      </c>
    </row>
    <row r="1577" spans="1:18" x14ac:dyDescent="0.25">
      <c r="A1577" t="str">
        <f>'(Raw) LensesGH'!A1577</f>
        <v>Veydra Mini Prime 35mm T2.2 für Sony E schwarz</v>
      </c>
      <c r="B1577" t="str">
        <f>'(Raw) LensesGH'!B1577</f>
        <v>35mm</v>
      </c>
      <c r="C1577" s="5">
        <f t="shared" si="217"/>
        <v>35</v>
      </c>
      <c r="D1577" s="5">
        <f t="shared" si="218"/>
        <v>35</v>
      </c>
      <c r="E1577" t="str">
        <f>'(Raw) LensesGH'!C1577</f>
        <v>1:2.2</v>
      </c>
      <c r="F1577" s="9">
        <f t="shared" si="219"/>
        <v>2.2000000000000002</v>
      </c>
      <c r="G1577" s="9">
        <f t="shared" si="220"/>
        <v>2.2000000000000002</v>
      </c>
      <c r="H1577" t="str">
        <f>'(Raw) LensesGH'!D1577</f>
        <v>77mm</v>
      </c>
      <c r="I1577" s="2">
        <f t="shared" si="221"/>
        <v>77</v>
      </c>
      <c r="J1577" s="2">
        <f>'(Raw) LensesGH'!E1577</f>
        <v>0</v>
      </c>
      <c r="K1577" s="40">
        <f t="shared" si="222"/>
        <v>0</v>
      </c>
      <c r="L1577" t="str">
        <f>'(Raw) LensesGH'!F1577</f>
        <v>Sony E</v>
      </c>
      <c r="M1577" t="str">
        <f>'(Raw) LensesGH'!G1577</f>
        <v>APS-C/ Kleinbild</v>
      </c>
      <c r="N1577" t="str">
        <f>'(Raw) LensesGH'!H1577</f>
        <v>880g</v>
      </c>
      <c r="O1577" s="5">
        <f t="shared" si="223"/>
        <v>880</v>
      </c>
      <c r="P1577">
        <f>'(Raw) LensesGH'!I1577</f>
        <v>0</v>
      </c>
      <c r="Q1577" s="39">
        <f t="shared" si="224"/>
        <v>0</v>
      </c>
      <c r="R1577" s="39">
        <f t="shared" si="216"/>
        <v>0</v>
      </c>
    </row>
    <row r="1578" spans="1:18" x14ac:dyDescent="0.25">
      <c r="A1578" t="str">
        <f>'(Raw) LensesGH'!A1578</f>
        <v>Veydra Mini Prime 50mm T2.2 für Micro-Four-Thirds schwarz</v>
      </c>
      <c r="B1578" t="str">
        <f>'(Raw) LensesGH'!B1578</f>
        <v>50mm</v>
      </c>
      <c r="C1578" s="5">
        <f t="shared" si="217"/>
        <v>50</v>
      </c>
      <c r="D1578" s="5">
        <f t="shared" si="218"/>
        <v>50</v>
      </c>
      <c r="E1578" t="str">
        <f>'(Raw) LensesGH'!C1578</f>
        <v>1:2.2</v>
      </c>
      <c r="F1578" s="9">
        <f t="shared" si="219"/>
        <v>2.2000000000000002</v>
      </c>
      <c r="G1578" s="9">
        <f t="shared" si="220"/>
        <v>2.2000000000000002</v>
      </c>
      <c r="H1578" t="str">
        <f>'(Raw) LensesGH'!D1578</f>
        <v>77mm</v>
      </c>
      <c r="I1578" s="2">
        <f t="shared" si="221"/>
        <v>77</v>
      </c>
      <c r="J1578" s="2">
        <f>'(Raw) LensesGH'!E1578</f>
        <v>0</v>
      </c>
      <c r="K1578" s="40">
        <f t="shared" si="222"/>
        <v>0</v>
      </c>
      <c r="L1578" t="str">
        <f>'(Raw) LensesGH'!F1578</f>
        <v>Micro-Four-Thirds</v>
      </c>
      <c r="M1578" t="str">
        <f>'(Raw) LensesGH'!G1578</f>
        <v>APS-C/ Kleinbild</v>
      </c>
      <c r="N1578" t="str">
        <f>'(Raw) LensesGH'!H1578</f>
        <v>462g</v>
      </c>
      <c r="O1578" s="5">
        <f t="shared" si="223"/>
        <v>462</v>
      </c>
      <c r="P1578">
        <f>'(Raw) LensesGH'!I1578</f>
        <v>0</v>
      </c>
      <c r="Q1578" s="39">
        <f t="shared" si="224"/>
        <v>0</v>
      </c>
      <c r="R1578" s="39">
        <f t="shared" si="216"/>
        <v>0</v>
      </c>
    </row>
    <row r="1579" spans="1:18" x14ac:dyDescent="0.25">
      <c r="A1579" t="str">
        <f>'(Raw) LensesGH'!A1579</f>
        <v>Veydra Mini Prime 50mm T2.2 für Sony E schwarz</v>
      </c>
      <c r="B1579" t="str">
        <f>'(Raw) LensesGH'!B1579</f>
        <v>50mm</v>
      </c>
      <c r="C1579" s="5">
        <f t="shared" si="217"/>
        <v>50</v>
      </c>
      <c r="D1579" s="5">
        <f t="shared" si="218"/>
        <v>50</v>
      </c>
      <c r="E1579" t="str">
        <f>'(Raw) LensesGH'!C1579</f>
        <v>1:2.2</v>
      </c>
      <c r="F1579" s="9">
        <f t="shared" si="219"/>
        <v>2.2000000000000002</v>
      </c>
      <c r="G1579" s="9">
        <f t="shared" si="220"/>
        <v>2.2000000000000002</v>
      </c>
      <c r="H1579" t="str">
        <f>'(Raw) LensesGH'!D1579</f>
        <v>77mm</v>
      </c>
      <c r="I1579" s="2">
        <f t="shared" si="221"/>
        <v>77</v>
      </c>
      <c r="J1579" s="2">
        <f>'(Raw) LensesGH'!E1579</f>
        <v>0</v>
      </c>
      <c r="K1579" s="40">
        <f t="shared" si="222"/>
        <v>0</v>
      </c>
      <c r="L1579" t="str">
        <f>'(Raw) LensesGH'!F1579</f>
        <v>Sony E</v>
      </c>
      <c r="M1579" t="str">
        <f>'(Raw) LensesGH'!G1579</f>
        <v>APS-C/ Kleinbild</v>
      </c>
      <c r="N1579" t="str">
        <f>'(Raw) LensesGH'!H1579</f>
        <v>462g</v>
      </c>
      <c r="O1579" s="5">
        <f t="shared" si="223"/>
        <v>462</v>
      </c>
      <c r="P1579">
        <f>'(Raw) LensesGH'!I1579</f>
        <v>0</v>
      </c>
      <c r="Q1579" s="39">
        <f t="shared" si="224"/>
        <v>0</v>
      </c>
      <c r="R1579" s="39">
        <f t="shared" si="216"/>
        <v>0</v>
      </c>
    </row>
    <row r="1580" spans="1:18" x14ac:dyDescent="0.25">
      <c r="A1580" t="str">
        <f>'(Raw) LensesGH'!A1580</f>
        <v>Veydra Mini Prime 85mm T2.2 für Micro-Four-Thirds schwarz</v>
      </c>
      <c r="B1580" t="str">
        <f>'(Raw) LensesGH'!B1580</f>
        <v>85mm</v>
      </c>
      <c r="C1580" s="5">
        <f t="shared" si="217"/>
        <v>85</v>
      </c>
      <c r="D1580" s="5">
        <f t="shared" si="218"/>
        <v>85</v>
      </c>
      <c r="E1580" t="str">
        <f>'(Raw) LensesGH'!C1580</f>
        <v>1:2.2</v>
      </c>
      <c r="F1580" s="9">
        <f t="shared" si="219"/>
        <v>2.2000000000000002</v>
      </c>
      <c r="G1580" s="9">
        <f t="shared" si="220"/>
        <v>2.2000000000000002</v>
      </c>
      <c r="H1580">
        <f>'(Raw) LensesGH'!D1580</f>
        <v>0</v>
      </c>
      <c r="I1580" s="2">
        <f t="shared" si="221"/>
        <v>0</v>
      </c>
      <c r="J1580" s="2">
        <f>'(Raw) LensesGH'!E1580</f>
        <v>0</v>
      </c>
      <c r="K1580" s="40">
        <f t="shared" si="222"/>
        <v>0</v>
      </c>
      <c r="L1580" t="str">
        <f>'(Raw) LensesGH'!F1580</f>
        <v>Micro-Four-Thirds</v>
      </c>
      <c r="M1580" t="str">
        <f>'(Raw) LensesGH'!G1580</f>
        <v>APS-C/ Kleinbild</v>
      </c>
      <c r="N1580">
        <f>'(Raw) LensesGH'!H1580</f>
        <v>0</v>
      </c>
      <c r="O1580" s="5">
        <f t="shared" si="223"/>
        <v>0</v>
      </c>
      <c r="P1580">
        <f>'(Raw) LensesGH'!I1580</f>
        <v>0</v>
      </c>
      <c r="Q1580" s="39">
        <f t="shared" si="224"/>
        <v>0</v>
      </c>
      <c r="R1580" s="39">
        <f t="shared" si="216"/>
        <v>0</v>
      </c>
    </row>
    <row r="1581" spans="1:18" x14ac:dyDescent="0.25">
      <c r="A1581" t="str">
        <f>'(Raw) LensesGH'!A1581</f>
        <v>Veydra Mini Prime 85mm T2.2 für Sony E schwarz</v>
      </c>
      <c r="B1581" t="str">
        <f>'(Raw) LensesGH'!B1581</f>
        <v>85mm</v>
      </c>
      <c r="C1581" s="5">
        <f t="shared" si="217"/>
        <v>85</v>
      </c>
      <c r="D1581" s="5">
        <f t="shared" si="218"/>
        <v>85</v>
      </c>
      <c r="E1581" t="str">
        <f>'(Raw) LensesGH'!C1581</f>
        <v>1:2.2</v>
      </c>
      <c r="F1581" s="9">
        <f t="shared" si="219"/>
        <v>2.2000000000000002</v>
      </c>
      <c r="G1581" s="9">
        <f t="shared" si="220"/>
        <v>2.2000000000000002</v>
      </c>
      <c r="H1581">
        <f>'(Raw) LensesGH'!D1581</f>
        <v>0</v>
      </c>
      <c r="I1581" s="2">
        <f t="shared" si="221"/>
        <v>0</v>
      </c>
      <c r="J1581" s="2">
        <f>'(Raw) LensesGH'!E1581</f>
        <v>0</v>
      </c>
      <c r="K1581" s="40">
        <f t="shared" si="222"/>
        <v>0</v>
      </c>
      <c r="L1581" t="str">
        <f>'(Raw) LensesGH'!F1581</f>
        <v>Sony E</v>
      </c>
      <c r="M1581" t="str">
        <f>'(Raw) LensesGH'!G1581</f>
        <v>APS-C/ Kleinbild</v>
      </c>
      <c r="N1581">
        <f>'(Raw) LensesGH'!H1581</f>
        <v>0</v>
      </c>
      <c r="O1581" s="5">
        <f t="shared" si="223"/>
        <v>0</v>
      </c>
      <c r="P1581">
        <f>'(Raw) LensesGH'!I1581</f>
        <v>0</v>
      </c>
      <c r="Q1581" s="39">
        <f t="shared" si="224"/>
        <v>0</v>
      </c>
      <c r="R1581" s="39">
        <f t="shared" si="216"/>
        <v>0</v>
      </c>
    </row>
    <row r="1582" spans="1:18" x14ac:dyDescent="0.25">
      <c r="A1582" t="str">
        <f>'(Raw) LensesGH'!A1582</f>
        <v>Voigtländer APO-Lanthar 65mm 2.0 Macro für Sony E schwarz</v>
      </c>
      <c r="B1582" t="str">
        <f>'(Raw) LensesGH'!B1582</f>
        <v>65mm</v>
      </c>
      <c r="C1582" s="5">
        <f t="shared" si="217"/>
        <v>65</v>
      </c>
      <c r="D1582" s="5">
        <f t="shared" si="218"/>
        <v>65</v>
      </c>
      <c r="E1582" t="str">
        <f>'(Raw) LensesGH'!C1582</f>
        <v>1:2.0</v>
      </c>
      <c r="F1582" s="9">
        <f t="shared" si="219"/>
        <v>2</v>
      </c>
      <c r="G1582" s="9">
        <f t="shared" si="220"/>
        <v>2</v>
      </c>
      <c r="H1582" t="str">
        <f>'(Raw) LensesGH'!D1582</f>
        <v>67mm</v>
      </c>
      <c r="I1582" s="2">
        <f t="shared" si="221"/>
        <v>67</v>
      </c>
      <c r="J1582" s="2" t="str">
        <f>'(Raw) LensesGH'!E1582</f>
        <v>1:2.00</v>
      </c>
      <c r="K1582" s="40">
        <f t="shared" si="222"/>
        <v>2</v>
      </c>
      <c r="L1582" t="str">
        <f>'(Raw) LensesGH'!F1582</f>
        <v>Sony E</v>
      </c>
      <c r="M1582" t="str">
        <f>'(Raw) LensesGH'!G1582</f>
        <v>APS-C/ Kleinbild</v>
      </c>
      <c r="N1582">
        <f>'(Raw) LensesGH'!H1582</f>
        <v>0</v>
      </c>
      <c r="O1582" s="5">
        <f t="shared" si="223"/>
        <v>0</v>
      </c>
      <c r="P1582" t="str">
        <f>'(Raw) LensesGH'!I1582</f>
        <v>77.2 x 98.5mm</v>
      </c>
      <c r="Q1582" s="39">
        <f t="shared" si="224"/>
        <v>77.2</v>
      </c>
      <c r="R1582" s="39">
        <f t="shared" si="216"/>
        <v>98.5</v>
      </c>
    </row>
    <row r="1583" spans="1:18" x14ac:dyDescent="0.25">
      <c r="A1583" t="str">
        <f>'(Raw) LensesGH'!A1583</f>
        <v>Voigtländer Classic Collection Color Heliar 75mm 1.8 schwarz</v>
      </c>
      <c r="B1583" t="str">
        <f>'(Raw) LensesGH'!B1583</f>
        <v>75mm</v>
      </c>
      <c r="C1583" s="5">
        <f t="shared" si="217"/>
        <v>75</v>
      </c>
      <c r="D1583" s="5">
        <f t="shared" si="218"/>
        <v>75</v>
      </c>
      <c r="E1583" t="str">
        <f>'(Raw) LensesGH'!C1583</f>
        <v>1:1.8</v>
      </c>
      <c r="F1583" s="9">
        <f t="shared" si="219"/>
        <v>1.8</v>
      </c>
      <c r="G1583" s="9">
        <f t="shared" si="220"/>
        <v>1.8</v>
      </c>
      <c r="H1583" t="str">
        <f>'(Raw) LensesGH'!D1583</f>
        <v>52mm</v>
      </c>
      <c r="I1583" s="2">
        <f t="shared" si="221"/>
        <v>52</v>
      </c>
      <c r="J1583" s="2" t="str">
        <f>'(Raw) LensesGH'!E1583</f>
        <v>1:7.41</v>
      </c>
      <c r="K1583" s="40">
        <f t="shared" si="222"/>
        <v>7.41</v>
      </c>
      <c r="L1583" t="str">
        <f>'(Raw) LensesGH'!F1583</f>
        <v>Leica M</v>
      </c>
      <c r="M1583" t="str">
        <f>'(Raw) LensesGH'!G1583</f>
        <v>Mittelformat</v>
      </c>
      <c r="N1583" t="str">
        <f>'(Raw) LensesGH'!H1583</f>
        <v>427g</v>
      </c>
      <c r="O1583" s="5">
        <f t="shared" si="223"/>
        <v>427</v>
      </c>
      <c r="P1583" t="str">
        <f>'(Raw) LensesGH'!I1583</f>
        <v>57.9 x 73.8mm</v>
      </c>
      <c r="Q1583" s="39">
        <f t="shared" si="224"/>
        <v>57.9</v>
      </c>
      <c r="R1583" s="39">
        <f t="shared" si="216"/>
        <v>73.8</v>
      </c>
    </row>
    <row r="1584" spans="1:18" x14ac:dyDescent="0.25">
      <c r="A1584" t="str">
        <f>'(Raw) LensesGH'!A1584</f>
        <v>Voigtländer Classic Collection Color Skopar 21mm 4.0 schwarz</v>
      </c>
      <c r="B1584" t="str">
        <f>'(Raw) LensesGH'!B1584</f>
        <v>21mm</v>
      </c>
      <c r="C1584" s="5">
        <f t="shared" si="217"/>
        <v>21</v>
      </c>
      <c r="D1584" s="5">
        <f t="shared" si="218"/>
        <v>21</v>
      </c>
      <c r="E1584" t="str">
        <f>'(Raw) LensesGH'!C1584</f>
        <v>1:4.0</v>
      </c>
      <c r="F1584" s="9">
        <f t="shared" si="219"/>
        <v>4</v>
      </c>
      <c r="G1584" s="9">
        <f t="shared" si="220"/>
        <v>4</v>
      </c>
      <c r="H1584">
        <f>'(Raw) LensesGH'!D1584</f>
        <v>0</v>
      </c>
      <c r="I1584" s="2">
        <f t="shared" si="221"/>
        <v>0</v>
      </c>
      <c r="J1584" s="2">
        <f>'(Raw) LensesGH'!E1584</f>
        <v>0</v>
      </c>
      <c r="K1584" s="40">
        <f t="shared" si="222"/>
        <v>0</v>
      </c>
      <c r="L1584" t="str">
        <f>'(Raw) LensesGH'!F1584</f>
        <v>Leica M</v>
      </c>
      <c r="M1584" t="str">
        <f>'(Raw) LensesGH'!G1584</f>
        <v>Mittelformat</v>
      </c>
      <c r="N1584" t="str">
        <f>'(Raw) LensesGH'!H1584</f>
        <v>109g</v>
      </c>
      <c r="O1584" s="5">
        <f t="shared" si="223"/>
        <v>109</v>
      </c>
      <c r="P1584" t="str">
        <f>'(Raw) LensesGH'!I1584</f>
        <v>49.6 x 29.1mm</v>
      </c>
      <c r="Q1584" s="39">
        <f t="shared" si="224"/>
        <v>49.6</v>
      </c>
      <c r="R1584" s="39">
        <f t="shared" si="216"/>
        <v>29.1</v>
      </c>
    </row>
    <row r="1585" spans="1:18" x14ac:dyDescent="0.25">
      <c r="A1585" t="str">
        <f>'(Raw) LensesGH'!A1585</f>
        <v>Voigtländer Classic Collection Color Skopar Pancake 25mm 4.0 schwarz</v>
      </c>
      <c r="B1585" t="str">
        <f>'(Raw) LensesGH'!B1585</f>
        <v>25mm</v>
      </c>
      <c r="C1585" s="5">
        <f t="shared" si="217"/>
        <v>25</v>
      </c>
      <c r="D1585" s="5">
        <f t="shared" si="218"/>
        <v>25</v>
      </c>
      <c r="E1585" t="str">
        <f>'(Raw) LensesGH'!C1585</f>
        <v>1:4.0</v>
      </c>
      <c r="F1585" s="9">
        <f t="shared" si="219"/>
        <v>4</v>
      </c>
      <c r="G1585" s="9">
        <f t="shared" si="220"/>
        <v>4</v>
      </c>
      <c r="H1585" t="str">
        <f>'(Raw) LensesGH'!D1585</f>
        <v>39mm</v>
      </c>
      <c r="I1585" s="2">
        <f t="shared" si="221"/>
        <v>39</v>
      </c>
      <c r="J1585" s="2">
        <f>'(Raw) LensesGH'!E1585</f>
        <v>0</v>
      </c>
      <c r="K1585" s="40">
        <f t="shared" si="222"/>
        <v>0</v>
      </c>
      <c r="L1585" t="str">
        <f>'(Raw) LensesGH'!F1585</f>
        <v>Leica M</v>
      </c>
      <c r="M1585" t="str">
        <f>'(Raw) LensesGH'!G1585</f>
        <v>Mittelformat</v>
      </c>
      <c r="N1585" t="str">
        <f>'(Raw) LensesGH'!H1585</f>
        <v>156g</v>
      </c>
      <c r="O1585" s="5">
        <f t="shared" si="223"/>
        <v>156</v>
      </c>
      <c r="P1585">
        <f>'(Raw) LensesGH'!I1585</f>
        <v>0</v>
      </c>
      <c r="Q1585" s="39">
        <f t="shared" si="224"/>
        <v>0</v>
      </c>
      <c r="R1585" s="39">
        <f t="shared" si="216"/>
        <v>0</v>
      </c>
    </row>
    <row r="1586" spans="1:18" x14ac:dyDescent="0.25">
      <c r="A1586" t="str">
        <f>'(Raw) LensesGH'!A1586</f>
        <v>Voigtländer Classic Collection Color Skopar Pancake II 21mm 4.0 schwarz</v>
      </c>
      <c r="B1586" t="str">
        <f>'(Raw) LensesGH'!B1586</f>
        <v>21mm</v>
      </c>
      <c r="C1586" s="5">
        <f t="shared" si="217"/>
        <v>21</v>
      </c>
      <c r="D1586" s="5">
        <f t="shared" si="218"/>
        <v>21</v>
      </c>
      <c r="E1586" t="str">
        <f>'(Raw) LensesGH'!C1586</f>
        <v>1:4.0</v>
      </c>
      <c r="F1586" s="9">
        <f t="shared" si="219"/>
        <v>4</v>
      </c>
      <c r="G1586" s="9">
        <f t="shared" si="220"/>
        <v>4</v>
      </c>
      <c r="H1586">
        <f>'(Raw) LensesGH'!D1586</f>
        <v>0</v>
      </c>
      <c r="I1586" s="2">
        <f t="shared" si="221"/>
        <v>0</v>
      </c>
      <c r="J1586" s="2">
        <f>'(Raw) LensesGH'!E1586</f>
        <v>0</v>
      </c>
      <c r="K1586" s="40">
        <f t="shared" si="222"/>
        <v>0</v>
      </c>
      <c r="L1586" t="str">
        <f>'(Raw) LensesGH'!F1586</f>
        <v>Leica M</v>
      </c>
      <c r="M1586" t="str">
        <f>'(Raw) LensesGH'!G1586</f>
        <v>Mittelformat</v>
      </c>
      <c r="N1586" t="str">
        <f>'(Raw) LensesGH'!H1586</f>
        <v>136g</v>
      </c>
      <c r="O1586" s="5">
        <f t="shared" si="223"/>
        <v>136</v>
      </c>
      <c r="P1586" t="str">
        <f>'(Raw) LensesGH'!I1586</f>
        <v>55 x 25.4mm</v>
      </c>
      <c r="Q1586" s="39">
        <f t="shared" si="224"/>
        <v>55</v>
      </c>
      <c r="R1586" s="39">
        <f t="shared" si="216"/>
        <v>25.4</v>
      </c>
    </row>
    <row r="1587" spans="1:18" x14ac:dyDescent="0.25">
      <c r="A1587" t="str">
        <f>'(Raw) LensesGH'!A1587</f>
        <v>Voigtländer Classic Collection Color Skopar Pancake II 35mm 2.5 schwarz</v>
      </c>
      <c r="B1587" t="str">
        <f>'(Raw) LensesGH'!B1587</f>
        <v>35mm</v>
      </c>
      <c r="C1587" s="5">
        <f t="shared" si="217"/>
        <v>35</v>
      </c>
      <c r="D1587" s="5">
        <f t="shared" si="218"/>
        <v>35</v>
      </c>
      <c r="E1587" t="str">
        <f>'(Raw) LensesGH'!C1587</f>
        <v>1:2.5</v>
      </c>
      <c r="F1587" s="9">
        <f t="shared" si="219"/>
        <v>2.5</v>
      </c>
      <c r="G1587" s="9">
        <f t="shared" si="220"/>
        <v>2.5</v>
      </c>
      <c r="H1587">
        <f>'(Raw) LensesGH'!D1587</f>
        <v>0</v>
      </c>
      <c r="I1587" s="2">
        <f t="shared" si="221"/>
        <v>0</v>
      </c>
      <c r="J1587" s="2">
        <f>'(Raw) LensesGH'!E1587</f>
        <v>0</v>
      </c>
      <c r="K1587" s="40">
        <f t="shared" si="222"/>
        <v>0</v>
      </c>
      <c r="L1587" t="str">
        <f>'(Raw) LensesGH'!F1587</f>
        <v>Leica M</v>
      </c>
      <c r="M1587" t="str">
        <f>'(Raw) LensesGH'!G1587</f>
        <v>Mittelformat</v>
      </c>
      <c r="N1587" t="str">
        <f>'(Raw) LensesGH'!H1587</f>
        <v>134g</v>
      </c>
      <c r="O1587" s="5">
        <f t="shared" si="223"/>
        <v>134</v>
      </c>
      <c r="P1587" t="str">
        <f>'(Raw) LensesGH'!I1587</f>
        <v>55 x 23mm</v>
      </c>
      <c r="Q1587" s="39">
        <f t="shared" si="224"/>
        <v>55</v>
      </c>
      <c r="R1587" s="39">
        <f t="shared" si="216"/>
        <v>23</v>
      </c>
    </row>
    <row r="1588" spans="1:18" x14ac:dyDescent="0.25">
      <c r="A1588" t="str">
        <f>'(Raw) LensesGH'!A1588</f>
        <v>Voigtländer Classic Collection Nokton 35mm 1.2 schwarz</v>
      </c>
      <c r="B1588" t="str">
        <f>'(Raw) LensesGH'!B1588</f>
        <v>35mm</v>
      </c>
      <c r="C1588" s="5">
        <f t="shared" si="217"/>
        <v>35</v>
      </c>
      <c r="D1588" s="5">
        <f t="shared" si="218"/>
        <v>35</v>
      </c>
      <c r="E1588" t="str">
        <f>'(Raw) LensesGH'!C1588</f>
        <v>1:1.2</v>
      </c>
      <c r="F1588" s="9">
        <f t="shared" si="219"/>
        <v>1.2</v>
      </c>
      <c r="G1588" s="9">
        <f t="shared" si="220"/>
        <v>1.2</v>
      </c>
      <c r="H1588">
        <f>'(Raw) LensesGH'!D1588</f>
        <v>0</v>
      </c>
      <c r="I1588" s="2">
        <f t="shared" si="221"/>
        <v>0</v>
      </c>
      <c r="J1588" s="2">
        <f>'(Raw) LensesGH'!E1588</f>
        <v>0</v>
      </c>
      <c r="K1588" s="40">
        <f t="shared" si="222"/>
        <v>0</v>
      </c>
      <c r="L1588" t="str">
        <f>'(Raw) LensesGH'!F1588</f>
        <v>Leica M</v>
      </c>
      <c r="M1588" t="str">
        <f>'(Raw) LensesGH'!G1588</f>
        <v>Mittelformat</v>
      </c>
      <c r="N1588" t="str">
        <f>'(Raw) LensesGH'!H1588</f>
        <v>490g</v>
      </c>
      <c r="O1588" s="5">
        <f t="shared" si="223"/>
        <v>490</v>
      </c>
      <c r="P1588" t="str">
        <f>'(Raw) LensesGH'!I1588</f>
        <v>63 x 77.8mm</v>
      </c>
      <c r="Q1588" s="39">
        <f t="shared" si="224"/>
        <v>63</v>
      </c>
      <c r="R1588" s="39">
        <f t="shared" si="216"/>
        <v>77.8</v>
      </c>
    </row>
    <row r="1589" spans="1:18" x14ac:dyDescent="0.25">
      <c r="A1589" t="str">
        <f>'(Raw) LensesGH'!A1589</f>
        <v>Voigtländer Classic Collection Nokton 35mm 1.4 schwarz</v>
      </c>
      <c r="B1589" t="str">
        <f>'(Raw) LensesGH'!B1589</f>
        <v>35mm</v>
      </c>
      <c r="C1589" s="5">
        <f t="shared" si="217"/>
        <v>35</v>
      </c>
      <c r="D1589" s="5">
        <f t="shared" si="218"/>
        <v>35</v>
      </c>
      <c r="E1589" t="str">
        <f>'(Raw) LensesGH'!C1589</f>
        <v>1:1.4</v>
      </c>
      <c r="F1589" s="9">
        <f t="shared" si="219"/>
        <v>1.4</v>
      </c>
      <c r="G1589" s="9">
        <f t="shared" si="220"/>
        <v>1.4</v>
      </c>
      <c r="H1589" t="str">
        <f>'(Raw) LensesGH'!D1589</f>
        <v>43mm</v>
      </c>
      <c r="I1589" s="2">
        <f t="shared" si="221"/>
        <v>43</v>
      </c>
      <c r="J1589" s="2">
        <f>'(Raw) LensesGH'!E1589</f>
        <v>0</v>
      </c>
      <c r="K1589" s="40">
        <f t="shared" si="222"/>
        <v>0</v>
      </c>
      <c r="L1589" t="str">
        <f>'(Raw) LensesGH'!F1589</f>
        <v>Leica M</v>
      </c>
      <c r="M1589" t="str">
        <f>'(Raw) LensesGH'!G1589</f>
        <v>Mittelformat</v>
      </c>
      <c r="N1589" t="str">
        <f>'(Raw) LensesGH'!H1589</f>
        <v>200g</v>
      </c>
      <c r="O1589" s="5">
        <f t="shared" si="223"/>
        <v>200</v>
      </c>
      <c r="P1589" t="str">
        <f>'(Raw) LensesGH'!I1589</f>
        <v>55 x 28.5mm</v>
      </c>
      <c r="Q1589" s="39">
        <f t="shared" si="224"/>
        <v>55</v>
      </c>
      <c r="R1589" s="39">
        <f t="shared" si="216"/>
        <v>28.5</v>
      </c>
    </row>
    <row r="1590" spans="1:18" x14ac:dyDescent="0.25">
      <c r="A1590" t="str">
        <f>'(Raw) LensesGH'!A1590</f>
        <v>Voigtländer Classic Collection Nokton 40mm 1.4 schwarz</v>
      </c>
      <c r="B1590" t="str">
        <f>'(Raw) LensesGH'!B1590</f>
        <v>40mm</v>
      </c>
      <c r="C1590" s="5">
        <f t="shared" si="217"/>
        <v>40</v>
      </c>
      <c r="D1590" s="5">
        <f t="shared" si="218"/>
        <v>40</v>
      </c>
      <c r="E1590" t="str">
        <f>'(Raw) LensesGH'!C1590</f>
        <v>1:1.4</v>
      </c>
      <c r="F1590" s="9">
        <f t="shared" si="219"/>
        <v>1.4</v>
      </c>
      <c r="G1590" s="9">
        <f t="shared" si="220"/>
        <v>1.4</v>
      </c>
      <c r="H1590">
        <f>'(Raw) LensesGH'!D1590</f>
        <v>0</v>
      </c>
      <c r="I1590" s="2">
        <f t="shared" si="221"/>
        <v>0</v>
      </c>
      <c r="J1590" s="2">
        <f>'(Raw) LensesGH'!E1590</f>
        <v>0</v>
      </c>
      <c r="K1590" s="40">
        <f t="shared" si="222"/>
        <v>0</v>
      </c>
      <c r="L1590" t="str">
        <f>'(Raw) LensesGH'!F1590</f>
        <v>Leica M</v>
      </c>
      <c r="M1590" t="str">
        <f>'(Raw) LensesGH'!G1590</f>
        <v>Mittelformat</v>
      </c>
      <c r="N1590" t="str">
        <f>'(Raw) LensesGH'!H1590</f>
        <v>175g</v>
      </c>
      <c r="O1590" s="5">
        <f t="shared" si="223"/>
        <v>175</v>
      </c>
      <c r="P1590" t="str">
        <f>'(Raw) LensesGH'!I1590</f>
        <v>55 x 29.7mm</v>
      </c>
      <c r="Q1590" s="39">
        <f t="shared" si="224"/>
        <v>55</v>
      </c>
      <c r="R1590" s="39">
        <f t="shared" si="216"/>
        <v>29.7</v>
      </c>
    </row>
    <row r="1591" spans="1:18" x14ac:dyDescent="0.25">
      <c r="A1591" t="str">
        <f>'(Raw) LensesGH'!A1591</f>
        <v>Voigtländer Classic Collection Nokton 50mm 1.1 schwarz</v>
      </c>
      <c r="B1591" t="str">
        <f>'(Raw) LensesGH'!B1591</f>
        <v>50mm</v>
      </c>
      <c r="C1591" s="5">
        <f t="shared" si="217"/>
        <v>50</v>
      </c>
      <c r="D1591" s="5">
        <f t="shared" si="218"/>
        <v>50</v>
      </c>
      <c r="E1591" t="str">
        <f>'(Raw) LensesGH'!C1591</f>
        <v>1:1.1</v>
      </c>
      <c r="F1591" s="9">
        <f t="shared" si="219"/>
        <v>1.1000000000000001</v>
      </c>
      <c r="G1591" s="9">
        <f t="shared" si="220"/>
        <v>1.1000000000000001</v>
      </c>
      <c r="H1591" t="str">
        <f>'(Raw) LensesGH'!D1591</f>
        <v>58mm</v>
      </c>
      <c r="I1591" s="2">
        <f t="shared" si="221"/>
        <v>58</v>
      </c>
      <c r="J1591" s="2">
        <f>'(Raw) LensesGH'!E1591</f>
        <v>0</v>
      </c>
      <c r="K1591" s="40">
        <f t="shared" si="222"/>
        <v>0</v>
      </c>
      <c r="L1591" t="str">
        <f>'(Raw) LensesGH'!F1591</f>
        <v>Leica M</v>
      </c>
      <c r="M1591" t="str">
        <f>'(Raw) LensesGH'!G1591</f>
        <v>Mittelformat</v>
      </c>
      <c r="N1591" t="str">
        <f>'(Raw) LensesGH'!H1591</f>
        <v>428g</v>
      </c>
      <c r="O1591" s="5">
        <f t="shared" si="223"/>
        <v>428</v>
      </c>
      <c r="P1591" t="str">
        <f>'(Raw) LensesGH'!I1591</f>
        <v>69.6 x 57.2mm</v>
      </c>
      <c r="Q1591" s="39">
        <f t="shared" si="224"/>
        <v>69.599999999999994</v>
      </c>
      <c r="R1591" s="39">
        <f t="shared" si="216"/>
        <v>57.2</v>
      </c>
    </row>
    <row r="1592" spans="1:18" x14ac:dyDescent="0.25">
      <c r="A1592" t="str">
        <f>'(Raw) LensesGH'!A1592</f>
        <v>Voigtländer Classic Collection Nokton 50mm 1.5</v>
      </c>
      <c r="B1592" t="str">
        <f>'(Raw) LensesGH'!B1592</f>
        <v>50mm</v>
      </c>
      <c r="C1592" s="5">
        <f t="shared" si="217"/>
        <v>50</v>
      </c>
      <c r="D1592" s="5">
        <f t="shared" si="218"/>
        <v>50</v>
      </c>
      <c r="E1592" t="str">
        <f>'(Raw) LensesGH'!C1592</f>
        <v>1:1.5</v>
      </c>
      <c r="F1592" s="9">
        <f t="shared" si="219"/>
        <v>1.5</v>
      </c>
      <c r="G1592" s="9">
        <f t="shared" si="220"/>
        <v>1.5</v>
      </c>
      <c r="H1592">
        <f>'(Raw) LensesGH'!D1592</f>
        <v>0</v>
      </c>
      <c r="I1592" s="2">
        <f t="shared" si="221"/>
        <v>0</v>
      </c>
      <c r="J1592" s="2">
        <f>'(Raw) LensesGH'!E1592</f>
        <v>0</v>
      </c>
      <c r="K1592" s="40">
        <f t="shared" si="222"/>
        <v>0</v>
      </c>
      <c r="L1592" t="str">
        <f>'(Raw) LensesGH'!F1592</f>
        <v>Leica M</v>
      </c>
      <c r="M1592" t="str">
        <f>'(Raw) LensesGH'!G1592</f>
        <v>Mittelformat</v>
      </c>
      <c r="N1592" t="str">
        <f>'(Raw) LensesGH'!H1592</f>
        <v>243g</v>
      </c>
      <c r="O1592" s="5">
        <f t="shared" si="223"/>
        <v>243</v>
      </c>
      <c r="P1592" t="str">
        <f>'(Raw) LensesGH'!I1592</f>
        <v>60 x 54.5mm</v>
      </c>
      <c r="Q1592" s="39">
        <f t="shared" si="224"/>
        <v>60</v>
      </c>
      <c r="R1592" s="39">
        <f t="shared" si="216"/>
        <v>54.5</v>
      </c>
    </row>
    <row r="1593" spans="1:18" x14ac:dyDescent="0.25">
      <c r="A1593" t="str">
        <f>'(Raw) LensesGH'!A1593</f>
        <v>Voigtländer Classic Collection Super Wide Heliar 15mm 4.5 schwarz</v>
      </c>
      <c r="B1593" t="str">
        <f>'(Raw) LensesGH'!B1593</f>
        <v>15mm</v>
      </c>
      <c r="C1593" s="5">
        <f t="shared" si="217"/>
        <v>15</v>
      </c>
      <c r="D1593" s="5">
        <f t="shared" si="218"/>
        <v>15</v>
      </c>
      <c r="E1593" t="str">
        <f>'(Raw) LensesGH'!C1593</f>
        <v>1:4.5</v>
      </c>
      <c r="F1593" s="9">
        <f t="shared" si="219"/>
        <v>4.5</v>
      </c>
      <c r="G1593" s="9">
        <f t="shared" si="220"/>
        <v>4.5</v>
      </c>
      <c r="H1593">
        <f>'(Raw) LensesGH'!D1593</f>
        <v>0</v>
      </c>
      <c r="I1593" s="2">
        <f t="shared" si="221"/>
        <v>0</v>
      </c>
      <c r="J1593" s="2">
        <f>'(Raw) LensesGH'!E1593</f>
        <v>0</v>
      </c>
      <c r="K1593" s="40">
        <f t="shared" si="222"/>
        <v>0</v>
      </c>
      <c r="L1593" t="str">
        <f>'(Raw) LensesGH'!F1593</f>
        <v>Leica M</v>
      </c>
      <c r="M1593" t="str">
        <f>'(Raw) LensesGH'!G1593</f>
        <v>Mittelformat</v>
      </c>
      <c r="N1593" t="str">
        <f>'(Raw) LensesGH'!H1593</f>
        <v>105g</v>
      </c>
      <c r="O1593" s="5">
        <f t="shared" si="223"/>
        <v>105</v>
      </c>
      <c r="P1593" t="str">
        <f>'(Raw) LensesGH'!I1593</f>
        <v>49.6 x 30.7mm</v>
      </c>
      <c r="Q1593" s="39">
        <f t="shared" si="224"/>
        <v>49.6</v>
      </c>
      <c r="R1593" s="39">
        <f t="shared" si="216"/>
        <v>30.7</v>
      </c>
    </row>
    <row r="1594" spans="1:18" x14ac:dyDescent="0.25">
      <c r="A1594" t="str">
        <f>'(Raw) LensesGH'!A1594</f>
        <v>Voigtländer Classic Collection Ultra Wide Heliar 12mm 5.6 schwarz</v>
      </c>
      <c r="B1594" t="str">
        <f>'(Raw) LensesGH'!B1594</f>
        <v>12mm</v>
      </c>
      <c r="C1594" s="5">
        <f t="shared" si="217"/>
        <v>12</v>
      </c>
      <c r="D1594" s="5">
        <f t="shared" si="218"/>
        <v>12</v>
      </c>
      <c r="E1594" t="str">
        <f>'(Raw) LensesGH'!C1594</f>
        <v>1:5.6</v>
      </c>
      <c r="F1594" s="9">
        <f t="shared" si="219"/>
        <v>5.6</v>
      </c>
      <c r="G1594" s="9">
        <f t="shared" si="220"/>
        <v>5.6</v>
      </c>
      <c r="H1594" t="str">
        <f>'(Raw) LensesGH'!D1594</f>
        <v>67mm</v>
      </c>
      <c r="I1594" s="2">
        <f t="shared" si="221"/>
        <v>67</v>
      </c>
      <c r="J1594" s="2">
        <f>'(Raw) LensesGH'!E1594</f>
        <v>0</v>
      </c>
      <c r="K1594" s="40">
        <f t="shared" si="222"/>
        <v>0</v>
      </c>
      <c r="L1594" t="str">
        <f>'(Raw) LensesGH'!F1594</f>
        <v>Leica M</v>
      </c>
      <c r="M1594" t="str">
        <f>'(Raw) LensesGH'!G1594</f>
        <v>Mittelformat</v>
      </c>
      <c r="N1594" t="str">
        <f>'(Raw) LensesGH'!H1594</f>
        <v>162g</v>
      </c>
      <c r="O1594" s="5">
        <f t="shared" si="223"/>
        <v>162</v>
      </c>
      <c r="P1594" t="str">
        <f>'(Raw) LensesGH'!I1594</f>
        <v>74.6 x 42.5mm</v>
      </c>
      <c r="Q1594" s="39">
        <f t="shared" si="224"/>
        <v>74.599999999999994</v>
      </c>
      <c r="R1594" s="39">
        <f t="shared" si="216"/>
        <v>42.5</v>
      </c>
    </row>
    <row r="1595" spans="1:18" x14ac:dyDescent="0.25">
      <c r="A1595" t="str">
        <f>'(Raw) LensesGH'!A1595</f>
        <v>Voigtländer Classic Collection Ultron 21mm 1.8 schwarz</v>
      </c>
      <c r="B1595" t="str">
        <f>'(Raw) LensesGH'!B1595</f>
        <v>21mm</v>
      </c>
      <c r="C1595" s="5">
        <f t="shared" si="217"/>
        <v>21</v>
      </c>
      <c r="D1595" s="5">
        <f t="shared" si="218"/>
        <v>21</v>
      </c>
      <c r="E1595" t="str">
        <f>'(Raw) LensesGH'!C1595</f>
        <v>1:1.8</v>
      </c>
      <c r="F1595" s="9">
        <f t="shared" si="219"/>
        <v>1.8</v>
      </c>
      <c r="G1595" s="9">
        <f t="shared" si="220"/>
        <v>1.8</v>
      </c>
      <c r="H1595" t="str">
        <f>'(Raw) LensesGH'!D1595</f>
        <v>58mm</v>
      </c>
      <c r="I1595" s="2">
        <f t="shared" si="221"/>
        <v>58</v>
      </c>
      <c r="J1595" s="2">
        <f>'(Raw) LensesGH'!E1595</f>
        <v>0</v>
      </c>
      <c r="K1595" s="40">
        <f t="shared" si="222"/>
        <v>0</v>
      </c>
      <c r="L1595" t="str">
        <f>'(Raw) LensesGH'!F1595</f>
        <v>Leica M</v>
      </c>
      <c r="M1595" t="str">
        <f>'(Raw) LensesGH'!G1595</f>
        <v>Mittelformat</v>
      </c>
      <c r="N1595" t="str">
        <f>'(Raw) LensesGH'!H1595</f>
        <v>412g</v>
      </c>
      <c r="O1595" s="5">
        <f t="shared" si="223"/>
        <v>412</v>
      </c>
      <c r="P1595" t="str">
        <f>'(Raw) LensesGH'!I1595</f>
        <v>69 x 78.4mm</v>
      </c>
      <c r="Q1595" s="39">
        <f t="shared" si="224"/>
        <v>69</v>
      </c>
      <c r="R1595" s="39">
        <f t="shared" si="216"/>
        <v>78.400000000000006</v>
      </c>
    </row>
    <row r="1596" spans="1:18" x14ac:dyDescent="0.25">
      <c r="A1596" t="str">
        <f>'(Raw) LensesGH'!A1596</f>
        <v>Voigtländer Classic Collection Ultron 28mm 2.0 schwarz</v>
      </c>
      <c r="B1596" t="str">
        <f>'(Raw) LensesGH'!B1596</f>
        <v>28mm</v>
      </c>
      <c r="C1596" s="5">
        <f t="shared" si="217"/>
        <v>28</v>
      </c>
      <c r="D1596" s="5">
        <f t="shared" si="218"/>
        <v>28</v>
      </c>
      <c r="E1596" t="str">
        <f>'(Raw) LensesGH'!C1596</f>
        <v>1:2.0</v>
      </c>
      <c r="F1596" s="9">
        <f t="shared" si="219"/>
        <v>2</v>
      </c>
      <c r="G1596" s="9">
        <f t="shared" si="220"/>
        <v>2</v>
      </c>
      <c r="H1596" t="str">
        <f>'(Raw) LensesGH'!D1596</f>
        <v>46mm</v>
      </c>
      <c r="I1596" s="2">
        <f t="shared" si="221"/>
        <v>46</v>
      </c>
      <c r="J1596" s="2">
        <f>'(Raw) LensesGH'!E1596</f>
        <v>0</v>
      </c>
      <c r="K1596" s="40">
        <f t="shared" si="222"/>
        <v>0</v>
      </c>
      <c r="L1596" t="str">
        <f>'(Raw) LensesGH'!F1596</f>
        <v>Leica M</v>
      </c>
      <c r="M1596" t="str">
        <f>'(Raw) LensesGH'!G1596</f>
        <v>Mittelformat</v>
      </c>
      <c r="N1596" t="str">
        <f>'(Raw) LensesGH'!H1596</f>
        <v>244g</v>
      </c>
      <c r="O1596" s="5">
        <f t="shared" si="223"/>
        <v>244</v>
      </c>
      <c r="P1596" t="str">
        <f>'(Raw) LensesGH'!I1596</f>
        <v>55 x 51.2mm</v>
      </c>
      <c r="Q1596" s="39">
        <f t="shared" si="224"/>
        <v>55</v>
      </c>
      <c r="R1596" s="39">
        <f t="shared" si="216"/>
        <v>51.2</v>
      </c>
    </row>
    <row r="1597" spans="1:18" x14ac:dyDescent="0.25">
      <c r="A1597" t="str">
        <f>'(Raw) LensesGH'!A1597</f>
        <v>Voigtländer Heliar 10mm 5.6 für Sony E schwarz</v>
      </c>
      <c r="B1597" t="str">
        <f>'(Raw) LensesGH'!B1597</f>
        <v>10mm</v>
      </c>
      <c r="C1597" s="5">
        <f t="shared" si="217"/>
        <v>10</v>
      </c>
      <c r="D1597" s="5">
        <f t="shared" si="218"/>
        <v>10</v>
      </c>
      <c r="E1597" t="str">
        <f>'(Raw) LensesGH'!C1597</f>
        <v>1:5.6</v>
      </c>
      <c r="F1597" s="9">
        <f t="shared" si="219"/>
        <v>5.6</v>
      </c>
      <c r="G1597" s="9">
        <f t="shared" si="220"/>
        <v>5.6</v>
      </c>
      <c r="H1597">
        <f>'(Raw) LensesGH'!D1597</f>
        <v>0</v>
      </c>
      <c r="I1597" s="2">
        <f t="shared" si="221"/>
        <v>0</v>
      </c>
      <c r="J1597" s="2">
        <f>'(Raw) LensesGH'!E1597</f>
        <v>0</v>
      </c>
      <c r="K1597" s="40">
        <f t="shared" si="222"/>
        <v>0</v>
      </c>
      <c r="L1597" t="str">
        <f>'(Raw) LensesGH'!F1597</f>
        <v>Sony E</v>
      </c>
      <c r="M1597" t="str">
        <f>'(Raw) LensesGH'!G1597</f>
        <v>APS-C/ Kleinbild</v>
      </c>
      <c r="N1597" t="str">
        <f>'(Raw) LensesGH'!H1597</f>
        <v>371g</v>
      </c>
      <c r="O1597" s="5">
        <f t="shared" si="223"/>
        <v>371</v>
      </c>
      <c r="P1597" t="str">
        <f>'(Raw) LensesGH'!I1597</f>
        <v>67.8 x 73.8mm</v>
      </c>
      <c r="Q1597" s="39">
        <f t="shared" si="224"/>
        <v>67.8</v>
      </c>
      <c r="R1597" s="39">
        <f t="shared" si="216"/>
        <v>73.8</v>
      </c>
    </row>
    <row r="1598" spans="1:18" x14ac:dyDescent="0.25">
      <c r="A1598" t="str">
        <f>'(Raw) LensesGH'!A1598</f>
        <v>Voigtländer Heliar 12mm 5.6 für Sony E schwarz</v>
      </c>
      <c r="B1598" t="str">
        <f>'(Raw) LensesGH'!B1598</f>
        <v>12mm</v>
      </c>
      <c r="C1598" s="5">
        <f t="shared" si="217"/>
        <v>12</v>
      </c>
      <c r="D1598" s="5">
        <f t="shared" si="218"/>
        <v>12</v>
      </c>
      <c r="E1598" t="str">
        <f>'(Raw) LensesGH'!C1598</f>
        <v>1:5.6</v>
      </c>
      <c r="F1598" s="9">
        <f t="shared" si="219"/>
        <v>5.6</v>
      </c>
      <c r="G1598" s="9">
        <f t="shared" si="220"/>
        <v>5.6</v>
      </c>
      <c r="H1598">
        <f>'(Raw) LensesGH'!D1598</f>
        <v>0</v>
      </c>
      <c r="I1598" s="2">
        <f t="shared" si="221"/>
        <v>0</v>
      </c>
      <c r="J1598" s="2">
        <f>'(Raw) LensesGH'!E1598</f>
        <v>0</v>
      </c>
      <c r="K1598" s="40">
        <f t="shared" si="222"/>
        <v>0</v>
      </c>
      <c r="L1598" t="str">
        <f>'(Raw) LensesGH'!F1598</f>
        <v>Sony E</v>
      </c>
      <c r="M1598" t="str">
        <f>'(Raw) LensesGH'!G1598</f>
        <v>APS-C/ Kleinbild</v>
      </c>
      <c r="N1598">
        <f>'(Raw) LensesGH'!H1598</f>
        <v>0</v>
      </c>
      <c r="O1598" s="5">
        <f t="shared" si="223"/>
        <v>0</v>
      </c>
      <c r="P1598" t="str">
        <f>'(Raw) LensesGH'!I1598</f>
        <v>67.4 x 74.3mm</v>
      </c>
      <c r="Q1598" s="39">
        <f t="shared" si="224"/>
        <v>67.400000000000006</v>
      </c>
      <c r="R1598" s="39">
        <f t="shared" si="216"/>
        <v>74.3</v>
      </c>
    </row>
    <row r="1599" spans="1:18" x14ac:dyDescent="0.25">
      <c r="A1599" t="str">
        <f>'(Raw) LensesGH'!A1599</f>
        <v>Voigtländer Heliar 15mm 4.5 für Sony E schwarz</v>
      </c>
      <c r="B1599" t="str">
        <f>'(Raw) LensesGH'!B1599</f>
        <v>15mm</v>
      </c>
      <c r="C1599" s="5">
        <f t="shared" si="217"/>
        <v>15</v>
      </c>
      <c r="D1599" s="5">
        <f t="shared" si="218"/>
        <v>15</v>
      </c>
      <c r="E1599" t="str">
        <f>'(Raw) LensesGH'!C1599</f>
        <v>1:4.5</v>
      </c>
      <c r="F1599" s="9">
        <f t="shared" si="219"/>
        <v>4.5</v>
      </c>
      <c r="G1599" s="9">
        <f t="shared" si="220"/>
        <v>4.5</v>
      </c>
      <c r="H1599" t="str">
        <f>'(Raw) LensesGH'!D1599</f>
        <v>58mm</v>
      </c>
      <c r="I1599" s="2">
        <f t="shared" si="221"/>
        <v>58</v>
      </c>
      <c r="J1599" s="2">
        <f>'(Raw) LensesGH'!E1599</f>
        <v>0</v>
      </c>
      <c r="K1599" s="40">
        <f t="shared" si="222"/>
        <v>0</v>
      </c>
      <c r="L1599" t="str">
        <f>'(Raw) LensesGH'!F1599</f>
        <v>Sony E</v>
      </c>
      <c r="M1599" t="str">
        <f>'(Raw) LensesGH'!G1599</f>
        <v>APS-C/ Kleinbild</v>
      </c>
      <c r="N1599" t="str">
        <f>'(Raw) LensesGH'!H1599</f>
        <v>294g</v>
      </c>
      <c r="O1599" s="5">
        <f t="shared" si="223"/>
        <v>294</v>
      </c>
      <c r="P1599" t="str">
        <f>'(Raw) LensesGH'!I1599</f>
        <v>66.4 x 67.5mm</v>
      </c>
      <c r="Q1599" s="39">
        <f t="shared" si="224"/>
        <v>66.400000000000006</v>
      </c>
      <c r="R1599" s="39">
        <f t="shared" si="216"/>
        <v>67.5</v>
      </c>
    </row>
    <row r="1600" spans="1:18" x14ac:dyDescent="0.25">
      <c r="A1600" t="str">
        <f>'(Raw) LensesGH'!A1600</f>
        <v>Voigtländer Nokton 10.5mm 0.95 für Micro-Four-Thirds schwarz</v>
      </c>
      <c r="B1600" t="str">
        <f>'(Raw) LensesGH'!B1600</f>
        <v>10.5mm</v>
      </c>
      <c r="C1600" s="5">
        <f t="shared" si="217"/>
        <v>10.5</v>
      </c>
      <c r="D1600" s="5">
        <f t="shared" si="218"/>
        <v>10.5</v>
      </c>
      <c r="E1600" t="str">
        <f>'(Raw) LensesGH'!C1600</f>
        <v>1:0.95</v>
      </c>
      <c r="F1600" s="9">
        <f t="shared" si="219"/>
        <v>0.95</v>
      </c>
      <c r="G1600" s="9">
        <f t="shared" si="220"/>
        <v>0.95</v>
      </c>
      <c r="H1600" t="str">
        <f>'(Raw) LensesGH'!D1600</f>
        <v>72mm</v>
      </c>
      <c r="I1600" s="2">
        <f t="shared" si="221"/>
        <v>72</v>
      </c>
      <c r="J1600" s="2">
        <f>'(Raw) LensesGH'!E1600</f>
        <v>0</v>
      </c>
      <c r="K1600" s="40">
        <f t="shared" si="222"/>
        <v>0</v>
      </c>
      <c r="L1600" t="str">
        <f>'(Raw) LensesGH'!F1600</f>
        <v>Micro-Four-Thirds</v>
      </c>
      <c r="M1600" t="str">
        <f>'(Raw) LensesGH'!G1600</f>
        <v>Four-Thirds</v>
      </c>
      <c r="N1600" t="str">
        <f>'(Raw) LensesGH'!H1600</f>
        <v>586g</v>
      </c>
      <c r="O1600" s="5">
        <f t="shared" si="223"/>
        <v>586</v>
      </c>
      <c r="P1600" t="str">
        <f>'(Raw) LensesGH'!I1600</f>
        <v>77 x 82.4mm</v>
      </c>
      <c r="Q1600" s="39">
        <f t="shared" si="224"/>
        <v>77</v>
      </c>
      <c r="R1600" s="39">
        <f t="shared" si="216"/>
        <v>82.4</v>
      </c>
    </row>
    <row r="1601" spans="1:18" x14ac:dyDescent="0.25">
      <c r="A1601" t="str">
        <f>'(Raw) LensesGH'!A1601</f>
        <v>Voigtländer Nokton 17.5mm 0.95 für Micro-Four-Thirds schwarz</v>
      </c>
      <c r="B1601" t="str">
        <f>'(Raw) LensesGH'!B1601</f>
        <v>17.5mm</v>
      </c>
      <c r="C1601" s="5">
        <f t="shared" si="217"/>
        <v>17.5</v>
      </c>
      <c r="D1601" s="5">
        <f t="shared" si="218"/>
        <v>17.5</v>
      </c>
      <c r="E1601" t="str">
        <f>'(Raw) LensesGH'!C1601</f>
        <v>1:0.95</v>
      </c>
      <c r="F1601" s="9">
        <f t="shared" si="219"/>
        <v>0.95</v>
      </c>
      <c r="G1601" s="9">
        <f t="shared" si="220"/>
        <v>0.95</v>
      </c>
      <c r="H1601" t="str">
        <f>'(Raw) LensesGH'!D1601</f>
        <v>58mm</v>
      </c>
      <c r="I1601" s="2">
        <f t="shared" si="221"/>
        <v>58</v>
      </c>
      <c r="J1601" s="2" t="str">
        <f>'(Raw) LensesGH'!E1601</f>
        <v>1:4.00</v>
      </c>
      <c r="K1601" s="40">
        <f t="shared" si="222"/>
        <v>4</v>
      </c>
      <c r="L1601" t="str">
        <f>'(Raw) LensesGH'!F1601</f>
        <v>Micro-Four-Thirds</v>
      </c>
      <c r="M1601" t="str">
        <f>'(Raw) LensesGH'!G1601</f>
        <v>Four-Thirds</v>
      </c>
      <c r="N1601" t="str">
        <f>'(Raw) LensesGH'!H1601</f>
        <v>540g</v>
      </c>
      <c r="O1601" s="5">
        <f t="shared" si="223"/>
        <v>540</v>
      </c>
      <c r="P1601" t="str">
        <f>'(Raw) LensesGH'!I1601</f>
        <v>63.4 x 80mm</v>
      </c>
      <c r="Q1601" s="39">
        <f t="shared" si="224"/>
        <v>63.4</v>
      </c>
      <c r="R1601" s="39">
        <f t="shared" si="216"/>
        <v>80</v>
      </c>
    </row>
    <row r="1602" spans="1:18" x14ac:dyDescent="0.25">
      <c r="A1602" t="str">
        <f>'(Raw) LensesGH'!A1602</f>
        <v>Voigtländer Nokton 25mm 0.95 für Micro-Four-Thirds schwarz</v>
      </c>
      <c r="B1602" t="str">
        <f>'(Raw) LensesGH'!B1602</f>
        <v>25mm</v>
      </c>
      <c r="C1602" s="5">
        <f t="shared" si="217"/>
        <v>25</v>
      </c>
      <c r="D1602" s="5">
        <f t="shared" si="218"/>
        <v>25</v>
      </c>
      <c r="E1602" t="str">
        <f>'(Raw) LensesGH'!C1602</f>
        <v>1:0.95</v>
      </c>
      <c r="F1602" s="9">
        <f t="shared" si="219"/>
        <v>0.95</v>
      </c>
      <c r="G1602" s="9">
        <f t="shared" si="220"/>
        <v>0.95</v>
      </c>
      <c r="H1602" t="str">
        <f>'(Raw) LensesGH'!D1602</f>
        <v>52mm</v>
      </c>
      <c r="I1602" s="2">
        <f t="shared" si="221"/>
        <v>52</v>
      </c>
      <c r="J1602" s="2">
        <f>'(Raw) LensesGH'!E1602</f>
        <v>0</v>
      </c>
      <c r="K1602" s="40">
        <f t="shared" si="222"/>
        <v>0</v>
      </c>
      <c r="L1602" t="str">
        <f>'(Raw) LensesGH'!F1602</f>
        <v>Micro-Four-Thirds</v>
      </c>
      <c r="M1602" t="str">
        <f>'(Raw) LensesGH'!G1602</f>
        <v>Four-Thirds</v>
      </c>
      <c r="N1602" t="str">
        <f>'(Raw) LensesGH'!H1602</f>
        <v>410g</v>
      </c>
      <c r="O1602" s="5">
        <f t="shared" si="223"/>
        <v>410</v>
      </c>
      <c r="P1602" t="str">
        <f>'(Raw) LensesGH'!I1602</f>
        <v>58.4 x 70mm</v>
      </c>
      <c r="Q1602" s="39">
        <f t="shared" si="224"/>
        <v>58.4</v>
      </c>
      <c r="R1602" s="39">
        <f t="shared" ref="R1602:R1665" si="225">getSizeLength(P1602)</f>
        <v>70</v>
      </c>
    </row>
    <row r="1603" spans="1:18" x14ac:dyDescent="0.25">
      <c r="A1603" t="str">
        <f>'(Raw) LensesGH'!A1603</f>
        <v>Voigtländer Nokton 40mm 1.2 für Sony E schwarz</v>
      </c>
      <c r="B1603" t="str">
        <f>'(Raw) LensesGH'!B1603</f>
        <v>40mm</v>
      </c>
      <c r="C1603" s="5">
        <f t="shared" ref="C1603:C1666" si="226">getFocalLengthStart(B1603)</f>
        <v>40</v>
      </c>
      <c r="D1603" s="5">
        <f t="shared" ref="D1603:D1666" si="227">getFocalLengthEnd(B1603)</f>
        <v>40</v>
      </c>
      <c r="E1603" t="str">
        <f>'(Raw) LensesGH'!C1603</f>
        <v>1:1.2</v>
      </c>
      <c r="F1603" s="9">
        <f t="shared" ref="F1603:F1666" si="228">getApertureStart(E1603)</f>
        <v>1.2</v>
      </c>
      <c r="G1603" s="9">
        <f t="shared" ref="G1603:G1666" si="229">getApertureEnd(F1603)</f>
        <v>1.2</v>
      </c>
      <c r="H1603" t="str">
        <f>'(Raw) LensesGH'!D1603</f>
        <v>58mm</v>
      </c>
      <c r="I1603" s="2">
        <f t="shared" ref="I1603:I1666" si="230">getFiltersizeAsDouble(H1603)</f>
        <v>58</v>
      </c>
      <c r="J1603" s="2" t="str">
        <f>'(Raw) LensesGH'!E1603</f>
        <v>1:6.20</v>
      </c>
      <c r="K1603" s="40">
        <f t="shared" ref="K1603:K1666" si="231">getMagnification(J1603)</f>
        <v>6.2</v>
      </c>
      <c r="L1603" t="str">
        <f>'(Raw) LensesGH'!F1603</f>
        <v>Sony E</v>
      </c>
      <c r="M1603" t="str">
        <f>'(Raw) LensesGH'!G1603</f>
        <v>APS-C/ Kleinbild</v>
      </c>
      <c r="N1603" t="str">
        <f>'(Raw) LensesGH'!H1603</f>
        <v>420g</v>
      </c>
      <c r="O1603" s="5">
        <f t="shared" ref="O1603:O1666" si="232">getWeightAsDouble(N1603)</f>
        <v>420</v>
      </c>
      <c r="P1603" t="str">
        <f>'(Raw) LensesGH'!I1603</f>
        <v>70.1 x 59.3mm</v>
      </c>
      <c r="Q1603" s="39">
        <f t="shared" ref="Q1603:Q1666" si="233">getSizeDiameter(P1603)</f>
        <v>70.099999999999994</v>
      </c>
      <c r="R1603" s="39">
        <f t="shared" si="225"/>
        <v>59.3</v>
      </c>
    </row>
    <row r="1604" spans="1:18" x14ac:dyDescent="0.25">
      <c r="A1604" t="str">
        <f>'(Raw) LensesGH'!A1604</f>
        <v>Voigtländer Nokton 42.5mm 0.95 für Micro-Four-Thirds schwarz</v>
      </c>
      <c r="B1604" t="str">
        <f>'(Raw) LensesGH'!B1604</f>
        <v>42.5mm</v>
      </c>
      <c r="C1604" s="5">
        <f t="shared" si="226"/>
        <v>42.5</v>
      </c>
      <c r="D1604" s="5">
        <f t="shared" si="227"/>
        <v>42.5</v>
      </c>
      <c r="E1604" t="str">
        <f>'(Raw) LensesGH'!C1604</f>
        <v>1:0.95</v>
      </c>
      <c r="F1604" s="9">
        <f t="shared" si="228"/>
        <v>0.95</v>
      </c>
      <c r="G1604" s="9">
        <f t="shared" si="229"/>
        <v>0.95</v>
      </c>
      <c r="H1604" t="str">
        <f>'(Raw) LensesGH'!D1604</f>
        <v>58mm</v>
      </c>
      <c r="I1604" s="2">
        <f t="shared" si="230"/>
        <v>58</v>
      </c>
      <c r="J1604" s="2">
        <f>'(Raw) LensesGH'!E1604</f>
        <v>0</v>
      </c>
      <c r="K1604" s="40">
        <f t="shared" si="231"/>
        <v>0</v>
      </c>
      <c r="L1604" t="str">
        <f>'(Raw) LensesGH'!F1604</f>
        <v>Micro-Four-Thirds</v>
      </c>
      <c r="M1604" t="str">
        <f>'(Raw) LensesGH'!G1604</f>
        <v>Four-Thirds</v>
      </c>
      <c r="N1604">
        <f>'(Raw) LensesGH'!H1604</f>
        <v>0</v>
      </c>
      <c r="O1604" s="5">
        <f t="shared" si="232"/>
        <v>0</v>
      </c>
      <c r="P1604" t="str">
        <f>'(Raw) LensesGH'!I1604</f>
        <v>64.3 x 74.6mm</v>
      </c>
      <c r="Q1604" s="39">
        <f t="shared" si="233"/>
        <v>64.3</v>
      </c>
      <c r="R1604" s="39">
        <f t="shared" si="225"/>
        <v>74.599999999999994</v>
      </c>
    </row>
    <row r="1605" spans="1:18" x14ac:dyDescent="0.25">
      <c r="A1605" t="str">
        <f>'(Raw) LensesGH'!A1605</f>
        <v>Voigtländer SL II Nokton N 58mm 1.4 für Nikon F schwarz</v>
      </c>
      <c r="B1605" t="str">
        <f>'(Raw) LensesGH'!B1605</f>
        <v>58mm</v>
      </c>
      <c r="C1605" s="5">
        <f t="shared" si="226"/>
        <v>58</v>
      </c>
      <c r="D1605" s="5">
        <f t="shared" si="227"/>
        <v>58</v>
      </c>
      <c r="E1605" t="str">
        <f>'(Raw) LensesGH'!C1605</f>
        <v>1:1.4</v>
      </c>
      <c r="F1605" s="9">
        <f t="shared" si="228"/>
        <v>1.4</v>
      </c>
      <c r="G1605" s="9">
        <f t="shared" si="229"/>
        <v>1.4</v>
      </c>
      <c r="H1605" t="str">
        <f>'(Raw) LensesGH'!D1605</f>
        <v>58mm</v>
      </c>
      <c r="I1605" s="2">
        <f t="shared" si="230"/>
        <v>58</v>
      </c>
      <c r="J1605" s="2">
        <f>'(Raw) LensesGH'!E1605</f>
        <v>0</v>
      </c>
      <c r="K1605" s="40">
        <f t="shared" si="231"/>
        <v>0</v>
      </c>
      <c r="L1605" t="str">
        <f>'(Raw) LensesGH'!F1605</f>
        <v>Nikon F</v>
      </c>
      <c r="M1605" t="str">
        <f>'(Raw) LensesGH'!G1605</f>
        <v>APS-C/ Kleinbild</v>
      </c>
      <c r="N1605" t="str">
        <f>'(Raw) LensesGH'!H1605</f>
        <v>320g</v>
      </c>
      <c r="O1605" s="5">
        <f t="shared" si="232"/>
        <v>320</v>
      </c>
      <c r="P1605" t="str">
        <f>'(Raw) LensesGH'!I1605</f>
        <v>64.4 x 47.5mm</v>
      </c>
      <c r="Q1605" s="39">
        <f t="shared" si="233"/>
        <v>64.400000000000006</v>
      </c>
      <c r="R1605" s="39">
        <f t="shared" si="225"/>
        <v>47.5</v>
      </c>
    </row>
    <row r="1606" spans="1:18" x14ac:dyDescent="0.25">
      <c r="A1606" t="str">
        <f>'(Raw) LensesGH'!A1606</f>
        <v>Voigtländer SL II Nokton S 58mm 1.4 für Nikon F schwarz</v>
      </c>
      <c r="B1606" t="str">
        <f>'(Raw) LensesGH'!B1606</f>
        <v>58mm</v>
      </c>
      <c r="C1606" s="5">
        <f t="shared" si="226"/>
        <v>58</v>
      </c>
      <c r="D1606" s="5">
        <f t="shared" si="227"/>
        <v>58</v>
      </c>
      <c r="E1606" t="str">
        <f>'(Raw) LensesGH'!C1606</f>
        <v>1:1.4</v>
      </c>
      <c r="F1606" s="9">
        <f t="shared" si="228"/>
        <v>1.4</v>
      </c>
      <c r="G1606" s="9">
        <f t="shared" si="229"/>
        <v>1.4</v>
      </c>
      <c r="H1606" t="str">
        <f>'(Raw) LensesGH'!D1606</f>
        <v>52mm</v>
      </c>
      <c r="I1606" s="2">
        <f t="shared" si="230"/>
        <v>52</v>
      </c>
      <c r="J1606" s="2">
        <f>'(Raw) LensesGH'!E1606</f>
        <v>0</v>
      </c>
      <c r="K1606" s="40">
        <f t="shared" si="231"/>
        <v>0</v>
      </c>
      <c r="L1606" t="str">
        <f>'(Raw) LensesGH'!F1606</f>
        <v>Nikon F</v>
      </c>
      <c r="M1606" t="str">
        <f>'(Raw) LensesGH'!G1606</f>
        <v>APS-C/ Kleinbild</v>
      </c>
      <c r="N1606" t="str">
        <f>'(Raw) LensesGH'!H1606</f>
        <v>320g</v>
      </c>
      <c r="O1606" s="5">
        <f t="shared" si="232"/>
        <v>320</v>
      </c>
      <c r="P1606" t="str">
        <f>'(Raw) LensesGH'!I1606</f>
        <v>67.6 x 45.5mm</v>
      </c>
      <c r="Q1606" s="39">
        <f t="shared" si="233"/>
        <v>67.599999999999994</v>
      </c>
      <c r="R1606" s="39">
        <f t="shared" si="225"/>
        <v>45.5</v>
      </c>
    </row>
    <row r="1607" spans="1:18" x14ac:dyDescent="0.25">
      <c r="A1607" t="str">
        <f>'(Raw) LensesGH'!A1607</f>
        <v>Voigtländer SL II Ultron 40mm 2.0 für Nikon F schwarz</v>
      </c>
      <c r="B1607" t="str">
        <f>'(Raw) LensesGH'!B1607</f>
        <v>40mm</v>
      </c>
      <c r="C1607" s="5">
        <f t="shared" si="226"/>
        <v>40</v>
      </c>
      <c r="D1607" s="5">
        <f t="shared" si="227"/>
        <v>40</v>
      </c>
      <c r="E1607" t="str">
        <f>'(Raw) LensesGH'!C1607</f>
        <v>1:2.0</v>
      </c>
      <c r="F1607" s="9">
        <f t="shared" si="228"/>
        <v>2</v>
      </c>
      <c r="G1607" s="9">
        <f t="shared" si="229"/>
        <v>2</v>
      </c>
      <c r="H1607" t="str">
        <f>'(Raw) LensesGH'!D1607</f>
        <v>52mm</v>
      </c>
      <c r="I1607" s="2">
        <f t="shared" si="230"/>
        <v>52</v>
      </c>
      <c r="J1607" s="2" t="str">
        <f>'(Raw) LensesGH'!E1607</f>
        <v>1:7.00</v>
      </c>
      <c r="K1607" s="40">
        <f t="shared" si="231"/>
        <v>7</v>
      </c>
      <c r="L1607" t="str">
        <f>'(Raw) LensesGH'!F1607</f>
        <v>Nikon F</v>
      </c>
      <c r="M1607" t="str">
        <f>'(Raw) LensesGH'!G1607</f>
        <v>APS-C/ Kleinbild</v>
      </c>
      <c r="N1607" t="str">
        <f>'(Raw) LensesGH'!H1607</f>
        <v>200g</v>
      </c>
      <c r="O1607" s="5">
        <f t="shared" si="232"/>
        <v>200</v>
      </c>
      <c r="P1607" t="str">
        <f>'(Raw) LensesGH'!I1607</f>
        <v>63 x 24.5mm</v>
      </c>
      <c r="Q1607" s="39">
        <f t="shared" si="233"/>
        <v>63</v>
      </c>
      <c r="R1607" s="39">
        <f t="shared" si="225"/>
        <v>24.5</v>
      </c>
    </row>
    <row r="1608" spans="1:18" x14ac:dyDescent="0.25">
      <c r="A1608" t="str">
        <f>'(Raw) LensesGH'!A1608</f>
        <v>Voigtländer VM Heliar 10mm 5.6 schwarz</v>
      </c>
      <c r="B1608" t="str">
        <f>'(Raw) LensesGH'!B1608</f>
        <v>10mm</v>
      </c>
      <c r="C1608" s="5">
        <f t="shared" si="226"/>
        <v>10</v>
      </c>
      <c r="D1608" s="5">
        <f t="shared" si="227"/>
        <v>10</v>
      </c>
      <c r="E1608" t="str">
        <f>'(Raw) LensesGH'!C1608</f>
        <v>1:5.6</v>
      </c>
      <c r="F1608" s="9">
        <f t="shared" si="228"/>
        <v>5.6</v>
      </c>
      <c r="G1608" s="9">
        <f t="shared" si="229"/>
        <v>5.6</v>
      </c>
      <c r="H1608">
        <f>'(Raw) LensesGH'!D1608</f>
        <v>0</v>
      </c>
      <c r="I1608" s="2">
        <f t="shared" si="230"/>
        <v>0</v>
      </c>
      <c r="J1608" s="2">
        <f>'(Raw) LensesGH'!E1608</f>
        <v>0</v>
      </c>
      <c r="K1608" s="40">
        <f t="shared" si="231"/>
        <v>0</v>
      </c>
      <c r="L1608" t="str">
        <f>'(Raw) LensesGH'!F1608</f>
        <v>Leica M</v>
      </c>
      <c r="M1608" t="str">
        <f>'(Raw) LensesGH'!G1608</f>
        <v>Mittelformat</v>
      </c>
      <c r="N1608" t="str">
        <f>'(Raw) LensesGH'!H1608</f>
        <v>312g</v>
      </c>
      <c r="O1608" s="5">
        <f t="shared" si="232"/>
        <v>312</v>
      </c>
      <c r="P1608" t="str">
        <f>'(Raw) LensesGH'!I1608</f>
        <v>67.8 x 58.7mm</v>
      </c>
      <c r="Q1608" s="39">
        <f t="shared" si="233"/>
        <v>67.8</v>
      </c>
      <c r="R1608" s="39">
        <f t="shared" si="225"/>
        <v>58.7</v>
      </c>
    </row>
    <row r="1609" spans="1:18" x14ac:dyDescent="0.25">
      <c r="A1609" t="str">
        <f>'(Raw) LensesGH'!A1609</f>
        <v>Voigtländer VM Heliar 12mm 5.6 schwarz</v>
      </c>
      <c r="B1609" t="str">
        <f>'(Raw) LensesGH'!B1609</f>
        <v>12mm</v>
      </c>
      <c r="C1609" s="5">
        <f t="shared" si="226"/>
        <v>12</v>
      </c>
      <c r="D1609" s="5">
        <f t="shared" si="227"/>
        <v>12</v>
      </c>
      <c r="E1609" t="str">
        <f>'(Raw) LensesGH'!C1609</f>
        <v>1:5.6</v>
      </c>
      <c r="F1609" s="9">
        <f t="shared" si="228"/>
        <v>5.6</v>
      </c>
      <c r="G1609" s="9">
        <f t="shared" si="229"/>
        <v>5.6</v>
      </c>
      <c r="H1609">
        <f>'(Raw) LensesGH'!D1609</f>
        <v>0</v>
      </c>
      <c r="I1609" s="2">
        <f t="shared" si="230"/>
        <v>0</v>
      </c>
      <c r="J1609" s="2">
        <f>'(Raw) LensesGH'!E1609</f>
        <v>0</v>
      </c>
      <c r="K1609" s="40">
        <f t="shared" si="231"/>
        <v>0</v>
      </c>
      <c r="L1609" t="str">
        <f>'(Raw) LensesGH'!F1609</f>
        <v>Leica M</v>
      </c>
      <c r="M1609" t="str">
        <f>'(Raw) LensesGH'!G1609</f>
        <v>Mittelformat</v>
      </c>
      <c r="N1609">
        <f>'(Raw) LensesGH'!H1609</f>
        <v>0</v>
      </c>
      <c r="O1609" s="5">
        <f t="shared" si="232"/>
        <v>0</v>
      </c>
      <c r="P1609" t="str">
        <f>'(Raw) LensesGH'!I1609</f>
        <v>64.8 x 59.2mm</v>
      </c>
      <c r="Q1609" s="39">
        <f t="shared" si="233"/>
        <v>64.8</v>
      </c>
      <c r="R1609" s="39">
        <f t="shared" si="225"/>
        <v>59.2</v>
      </c>
    </row>
    <row r="1610" spans="1:18" x14ac:dyDescent="0.25">
      <c r="A1610" t="str">
        <f>'(Raw) LensesGH'!A1610</f>
        <v>Voigtländer VM Heliar 15mm 4.5 schwarz</v>
      </c>
      <c r="B1610" t="str">
        <f>'(Raw) LensesGH'!B1610</f>
        <v>15mm</v>
      </c>
      <c r="C1610" s="5">
        <f t="shared" si="226"/>
        <v>15</v>
      </c>
      <c r="D1610" s="5">
        <f t="shared" si="227"/>
        <v>15</v>
      </c>
      <c r="E1610" t="str">
        <f>'(Raw) LensesGH'!C1610</f>
        <v>1:4.5</v>
      </c>
      <c r="F1610" s="9">
        <f t="shared" si="228"/>
        <v>4.5</v>
      </c>
      <c r="G1610" s="9">
        <f t="shared" si="229"/>
        <v>4.5</v>
      </c>
      <c r="H1610" t="str">
        <f>'(Raw) LensesGH'!D1610</f>
        <v>58mm</v>
      </c>
      <c r="I1610" s="2">
        <f t="shared" si="230"/>
        <v>58</v>
      </c>
      <c r="J1610" s="2">
        <f>'(Raw) LensesGH'!E1610</f>
        <v>0</v>
      </c>
      <c r="K1610" s="40">
        <f t="shared" si="231"/>
        <v>0</v>
      </c>
      <c r="L1610" t="str">
        <f>'(Raw) LensesGH'!F1610</f>
        <v>Leica M</v>
      </c>
      <c r="M1610" t="str">
        <f>'(Raw) LensesGH'!G1610</f>
        <v>Mittelformat</v>
      </c>
      <c r="N1610">
        <f>'(Raw) LensesGH'!H1610</f>
        <v>0</v>
      </c>
      <c r="O1610" s="5">
        <f t="shared" si="232"/>
        <v>0</v>
      </c>
      <c r="P1610" t="str">
        <f>'(Raw) LensesGH'!I1610</f>
        <v>64.8 x 55.2mm</v>
      </c>
      <c r="Q1610" s="39">
        <f t="shared" si="233"/>
        <v>64.8</v>
      </c>
      <c r="R1610" s="39">
        <f t="shared" si="225"/>
        <v>55.2</v>
      </c>
    </row>
    <row r="1611" spans="1:18" x14ac:dyDescent="0.25">
      <c r="A1611" t="str">
        <f>'(Raw) LensesGH'!A1611</f>
        <v>Voigtländer VM Heliar 40mm 2.8 schwarz</v>
      </c>
      <c r="B1611" t="str">
        <f>'(Raw) LensesGH'!B1611</f>
        <v>40mm</v>
      </c>
      <c r="C1611" s="5">
        <f t="shared" si="226"/>
        <v>40</v>
      </c>
      <c r="D1611" s="5">
        <f t="shared" si="227"/>
        <v>40</v>
      </c>
      <c r="E1611" t="str">
        <f>'(Raw) LensesGH'!C1611</f>
        <v>1:2.8</v>
      </c>
      <c r="F1611" s="9">
        <f t="shared" si="228"/>
        <v>2.8</v>
      </c>
      <c r="G1611" s="9">
        <f t="shared" si="229"/>
        <v>2.8</v>
      </c>
      <c r="H1611" t="str">
        <f>'(Raw) LensesGH'!D1611</f>
        <v>37mm</v>
      </c>
      <c r="I1611" s="2">
        <f t="shared" si="230"/>
        <v>37</v>
      </c>
      <c r="J1611" s="2">
        <f>'(Raw) LensesGH'!E1611</f>
        <v>0</v>
      </c>
      <c r="K1611" s="40">
        <f t="shared" si="231"/>
        <v>0</v>
      </c>
      <c r="L1611" t="str">
        <f>'(Raw) LensesGH'!F1611</f>
        <v>Leica M</v>
      </c>
      <c r="M1611" t="str">
        <f>'(Raw) LensesGH'!G1611</f>
        <v>Mittelformat</v>
      </c>
      <c r="N1611" t="str">
        <f>'(Raw) LensesGH'!H1611</f>
        <v>132g</v>
      </c>
      <c r="O1611" s="5">
        <f t="shared" si="232"/>
        <v>132</v>
      </c>
      <c r="P1611" t="str">
        <f>'(Raw) LensesGH'!I1611</f>
        <v>51 x 12.6mm</v>
      </c>
      <c r="Q1611" s="39">
        <f t="shared" si="233"/>
        <v>51</v>
      </c>
      <c r="R1611" s="39">
        <f t="shared" si="225"/>
        <v>12.6</v>
      </c>
    </row>
    <row r="1612" spans="1:18" x14ac:dyDescent="0.25">
      <c r="A1612" t="str">
        <f>'(Raw) LensesGH'!A1612</f>
        <v>Voigtländer VM Heliar 50mm 3.5 schwarz</v>
      </c>
      <c r="B1612" t="str">
        <f>'(Raw) LensesGH'!B1612</f>
        <v>50mm</v>
      </c>
      <c r="C1612" s="5">
        <f t="shared" si="226"/>
        <v>50</v>
      </c>
      <c r="D1612" s="5">
        <f t="shared" si="227"/>
        <v>50</v>
      </c>
      <c r="E1612" t="str">
        <f>'(Raw) LensesGH'!C1612</f>
        <v>1:3.5</v>
      </c>
      <c r="F1612" s="9">
        <f t="shared" si="228"/>
        <v>3.5</v>
      </c>
      <c r="G1612" s="9">
        <f t="shared" si="229"/>
        <v>3.5</v>
      </c>
      <c r="H1612" t="str">
        <f>'(Raw) LensesGH'!D1612</f>
        <v>27mm</v>
      </c>
      <c r="I1612" s="2">
        <f t="shared" si="230"/>
        <v>27</v>
      </c>
      <c r="J1612" s="2">
        <f>'(Raw) LensesGH'!E1612</f>
        <v>0</v>
      </c>
      <c r="K1612" s="40">
        <f t="shared" si="231"/>
        <v>0</v>
      </c>
      <c r="L1612" t="str">
        <f>'(Raw) LensesGH'!F1612</f>
        <v>Leica M</v>
      </c>
      <c r="M1612" t="str">
        <f>'(Raw) LensesGH'!G1612</f>
        <v>Mittelformat</v>
      </c>
      <c r="N1612" t="str">
        <f>'(Raw) LensesGH'!H1612</f>
        <v>209g</v>
      </c>
      <c r="O1612" s="5">
        <f t="shared" si="232"/>
        <v>209</v>
      </c>
      <c r="P1612" t="str">
        <f>'(Raw) LensesGH'!I1612</f>
        <v>52 x 43.2mm</v>
      </c>
      <c r="Q1612" s="39">
        <f t="shared" si="233"/>
        <v>52</v>
      </c>
      <c r="R1612" s="39">
        <f t="shared" si="225"/>
        <v>43.2</v>
      </c>
    </row>
    <row r="1613" spans="1:18" x14ac:dyDescent="0.25">
      <c r="A1613" t="str">
        <f>'(Raw) LensesGH'!A1613</f>
        <v>Voigtländer VM Ultron 35mm 1.7 schwarz</v>
      </c>
      <c r="B1613" t="str">
        <f>'(Raw) LensesGH'!B1613</f>
        <v>35mm</v>
      </c>
      <c r="C1613" s="5">
        <f t="shared" si="226"/>
        <v>35</v>
      </c>
      <c r="D1613" s="5">
        <f t="shared" si="227"/>
        <v>35</v>
      </c>
      <c r="E1613" t="str">
        <f>'(Raw) LensesGH'!C1613</f>
        <v>1:1.7</v>
      </c>
      <c r="F1613" s="9">
        <f t="shared" si="228"/>
        <v>1.7</v>
      </c>
      <c r="G1613" s="9">
        <f t="shared" si="229"/>
        <v>1.7</v>
      </c>
      <c r="H1613" t="str">
        <f>'(Raw) LensesGH'!D1613</f>
        <v>43mm</v>
      </c>
      <c r="I1613" s="2">
        <f t="shared" si="230"/>
        <v>43</v>
      </c>
      <c r="J1613" s="2">
        <f>'(Raw) LensesGH'!E1613</f>
        <v>0</v>
      </c>
      <c r="K1613" s="40">
        <f t="shared" si="231"/>
        <v>0</v>
      </c>
      <c r="L1613" t="str">
        <f>'(Raw) LensesGH'!F1613</f>
        <v>Leica M</v>
      </c>
      <c r="M1613" t="str">
        <f>'(Raw) LensesGH'!G1613</f>
        <v>Mittelformat</v>
      </c>
      <c r="N1613" t="str">
        <f>'(Raw) LensesGH'!H1613</f>
        <v>226g</v>
      </c>
      <c r="O1613" s="5">
        <f t="shared" si="232"/>
        <v>226</v>
      </c>
      <c r="P1613" t="str">
        <f>'(Raw) LensesGH'!I1613</f>
        <v>53 x 50.6mm</v>
      </c>
      <c r="Q1613" s="39">
        <f t="shared" si="233"/>
        <v>53</v>
      </c>
      <c r="R1613" s="39">
        <f t="shared" si="225"/>
        <v>50.6</v>
      </c>
    </row>
    <row r="1614" spans="1:18" x14ac:dyDescent="0.25">
      <c r="A1614" t="str">
        <f>'(Raw) LensesGH'!A1614</f>
        <v>Voigtländer VM Ultron 35mm 1.7 silber</v>
      </c>
      <c r="B1614" t="str">
        <f>'(Raw) LensesGH'!B1614</f>
        <v>35mm</v>
      </c>
      <c r="C1614" s="5">
        <f t="shared" si="226"/>
        <v>35</v>
      </c>
      <c r="D1614" s="5">
        <f t="shared" si="227"/>
        <v>35</v>
      </c>
      <c r="E1614" t="str">
        <f>'(Raw) LensesGH'!C1614</f>
        <v>1:1.7</v>
      </c>
      <c r="F1614" s="9">
        <f t="shared" si="228"/>
        <v>1.7</v>
      </c>
      <c r="G1614" s="9">
        <f t="shared" si="229"/>
        <v>1.7</v>
      </c>
      <c r="H1614" t="str">
        <f>'(Raw) LensesGH'!D1614</f>
        <v>43mm</v>
      </c>
      <c r="I1614" s="2">
        <f t="shared" si="230"/>
        <v>43</v>
      </c>
      <c r="J1614" s="2">
        <f>'(Raw) LensesGH'!E1614</f>
        <v>0</v>
      </c>
      <c r="K1614" s="40">
        <f t="shared" si="231"/>
        <v>0</v>
      </c>
      <c r="L1614" t="str">
        <f>'(Raw) LensesGH'!F1614</f>
        <v>Leica M</v>
      </c>
      <c r="M1614" t="str">
        <f>'(Raw) LensesGH'!G1614</f>
        <v>Mittelformat</v>
      </c>
      <c r="N1614" t="str">
        <f>'(Raw) LensesGH'!H1614</f>
        <v>297g</v>
      </c>
      <c r="O1614" s="5">
        <f t="shared" si="232"/>
        <v>297</v>
      </c>
      <c r="P1614" t="str">
        <f>'(Raw) LensesGH'!I1614</f>
        <v>53 x 50.6mm</v>
      </c>
      <c r="Q1614" s="39">
        <f t="shared" si="233"/>
        <v>53</v>
      </c>
      <c r="R1614" s="39">
        <f t="shared" si="225"/>
        <v>50.6</v>
      </c>
    </row>
    <row r="1615" spans="1:18" x14ac:dyDescent="0.25">
      <c r="A1615" t="str">
        <f>'(Raw) LensesGH'!A1615</f>
        <v>Voking 12mm 2.8 für Canon EF-M schwarz</v>
      </c>
      <c r="B1615" t="str">
        <f>'(Raw) LensesGH'!B1615</f>
        <v>12mm</v>
      </c>
      <c r="C1615" s="5">
        <f t="shared" si="226"/>
        <v>12</v>
      </c>
      <c r="D1615" s="5">
        <f t="shared" si="227"/>
        <v>12</v>
      </c>
      <c r="E1615" t="str">
        <f>'(Raw) LensesGH'!C1615</f>
        <v>1:2.8</v>
      </c>
      <c r="F1615" s="9">
        <f t="shared" si="228"/>
        <v>2.8</v>
      </c>
      <c r="G1615" s="9">
        <f t="shared" si="229"/>
        <v>2.8</v>
      </c>
      <c r="H1615" t="str">
        <f>'(Raw) LensesGH'!D1615</f>
        <v>72mm</v>
      </c>
      <c r="I1615" s="2">
        <f t="shared" si="230"/>
        <v>72</v>
      </c>
      <c r="J1615" s="2">
        <f>'(Raw) LensesGH'!E1615</f>
        <v>0</v>
      </c>
      <c r="K1615" s="40">
        <f t="shared" si="231"/>
        <v>0</v>
      </c>
      <c r="L1615" t="str">
        <f>'(Raw) LensesGH'!F1615</f>
        <v>Canon EF-M</v>
      </c>
      <c r="M1615" t="str">
        <f>'(Raw) LensesGH'!G1615</f>
        <v>APS-C</v>
      </c>
      <c r="N1615" t="str">
        <f>'(Raw) LensesGH'!H1615</f>
        <v>330g</v>
      </c>
      <c r="O1615" s="5">
        <f t="shared" si="232"/>
        <v>330</v>
      </c>
      <c r="P1615">
        <f>'(Raw) LensesGH'!I1615</f>
        <v>0</v>
      </c>
      <c r="Q1615" s="39">
        <f t="shared" si="233"/>
        <v>0</v>
      </c>
      <c r="R1615" s="39">
        <f t="shared" si="225"/>
        <v>0</v>
      </c>
    </row>
    <row r="1616" spans="1:18" x14ac:dyDescent="0.25">
      <c r="A1616" t="str">
        <f>'(Raw) LensesGH'!A1616</f>
        <v>Voking 12mm 2.8 für Fujifilm X schwarz</v>
      </c>
      <c r="B1616" t="str">
        <f>'(Raw) LensesGH'!B1616</f>
        <v>12mm</v>
      </c>
      <c r="C1616" s="5">
        <f t="shared" si="226"/>
        <v>12</v>
      </c>
      <c r="D1616" s="5">
        <f t="shared" si="227"/>
        <v>12</v>
      </c>
      <c r="E1616" t="str">
        <f>'(Raw) LensesGH'!C1616</f>
        <v>1:2.8</v>
      </c>
      <c r="F1616" s="9">
        <f t="shared" si="228"/>
        <v>2.8</v>
      </c>
      <c r="G1616" s="9">
        <f t="shared" si="229"/>
        <v>2.8</v>
      </c>
      <c r="H1616" t="str">
        <f>'(Raw) LensesGH'!D1616</f>
        <v>72mm</v>
      </c>
      <c r="I1616" s="2">
        <f t="shared" si="230"/>
        <v>72</v>
      </c>
      <c r="J1616" s="2">
        <f>'(Raw) LensesGH'!E1616</f>
        <v>0</v>
      </c>
      <c r="K1616" s="40">
        <f t="shared" si="231"/>
        <v>0</v>
      </c>
      <c r="L1616" t="str">
        <f>'(Raw) LensesGH'!F1616</f>
        <v>Fujifilm X</v>
      </c>
      <c r="M1616" t="str">
        <f>'(Raw) LensesGH'!G1616</f>
        <v>APS-C</v>
      </c>
      <c r="N1616" t="str">
        <f>'(Raw) LensesGH'!H1616</f>
        <v>330g</v>
      </c>
      <c r="O1616" s="5">
        <f t="shared" si="232"/>
        <v>330</v>
      </c>
      <c r="P1616">
        <f>'(Raw) LensesGH'!I1616</f>
        <v>0</v>
      </c>
      <c r="Q1616" s="39">
        <f t="shared" si="233"/>
        <v>0</v>
      </c>
      <c r="R1616" s="39">
        <f t="shared" si="225"/>
        <v>0</v>
      </c>
    </row>
    <row r="1617" spans="1:18" x14ac:dyDescent="0.25">
      <c r="A1617" t="str">
        <f>'(Raw) LensesGH'!A1617</f>
        <v>Voking 12mm 2.8 für Micro-Four-Thirds schwarz</v>
      </c>
      <c r="B1617" t="str">
        <f>'(Raw) LensesGH'!B1617</f>
        <v>12mm</v>
      </c>
      <c r="C1617" s="5">
        <f t="shared" si="226"/>
        <v>12</v>
      </c>
      <c r="D1617" s="5">
        <f t="shared" si="227"/>
        <v>12</v>
      </c>
      <c r="E1617" t="str">
        <f>'(Raw) LensesGH'!C1617</f>
        <v>1:2.8</v>
      </c>
      <c r="F1617" s="9">
        <f t="shared" si="228"/>
        <v>2.8</v>
      </c>
      <c r="G1617" s="9">
        <f t="shared" si="229"/>
        <v>2.8</v>
      </c>
      <c r="H1617" t="str">
        <f>'(Raw) LensesGH'!D1617</f>
        <v>72mm</v>
      </c>
      <c r="I1617" s="2">
        <f t="shared" si="230"/>
        <v>72</v>
      </c>
      <c r="J1617" s="2">
        <f>'(Raw) LensesGH'!E1617</f>
        <v>0</v>
      </c>
      <c r="K1617" s="40">
        <f t="shared" si="231"/>
        <v>0</v>
      </c>
      <c r="L1617" t="str">
        <f>'(Raw) LensesGH'!F1617</f>
        <v>Micro-Four-Thirds</v>
      </c>
      <c r="M1617" t="str">
        <f>'(Raw) LensesGH'!G1617</f>
        <v>APS-C</v>
      </c>
      <c r="N1617" t="str">
        <f>'(Raw) LensesGH'!H1617</f>
        <v>330g</v>
      </c>
      <c r="O1617" s="5">
        <f t="shared" si="232"/>
        <v>330</v>
      </c>
      <c r="P1617">
        <f>'(Raw) LensesGH'!I1617</f>
        <v>0</v>
      </c>
      <c r="Q1617" s="39">
        <f t="shared" si="233"/>
        <v>0</v>
      </c>
      <c r="R1617" s="39">
        <f t="shared" si="225"/>
        <v>0</v>
      </c>
    </row>
    <row r="1618" spans="1:18" x14ac:dyDescent="0.25">
      <c r="A1618" t="str">
        <f>'(Raw) LensesGH'!A1618</f>
        <v>Voking 12mm 2.8 für Nikon 1 schwarz</v>
      </c>
      <c r="B1618" t="str">
        <f>'(Raw) LensesGH'!B1618</f>
        <v>12mm</v>
      </c>
      <c r="C1618" s="5">
        <f t="shared" si="226"/>
        <v>12</v>
      </c>
      <c r="D1618" s="5">
        <f t="shared" si="227"/>
        <v>12</v>
      </c>
      <c r="E1618" t="str">
        <f>'(Raw) LensesGH'!C1618</f>
        <v>1:2.8</v>
      </c>
      <c r="F1618" s="9">
        <f t="shared" si="228"/>
        <v>2.8</v>
      </c>
      <c r="G1618" s="9">
        <f t="shared" si="229"/>
        <v>2.8</v>
      </c>
      <c r="H1618" t="str">
        <f>'(Raw) LensesGH'!D1618</f>
        <v>72mm</v>
      </c>
      <c r="I1618" s="2">
        <f t="shared" si="230"/>
        <v>72</v>
      </c>
      <c r="J1618" s="2">
        <f>'(Raw) LensesGH'!E1618</f>
        <v>0</v>
      </c>
      <c r="K1618" s="40">
        <f t="shared" si="231"/>
        <v>0</v>
      </c>
      <c r="L1618" t="str">
        <f>'(Raw) LensesGH'!F1618</f>
        <v>Nikon 1</v>
      </c>
      <c r="M1618" t="str">
        <f>'(Raw) LensesGH'!G1618</f>
        <v>APS-C</v>
      </c>
      <c r="N1618" t="str">
        <f>'(Raw) LensesGH'!H1618</f>
        <v>330g</v>
      </c>
      <c r="O1618" s="5">
        <f t="shared" si="232"/>
        <v>330</v>
      </c>
      <c r="P1618">
        <f>'(Raw) LensesGH'!I1618</f>
        <v>0</v>
      </c>
      <c r="Q1618" s="39">
        <f t="shared" si="233"/>
        <v>0</v>
      </c>
      <c r="R1618" s="39">
        <f t="shared" si="225"/>
        <v>0</v>
      </c>
    </row>
    <row r="1619" spans="1:18" x14ac:dyDescent="0.25">
      <c r="A1619" t="str">
        <f>'(Raw) LensesGH'!A1619</f>
        <v>Voking 12mm 2.8 für Sony E schwarz</v>
      </c>
      <c r="B1619" t="str">
        <f>'(Raw) LensesGH'!B1619</f>
        <v>12mm</v>
      </c>
      <c r="C1619" s="5">
        <f t="shared" si="226"/>
        <v>12</v>
      </c>
      <c r="D1619" s="5">
        <f t="shared" si="227"/>
        <v>12</v>
      </c>
      <c r="E1619" t="str">
        <f>'(Raw) LensesGH'!C1619</f>
        <v>1:2.8</v>
      </c>
      <c r="F1619" s="9">
        <f t="shared" si="228"/>
        <v>2.8</v>
      </c>
      <c r="G1619" s="9">
        <f t="shared" si="229"/>
        <v>2.8</v>
      </c>
      <c r="H1619" t="str">
        <f>'(Raw) LensesGH'!D1619</f>
        <v>72mm</v>
      </c>
      <c r="I1619" s="2">
        <f t="shared" si="230"/>
        <v>72</v>
      </c>
      <c r="J1619" s="2">
        <f>'(Raw) LensesGH'!E1619</f>
        <v>0</v>
      </c>
      <c r="K1619" s="40">
        <f t="shared" si="231"/>
        <v>0</v>
      </c>
      <c r="L1619" t="str">
        <f>'(Raw) LensesGH'!F1619</f>
        <v>Sony E</v>
      </c>
      <c r="M1619" t="str">
        <f>'(Raw) LensesGH'!G1619</f>
        <v>APS-C</v>
      </c>
      <c r="N1619" t="str">
        <f>'(Raw) LensesGH'!H1619</f>
        <v>330g</v>
      </c>
      <c r="O1619" s="5">
        <f t="shared" si="232"/>
        <v>330</v>
      </c>
      <c r="P1619">
        <f>'(Raw) LensesGH'!I1619</f>
        <v>0</v>
      </c>
      <c r="Q1619" s="39">
        <f t="shared" si="233"/>
        <v>0</v>
      </c>
      <c r="R1619" s="39">
        <f t="shared" si="225"/>
        <v>0</v>
      </c>
    </row>
    <row r="1620" spans="1:18" x14ac:dyDescent="0.25">
      <c r="A1620" t="str">
        <f>'(Raw) LensesGH'!A1620</f>
        <v>Voking 25mm 0.95 für Canon EF-M schwarz</v>
      </c>
      <c r="B1620" t="str">
        <f>'(Raw) LensesGH'!B1620</f>
        <v>25mm</v>
      </c>
      <c r="C1620" s="5">
        <f t="shared" si="226"/>
        <v>25</v>
      </c>
      <c r="D1620" s="5">
        <f t="shared" si="227"/>
        <v>25</v>
      </c>
      <c r="E1620" t="str">
        <f>'(Raw) LensesGH'!C1620</f>
        <v>1:0.95</v>
      </c>
      <c r="F1620" s="9">
        <f t="shared" si="228"/>
        <v>0.95</v>
      </c>
      <c r="G1620" s="9">
        <f t="shared" si="229"/>
        <v>0.95</v>
      </c>
      <c r="H1620" t="str">
        <f>'(Raw) LensesGH'!D1620</f>
        <v>55mm</v>
      </c>
      <c r="I1620" s="2">
        <f t="shared" si="230"/>
        <v>55</v>
      </c>
      <c r="J1620" s="2">
        <f>'(Raw) LensesGH'!E1620</f>
        <v>0</v>
      </c>
      <c r="K1620" s="40">
        <f t="shared" si="231"/>
        <v>0</v>
      </c>
      <c r="L1620" t="str">
        <f>'(Raw) LensesGH'!F1620</f>
        <v>Canon EF-M</v>
      </c>
      <c r="M1620" t="str">
        <f>'(Raw) LensesGH'!G1620</f>
        <v>APS-C</v>
      </c>
      <c r="N1620" t="str">
        <f>'(Raw) LensesGH'!H1620</f>
        <v>540g</v>
      </c>
      <c r="O1620" s="5">
        <f t="shared" si="232"/>
        <v>540</v>
      </c>
      <c r="P1620" t="str">
        <f>'(Raw) LensesGH'!I1620</f>
        <v>64 x 101mm</v>
      </c>
      <c r="Q1620" s="39">
        <f t="shared" si="233"/>
        <v>64</v>
      </c>
      <c r="R1620" s="39">
        <f t="shared" si="225"/>
        <v>101</v>
      </c>
    </row>
    <row r="1621" spans="1:18" x14ac:dyDescent="0.25">
      <c r="A1621" t="str">
        <f>'(Raw) LensesGH'!A1621</f>
        <v>Voking 25mm 0.95 für Fujifilm X schwarz</v>
      </c>
      <c r="B1621" t="str">
        <f>'(Raw) LensesGH'!B1621</f>
        <v>25mm</v>
      </c>
      <c r="C1621" s="5">
        <f t="shared" si="226"/>
        <v>25</v>
      </c>
      <c r="D1621" s="5">
        <f t="shared" si="227"/>
        <v>25</v>
      </c>
      <c r="E1621" t="str">
        <f>'(Raw) LensesGH'!C1621</f>
        <v>1:0.95</v>
      </c>
      <c r="F1621" s="9">
        <f t="shared" si="228"/>
        <v>0.95</v>
      </c>
      <c r="G1621" s="9">
        <f t="shared" si="229"/>
        <v>0.95</v>
      </c>
      <c r="H1621" t="str">
        <f>'(Raw) LensesGH'!D1621</f>
        <v>55mm</v>
      </c>
      <c r="I1621" s="2">
        <f t="shared" si="230"/>
        <v>55</v>
      </c>
      <c r="J1621" s="2">
        <f>'(Raw) LensesGH'!E1621</f>
        <v>0</v>
      </c>
      <c r="K1621" s="40">
        <f t="shared" si="231"/>
        <v>0</v>
      </c>
      <c r="L1621" t="str">
        <f>'(Raw) LensesGH'!F1621</f>
        <v>Fujifilm X</v>
      </c>
      <c r="M1621" t="str">
        <f>'(Raw) LensesGH'!G1621</f>
        <v>APS-C</v>
      </c>
      <c r="N1621" t="str">
        <f>'(Raw) LensesGH'!H1621</f>
        <v>540g</v>
      </c>
      <c r="O1621" s="5">
        <f t="shared" si="232"/>
        <v>540</v>
      </c>
      <c r="P1621" t="str">
        <f>'(Raw) LensesGH'!I1621</f>
        <v>64 x 101mm</v>
      </c>
      <c r="Q1621" s="39">
        <f t="shared" si="233"/>
        <v>64</v>
      </c>
      <c r="R1621" s="39">
        <f t="shared" si="225"/>
        <v>101</v>
      </c>
    </row>
    <row r="1622" spans="1:18" x14ac:dyDescent="0.25">
      <c r="A1622" t="str">
        <f>'(Raw) LensesGH'!A1622</f>
        <v>Voking 25mm 0.95 für Micro-Four-Thirds schwarz</v>
      </c>
      <c r="B1622" t="str">
        <f>'(Raw) LensesGH'!B1622</f>
        <v>25mm</v>
      </c>
      <c r="C1622" s="5">
        <f t="shared" si="226"/>
        <v>25</v>
      </c>
      <c r="D1622" s="5">
        <f t="shared" si="227"/>
        <v>25</v>
      </c>
      <c r="E1622" t="str">
        <f>'(Raw) LensesGH'!C1622</f>
        <v>1:0.95</v>
      </c>
      <c r="F1622" s="9">
        <f t="shared" si="228"/>
        <v>0.95</v>
      </c>
      <c r="G1622" s="9">
        <f t="shared" si="229"/>
        <v>0.95</v>
      </c>
      <c r="H1622" t="str">
        <f>'(Raw) LensesGH'!D1622</f>
        <v>55mm</v>
      </c>
      <c r="I1622" s="2">
        <f t="shared" si="230"/>
        <v>55</v>
      </c>
      <c r="J1622" s="2">
        <f>'(Raw) LensesGH'!E1622</f>
        <v>0</v>
      </c>
      <c r="K1622" s="40">
        <f t="shared" si="231"/>
        <v>0</v>
      </c>
      <c r="L1622" t="str">
        <f>'(Raw) LensesGH'!F1622</f>
        <v>Micro-Four-Thirds</v>
      </c>
      <c r="M1622" t="str">
        <f>'(Raw) LensesGH'!G1622</f>
        <v>APS-C</v>
      </c>
      <c r="N1622" t="str">
        <f>'(Raw) LensesGH'!H1622</f>
        <v>540g</v>
      </c>
      <c r="O1622" s="5">
        <f t="shared" si="232"/>
        <v>540</v>
      </c>
      <c r="P1622" t="str">
        <f>'(Raw) LensesGH'!I1622</f>
        <v>64 x 101mm</v>
      </c>
      <c r="Q1622" s="39">
        <f t="shared" si="233"/>
        <v>64</v>
      </c>
      <c r="R1622" s="39">
        <f t="shared" si="225"/>
        <v>101</v>
      </c>
    </row>
    <row r="1623" spans="1:18" x14ac:dyDescent="0.25">
      <c r="A1623" t="str">
        <f>'(Raw) LensesGH'!A1623</f>
        <v>Voking 25mm 0.95 für Nikon 1 schwarz</v>
      </c>
      <c r="B1623" t="str">
        <f>'(Raw) LensesGH'!B1623</f>
        <v>25mm</v>
      </c>
      <c r="C1623" s="5">
        <f t="shared" si="226"/>
        <v>25</v>
      </c>
      <c r="D1623" s="5">
        <f t="shared" si="227"/>
        <v>25</v>
      </c>
      <c r="E1623" t="str">
        <f>'(Raw) LensesGH'!C1623</f>
        <v>1:0.95</v>
      </c>
      <c r="F1623" s="9">
        <f t="shared" si="228"/>
        <v>0.95</v>
      </c>
      <c r="G1623" s="9">
        <f t="shared" si="229"/>
        <v>0.95</v>
      </c>
      <c r="H1623" t="str">
        <f>'(Raw) LensesGH'!D1623</f>
        <v>55mm</v>
      </c>
      <c r="I1623" s="2">
        <f t="shared" si="230"/>
        <v>55</v>
      </c>
      <c r="J1623" s="2">
        <f>'(Raw) LensesGH'!E1623</f>
        <v>0</v>
      </c>
      <c r="K1623" s="40">
        <f t="shared" si="231"/>
        <v>0</v>
      </c>
      <c r="L1623" t="str">
        <f>'(Raw) LensesGH'!F1623</f>
        <v>Nikon 1</v>
      </c>
      <c r="M1623" t="str">
        <f>'(Raw) LensesGH'!G1623</f>
        <v>APS-C</v>
      </c>
      <c r="N1623" t="str">
        <f>'(Raw) LensesGH'!H1623</f>
        <v>540g</v>
      </c>
      <c r="O1623" s="5">
        <f t="shared" si="232"/>
        <v>540</v>
      </c>
      <c r="P1623" t="str">
        <f>'(Raw) LensesGH'!I1623</f>
        <v>64 x 101mm</v>
      </c>
      <c r="Q1623" s="39">
        <f t="shared" si="233"/>
        <v>64</v>
      </c>
      <c r="R1623" s="39">
        <f t="shared" si="225"/>
        <v>101</v>
      </c>
    </row>
    <row r="1624" spans="1:18" x14ac:dyDescent="0.25">
      <c r="A1624" t="str">
        <f>'(Raw) LensesGH'!A1624</f>
        <v>Voking 25mm 0.95 für Sony E schwarz</v>
      </c>
      <c r="B1624" t="str">
        <f>'(Raw) LensesGH'!B1624</f>
        <v>25mm</v>
      </c>
      <c r="C1624" s="5">
        <f t="shared" si="226"/>
        <v>25</v>
      </c>
      <c r="D1624" s="5">
        <f t="shared" si="227"/>
        <v>25</v>
      </c>
      <c r="E1624" t="str">
        <f>'(Raw) LensesGH'!C1624</f>
        <v>1:0.95</v>
      </c>
      <c r="F1624" s="9">
        <f t="shared" si="228"/>
        <v>0.95</v>
      </c>
      <c r="G1624" s="9">
        <f t="shared" si="229"/>
        <v>0.95</v>
      </c>
      <c r="H1624" t="str">
        <f>'(Raw) LensesGH'!D1624</f>
        <v>55mm</v>
      </c>
      <c r="I1624" s="2">
        <f t="shared" si="230"/>
        <v>55</v>
      </c>
      <c r="J1624" s="2">
        <f>'(Raw) LensesGH'!E1624</f>
        <v>0</v>
      </c>
      <c r="K1624" s="40">
        <f t="shared" si="231"/>
        <v>0</v>
      </c>
      <c r="L1624" t="str">
        <f>'(Raw) LensesGH'!F1624</f>
        <v>Sony E</v>
      </c>
      <c r="M1624" t="str">
        <f>'(Raw) LensesGH'!G1624</f>
        <v>APS-C</v>
      </c>
      <c r="N1624" t="str">
        <f>'(Raw) LensesGH'!H1624</f>
        <v>540g</v>
      </c>
      <c r="O1624" s="5">
        <f t="shared" si="232"/>
        <v>540</v>
      </c>
      <c r="P1624" t="str">
        <f>'(Raw) LensesGH'!I1624</f>
        <v>64 x 101mm</v>
      </c>
      <c r="Q1624" s="39">
        <f t="shared" si="233"/>
        <v>64</v>
      </c>
      <c r="R1624" s="39">
        <f t="shared" si="225"/>
        <v>101</v>
      </c>
    </row>
    <row r="1625" spans="1:18" x14ac:dyDescent="0.25">
      <c r="A1625" t="str">
        <f>'(Raw) LensesGH'!A1625</f>
        <v>Voking 28mm 2.8 für Canon EF-M schwarz</v>
      </c>
      <c r="B1625" t="str">
        <f>'(Raw) LensesGH'!B1625</f>
        <v>28mm</v>
      </c>
      <c r="C1625" s="5">
        <f t="shared" si="226"/>
        <v>28</v>
      </c>
      <c r="D1625" s="5">
        <f t="shared" si="227"/>
        <v>28</v>
      </c>
      <c r="E1625" t="str">
        <f>'(Raw) LensesGH'!C1625</f>
        <v>1:2.8</v>
      </c>
      <c r="F1625" s="9">
        <f t="shared" si="228"/>
        <v>2.8</v>
      </c>
      <c r="G1625" s="9">
        <f t="shared" si="229"/>
        <v>2.8</v>
      </c>
      <c r="H1625" t="str">
        <f>'(Raw) LensesGH'!D1625</f>
        <v>49mm</v>
      </c>
      <c r="I1625" s="2">
        <f t="shared" si="230"/>
        <v>49</v>
      </c>
      <c r="J1625" s="2">
        <f>'(Raw) LensesGH'!E1625</f>
        <v>0</v>
      </c>
      <c r="K1625" s="40">
        <f t="shared" si="231"/>
        <v>0</v>
      </c>
      <c r="L1625" t="str">
        <f>'(Raw) LensesGH'!F1625</f>
        <v>Canon EF-M</v>
      </c>
      <c r="M1625" t="str">
        <f>'(Raw) LensesGH'!G1625</f>
        <v>APS-C</v>
      </c>
      <c r="N1625" t="str">
        <f>'(Raw) LensesGH'!H1625</f>
        <v>102g</v>
      </c>
      <c r="O1625" s="5">
        <f t="shared" si="232"/>
        <v>102</v>
      </c>
      <c r="P1625" t="str">
        <f>'(Raw) LensesGH'!I1625</f>
        <v>60.4 x 29mm</v>
      </c>
      <c r="Q1625" s="39">
        <f t="shared" si="233"/>
        <v>60.4</v>
      </c>
      <c r="R1625" s="39">
        <f t="shared" si="225"/>
        <v>29</v>
      </c>
    </row>
    <row r="1626" spans="1:18" x14ac:dyDescent="0.25">
      <c r="A1626" t="str">
        <f>'(Raw) LensesGH'!A1626</f>
        <v>Voking 28mm 2.8 für Fujifilm X schwarz</v>
      </c>
      <c r="B1626" t="str">
        <f>'(Raw) LensesGH'!B1626</f>
        <v>28mm</v>
      </c>
      <c r="C1626" s="5">
        <f t="shared" si="226"/>
        <v>28</v>
      </c>
      <c r="D1626" s="5">
        <f t="shared" si="227"/>
        <v>28</v>
      </c>
      <c r="E1626" t="str">
        <f>'(Raw) LensesGH'!C1626</f>
        <v>1:2.8</v>
      </c>
      <c r="F1626" s="9">
        <f t="shared" si="228"/>
        <v>2.8</v>
      </c>
      <c r="G1626" s="9">
        <f t="shared" si="229"/>
        <v>2.8</v>
      </c>
      <c r="H1626" t="str">
        <f>'(Raw) LensesGH'!D1626</f>
        <v>49mm</v>
      </c>
      <c r="I1626" s="2">
        <f t="shared" si="230"/>
        <v>49</v>
      </c>
      <c r="J1626" s="2">
        <f>'(Raw) LensesGH'!E1626</f>
        <v>0</v>
      </c>
      <c r="K1626" s="40">
        <f t="shared" si="231"/>
        <v>0</v>
      </c>
      <c r="L1626" t="str">
        <f>'(Raw) LensesGH'!F1626</f>
        <v>Fujifilm X</v>
      </c>
      <c r="M1626" t="str">
        <f>'(Raw) LensesGH'!G1626</f>
        <v>APS-C</v>
      </c>
      <c r="N1626" t="str">
        <f>'(Raw) LensesGH'!H1626</f>
        <v>102g</v>
      </c>
      <c r="O1626" s="5">
        <f t="shared" si="232"/>
        <v>102</v>
      </c>
      <c r="P1626" t="str">
        <f>'(Raw) LensesGH'!I1626</f>
        <v>60.4 x 29mm</v>
      </c>
      <c r="Q1626" s="39">
        <f t="shared" si="233"/>
        <v>60.4</v>
      </c>
      <c r="R1626" s="39">
        <f t="shared" si="225"/>
        <v>29</v>
      </c>
    </row>
    <row r="1627" spans="1:18" x14ac:dyDescent="0.25">
      <c r="A1627" t="str">
        <f>'(Raw) LensesGH'!A1627</f>
        <v>Voking 28mm 2.8 für Micro-Four-Thirds schwarz</v>
      </c>
      <c r="B1627" t="str">
        <f>'(Raw) LensesGH'!B1627</f>
        <v>28mm</v>
      </c>
      <c r="C1627" s="5">
        <f t="shared" si="226"/>
        <v>28</v>
      </c>
      <c r="D1627" s="5">
        <f t="shared" si="227"/>
        <v>28</v>
      </c>
      <c r="E1627" t="str">
        <f>'(Raw) LensesGH'!C1627</f>
        <v>1:2.8</v>
      </c>
      <c r="F1627" s="9">
        <f t="shared" si="228"/>
        <v>2.8</v>
      </c>
      <c r="G1627" s="9">
        <f t="shared" si="229"/>
        <v>2.8</v>
      </c>
      <c r="H1627" t="str">
        <f>'(Raw) LensesGH'!D1627</f>
        <v>49mm</v>
      </c>
      <c r="I1627" s="2">
        <f t="shared" si="230"/>
        <v>49</v>
      </c>
      <c r="J1627" s="2">
        <f>'(Raw) LensesGH'!E1627</f>
        <v>0</v>
      </c>
      <c r="K1627" s="40">
        <f t="shared" si="231"/>
        <v>0</v>
      </c>
      <c r="L1627" t="str">
        <f>'(Raw) LensesGH'!F1627</f>
        <v>Micro-Four-Thirds</v>
      </c>
      <c r="M1627" t="str">
        <f>'(Raw) LensesGH'!G1627</f>
        <v>APS-C</v>
      </c>
      <c r="N1627" t="str">
        <f>'(Raw) LensesGH'!H1627</f>
        <v>102g</v>
      </c>
      <c r="O1627" s="5">
        <f t="shared" si="232"/>
        <v>102</v>
      </c>
      <c r="P1627" t="str">
        <f>'(Raw) LensesGH'!I1627</f>
        <v>60.4 x 29mm</v>
      </c>
      <c r="Q1627" s="39">
        <f t="shared" si="233"/>
        <v>60.4</v>
      </c>
      <c r="R1627" s="39">
        <f t="shared" si="225"/>
        <v>29</v>
      </c>
    </row>
    <row r="1628" spans="1:18" x14ac:dyDescent="0.25">
      <c r="A1628" t="str">
        <f>'(Raw) LensesGH'!A1628</f>
        <v>Voking 28mm 2.8 für Nikon 1 schwarz</v>
      </c>
      <c r="B1628" t="str">
        <f>'(Raw) LensesGH'!B1628</f>
        <v>28mm</v>
      </c>
      <c r="C1628" s="5">
        <f t="shared" si="226"/>
        <v>28</v>
      </c>
      <c r="D1628" s="5">
        <f t="shared" si="227"/>
        <v>28</v>
      </c>
      <c r="E1628" t="str">
        <f>'(Raw) LensesGH'!C1628</f>
        <v>1:2.8</v>
      </c>
      <c r="F1628" s="9">
        <f t="shared" si="228"/>
        <v>2.8</v>
      </c>
      <c r="G1628" s="9">
        <f t="shared" si="229"/>
        <v>2.8</v>
      </c>
      <c r="H1628" t="str">
        <f>'(Raw) LensesGH'!D1628</f>
        <v>49mm</v>
      </c>
      <c r="I1628" s="2">
        <f t="shared" si="230"/>
        <v>49</v>
      </c>
      <c r="J1628" s="2">
        <f>'(Raw) LensesGH'!E1628</f>
        <v>0</v>
      </c>
      <c r="K1628" s="40">
        <f t="shared" si="231"/>
        <v>0</v>
      </c>
      <c r="L1628" t="str">
        <f>'(Raw) LensesGH'!F1628</f>
        <v>Nikon 1</v>
      </c>
      <c r="M1628" t="str">
        <f>'(Raw) LensesGH'!G1628</f>
        <v>APS-C</v>
      </c>
      <c r="N1628" t="str">
        <f>'(Raw) LensesGH'!H1628</f>
        <v>102g</v>
      </c>
      <c r="O1628" s="5">
        <f t="shared" si="232"/>
        <v>102</v>
      </c>
      <c r="P1628" t="str">
        <f>'(Raw) LensesGH'!I1628</f>
        <v>60.4 x 29mm</v>
      </c>
      <c r="Q1628" s="39">
        <f t="shared" si="233"/>
        <v>60.4</v>
      </c>
      <c r="R1628" s="39">
        <f t="shared" si="225"/>
        <v>29</v>
      </c>
    </row>
    <row r="1629" spans="1:18" x14ac:dyDescent="0.25">
      <c r="A1629" t="str">
        <f>'(Raw) LensesGH'!A1629</f>
        <v>Voking 28mm 2.8 für Sony E schwarz</v>
      </c>
      <c r="B1629" t="str">
        <f>'(Raw) LensesGH'!B1629</f>
        <v>28mm</v>
      </c>
      <c r="C1629" s="5">
        <f t="shared" si="226"/>
        <v>28</v>
      </c>
      <c r="D1629" s="5">
        <f t="shared" si="227"/>
        <v>28</v>
      </c>
      <c r="E1629" t="str">
        <f>'(Raw) LensesGH'!C1629</f>
        <v>1:2.8</v>
      </c>
      <c r="F1629" s="9">
        <f t="shared" si="228"/>
        <v>2.8</v>
      </c>
      <c r="G1629" s="9">
        <f t="shared" si="229"/>
        <v>2.8</v>
      </c>
      <c r="H1629" t="str">
        <f>'(Raw) LensesGH'!D1629</f>
        <v>49mm</v>
      </c>
      <c r="I1629" s="2">
        <f t="shared" si="230"/>
        <v>49</v>
      </c>
      <c r="J1629" s="2">
        <f>'(Raw) LensesGH'!E1629</f>
        <v>0</v>
      </c>
      <c r="K1629" s="40">
        <f t="shared" si="231"/>
        <v>0</v>
      </c>
      <c r="L1629" t="str">
        <f>'(Raw) LensesGH'!F1629</f>
        <v>Sony E</v>
      </c>
      <c r="M1629" t="str">
        <f>'(Raw) LensesGH'!G1629</f>
        <v>APS-C</v>
      </c>
      <c r="N1629" t="str">
        <f>'(Raw) LensesGH'!H1629</f>
        <v>102g</v>
      </c>
      <c r="O1629" s="5">
        <f t="shared" si="232"/>
        <v>102</v>
      </c>
      <c r="P1629" t="str">
        <f>'(Raw) LensesGH'!I1629</f>
        <v>60.4 x 29mm</v>
      </c>
      <c r="Q1629" s="39">
        <f t="shared" si="233"/>
        <v>60.4</v>
      </c>
      <c r="R1629" s="39">
        <f t="shared" si="225"/>
        <v>29</v>
      </c>
    </row>
    <row r="1630" spans="1:18" x14ac:dyDescent="0.25">
      <c r="A1630" t="str">
        <f>'(Raw) LensesGH'!A1630</f>
        <v>Voking 35mm 1.7 für Canon EF-M schwarz</v>
      </c>
      <c r="B1630" t="str">
        <f>'(Raw) LensesGH'!B1630</f>
        <v>35mm</v>
      </c>
      <c r="C1630" s="5">
        <f t="shared" si="226"/>
        <v>35</v>
      </c>
      <c r="D1630" s="5">
        <f t="shared" si="227"/>
        <v>35</v>
      </c>
      <c r="E1630" t="str">
        <f>'(Raw) LensesGH'!C1630</f>
        <v>1:1.7</v>
      </c>
      <c r="F1630" s="9">
        <f t="shared" si="228"/>
        <v>1.7</v>
      </c>
      <c r="G1630" s="9">
        <f t="shared" si="229"/>
        <v>1.7</v>
      </c>
      <c r="H1630" t="str">
        <f>'(Raw) LensesGH'!D1630</f>
        <v>49mm</v>
      </c>
      <c r="I1630" s="2">
        <f t="shared" si="230"/>
        <v>49</v>
      </c>
      <c r="J1630" s="2">
        <f>'(Raw) LensesGH'!E1630</f>
        <v>0</v>
      </c>
      <c r="K1630" s="40">
        <f t="shared" si="231"/>
        <v>0</v>
      </c>
      <c r="L1630" t="str">
        <f>'(Raw) LensesGH'!F1630</f>
        <v>Canon EF-M</v>
      </c>
      <c r="M1630" t="str">
        <f>'(Raw) LensesGH'!G1630</f>
        <v>APS-C</v>
      </c>
      <c r="N1630" t="str">
        <f>'(Raw) LensesGH'!H1630</f>
        <v>176g</v>
      </c>
      <c r="O1630" s="5">
        <f t="shared" si="232"/>
        <v>176</v>
      </c>
      <c r="P1630" t="str">
        <f>'(Raw) LensesGH'!I1630</f>
        <v>60.5 x 41mm</v>
      </c>
      <c r="Q1630" s="39">
        <f t="shared" si="233"/>
        <v>60.5</v>
      </c>
      <c r="R1630" s="39">
        <f t="shared" si="225"/>
        <v>41</v>
      </c>
    </row>
    <row r="1631" spans="1:18" x14ac:dyDescent="0.25">
      <c r="A1631" t="str">
        <f>'(Raw) LensesGH'!A1631</f>
        <v>Voking 35mm 1.7 für Fujifilm X schwarz</v>
      </c>
      <c r="B1631" t="str">
        <f>'(Raw) LensesGH'!B1631</f>
        <v>35mm</v>
      </c>
      <c r="C1631" s="5">
        <f t="shared" si="226"/>
        <v>35</v>
      </c>
      <c r="D1631" s="5">
        <f t="shared" si="227"/>
        <v>35</v>
      </c>
      <c r="E1631" t="str">
        <f>'(Raw) LensesGH'!C1631</f>
        <v>1:1.7</v>
      </c>
      <c r="F1631" s="9">
        <f t="shared" si="228"/>
        <v>1.7</v>
      </c>
      <c r="G1631" s="9">
        <f t="shared" si="229"/>
        <v>1.7</v>
      </c>
      <c r="H1631" t="str">
        <f>'(Raw) LensesGH'!D1631</f>
        <v>49mm</v>
      </c>
      <c r="I1631" s="2">
        <f t="shared" si="230"/>
        <v>49</v>
      </c>
      <c r="J1631" s="2">
        <f>'(Raw) LensesGH'!E1631</f>
        <v>0</v>
      </c>
      <c r="K1631" s="40">
        <f t="shared" si="231"/>
        <v>0</v>
      </c>
      <c r="L1631" t="str">
        <f>'(Raw) LensesGH'!F1631</f>
        <v>Fujifilm X</v>
      </c>
      <c r="M1631" t="str">
        <f>'(Raw) LensesGH'!G1631</f>
        <v>APS-C</v>
      </c>
      <c r="N1631" t="str">
        <f>'(Raw) LensesGH'!H1631</f>
        <v>176g</v>
      </c>
      <c r="O1631" s="5">
        <f t="shared" si="232"/>
        <v>176</v>
      </c>
      <c r="P1631" t="str">
        <f>'(Raw) LensesGH'!I1631</f>
        <v>60.5 x 41mm</v>
      </c>
      <c r="Q1631" s="39">
        <f t="shared" si="233"/>
        <v>60.5</v>
      </c>
      <c r="R1631" s="39">
        <f t="shared" si="225"/>
        <v>41</v>
      </c>
    </row>
    <row r="1632" spans="1:18" x14ac:dyDescent="0.25">
      <c r="A1632" t="str">
        <f>'(Raw) LensesGH'!A1632</f>
        <v>Voking 35mm 1.7 für Micro-Four-Thirds schwarz</v>
      </c>
      <c r="B1632" t="str">
        <f>'(Raw) LensesGH'!B1632</f>
        <v>35mm</v>
      </c>
      <c r="C1632" s="5">
        <f t="shared" si="226"/>
        <v>35</v>
      </c>
      <c r="D1632" s="5">
        <f t="shared" si="227"/>
        <v>35</v>
      </c>
      <c r="E1632" t="str">
        <f>'(Raw) LensesGH'!C1632</f>
        <v>1:1.7</v>
      </c>
      <c r="F1632" s="9">
        <f t="shared" si="228"/>
        <v>1.7</v>
      </c>
      <c r="G1632" s="9">
        <f t="shared" si="229"/>
        <v>1.7</v>
      </c>
      <c r="H1632" t="str">
        <f>'(Raw) LensesGH'!D1632</f>
        <v>49mm</v>
      </c>
      <c r="I1632" s="2">
        <f t="shared" si="230"/>
        <v>49</v>
      </c>
      <c r="J1632" s="2">
        <f>'(Raw) LensesGH'!E1632</f>
        <v>0</v>
      </c>
      <c r="K1632" s="40">
        <f t="shared" si="231"/>
        <v>0</v>
      </c>
      <c r="L1632" t="str">
        <f>'(Raw) LensesGH'!F1632</f>
        <v>Micro-Four-Thirds</v>
      </c>
      <c r="M1632" t="str">
        <f>'(Raw) LensesGH'!G1632</f>
        <v>APS-C</v>
      </c>
      <c r="N1632" t="str">
        <f>'(Raw) LensesGH'!H1632</f>
        <v>176g</v>
      </c>
      <c r="O1632" s="5">
        <f t="shared" si="232"/>
        <v>176</v>
      </c>
      <c r="P1632" t="str">
        <f>'(Raw) LensesGH'!I1632</f>
        <v>60.5 x 41mm</v>
      </c>
      <c r="Q1632" s="39">
        <f t="shared" si="233"/>
        <v>60.5</v>
      </c>
      <c r="R1632" s="39">
        <f t="shared" si="225"/>
        <v>41</v>
      </c>
    </row>
    <row r="1633" spans="1:18" x14ac:dyDescent="0.25">
      <c r="A1633" t="str">
        <f>'(Raw) LensesGH'!A1633</f>
        <v>Voking 35mm 1.7 für Nikon 1 schwarz</v>
      </c>
      <c r="B1633" t="str">
        <f>'(Raw) LensesGH'!B1633</f>
        <v>35mm</v>
      </c>
      <c r="C1633" s="5">
        <f t="shared" si="226"/>
        <v>35</v>
      </c>
      <c r="D1633" s="5">
        <f t="shared" si="227"/>
        <v>35</v>
      </c>
      <c r="E1633" t="str">
        <f>'(Raw) LensesGH'!C1633</f>
        <v>1:1.7</v>
      </c>
      <c r="F1633" s="9">
        <f t="shared" si="228"/>
        <v>1.7</v>
      </c>
      <c r="G1633" s="9">
        <f t="shared" si="229"/>
        <v>1.7</v>
      </c>
      <c r="H1633" t="str">
        <f>'(Raw) LensesGH'!D1633</f>
        <v>49mm</v>
      </c>
      <c r="I1633" s="2">
        <f t="shared" si="230"/>
        <v>49</v>
      </c>
      <c r="J1633" s="2">
        <f>'(Raw) LensesGH'!E1633</f>
        <v>0</v>
      </c>
      <c r="K1633" s="40">
        <f t="shared" si="231"/>
        <v>0</v>
      </c>
      <c r="L1633" t="str">
        <f>'(Raw) LensesGH'!F1633</f>
        <v>Nikon 1</v>
      </c>
      <c r="M1633" t="str">
        <f>'(Raw) LensesGH'!G1633</f>
        <v>APS-C</v>
      </c>
      <c r="N1633" t="str">
        <f>'(Raw) LensesGH'!H1633</f>
        <v>176g</v>
      </c>
      <c r="O1633" s="5">
        <f t="shared" si="232"/>
        <v>176</v>
      </c>
      <c r="P1633" t="str">
        <f>'(Raw) LensesGH'!I1633</f>
        <v>60.5 x 41mm</v>
      </c>
      <c r="Q1633" s="39">
        <f t="shared" si="233"/>
        <v>60.5</v>
      </c>
      <c r="R1633" s="39">
        <f t="shared" si="225"/>
        <v>41</v>
      </c>
    </row>
    <row r="1634" spans="1:18" x14ac:dyDescent="0.25">
      <c r="A1634" t="str">
        <f>'(Raw) LensesGH'!A1634</f>
        <v>Voking 35mm 1.7 für Sony E schwarz</v>
      </c>
      <c r="B1634" t="str">
        <f>'(Raw) LensesGH'!B1634</f>
        <v>35mm</v>
      </c>
      <c r="C1634" s="5">
        <f t="shared" si="226"/>
        <v>35</v>
      </c>
      <c r="D1634" s="5">
        <f t="shared" si="227"/>
        <v>35</v>
      </c>
      <c r="E1634" t="str">
        <f>'(Raw) LensesGH'!C1634</f>
        <v>1:1.7</v>
      </c>
      <c r="F1634" s="9">
        <f t="shared" si="228"/>
        <v>1.7</v>
      </c>
      <c r="G1634" s="9">
        <f t="shared" si="229"/>
        <v>1.7</v>
      </c>
      <c r="H1634" t="str">
        <f>'(Raw) LensesGH'!D1634</f>
        <v>49mm</v>
      </c>
      <c r="I1634" s="2">
        <f t="shared" si="230"/>
        <v>49</v>
      </c>
      <c r="J1634" s="2">
        <f>'(Raw) LensesGH'!E1634</f>
        <v>0</v>
      </c>
      <c r="K1634" s="40">
        <f t="shared" si="231"/>
        <v>0</v>
      </c>
      <c r="L1634" t="str">
        <f>'(Raw) LensesGH'!F1634</f>
        <v>Sony E</v>
      </c>
      <c r="M1634" t="str">
        <f>'(Raw) LensesGH'!G1634</f>
        <v>APS-C</v>
      </c>
      <c r="N1634" t="str">
        <f>'(Raw) LensesGH'!H1634</f>
        <v>176g</v>
      </c>
      <c r="O1634" s="5">
        <f t="shared" si="232"/>
        <v>176</v>
      </c>
      <c r="P1634" t="str">
        <f>'(Raw) LensesGH'!I1634</f>
        <v>60.5 x 41mm</v>
      </c>
      <c r="Q1634" s="39">
        <f t="shared" si="233"/>
        <v>60.5</v>
      </c>
      <c r="R1634" s="39">
        <f t="shared" si="225"/>
        <v>41</v>
      </c>
    </row>
    <row r="1635" spans="1:18" x14ac:dyDescent="0.25">
      <c r="A1635" t="str">
        <f>'(Raw) LensesGH'!A1635</f>
        <v>Voking 50mm 2.0 für Canon EF-M schwarz</v>
      </c>
      <c r="B1635" t="str">
        <f>'(Raw) LensesGH'!B1635</f>
        <v>50mm</v>
      </c>
      <c r="C1635" s="5">
        <f t="shared" si="226"/>
        <v>50</v>
      </c>
      <c r="D1635" s="5">
        <f t="shared" si="227"/>
        <v>50</v>
      </c>
      <c r="E1635" t="str">
        <f>'(Raw) LensesGH'!C1635</f>
        <v>1:2.0</v>
      </c>
      <c r="F1635" s="9">
        <f t="shared" si="228"/>
        <v>2</v>
      </c>
      <c r="G1635" s="9">
        <f t="shared" si="229"/>
        <v>2</v>
      </c>
      <c r="H1635" t="str">
        <f>'(Raw) LensesGH'!D1635</f>
        <v>49mm</v>
      </c>
      <c r="I1635" s="2">
        <f t="shared" si="230"/>
        <v>49</v>
      </c>
      <c r="J1635" s="2">
        <f>'(Raw) LensesGH'!E1635</f>
        <v>0</v>
      </c>
      <c r="K1635" s="40">
        <f t="shared" si="231"/>
        <v>0</v>
      </c>
      <c r="L1635" t="str">
        <f>'(Raw) LensesGH'!F1635</f>
        <v>Canon EF-M</v>
      </c>
      <c r="M1635" t="str">
        <f>'(Raw) LensesGH'!G1635</f>
        <v>APS-C</v>
      </c>
      <c r="N1635" t="str">
        <f>'(Raw) LensesGH'!H1635</f>
        <v>188g</v>
      </c>
      <c r="O1635" s="5">
        <f t="shared" si="232"/>
        <v>188</v>
      </c>
      <c r="P1635" t="str">
        <f>'(Raw) LensesGH'!I1635</f>
        <v>60.5 x 41mm</v>
      </c>
      <c r="Q1635" s="39">
        <f t="shared" si="233"/>
        <v>60.5</v>
      </c>
      <c r="R1635" s="39">
        <f t="shared" si="225"/>
        <v>41</v>
      </c>
    </row>
    <row r="1636" spans="1:18" x14ac:dyDescent="0.25">
      <c r="A1636" t="str">
        <f>'(Raw) LensesGH'!A1636</f>
        <v>Voking 50mm 2.0 für Fujifilm X schwarz</v>
      </c>
      <c r="B1636" t="str">
        <f>'(Raw) LensesGH'!B1636</f>
        <v>50mm</v>
      </c>
      <c r="C1636" s="5">
        <f t="shared" si="226"/>
        <v>50</v>
      </c>
      <c r="D1636" s="5">
        <f t="shared" si="227"/>
        <v>50</v>
      </c>
      <c r="E1636" t="str">
        <f>'(Raw) LensesGH'!C1636</f>
        <v>1:2.0</v>
      </c>
      <c r="F1636" s="9">
        <f t="shared" si="228"/>
        <v>2</v>
      </c>
      <c r="G1636" s="9">
        <f t="shared" si="229"/>
        <v>2</v>
      </c>
      <c r="H1636" t="str">
        <f>'(Raw) LensesGH'!D1636</f>
        <v>49mm</v>
      </c>
      <c r="I1636" s="2">
        <f t="shared" si="230"/>
        <v>49</v>
      </c>
      <c r="J1636" s="2">
        <f>'(Raw) LensesGH'!E1636</f>
        <v>0</v>
      </c>
      <c r="K1636" s="40">
        <f t="shared" si="231"/>
        <v>0</v>
      </c>
      <c r="L1636" t="str">
        <f>'(Raw) LensesGH'!F1636</f>
        <v>Fujifilm X</v>
      </c>
      <c r="M1636" t="str">
        <f>'(Raw) LensesGH'!G1636</f>
        <v>APS-C</v>
      </c>
      <c r="N1636" t="str">
        <f>'(Raw) LensesGH'!H1636</f>
        <v>188g</v>
      </c>
      <c r="O1636" s="5">
        <f t="shared" si="232"/>
        <v>188</v>
      </c>
      <c r="P1636" t="str">
        <f>'(Raw) LensesGH'!I1636</f>
        <v>60.5 x 41mm</v>
      </c>
      <c r="Q1636" s="39">
        <f t="shared" si="233"/>
        <v>60.5</v>
      </c>
      <c r="R1636" s="39">
        <f t="shared" si="225"/>
        <v>41</v>
      </c>
    </row>
    <row r="1637" spans="1:18" x14ac:dyDescent="0.25">
      <c r="A1637" t="str">
        <f>'(Raw) LensesGH'!A1637</f>
        <v>Voking 50mm 2.0 für Micro-Four-Thirds schwarz</v>
      </c>
      <c r="B1637" t="str">
        <f>'(Raw) LensesGH'!B1637</f>
        <v>50mm</v>
      </c>
      <c r="C1637" s="5">
        <f t="shared" si="226"/>
        <v>50</v>
      </c>
      <c r="D1637" s="5">
        <f t="shared" si="227"/>
        <v>50</v>
      </c>
      <c r="E1637" t="str">
        <f>'(Raw) LensesGH'!C1637</f>
        <v>1:2.0</v>
      </c>
      <c r="F1637" s="9">
        <f t="shared" si="228"/>
        <v>2</v>
      </c>
      <c r="G1637" s="9">
        <f t="shared" si="229"/>
        <v>2</v>
      </c>
      <c r="H1637" t="str">
        <f>'(Raw) LensesGH'!D1637</f>
        <v>49mm</v>
      </c>
      <c r="I1637" s="2">
        <f t="shared" si="230"/>
        <v>49</v>
      </c>
      <c r="J1637" s="2">
        <f>'(Raw) LensesGH'!E1637</f>
        <v>0</v>
      </c>
      <c r="K1637" s="40">
        <f t="shared" si="231"/>
        <v>0</v>
      </c>
      <c r="L1637" t="str">
        <f>'(Raw) LensesGH'!F1637</f>
        <v>Micro-Four-Thirds</v>
      </c>
      <c r="M1637" t="str">
        <f>'(Raw) LensesGH'!G1637</f>
        <v>APS-C</v>
      </c>
      <c r="N1637" t="str">
        <f>'(Raw) LensesGH'!H1637</f>
        <v>188g</v>
      </c>
      <c r="O1637" s="5">
        <f t="shared" si="232"/>
        <v>188</v>
      </c>
      <c r="P1637" t="str">
        <f>'(Raw) LensesGH'!I1637</f>
        <v>60.5 x 41mm</v>
      </c>
      <c r="Q1637" s="39">
        <f t="shared" si="233"/>
        <v>60.5</v>
      </c>
      <c r="R1637" s="39">
        <f t="shared" si="225"/>
        <v>41</v>
      </c>
    </row>
    <row r="1638" spans="1:18" x14ac:dyDescent="0.25">
      <c r="A1638" t="str">
        <f>'(Raw) LensesGH'!A1638</f>
        <v>Voking 50mm 2.0 für Nikon 1 schwarz</v>
      </c>
      <c r="B1638" t="str">
        <f>'(Raw) LensesGH'!B1638</f>
        <v>50mm</v>
      </c>
      <c r="C1638" s="5">
        <f t="shared" si="226"/>
        <v>50</v>
      </c>
      <c r="D1638" s="5">
        <f t="shared" si="227"/>
        <v>50</v>
      </c>
      <c r="E1638" t="str">
        <f>'(Raw) LensesGH'!C1638</f>
        <v>1:2.0</v>
      </c>
      <c r="F1638" s="9">
        <f t="shared" si="228"/>
        <v>2</v>
      </c>
      <c r="G1638" s="9">
        <f t="shared" si="229"/>
        <v>2</v>
      </c>
      <c r="H1638" t="str">
        <f>'(Raw) LensesGH'!D1638</f>
        <v>49mm</v>
      </c>
      <c r="I1638" s="2">
        <f t="shared" si="230"/>
        <v>49</v>
      </c>
      <c r="J1638" s="2">
        <f>'(Raw) LensesGH'!E1638</f>
        <v>0</v>
      </c>
      <c r="K1638" s="40">
        <f t="shared" si="231"/>
        <v>0</v>
      </c>
      <c r="L1638" t="str">
        <f>'(Raw) LensesGH'!F1638</f>
        <v>Nikon 1</v>
      </c>
      <c r="M1638" t="str">
        <f>'(Raw) LensesGH'!G1638</f>
        <v>APS-C</v>
      </c>
      <c r="N1638" t="str">
        <f>'(Raw) LensesGH'!H1638</f>
        <v>188g</v>
      </c>
      <c r="O1638" s="5">
        <f t="shared" si="232"/>
        <v>188</v>
      </c>
      <c r="P1638" t="str">
        <f>'(Raw) LensesGH'!I1638</f>
        <v>60.5 x 41mm</v>
      </c>
      <c r="Q1638" s="39">
        <f t="shared" si="233"/>
        <v>60.5</v>
      </c>
      <c r="R1638" s="39">
        <f t="shared" si="225"/>
        <v>41</v>
      </c>
    </row>
    <row r="1639" spans="1:18" x14ac:dyDescent="0.25">
      <c r="A1639" t="str">
        <f>'(Raw) LensesGH'!A1639</f>
        <v>Voking 50mm 2.0 für Sony E schwarz</v>
      </c>
      <c r="B1639" t="str">
        <f>'(Raw) LensesGH'!B1639</f>
        <v>50mm</v>
      </c>
      <c r="C1639" s="5">
        <f t="shared" si="226"/>
        <v>50</v>
      </c>
      <c r="D1639" s="5">
        <f t="shared" si="227"/>
        <v>50</v>
      </c>
      <c r="E1639" t="str">
        <f>'(Raw) LensesGH'!C1639</f>
        <v>1:2.0</v>
      </c>
      <c r="F1639" s="9">
        <f t="shared" si="228"/>
        <v>2</v>
      </c>
      <c r="G1639" s="9">
        <f t="shared" si="229"/>
        <v>2</v>
      </c>
      <c r="H1639" t="str">
        <f>'(Raw) LensesGH'!D1639</f>
        <v>49mm</v>
      </c>
      <c r="I1639" s="2">
        <f t="shared" si="230"/>
        <v>49</v>
      </c>
      <c r="J1639" s="2">
        <f>'(Raw) LensesGH'!E1639</f>
        <v>0</v>
      </c>
      <c r="K1639" s="40">
        <f t="shared" si="231"/>
        <v>0</v>
      </c>
      <c r="L1639" t="str">
        <f>'(Raw) LensesGH'!F1639</f>
        <v>Sony E</v>
      </c>
      <c r="M1639" t="str">
        <f>'(Raw) LensesGH'!G1639</f>
        <v>APS-C</v>
      </c>
      <c r="N1639" t="str">
        <f>'(Raw) LensesGH'!H1639</f>
        <v>188g</v>
      </c>
      <c r="O1639" s="5">
        <f t="shared" si="232"/>
        <v>188</v>
      </c>
      <c r="P1639" t="str">
        <f>'(Raw) LensesGH'!I1639</f>
        <v>60.5 x 41mm</v>
      </c>
      <c r="Q1639" s="39">
        <f t="shared" si="233"/>
        <v>60.5</v>
      </c>
      <c r="R1639" s="39">
        <f t="shared" si="225"/>
        <v>41</v>
      </c>
    </row>
    <row r="1640" spans="1:18" x14ac:dyDescent="0.25">
      <c r="A1640" t="str">
        <f>'(Raw) LensesGH'!A1640</f>
        <v>Voking 8mm 3.5 für Canon EF schwarz</v>
      </c>
      <c r="B1640" t="str">
        <f>'(Raw) LensesGH'!B1640</f>
        <v>8mm</v>
      </c>
      <c r="C1640" s="5">
        <f t="shared" si="226"/>
        <v>8</v>
      </c>
      <c r="D1640" s="5">
        <f t="shared" si="227"/>
        <v>8</v>
      </c>
      <c r="E1640" t="str">
        <f>'(Raw) LensesGH'!C1640</f>
        <v>1:3.5</v>
      </c>
      <c r="F1640" s="9">
        <f t="shared" si="228"/>
        <v>3.5</v>
      </c>
      <c r="G1640" s="9">
        <f t="shared" si="229"/>
        <v>3.5</v>
      </c>
      <c r="H1640">
        <f>'(Raw) LensesGH'!D1640</f>
        <v>0</v>
      </c>
      <c r="I1640" s="2">
        <f t="shared" si="230"/>
        <v>0</v>
      </c>
      <c r="J1640" s="2">
        <f>'(Raw) LensesGH'!E1640</f>
        <v>0</v>
      </c>
      <c r="K1640" s="40">
        <f t="shared" si="231"/>
        <v>0</v>
      </c>
      <c r="L1640" t="str">
        <f>'(Raw) LensesGH'!F1640</f>
        <v>Canon EF-S</v>
      </c>
      <c r="M1640" t="str">
        <f>'(Raw) LensesGH'!G1640</f>
        <v>APS-C</v>
      </c>
      <c r="N1640" t="str">
        <f>'(Raw) LensesGH'!H1640</f>
        <v>570g</v>
      </c>
      <c r="O1640" s="5">
        <f t="shared" si="232"/>
        <v>570</v>
      </c>
      <c r="P1640">
        <f>'(Raw) LensesGH'!I1640</f>
        <v>0</v>
      </c>
      <c r="Q1640" s="39">
        <f t="shared" si="233"/>
        <v>0</v>
      </c>
      <c r="R1640" s="39">
        <f t="shared" si="225"/>
        <v>0</v>
      </c>
    </row>
    <row r="1641" spans="1:18" x14ac:dyDescent="0.25">
      <c r="A1641" t="str">
        <f>'(Raw) LensesGH'!A1641</f>
        <v>Voking 8mm 3.5 für Canon EF-M schwarz</v>
      </c>
      <c r="B1641" t="str">
        <f>'(Raw) LensesGH'!B1641</f>
        <v>8mm</v>
      </c>
      <c r="C1641" s="5">
        <f t="shared" si="226"/>
        <v>8</v>
      </c>
      <c r="D1641" s="5">
        <f t="shared" si="227"/>
        <v>8</v>
      </c>
      <c r="E1641" t="str">
        <f>'(Raw) LensesGH'!C1641</f>
        <v>1:3.5</v>
      </c>
      <c r="F1641" s="9">
        <f t="shared" si="228"/>
        <v>3.5</v>
      </c>
      <c r="G1641" s="9">
        <f t="shared" si="229"/>
        <v>3.5</v>
      </c>
      <c r="H1641">
        <f>'(Raw) LensesGH'!D1641</f>
        <v>0</v>
      </c>
      <c r="I1641" s="2">
        <f t="shared" si="230"/>
        <v>0</v>
      </c>
      <c r="J1641" s="2">
        <f>'(Raw) LensesGH'!E1641</f>
        <v>0</v>
      </c>
      <c r="K1641" s="40">
        <f t="shared" si="231"/>
        <v>0</v>
      </c>
      <c r="L1641" t="str">
        <f>'(Raw) LensesGH'!F1641</f>
        <v>Canon EF-M</v>
      </c>
      <c r="M1641" t="str">
        <f>'(Raw) LensesGH'!G1641</f>
        <v>APS-C</v>
      </c>
      <c r="N1641" t="str">
        <f>'(Raw) LensesGH'!H1641</f>
        <v>570g</v>
      </c>
      <c r="O1641" s="5">
        <f t="shared" si="232"/>
        <v>570</v>
      </c>
      <c r="P1641">
        <f>'(Raw) LensesGH'!I1641</f>
        <v>0</v>
      </c>
      <c r="Q1641" s="39">
        <f t="shared" si="233"/>
        <v>0</v>
      </c>
      <c r="R1641" s="39">
        <f t="shared" si="225"/>
        <v>0</v>
      </c>
    </row>
    <row r="1642" spans="1:18" x14ac:dyDescent="0.25">
      <c r="A1642" t="str">
        <f>'(Raw) LensesGH'!A1642</f>
        <v>Voking 8mm 3.5 für Fujifilm X schwarz</v>
      </c>
      <c r="B1642" t="str">
        <f>'(Raw) LensesGH'!B1642</f>
        <v>8mm</v>
      </c>
      <c r="C1642" s="5">
        <f t="shared" si="226"/>
        <v>8</v>
      </c>
      <c r="D1642" s="5">
        <f t="shared" si="227"/>
        <v>8</v>
      </c>
      <c r="E1642" t="str">
        <f>'(Raw) LensesGH'!C1642</f>
        <v>1:3.5</v>
      </c>
      <c r="F1642" s="9">
        <f t="shared" si="228"/>
        <v>3.5</v>
      </c>
      <c r="G1642" s="9">
        <f t="shared" si="229"/>
        <v>3.5</v>
      </c>
      <c r="H1642">
        <f>'(Raw) LensesGH'!D1642</f>
        <v>0</v>
      </c>
      <c r="I1642" s="2">
        <f t="shared" si="230"/>
        <v>0</v>
      </c>
      <c r="J1642" s="2">
        <f>'(Raw) LensesGH'!E1642</f>
        <v>0</v>
      </c>
      <c r="K1642" s="40">
        <f t="shared" si="231"/>
        <v>0</v>
      </c>
      <c r="L1642" t="str">
        <f>'(Raw) LensesGH'!F1642</f>
        <v>Fujifilm X</v>
      </c>
      <c r="M1642" t="str">
        <f>'(Raw) LensesGH'!G1642</f>
        <v>APS-C</v>
      </c>
      <c r="N1642" t="str">
        <f>'(Raw) LensesGH'!H1642</f>
        <v>570g</v>
      </c>
      <c r="O1642" s="5">
        <f t="shared" si="232"/>
        <v>570</v>
      </c>
      <c r="P1642">
        <f>'(Raw) LensesGH'!I1642</f>
        <v>0</v>
      </c>
      <c r="Q1642" s="39">
        <f t="shared" si="233"/>
        <v>0</v>
      </c>
      <c r="R1642" s="39">
        <f t="shared" si="225"/>
        <v>0</v>
      </c>
    </row>
    <row r="1643" spans="1:18" x14ac:dyDescent="0.25">
      <c r="A1643" t="str">
        <f>'(Raw) LensesGH'!A1643</f>
        <v>Voking 8mm 3.5 für Micro-Four-Thirds schwarz</v>
      </c>
      <c r="B1643" t="str">
        <f>'(Raw) LensesGH'!B1643</f>
        <v>8mm</v>
      </c>
      <c r="C1643" s="5">
        <f t="shared" si="226"/>
        <v>8</v>
      </c>
      <c r="D1643" s="5">
        <f t="shared" si="227"/>
        <v>8</v>
      </c>
      <c r="E1643" t="str">
        <f>'(Raw) LensesGH'!C1643</f>
        <v>1:3.5</v>
      </c>
      <c r="F1643" s="9">
        <f t="shared" si="228"/>
        <v>3.5</v>
      </c>
      <c r="G1643" s="9">
        <f t="shared" si="229"/>
        <v>3.5</v>
      </c>
      <c r="H1643">
        <f>'(Raw) LensesGH'!D1643</f>
        <v>0</v>
      </c>
      <c r="I1643" s="2">
        <f t="shared" si="230"/>
        <v>0</v>
      </c>
      <c r="J1643" s="2">
        <f>'(Raw) LensesGH'!E1643</f>
        <v>0</v>
      </c>
      <c r="K1643" s="40">
        <f t="shared" si="231"/>
        <v>0</v>
      </c>
      <c r="L1643" t="str">
        <f>'(Raw) LensesGH'!F1643</f>
        <v>Micro-Four-Thirds</v>
      </c>
      <c r="M1643" t="str">
        <f>'(Raw) LensesGH'!G1643</f>
        <v>APS-C</v>
      </c>
      <c r="N1643" t="str">
        <f>'(Raw) LensesGH'!H1643</f>
        <v>570g</v>
      </c>
      <c r="O1643" s="5">
        <f t="shared" si="232"/>
        <v>570</v>
      </c>
      <c r="P1643">
        <f>'(Raw) LensesGH'!I1643</f>
        <v>0</v>
      </c>
      <c r="Q1643" s="39">
        <f t="shared" si="233"/>
        <v>0</v>
      </c>
      <c r="R1643" s="39">
        <f t="shared" si="225"/>
        <v>0</v>
      </c>
    </row>
    <row r="1644" spans="1:18" x14ac:dyDescent="0.25">
      <c r="A1644" t="str">
        <f>'(Raw) LensesGH'!A1644</f>
        <v>Voking 8mm 3.5 für Nikon 1 schwarz</v>
      </c>
      <c r="B1644" t="str">
        <f>'(Raw) LensesGH'!B1644</f>
        <v>8mm</v>
      </c>
      <c r="C1644" s="5">
        <f t="shared" si="226"/>
        <v>8</v>
      </c>
      <c r="D1644" s="5">
        <f t="shared" si="227"/>
        <v>8</v>
      </c>
      <c r="E1644" t="str">
        <f>'(Raw) LensesGH'!C1644</f>
        <v>1:3.5</v>
      </c>
      <c r="F1644" s="9">
        <f t="shared" si="228"/>
        <v>3.5</v>
      </c>
      <c r="G1644" s="9">
        <f t="shared" si="229"/>
        <v>3.5</v>
      </c>
      <c r="H1644">
        <f>'(Raw) LensesGH'!D1644</f>
        <v>0</v>
      </c>
      <c r="I1644" s="2">
        <f t="shared" si="230"/>
        <v>0</v>
      </c>
      <c r="J1644" s="2">
        <f>'(Raw) LensesGH'!E1644</f>
        <v>0</v>
      </c>
      <c r="K1644" s="40">
        <f t="shared" si="231"/>
        <v>0</v>
      </c>
      <c r="L1644" t="str">
        <f>'(Raw) LensesGH'!F1644</f>
        <v>Nikon 1</v>
      </c>
      <c r="M1644" t="str">
        <f>'(Raw) LensesGH'!G1644</f>
        <v>APS-C</v>
      </c>
      <c r="N1644" t="str">
        <f>'(Raw) LensesGH'!H1644</f>
        <v>570g</v>
      </c>
      <c r="O1644" s="5">
        <f t="shared" si="232"/>
        <v>570</v>
      </c>
      <c r="P1644">
        <f>'(Raw) LensesGH'!I1644</f>
        <v>0</v>
      </c>
      <c r="Q1644" s="39">
        <f t="shared" si="233"/>
        <v>0</v>
      </c>
      <c r="R1644" s="39">
        <f t="shared" si="225"/>
        <v>0</v>
      </c>
    </row>
    <row r="1645" spans="1:18" x14ac:dyDescent="0.25">
      <c r="A1645" t="str">
        <f>'(Raw) LensesGH'!A1645</f>
        <v>Voking 8mm 3.5 für Nikon F schwarz</v>
      </c>
      <c r="B1645" t="str">
        <f>'(Raw) LensesGH'!B1645</f>
        <v>8mm</v>
      </c>
      <c r="C1645" s="5">
        <f t="shared" si="226"/>
        <v>8</v>
      </c>
      <c r="D1645" s="5">
        <f t="shared" si="227"/>
        <v>8</v>
      </c>
      <c r="E1645" t="str">
        <f>'(Raw) LensesGH'!C1645</f>
        <v>1:3.5</v>
      </c>
      <c r="F1645" s="9">
        <f t="shared" si="228"/>
        <v>3.5</v>
      </c>
      <c r="G1645" s="9">
        <f t="shared" si="229"/>
        <v>3.5</v>
      </c>
      <c r="H1645">
        <f>'(Raw) LensesGH'!D1645</f>
        <v>0</v>
      </c>
      <c r="I1645" s="2">
        <f t="shared" si="230"/>
        <v>0</v>
      </c>
      <c r="J1645" s="2">
        <f>'(Raw) LensesGH'!E1645</f>
        <v>0</v>
      </c>
      <c r="K1645" s="40">
        <f t="shared" si="231"/>
        <v>0</v>
      </c>
      <c r="L1645" t="str">
        <f>'(Raw) LensesGH'!F1645</f>
        <v>Nikon F</v>
      </c>
      <c r="M1645" t="str">
        <f>'(Raw) LensesGH'!G1645</f>
        <v>APS-C</v>
      </c>
      <c r="N1645" t="str">
        <f>'(Raw) LensesGH'!H1645</f>
        <v>570g</v>
      </c>
      <c r="O1645" s="5">
        <f t="shared" si="232"/>
        <v>570</v>
      </c>
      <c r="P1645">
        <f>'(Raw) LensesGH'!I1645</f>
        <v>0</v>
      </c>
      <c r="Q1645" s="39">
        <f t="shared" si="233"/>
        <v>0</v>
      </c>
      <c r="R1645" s="39">
        <f t="shared" si="225"/>
        <v>0</v>
      </c>
    </row>
    <row r="1646" spans="1:18" x14ac:dyDescent="0.25">
      <c r="A1646" t="str">
        <f>'(Raw) LensesGH'!A1646</f>
        <v>Voking 8mm 3.5 für Sony E schwarz</v>
      </c>
      <c r="B1646" t="str">
        <f>'(Raw) LensesGH'!B1646</f>
        <v>8mm</v>
      </c>
      <c r="C1646" s="5">
        <f t="shared" si="226"/>
        <v>8</v>
      </c>
      <c r="D1646" s="5">
        <f t="shared" si="227"/>
        <v>8</v>
      </c>
      <c r="E1646" t="str">
        <f>'(Raw) LensesGH'!C1646</f>
        <v>1:3.5</v>
      </c>
      <c r="F1646" s="9">
        <f t="shared" si="228"/>
        <v>3.5</v>
      </c>
      <c r="G1646" s="9">
        <f t="shared" si="229"/>
        <v>3.5</v>
      </c>
      <c r="H1646">
        <f>'(Raw) LensesGH'!D1646</f>
        <v>0</v>
      </c>
      <c r="I1646" s="2">
        <f t="shared" si="230"/>
        <v>0</v>
      </c>
      <c r="J1646" s="2">
        <f>'(Raw) LensesGH'!E1646</f>
        <v>0</v>
      </c>
      <c r="K1646" s="40">
        <f t="shared" si="231"/>
        <v>0</v>
      </c>
      <c r="L1646" t="str">
        <f>'(Raw) LensesGH'!F1646</f>
        <v>Sony E</v>
      </c>
      <c r="M1646" t="str">
        <f>'(Raw) LensesGH'!G1646</f>
        <v>APS-C</v>
      </c>
      <c r="N1646" t="str">
        <f>'(Raw) LensesGH'!H1646</f>
        <v>570g</v>
      </c>
      <c r="O1646" s="5">
        <f t="shared" si="232"/>
        <v>570</v>
      </c>
      <c r="P1646">
        <f>'(Raw) LensesGH'!I1646</f>
        <v>0</v>
      </c>
      <c r="Q1646" s="39">
        <f t="shared" si="233"/>
        <v>0</v>
      </c>
      <c r="R1646" s="39">
        <f t="shared" si="225"/>
        <v>0</v>
      </c>
    </row>
    <row r="1647" spans="1:18" x14ac:dyDescent="0.25">
      <c r="A1647" t="str">
        <f>'(Raw) LensesGH'!A1647</f>
        <v>Walimex Pro 100mm 2.8 Makro CSC für Canon EF-M schwarz</v>
      </c>
      <c r="B1647" t="str">
        <f>'(Raw) LensesGH'!B1647</f>
        <v>100mm</v>
      </c>
      <c r="C1647" s="5">
        <f t="shared" si="226"/>
        <v>100</v>
      </c>
      <c r="D1647" s="5">
        <f t="shared" si="227"/>
        <v>100</v>
      </c>
      <c r="E1647" t="str">
        <f>'(Raw) LensesGH'!C1647</f>
        <v>1:2.8</v>
      </c>
      <c r="F1647" s="9">
        <f t="shared" si="228"/>
        <v>2.8</v>
      </c>
      <c r="G1647" s="9">
        <f t="shared" si="229"/>
        <v>2.8</v>
      </c>
      <c r="H1647" t="str">
        <f>'(Raw) LensesGH'!D1647</f>
        <v>67mm</v>
      </c>
      <c r="I1647" s="2">
        <f t="shared" si="230"/>
        <v>67</v>
      </c>
      <c r="J1647" s="2" t="str">
        <f>'(Raw) LensesGH'!E1647</f>
        <v>1:1.00</v>
      </c>
      <c r="K1647" s="40">
        <f t="shared" si="231"/>
        <v>1</v>
      </c>
      <c r="L1647" t="str">
        <f>'(Raw) LensesGH'!F1647</f>
        <v>Canon EF-M</v>
      </c>
      <c r="M1647" t="str">
        <f>'(Raw) LensesGH'!G1647</f>
        <v>APS-C</v>
      </c>
      <c r="N1647" t="str">
        <f>'(Raw) LensesGH'!H1647</f>
        <v>770g</v>
      </c>
      <c r="O1647" s="5">
        <f t="shared" si="232"/>
        <v>770</v>
      </c>
      <c r="P1647" t="str">
        <f>'(Raw) LensesGH'!I1647</f>
        <v>72.5 x 149mm</v>
      </c>
      <c r="Q1647" s="39">
        <f t="shared" si="233"/>
        <v>72.5</v>
      </c>
      <c r="R1647" s="39">
        <f t="shared" si="225"/>
        <v>149</v>
      </c>
    </row>
    <row r="1648" spans="1:18" x14ac:dyDescent="0.25">
      <c r="A1648" t="str">
        <f>'(Raw) LensesGH'!A1648</f>
        <v>Walimex Pro 100mm 2.8 Makro CSC für Fujifilm X schwarz</v>
      </c>
      <c r="B1648" t="str">
        <f>'(Raw) LensesGH'!B1648</f>
        <v>100mm</v>
      </c>
      <c r="C1648" s="5">
        <f t="shared" si="226"/>
        <v>100</v>
      </c>
      <c r="D1648" s="5">
        <f t="shared" si="227"/>
        <v>100</v>
      </c>
      <c r="E1648" t="str">
        <f>'(Raw) LensesGH'!C1648</f>
        <v>1:2.8</v>
      </c>
      <c r="F1648" s="9">
        <f t="shared" si="228"/>
        <v>2.8</v>
      </c>
      <c r="G1648" s="9">
        <f t="shared" si="229"/>
        <v>2.8</v>
      </c>
      <c r="H1648" t="str">
        <f>'(Raw) LensesGH'!D1648</f>
        <v>67mm</v>
      </c>
      <c r="I1648" s="2">
        <f t="shared" si="230"/>
        <v>67</v>
      </c>
      <c r="J1648" s="2" t="str">
        <f>'(Raw) LensesGH'!E1648</f>
        <v>1:1.00</v>
      </c>
      <c r="K1648" s="40">
        <f t="shared" si="231"/>
        <v>1</v>
      </c>
      <c r="L1648" t="str">
        <f>'(Raw) LensesGH'!F1648</f>
        <v>Fujifilm X</v>
      </c>
      <c r="M1648" t="str">
        <f>'(Raw) LensesGH'!G1648</f>
        <v>APS-C</v>
      </c>
      <c r="N1648" t="str">
        <f>'(Raw) LensesGH'!H1648</f>
        <v>770g</v>
      </c>
      <c r="O1648" s="5">
        <f t="shared" si="232"/>
        <v>770</v>
      </c>
      <c r="P1648" t="str">
        <f>'(Raw) LensesGH'!I1648</f>
        <v>72.5 x 149mm</v>
      </c>
      <c r="Q1648" s="39">
        <f t="shared" si="233"/>
        <v>72.5</v>
      </c>
      <c r="R1648" s="39">
        <f t="shared" si="225"/>
        <v>149</v>
      </c>
    </row>
    <row r="1649" spans="1:18" x14ac:dyDescent="0.25">
      <c r="A1649" t="str">
        <f>'(Raw) LensesGH'!A1649</f>
        <v>Walimex Pro 100mm 2.8 Makro CSC für Micro-Four-Thirds schwarz</v>
      </c>
      <c r="B1649" t="str">
        <f>'(Raw) LensesGH'!B1649</f>
        <v>100mm</v>
      </c>
      <c r="C1649" s="5">
        <f t="shared" si="226"/>
        <v>100</v>
      </c>
      <c r="D1649" s="5">
        <f t="shared" si="227"/>
        <v>100</v>
      </c>
      <c r="E1649" t="str">
        <f>'(Raw) LensesGH'!C1649</f>
        <v>1:2.8</v>
      </c>
      <c r="F1649" s="9">
        <f t="shared" si="228"/>
        <v>2.8</v>
      </c>
      <c r="G1649" s="9">
        <f t="shared" si="229"/>
        <v>2.8</v>
      </c>
      <c r="H1649" t="str">
        <f>'(Raw) LensesGH'!D1649</f>
        <v>67mm</v>
      </c>
      <c r="I1649" s="2">
        <f t="shared" si="230"/>
        <v>67</v>
      </c>
      <c r="J1649" s="2" t="str">
        <f>'(Raw) LensesGH'!E1649</f>
        <v>1:1.00</v>
      </c>
      <c r="K1649" s="40">
        <f t="shared" si="231"/>
        <v>1</v>
      </c>
      <c r="L1649" t="str">
        <f>'(Raw) LensesGH'!F1649</f>
        <v>Micro-Four-Thirds</v>
      </c>
      <c r="M1649" t="str">
        <f>'(Raw) LensesGH'!G1649</f>
        <v>Four-Thirds</v>
      </c>
      <c r="N1649" t="str">
        <f>'(Raw) LensesGH'!H1649</f>
        <v>770g</v>
      </c>
      <c r="O1649" s="5">
        <f t="shared" si="232"/>
        <v>770</v>
      </c>
      <c r="P1649" t="str">
        <f>'(Raw) LensesGH'!I1649</f>
        <v>72.5 x 149mm</v>
      </c>
      <c r="Q1649" s="39">
        <f t="shared" si="233"/>
        <v>72.5</v>
      </c>
      <c r="R1649" s="39">
        <f t="shared" si="225"/>
        <v>149</v>
      </c>
    </row>
    <row r="1650" spans="1:18" x14ac:dyDescent="0.25">
      <c r="A1650" t="str">
        <f>'(Raw) LensesGH'!A1650</f>
        <v>Walimex Pro 100mm 2.8 Makro CSC für Samsung NX schwarz</v>
      </c>
      <c r="B1650" t="str">
        <f>'(Raw) LensesGH'!B1650</f>
        <v>100mm</v>
      </c>
      <c r="C1650" s="5">
        <f t="shared" si="226"/>
        <v>100</v>
      </c>
      <c r="D1650" s="5">
        <f t="shared" si="227"/>
        <v>100</v>
      </c>
      <c r="E1650" t="str">
        <f>'(Raw) LensesGH'!C1650</f>
        <v>1:2.8</v>
      </c>
      <c r="F1650" s="9">
        <f t="shared" si="228"/>
        <v>2.8</v>
      </c>
      <c r="G1650" s="9">
        <f t="shared" si="229"/>
        <v>2.8</v>
      </c>
      <c r="H1650" t="str">
        <f>'(Raw) LensesGH'!D1650</f>
        <v>67mm</v>
      </c>
      <c r="I1650" s="2">
        <f t="shared" si="230"/>
        <v>67</v>
      </c>
      <c r="J1650" s="2" t="str">
        <f>'(Raw) LensesGH'!E1650</f>
        <v>1:1.00</v>
      </c>
      <c r="K1650" s="40">
        <f t="shared" si="231"/>
        <v>1</v>
      </c>
      <c r="L1650" t="str">
        <f>'(Raw) LensesGH'!F1650</f>
        <v>Samsung NX</v>
      </c>
      <c r="M1650" t="str">
        <f>'(Raw) LensesGH'!G1650</f>
        <v>APS-C</v>
      </c>
      <c r="N1650" t="str">
        <f>'(Raw) LensesGH'!H1650</f>
        <v>770g</v>
      </c>
      <c r="O1650" s="5">
        <f t="shared" si="232"/>
        <v>770</v>
      </c>
      <c r="P1650" t="str">
        <f>'(Raw) LensesGH'!I1650</f>
        <v>72.5 x 149mm</v>
      </c>
      <c r="Q1650" s="39">
        <f t="shared" si="233"/>
        <v>72.5</v>
      </c>
      <c r="R1650" s="39">
        <f t="shared" si="225"/>
        <v>149</v>
      </c>
    </row>
    <row r="1651" spans="1:18" x14ac:dyDescent="0.25">
      <c r="A1651" t="str">
        <f>'(Raw) LensesGH'!A1651</f>
        <v>Walimex Pro 100mm 2.8 Makro CSC für Sony E schwarz</v>
      </c>
      <c r="B1651" t="str">
        <f>'(Raw) LensesGH'!B1651</f>
        <v>100mm</v>
      </c>
      <c r="C1651" s="5">
        <f t="shared" si="226"/>
        <v>100</v>
      </c>
      <c r="D1651" s="5">
        <f t="shared" si="227"/>
        <v>100</v>
      </c>
      <c r="E1651" t="str">
        <f>'(Raw) LensesGH'!C1651</f>
        <v>1:2.8</v>
      </c>
      <c r="F1651" s="9">
        <f t="shared" si="228"/>
        <v>2.8</v>
      </c>
      <c r="G1651" s="9">
        <f t="shared" si="229"/>
        <v>2.8</v>
      </c>
      <c r="H1651" t="str">
        <f>'(Raw) LensesGH'!D1651</f>
        <v>67mm</v>
      </c>
      <c r="I1651" s="2">
        <f t="shared" si="230"/>
        <v>67</v>
      </c>
      <c r="J1651" s="2" t="str">
        <f>'(Raw) LensesGH'!E1651</f>
        <v>1:1.00</v>
      </c>
      <c r="K1651" s="40">
        <f t="shared" si="231"/>
        <v>1</v>
      </c>
      <c r="L1651" t="str">
        <f>'(Raw) LensesGH'!F1651</f>
        <v>Sony E</v>
      </c>
      <c r="M1651" t="str">
        <f>'(Raw) LensesGH'!G1651</f>
        <v>APS-C/ Kleinbild</v>
      </c>
      <c r="N1651" t="str">
        <f>'(Raw) LensesGH'!H1651</f>
        <v>770g</v>
      </c>
      <c r="O1651" s="5">
        <f t="shared" si="232"/>
        <v>770</v>
      </c>
      <c r="P1651" t="str">
        <f>'(Raw) LensesGH'!I1651</f>
        <v>72.5 x 149mm</v>
      </c>
      <c r="Q1651" s="39">
        <f t="shared" si="233"/>
        <v>72.5</v>
      </c>
      <c r="R1651" s="39">
        <f t="shared" si="225"/>
        <v>149</v>
      </c>
    </row>
    <row r="1652" spans="1:18" x14ac:dyDescent="0.25">
      <c r="A1652" t="str">
        <f>'(Raw) LensesGH'!A1652</f>
        <v>Walimex Pro 100mm 2.8 Makro DSLR für Canon EF schwarz</v>
      </c>
      <c r="B1652" t="str">
        <f>'(Raw) LensesGH'!B1652</f>
        <v>100mm</v>
      </c>
      <c r="C1652" s="5">
        <f t="shared" si="226"/>
        <v>100</v>
      </c>
      <c r="D1652" s="5">
        <f t="shared" si="227"/>
        <v>100</v>
      </c>
      <c r="E1652" t="str">
        <f>'(Raw) LensesGH'!C1652</f>
        <v>1:2.8</v>
      </c>
      <c r="F1652" s="9">
        <f t="shared" si="228"/>
        <v>2.8</v>
      </c>
      <c r="G1652" s="9">
        <f t="shared" si="229"/>
        <v>2.8</v>
      </c>
      <c r="H1652" t="str">
        <f>'(Raw) LensesGH'!D1652</f>
        <v>67mm</v>
      </c>
      <c r="I1652" s="2">
        <f t="shared" si="230"/>
        <v>67</v>
      </c>
      <c r="J1652" s="2" t="str">
        <f>'(Raw) LensesGH'!E1652</f>
        <v>1:1.00</v>
      </c>
      <c r="K1652" s="40">
        <f t="shared" si="231"/>
        <v>1</v>
      </c>
      <c r="L1652" t="str">
        <f>'(Raw) LensesGH'!F1652</f>
        <v>Canon EF</v>
      </c>
      <c r="M1652" t="str">
        <f>'(Raw) LensesGH'!G1652</f>
        <v>APS-C/ Kleinbild</v>
      </c>
      <c r="N1652" t="str">
        <f>'(Raw) LensesGH'!H1652</f>
        <v>770g</v>
      </c>
      <c r="O1652" s="5">
        <f t="shared" si="232"/>
        <v>770</v>
      </c>
      <c r="P1652" t="str">
        <f>'(Raw) LensesGH'!I1652</f>
        <v>72.5 x 149mm</v>
      </c>
      <c r="Q1652" s="39">
        <f t="shared" si="233"/>
        <v>72.5</v>
      </c>
      <c r="R1652" s="39">
        <f t="shared" si="225"/>
        <v>149</v>
      </c>
    </row>
    <row r="1653" spans="1:18" x14ac:dyDescent="0.25">
      <c r="A1653" t="str">
        <f>'(Raw) LensesGH'!A1653</f>
        <v>Walimex Pro 100mm 2.8 Makro DSLR für Nikon F schwarz</v>
      </c>
      <c r="B1653" t="str">
        <f>'(Raw) LensesGH'!B1653</f>
        <v>100mm</v>
      </c>
      <c r="C1653" s="5">
        <f t="shared" si="226"/>
        <v>100</v>
      </c>
      <c r="D1653" s="5">
        <f t="shared" si="227"/>
        <v>100</v>
      </c>
      <c r="E1653" t="str">
        <f>'(Raw) LensesGH'!C1653</f>
        <v>1:2.8</v>
      </c>
      <c r="F1653" s="9">
        <f t="shared" si="228"/>
        <v>2.8</v>
      </c>
      <c r="G1653" s="9">
        <f t="shared" si="229"/>
        <v>2.8</v>
      </c>
      <c r="H1653" t="str">
        <f>'(Raw) LensesGH'!D1653</f>
        <v>67mm</v>
      </c>
      <c r="I1653" s="2">
        <f t="shared" si="230"/>
        <v>67</v>
      </c>
      <c r="J1653" s="2" t="str">
        <f>'(Raw) LensesGH'!E1653</f>
        <v>1:1.00</v>
      </c>
      <c r="K1653" s="40">
        <f t="shared" si="231"/>
        <v>1</v>
      </c>
      <c r="L1653" t="str">
        <f>'(Raw) LensesGH'!F1653</f>
        <v>Nikon F</v>
      </c>
      <c r="M1653" t="str">
        <f>'(Raw) LensesGH'!G1653</f>
        <v>APS-C/ Kleinbild</v>
      </c>
      <c r="N1653" t="str">
        <f>'(Raw) LensesGH'!H1653</f>
        <v>770g</v>
      </c>
      <c r="O1653" s="5">
        <f t="shared" si="232"/>
        <v>770</v>
      </c>
      <c r="P1653" t="str">
        <f>'(Raw) LensesGH'!I1653</f>
        <v>72.5 x 149mm</v>
      </c>
      <c r="Q1653" s="39">
        <f t="shared" si="233"/>
        <v>72.5</v>
      </c>
      <c r="R1653" s="39">
        <f t="shared" si="225"/>
        <v>149</v>
      </c>
    </row>
    <row r="1654" spans="1:18" x14ac:dyDescent="0.25">
      <c r="A1654" t="str">
        <f>'(Raw) LensesGH'!A1654</f>
        <v>Walimex Pro 100mm T3.1 Makro VCSC für Canon EF-M schwarz</v>
      </c>
      <c r="B1654" t="str">
        <f>'(Raw) LensesGH'!B1654</f>
        <v>100mm</v>
      </c>
      <c r="C1654" s="5">
        <f t="shared" si="226"/>
        <v>100</v>
      </c>
      <c r="D1654" s="5">
        <f t="shared" si="227"/>
        <v>100</v>
      </c>
      <c r="E1654" t="str">
        <f>'(Raw) LensesGH'!C1654</f>
        <v>1:3.1</v>
      </c>
      <c r="F1654" s="9">
        <f t="shared" si="228"/>
        <v>3.1</v>
      </c>
      <c r="G1654" s="9">
        <f t="shared" si="229"/>
        <v>3.1</v>
      </c>
      <c r="H1654" t="str">
        <f>'(Raw) LensesGH'!D1654</f>
        <v>67mm</v>
      </c>
      <c r="I1654" s="2">
        <f t="shared" si="230"/>
        <v>67</v>
      </c>
      <c r="J1654" s="2" t="str">
        <f>'(Raw) LensesGH'!E1654</f>
        <v>1:1.00</v>
      </c>
      <c r="K1654" s="40">
        <f t="shared" si="231"/>
        <v>1</v>
      </c>
      <c r="L1654" t="str">
        <f>'(Raw) LensesGH'!F1654</f>
        <v>Canon EF-M</v>
      </c>
      <c r="M1654" t="str">
        <f>'(Raw) LensesGH'!G1654</f>
        <v>APS-C</v>
      </c>
      <c r="N1654" t="str">
        <f>'(Raw) LensesGH'!H1654</f>
        <v>775g</v>
      </c>
      <c r="O1654" s="5">
        <f t="shared" si="232"/>
        <v>775</v>
      </c>
      <c r="P1654" t="str">
        <f>'(Raw) LensesGH'!I1654</f>
        <v>82 x 149mm</v>
      </c>
      <c r="Q1654" s="39">
        <f t="shared" si="233"/>
        <v>82</v>
      </c>
      <c r="R1654" s="39">
        <f t="shared" si="225"/>
        <v>149</v>
      </c>
    </row>
    <row r="1655" spans="1:18" x14ac:dyDescent="0.25">
      <c r="A1655" t="str">
        <f>'(Raw) LensesGH'!A1655</f>
        <v>Walimex Pro 100mm T3.1 Makro VCSC für Four-Thirds schwarz</v>
      </c>
      <c r="B1655" t="str">
        <f>'(Raw) LensesGH'!B1655</f>
        <v>100mm</v>
      </c>
      <c r="C1655" s="5">
        <f t="shared" si="226"/>
        <v>100</v>
      </c>
      <c r="D1655" s="5">
        <f t="shared" si="227"/>
        <v>100</v>
      </c>
      <c r="E1655" t="str">
        <f>'(Raw) LensesGH'!C1655</f>
        <v>1:3.1</v>
      </c>
      <c r="F1655" s="9">
        <f t="shared" si="228"/>
        <v>3.1</v>
      </c>
      <c r="G1655" s="9">
        <f t="shared" si="229"/>
        <v>3.1</v>
      </c>
      <c r="H1655" t="str">
        <f>'(Raw) LensesGH'!D1655</f>
        <v>67mm</v>
      </c>
      <c r="I1655" s="2">
        <f t="shared" si="230"/>
        <v>67</v>
      </c>
      <c r="J1655" s="2" t="str">
        <f>'(Raw) LensesGH'!E1655</f>
        <v>1:1.00</v>
      </c>
      <c r="K1655" s="40">
        <f t="shared" si="231"/>
        <v>1</v>
      </c>
      <c r="L1655" t="str">
        <f>'(Raw) LensesGH'!F1655</f>
        <v>Four-Thirds</v>
      </c>
      <c r="M1655" t="str">
        <f>'(Raw) LensesGH'!G1655</f>
        <v>Four-Thirds</v>
      </c>
      <c r="N1655" t="str">
        <f>'(Raw) LensesGH'!H1655</f>
        <v>775g</v>
      </c>
      <c r="O1655" s="5">
        <f t="shared" si="232"/>
        <v>775</v>
      </c>
      <c r="P1655" t="str">
        <f>'(Raw) LensesGH'!I1655</f>
        <v>82 x 149mm</v>
      </c>
      <c r="Q1655" s="39">
        <f t="shared" si="233"/>
        <v>82</v>
      </c>
      <c r="R1655" s="39">
        <f t="shared" si="225"/>
        <v>149</v>
      </c>
    </row>
    <row r="1656" spans="1:18" x14ac:dyDescent="0.25">
      <c r="A1656" t="str">
        <f>'(Raw) LensesGH'!A1656</f>
        <v>Walimex Pro 100mm T3.1 Makro VCSC für Fujifilm X schwarz</v>
      </c>
      <c r="B1656" t="str">
        <f>'(Raw) LensesGH'!B1656</f>
        <v>100mm</v>
      </c>
      <c r="C1656" s="5">
        <f t="shared" si="226"/>
        <v>100</v>
      </c>
      <c r="D1656" s="5">
        <f t="shared" si="227"/>
        <v>100</v>
      </c>
      <c r="E1656" t="str">
        <f>'(Raw) LensesGH'!C1656</f>
        <v>1:3.1</v>
      </c>
      <c r="F1656" s="9">
        <f t="shared" si="228"/>
        <v>3.1</v>
      </c>
      <c r="G1656" s="9">
        <f t="shared" si="229"/>
        <v>3.1</v>
      </c>
      <c r="H1656" t="str">
        <f>'(Raw) LensesGH'!D1656</f>
        <v>67mm</v>
      </c>
      <c r="I1656" s="2">
        <f t="shared" si="230"/>
        <v>67</v>
      </c>
      <c r="J1656" s="2" t="str">
        <f>'(Raw) LensesGH'!E1656</f>
        <v>1:1.00</v>
      </c>
      <c r="K1656" s="40">
        <f t="shared" si="231"/>
        <v>1</v>
      </c>
      <c r="L1656" t="str">
        <f>'(Raw) LensesGH'!F1656</f>
        <v>Fujifilm X</v>
      </c>
      <c r="M1656" t="str">
        <f>'(Raw) LensesGH'!G1656</f>
        <v>APS-C</v>
      </c>
      <c r="N1656" t="str">
        <f>'(Raw) LensesGH'!H1656</f>
        <v>775g</v>
      </c>
      <c r="O1656" s="5">
        <f t="shared" si="232"/>
        <v>775</v>
      </c>
      <c r="P1656" t="str">
        <f>'(Raw) LensesGH'!I1656</f>
        <v>82 x 149mm</v>
      </c>
      <c r="Q1656" s="39">
        <f t="shared" si="233"/>
        <v>82</v>
      </c>
      <c r="R1656" s="39">
        <f t="shared" si="225"/>
        <v>149</v>
      </c>
    </row>
    <row r="1657" spans="1:18" x14ac:dyDescent="0.25">
      <c r="A1657" t="str">
        <f>'(Raw) LensesGH'!A1657</f>
        <v>Walimex Pro 100mm T3.1 Makro VCSC für Micro-Four-Thirds schwarz</v>
      </c>
      <c r="B1657" t="str">
        <f>'(Raw) LensesGH'!B1657</f>
        <v>100mm</v>
      </c>
      <c r="C1657" s="5">
        <f t="shared" si="226"/>
        <v>100</v>
      </c>
      <c r="D1657" s="5">
        <f t="shared" si="227"/>
        <v>100</v>
      </c>
      <c r="E1657" t="str">
        <f>'(Raw) LensesGH'!C1657</f>
        <v>1:3.1</v>
      </c>
      <c r="F1657" s="9">
        <f t="shared" si="228"/>
        <v>3.1</v>
      </c>
      <c r="G1657" s="9">
        <f t="shared" si="229"/>
        <v>3.1</v>
      </c>
      <c r="H1657" t="str">
        <f>'(Raw) LensesGH'!D1657</f>
        <v>67mm</v>
      </c>
      <c r="I1657" s="2">
        <f t="shared" si="230"/>
        <v>67</v>
      </c>
      <c r="J1657" s="2" t="str">
        <f>'(Raw) LensesGH'!E1657</f>
        <v>1:1.00</v>
      </c>
      <c r="K1657" s="40">
        <f t="shared" si="231"/>
        <v>1</v>
      </c>
      <c r="L1657" t="str">
        <f>'(Raw) LensesGH'!F1657</f>
        <v>Micro-Four-Thirds</v>
      </c>
      <c r="M1657" t="str">
        <f>'(Raw) LensesGH'!G1657</f>
        <v>Four-Thirds</v>
      </c>
      <c r="N1657" t="str">
        <f>'(Raw) LensesGH'!H1657</f>
        <v>775g</v>
      </c>
      <c r="O1657" s="5">
        <f t="shared" si="232"/>
        <v>775</v>
      </c>
      <c r="P1657" t="str">
        <f>'(Raw) LensesGH'!I1657</f>
        <v>82 x 149mm</v>
      </c>
      <c r="Q1657" s="39">
        <f t="shared" si="233"/>
        <v>82</v>
      </c>
      <c r="R1657" s="39">
        <f t="shared" si="225"/>
        <v>149</v>
      </c>
    </row>
    <row r="1658" spans="1:18" x14ac:dyDescent="0.25">
      <c r="A1658" t="str">
        <f>'(Raw) LensesGH'!A1658</f>
        <v>Walimex Pro 100mm T3.1 Makro VCSC für Sony E schwarz</v>
      </c>
      <c r="B1658" t="str">
        <f>'(Raw) LensesGH'!B1658</f>
        <v>100mm</v>
      </c>
      <c r="C1658" s="5">
        <f t="shared" si="226"/>
        <v>100</v>
      </c>
      <c r="D1658" s="5">
        <f t="shared" si="227"/>
        <v>100</v>
      </c>
      <c r="E1658" t="str">
        <f>'(Raw) LensesGH'!C1658</f>
        <v>1:3.1</v>
      </c>
      <c r="F1658" s="9">
        <f t="shared" si="228"/>
        <v>3.1</v>
      </c>
      <c r="G1658" s="9">
        <f t="shared" si="229"/>
        <v>3.1</v>
      </c>
      <c r="H1658" t="str">
        <f>'(Raw) LensesGH'!D1658</f>
        <v>67mm</v>
      </c>
      <c r="I1658" s="2">
        <f t="shared" si="230"/>
        <v>67</v>
      </c>
      <c r="J1658" s="2" t="str">
        <f>'(Raw) LensesGH'!E1658</f>
        <v>1:1.00</v>
      </c>
      <c r="K1658" s="40">
        <f t="shared" si="231"/>
        <v>1</v>
      </c>
      <c r="L1658" t="str">
        <f>'(Raw) LensesGH'!F1658</f>
        <v>Sony E</v>
      </c>
      <c r="M1658" t="str">
        <f>'(Raw) LensesGH'!G1658</f>
        <v>APS-C/ Kleinbild</v>
      </c>
      <c r="N1658" t="str">
        <f>'(Raw) LensesGH'!H1658</f>
        <v>775g</v>
      </c>
      <c r="O1658" s="5">
        <f t="shared" si="232"/>
        <v>775</v>
      </c>
      <c r="P1658" t="str">
        <f>'(Raw) LensesGH'!I1658</f>
        <v>82 x 149mm</v>
      </c>
      <c r="Q1658" s="39">
        <f t="shared" si="233"/>
        <v>82</v>
      </c>
      <c r="R1658" s="39">
        <f t="shared" si="225"/>
        <v>149</v>
      </c>
    </row>
    <row r="1659" spans="1:18" x14ac:dyDescent="0.25">
      <c r="A1659" t="str">
        <f>'(Raw) LensesGH'!A1659</f>
        <v>Walimex Pro 100mm T3.1 Makro VDSLR für Canon EF schwarz</v>
      </c>
      <c r="B1659" t="str">
        <f>'(Raw) LensesGH'!B1659</f>
        <v>100mm</v>
      </c>
      <c r="C1659" s="5">
        <f t="shared" si="226"/>
        <v>100</v>
      </c>
      <c r="D1659" s="5">
        <f t="shared" si="227"/>
        <v>100</v>
      </c>
      <c r="E1659" t="str">
        <f>'(Raw) LensesGH'!C1659</f>
        <v>1:3.1</v>
      </c>
      <c r="F1659" s="9">
        <f t="shared" si="228"/>
        <v>3.1</v>
      </c>
      <c r="G1659" s="9">
        <f t="shared" si="229"/>
        <v>3.1</v>
      </c>
      <c r="H1659" t="str">
        <f>'(Raw) LensesGH'!D1659</f>
        <v>67mm</v>
      </c>
      <c r="I1659" s="2">
        <f t="shared" si="230"/>
        <v>67</v>
      </c>
      <c r="J1659" s="2" t="str">
        <f>'(Raw) LensesGH'!E1659</f>
        <v>1:1.00</v>
      </c>
      <c r="K1659" s="40">
        <f t="shared" si="231"/>
        <v>1</v>
      </c>
      <c r="L1659" t="str">
        <f>'(Raw) LensesGH'!F1659</f>
        <v>Canon EF</v>
      </c>
      <c r="M1659" t="str">
        <f>'(Raw) LensesGH'!G1659</f>
        <v>APS-C/ Kleinbild</v>
      </c>
      <c r="N1659" t="str">
        <f>'(Raw) LensesGH'!H1659</f>
        <v>775g</v>
      </c>
      <c r="O1659" s="5">
        <f t="shared" si="232"/>
        <v>775</v>
      </c>
      <c r="P1659" t="str">
        <f>'(Raw) LensesGH'!I1659</f>
        <v>82 x 149mm</v>
      </c>
      <c r="Q1659" s="39">
        <f t="shared" si="233"/>
        <v>82</v>
      </c>
      <c r="R1659" s="39">
        <f t="shared" si="225"/>
        <v>149</v>
      </c>
    </row>
    <row r="1660" spans="1:18" x14ac:dyDescent="0.25">
      <c r="A1660" t="str">
        <f>'(Raw) LensesGH'!A1660</f>
        <v>Walimex Pro 100mm T3.1 Makro VDSLR für Nikon F schwarz</v>
      </c>
      <c r="B1660" t="str">
        <f>'(Raw) LensesGH'!B1660</f>
        <v>100mm</v>
      </c>
      <c r="C1660" s="5">
        <f t="shared" si="226"/>
        <v>100</v>
      </c>
      <c r="D1660" s="5">
        <f t="shared" si="227"/>
        <v>100</v>
      </c>
      <c r="E1660" t="str">
        <f>'(Raw) LensesGH'!C1660</f>
        <v>1:3.1</v>
      </c>
      <c r="F1660" s="9">
        <f t="shared" si="228"/>
        <v>3.1</v>
      </c>
      <c r="G1660" s="9">
        <f t="shared" si="229"/>
        <v>3.1</v>
      </c>
      <c r="H1660" t="str">
        <f>'(Raw) LensesGH'!D1660</f>
        <v>67mm</v>
      </c>
      <c r="I1660" s="2">
        <f t="shared" si="230"/>
        <v>67</v>
      </c>
      <c r="J1660" s="2" t="str">
        <f>'(Raw) LensesGH'!E1660</f>
        <v>1:1.00</v>
      </c>
      <c r="K1660" s="40">
        <f t="shared" si="231"/>
        <v>1</v>
      </c>
      <c r="L1660" t="str">
        <f>'(Raw) LensesGH'!F1660</f>
        <v>Nikon F</v>
      </c>
      <c r="M1660" t="str">
        <f>'(Raw) LensesGH'!G1660</f>
        <v>APS-C/ Kleinbild</v>
      </c>
      <c r="N1660" t="str">
        <f>'(Raw) LensesGH'!H1660</f>
        <v>775g</v>
      </c>
      <c r="O1660" s="5">
        <f t="shared" si="232"/>
        <v>775</v>
      </c>
      <c r="P1660" t="str">
        <f>'(Raw) LensesGH'!I1660</f>
        <v>82 x 149mm</v>
      </c>
      <c r="Q1660" s="39">
        <f t="shared" si="233"/>
        <v>82</v>
      </c>
      <c r="R1660" s="39">
        <f t="shared" si="225"/>
        <v>149</v>
      </c>
    </row>
    <row r="1661" spans="1:18" x14ac:dyDescent="0.25">
      <c r="A1661" t="str">
        <f>'(Raw) LensesGH'!A1661</f>
        <v>Walimex Pro 100mm T3.1 Makro VDSLR für Pentax K schwarz</v>
      </c>
      <c r="B1661" t="str">
        <f>'(Raw) LensesGH'!B1661</f>
        <v>100mm</v>
      </c>
      <c r="C1661" s="5">
        <f t="shared" si="226"/>
        <v>100</v>
      </c>
      <c r="D1661" s="5">
        <f t="shared" si="227"/>
        <v>100</v>
      </c>
      <c r="E1661" t="str">
        <f>'(Raw) LensesGH'!C1661</f>
        <v>1:3.1</v>
      </c>
      <c r="F1661" s="9">
        <f t="shared" si="228"/>
        <v>3.1</v>
      </c>
      <c r="G1661" s="9">
        <f t="shared" si="229"/>
        <v>3.1</v>
      </c>
      <c r="H1661" t="str">
        <f>'(Raw) LensesGH'!D1661</f>
        <v>67mm</v>
      </c>
      <c r="I1661" s="2">
        <f t="shared" si="230"/>
        <v>67</v>
      </c>
      <c r="J1661" s="2" t="str">
        <f>'(Raw) LensesGH'!E1661</f>
        <v>1:1.00</v>
      </c>
      <c r="K1661" s="40">
        <f t="shared" si="231"/>
        <v>1</v>
      </c>
      <c r="L1661" t="str">
        <f>'(Raw) LensesGH'!F1661</f>
        <v>Pentax K</v>
      </c>
      <c r="M1661" t="str">
        <f>'(Raw) LensesGH'!G1661</f>
        <v>APS-C/ Kleinbild</v>
      </c>
      <c r="N1661" t="str">
        <f>'(Raw) LensesGH'!H1661</f>
        <v>775g</v>
      </c>
      <c r="O1661" s="5">
        <f t="shared" si="232"/>
        <v>775</v>
      </c>
      <c r="P1661" t="str">
        <f>'(Raw) LensesGH'!I1661</f>
        <v>82 x 149mm</v>
      </c>
      <c r="Q1661" s="39">
        <f t="shared" si="233"/>
        <v>82</v>
      </c>
      <c r="R1661" s="39">
        <f t="shared" si="225"/>
        <v>149</v>
      </c>
    </row>
    <row r="1662" spans="1:18" x14ac:dyDescent="0.25">
      <c r="A1662" t="str">
        <f>'(Raw) LensesGH'!A1662</f>
        <v>Walimex Pro 10mm 2.8 für Canon EF schwarz</v>
      </c>
      <c r="B1662" t="str">
        <f>'(Raw) LensesGH'!B1662</f>
        <v>10mm</v>
      </c>
      <c r="C1662" s="5">
        <f t="shared" si="226"/>
        <v>10</v>
      </c>
      <c r="D1662" s="5">
        <f t="shared" si="227"/>
        <v>10</v>
      </c>
      <c r="E1662" t="str">
        <f>'(Raw) LensesGH'!C1662</f>
        <v>1:2.8</v>
      </c>
      <c r="F1662" s="9">
        <f t="shared" si="228"/>
        <v>2.8</v>
      </c>
      <c r="G1662" s="9">
        <f t="shared" si="229"/>
        <v>2.8</v>
      </c>
      <c r="H1662">
        <f>'(Raw) LensesGH'!D1662</f>
        <v>0</v>
      </c>
      <c r="I1662" s="2">
        <f t="shared" si="230"/>
        <v>0</v>
      </c>
      <c r="J1662" s="2">
        <f>'(Raw) LensesGH'!E1662</f>
        <v>0</v>
      </c>
      <c r="K1662" s="40">
        <f t="shared" si="231"/>
        <v>0</v>
      </c>
      <c r="L1662" t="str">
        <f>'(Raw) LensesGH'!F1662</f>
        <v>Canon EF</v>
      </c>
      <c r="M1662" t="str">
        <f>'(Raw) LensesGH'!G1662</f>
        <v>APS-C</v>
      </c>
      <c r="N1662" t="str">
        <f>'(Raw) LensesGH'!H1662</f>
        <v>625g</v>
      </c>
      <c r="O1662" s="5">
        <f t="shared" si="232"/>
        <v>625</v>
      </c>
      <c r="P1662" t="str">
        <f>'(Raw) LensesGH'!I1662</f>
        <v>87 x 132mm</v>
      </c>
      <c r="Q1662" s="39">
        <f t="shared" si="233"/>
        <v>87</v>
      </c>
      <c r="R1662" s="39">
        <f t="shared" si="225"/>
        <v>132</v>
      </c>
    </row>
    <row r="1663" spans="1:18" x14ac:dyDescent="0.25">
      <c r="A1663" t="str">
        <f>'(Raw) LensesGH'!A1663</f>
        <v>Walimex Pro 10mm 2.8 für Four-Thirds schwarz</v>
      </c>
      <c r="B1663" t="str">
        <f>'(Raw) LensesGH'!B1663</f>
        <v>10mm</v>
      </c>
      <c r="C1663" s="5">
        <f t="shared" si="226"/>
        <v>10</v>
      </c>
      <c r="D1663" s="5">
        <f t="shared" si="227"/>
        <v>10</v>
      </c>
      <c r="E1663" t="str">
        <f>'(Raw) LensesGH'!C1663</f>
        <v>1:2.8</v>
      </c>
      <c r="F1663" s="9">
        <f t="shared" si="228"/>
        <v>2.8</v>
      </c>
      <c r="G1663" s="9">
        <f t="shared" si="229"/>
        <v>2.8</v>
      </c>
      <c r="H1663">
        <f>'(Raw) LensesGH'!D1663</f>
        <v>0</v>
      </c>
      <c r="I1663" s="2">
        <f t="shared" si="230"/>
        <v>0</v>
      </c>
      <c r="J1663" s="2">
        <f>'(Raw) LensesGH'!E1663</f>
        <v>0</v>
      </c>
      <c r="K1663" s="40">
        <f t="shared" si="231"/>
        <v>0</v>
      </c>
      <c r="L1663" t="str">
        <f>'(Raw) LensesGH'!F1663</f>
        <v>Four-Thirds</v>
      </c>
      <c r="M1663" t="str">
        <f>'(Raw) LensesGH'!G1663</f>
        <v>APS-C</v>
      </c>
      <c r="N1663" t="str">
        <f>'(Raw) LensesGH'!H1663</f>
        <v>625g</v>
      </c>
      <c r="O1663" s="5">
        <f t="shared" si="232"/>
        <v>625</v>
      </c>
      <c r="P1663" t="str">
        <f>'(Raw) LensesGH'!I1663</f>
        <v>87 x 132mm</v>
      </c>
      <c r="Q1663" s="39">
        <f t="shared" si="233"/>
        <v>87</v>
      </c>
      <c r="R1663" s="39">
        <f t="shared" si="225"/>
        <v>132</v>
      </c>
    </row>
    <row r="1664" spans="1:18" x14ac:dyDescent="0.25">
      <c r="A1664" t="str">
        <f>'(Raw) LensesGH'!A1664</f>
        <v>Walimex Pro 10mm 2.8 für Fujifilm X schwarz</v>
      </c>
      <c r="B1664" t="str">
        <f>'(Raw) LensesGH'!B1664</f>
        <v>10mm</v>
      </c>
      <c r="C1664" s="5">
        <f t="shared" si="226"/>
        <v>10</v>
      </c>
      <c r="D1664" s="5">
        <f t="shared" si="227"/>
        <v>10</v>
      </c>
      <c r="E1664" t="str">
        <f>'(Raw) LensesGH'!C1664</f>
        <v>1:2.8</v>
      </c>
      <c r="F1664" s="9">
        <f t="shared" si="228"/>
        <v>2.8</v>
      </c>
      <c r="G1664" s="9">
        <f t="shared" si="229"/>
        <v>2.8</v>
      </c>
      <c r="H1664">
        <f>'(Raw) LensesGH'!D1664</f>
        <v>0</v>
      </c>
      <c r="I1664" s="2">
        <f t="shared" si="230"/>
        <v>0</v>
      </c>
      <c r="J1664" s="2">
        <f>'(Raw) LensesGH'!E1664</f>
        <v>0</v>
      </c>
      <c r="K1664" s="40">
        <f t="shared" si="231"/>
        <v>0</v>
      </c>
      <c r="L1664" t="str">
        <f>'(Raw) LensesGH'!F1664</f>
        <v>Fujifilm X</v>
      </c>
      <c r="M1664" t="str">
        <f>'(Raw) LensesGH'!G1664</f>
        <v>APS-C</v>
      </c>
      <c r="N1664" t="str">
        <f>'(Raw) LensesGH'!H1664</f>
        <v>625g</v>
      </c>
      <c r="O1664" s="5">
        <f t="shared" si="232"/>
        <v>625</v>
      </c>
      <c r="P1664" t="str">
        <f>'(Raw) LensesGH'!I1664</f>
        <v>87 x 132mm</v>
      </c>
      <c r="Q1664" s="39">
        <f t="shared" si="233"/>
        <v>87</v>
      </c>
      <c r="R1664" s="39">
        <f t="shared" si="225"/>
        <v>132</v>
      </c>
    </row>
    <row r="1665" spans="1:18" x14ac:dyDescent="0.25">
      <c r="A1665" t="str">
        <f>'(Raw) LensesGH'!A1665</f>
        <v>Walimex Pro 10mm 2.8 für Micro-Four-Thirds schwarz</v>
      </c>
      <c r="B1665" t="str">
        <f>'(Raw) LensesGH'!B1665</f>
        <v>10mm</v>
      </c>
      <c r="C1665" s="5">
        <f t="shared" si="226"/>
        <v>10</v>
      </c>
      <c r="D1665" s="5">
        <f t="shared" si="227"/>
        <v>10</v>
      </c>
      <c r="E1665" t="str">
        <f>'(Raw) LensesGH'!C1665</f>
        <v>1:2.8</v>
      </c>
      <c r="F1665" s="9">
        <f t="shared" si="228"/>
        <v>2.8</v>
      </c>
      <c r="G1665" s="9">
        <f t="shared" si="229"/>
        <v>2.8</v>
      </c>
      <c r="H1665">
        <f>'(Raw) LensesGH'!D1665</f>
        <v>0</v>
      </c>
      <c r="I1665" s="2">
        <f t="shared" si="230"/>
        <v>0</v>
      </c>
      <c r="J1665" s="2">
        <f>'(Raw) LensesGH'!E1665</f>
        <v>0</v>
      </c>
      <c r="K1665" s="40">
        <f t="shared" si="231"/>
        <v>0</v>
      </c>
      <c r="L1665" t="str">
        <f>'(Raw) LensesGH'!F1665</f>
        <v>Micro-Four-Thirds</v>
      </c>
      <c r="M1665" t="str">
        <f>'(Raw) LensesGH'!G1665</f>
        <v>Four-Thirds</v>
      </c>
      <c r="N1665" t="str">
        <f>'(Raw) LensesGH'!H1665</f>
        <v>625g</v>
      </c>
      <c r="O1665" s="5">
        <f t="shared" si="232"/>
        <v>625</v>
      </c>
      <c r="P1665" t="str">
        <f>'(Raw) LensesGH'!I1665</f>
        <v>87 x 132mm</v>
      </c>
      <c r="Q1665" s="39">
        <f t="shared" si="233"/>
        <v>87</v>
      </c>
      <c r="R1665" s="39">
        <f t="shared" si="225"/>
        <v>132</v>
      </c>
    </row>
    <row r="1666" spans="1:18" x14ac:dyDescent="0.25">
      <c r="A1666" t="str">
        <f>'(Raw) LensesGH'!A1666</f>
        <v>Walimex Pro 10mm 2.8 für Nikon F schwarz</v>
      </c>
      <c r="B1666" t="str">
        <f>'(Raw) LensesGH'!B1666</f>
        <v>10mm</v>
      </c>
      <c r="C1666" s="5">
        <f t="shared" si="226"/>
        <v>10</v>
      </c>
      <c r="D1666" s="5">
        <f t="shared" si="227"/>
        <v>10</v>
      </c>
      <c r="E1666" t="str">
        <f>'(Raw) LensesGH'!C1666</f>
        <v>1:2.8</v>
      </c>
      <c r="F1666" s="9">
        <f t="shared" si="228"/>
        <v>2.8</v>
      </c>
      <c r="G1666" s="9">
        <f t="shared" si="229"/>
        <v>2.8</v>
      </c>
      <c r="H1666">
        <f>'(Raw) LensesGH'!D1666</f>
        <v>0</v>
      </c>
      <c r="I1666" s="2">
        <f t="shared" si="230"/>
        <v>0</v>
      </c>
      <c r="J1666" s="2">
        <f>'(Raw) LensesGH'!E1666</f>
        <v>0</v>
      </c>
      <c r="K1666" s="40">
        <f t="shared" si="231"/>
        <v>0</v>
      </c>
      <c r="L1666" t="str">
        <f>'(Raw) LensesGH'!F1666</f>
        <v>Nikon F</v>
      </c>
      <c r="M1666" t="str">
        <f>'(Raw) LensesGH'!G1666</f>
        <v>APS-C</v>
      </c>
      <c r="N1666" t="str">
        <f>'(Raw) LensesGH'!H1666</f>
        <v>625g</v>
      </c>
      <c r="O1666" s="5">
        <f t="shared" si="232"/>
        <v>625</v>
      </c>
      <c r="P1666" t="str">
        <f>'(Raw) LensesGH'!I1666</f>
        <v>87 x 132mm</v>
      </c>
      <c r="Q1666" s="39">
        <f t="shared" si="233"/>
        <v>87</v>
      </c>
      <c r="R1666" s="39">
        <f t="shared" ref="R1666:R1729" si="234">getSizeLength(P1666)</f>
        <v>132</v>
      </c>
    </row>
    <row r="1667" spans="1:18" x14ac:dyDescent="0.25">
      <c r="A1667" t="str">
        <f>'(Raw) LensesGH'!A1667</f>
        <v>Walimex Pro 10mm 2.8 für Samsung NX schwarz</v>
      </c>
      <c r="B1667" t="str">
        <f>'(Raw) LensesGH'!B1667</f>
        <v>10mm</v>
      </c>
      <c r="C1667" s="5">
        <f t="shared" ref="C1667:C1730" si="235">getFocalLengthStart(B1667)</f>
        <v>10</v>
      </c>
      <c r="D1667" s="5">
        <f t="shared" ref="D1667:D1730" si="236">getFocalLengthEnd(B1667)</f>
        <v>10</v>
      </c>
      <c r="E1667" t="str">
        <f>'(Raw) LensesGH'!C1667</f>
        <v>1:2.8</v>
      </c>
      <c r="F1667" s="9">
        <f t="shared" ref="F1667:F1730" si="237">getApertureStart(E1667)</f>
        <v>2.8</v>
      </c>
      <c r="G1667" s="9">
        <f t="shared" ref="G1667:G1730" si="238">getApertureEnd(F1667)</f>
        <v>2.8</v>
      </c>
      <c r="H1667">
        <f>'(Raw) LensesGH'!D1667</f>
        <v>0</v>
      </c>
      <c r="I1667" s="2">
        <f t="shared" ref="I1667:I1730" si="239">getFiltersizeAsDouble(H1667)</f>
        <v>0</v>
      </c>
      <c r="J1667" s="2">
        <f>'(Raw) LensesGH'!E1667</f>
        <v>0</v>
      </c>
      <c r="K1667" s="40">
        <f t="shared" ref="K1667:K1730" si="240">getMagnification(J1667)</f>
        <v>0</v>
      </c>
      <c r="L1667" t="str">
        <f>'(Raw) LensesGH'!F1667</f>
        <v>Samsung NX</v>
      </c>
      <c r="M1667" t="str">
        <f>'(Raw) LensesGH'!G1667</f>
        <v>APS-C</v>
      </c>
      <c r="N1667" t="str">
        <f>'(Raw) LensesGH'!H1667</f>
        <v>625g</v>
      </c>
      <c r="O1667" s="5">
        <f t="shared" ref="O1667:O1730" si="241">getWeightAsDouble(N1667)</f>
        <v>625</v>
      </c>
      <c r="P1667" t="str">
        <f>'(Raw) LensesGH'!I1667</f>
        <v>87 x 132mm</v>
      </c>
      <c r="Q1667" s="39">
        <f t="shared" ref="Q1667:Q1730" si="242">getSizeDiameter(P1667)</f>
        <v>87</v>
      </c>
      <c r="R1667" s="39">
        <f t="shared" si="234"/>
        <v>132</v>
      </c>
    </row>
    <row r="1668" spans="1:18" x14ac:dyDescent="0.25">
      <c r="A1668" t="str">
        <f>'(Raw) LensesGH'!A1668</f>
        <v>Walimex Pro 10mm 2.8 für Sony A schwarz</v>
      </c>
      <c r="B1668" t="str">
        <f>'(Raw) LensesGH'!B1668</f>
        <v>10mm</v>
      </c>
      <c r="C1668" s="5">
        <f t="shared" si="235"/>
        <v>10</v>
      </c>
      <c r="D1668" s="5">
        <f t="shared" si="236"/>
        <v>10</v>
      </c>
      <c r="E1668" t="str">
        <f>'(Raw) LensesGH'!C1668</f>
        <v>1:2.8</v>
      </c>
      <c r="F1668" s="9">
        <f t="shared" si="237"/>
        <v>2.8</v>
      </c>
      <c r="G1668" s="9">
        <f t="shared" si="238"/>
        <v>2.8</v>
      </c>
      <c r="H1668">
        <f>'(Raw) LensesGH'!D1668</f>
        <v>0</v>
      </c>
      <c r="I1668" s="2">
        <f t="shared" si="239"/>
        <v>0</v>
      </c>
      <c r="J1668" s="2">
        <f>'(Raw) LensesGH'!E1668</f>
        <v>0</v>
      </c>
      <c r="K1668" s="40">
        <f t="shared" si="240"/>
        <v>0</v>
      </c>
      <c r="L1668" t="str">
        <f>'(Raw) LensesGH'!F1668</f>
        <v>Sony A</v>
      </c>
      <c r="M1668" t="str">
        <f>'(Raw) LensesGH'!G1668</f>
        <v>APS-C</v>
      </c>
      <c r="N1668" t="str">
        <f>'(Raw) LensesGH'!H1668</f>
        <v>625g</v>
      </c>
      <c r="O1668" s="5">
        <f t="shared" si="241"/>
        <v>625</v>
      </c>
      <c r="P1668" t="str">
        <f>'(Raw) LensesGH'!I1668</f>
        <v>87 x 132mm</v>
      </c>
      <c r="Q1668" s="39">
        <f t="shared" si="242"/>
        <v>87</v>
      </c>
      <c r="R1668" s="39">
        <f t="shared" si="234"/>
        <v>132</v>
      </c>
    </row>
    <row r="1669" spans="1:18" x14ac:dyDescent="0.25">
      <c r="A1669" t="str">
        <f>'(Raw) LensesGH'!A1669</f>
        <v>Walimex Pro 10mm 2.8 für Sony E schwarz</v>
      </c>
      <c r="B1669" t="str">
        <f>'(Raw) LensesGH'!B1669</f>
        <v>10mm</v>
      </c>
      <c r="C1669" s="5">
        <f t="shared" si="235"/>
        <v>10</v>
      </c>
      <c r="D1669" s="5">
        <f t="shared" si="236"/>
        <v>10</v>
      </c>
      <c r="E1669" t="str">
        <f>'(Raw) LensesGH'!C1669</f>
        <v>1:2.8</v>
      </c>
      <c r="F1669" s="9">
        <f t="shared" si="237"/>
        <v>2.8</v>
      </c>
      <c r="G1669" s="9">
        <f t="shared" si="238"/>
        <v>2.8</v>
      </c>
      <c r="H1669">
        <f>'(Raw) LensesGH'!D1669</f>
        <v>0</v>
      </c>
      <c r="I1669" s="2">
        <f t="shared" si="239"/>
        <v>0</v>
      </c>
      <c r="J1669" s="2">
        <f>'(Raw) LensesGH'!E1669</f>
        <v>0</v>
      </c>
      <c r="K1669" s="40">
        <f t="shared" si="240"/>
        <v>0</v>
      </c>
      <c r="L1669" t="str">
        <f>'(Raw) LensesGH'!F1669</f>
        <v>Sony E</v>
      </c>
      <c r="M1669" t="str">
        <f>'(Raw) LensesGH'!G1669</f>
        <v>APS-C</v>
      </c>
      <c r="N1669" t="str">
        <f>'(Raw) LensesGH'!H1669</f>
        <v>625g</v>
      </c>
      <c r="O1669" s="5">
        <f t="shared" si="241"/>
        <v>625</v>
      </c>
      <c r="P1669" t="str">
        <f>'(Raw) LensesGH'!I1669</f>
        <v>87 x 132mm</v>
      </c>
      <c r="Q1669" s="39">
        <f t="shared" si="242"/>
        <v>87</v>
      </c>
      <c r="R1669" s="39">
        <f t="shared" si="234"/>
        <v>132</v>
      </c>
    </row>
    <row r="1670" spans="1:18" x14ac:dyDescent="0.25">
      <c r="A1670" t="str">
        <f>'(Raw) LensesGH'!A1670</f>
        <v>Walimex Pro 10mm 3.1 VCSC für Canon EF-M schwarz</v>
      </c>
      <c r="B1670" t="str">
        <f>'(Raw) LensesGH'!B1670</f>
        <v>10mm</v>
      </c>
      <c r="C1670" s="5">
        <f t="shared" si="235"/>
        <v>10</v>
      </c>
      <c r="D1670" s="5">
        <f t="shared" si="236"/>
        <v>10</v>
      </c>
      <c r="E1670" t="str">
        <f>'(Raw) LensesGH'!C1670</f>
        <v>1:3.1</v>
      </c>
      <c r="F1670" s="9">
        <f t="shared" si="237"/>
        <v>3.1</v>
      </c>
      <c r="G1670" s="9">
        <f t="shared" si="238"/>
        <v>3.1</v>
      </c>
      <c r="H1670">
        <f>'(Raw) LensesGH'!D1670</f>
        <v>0</v>
      </c>
      <c r="I1670" s="2">
        <f t="shared" si="239"/>
        <v>0</v>
      </c>
      <c r="J1670" s="2">
        <f>'(Raw) LensesGH'!E1670</f>
        <v>0</v>
      </c>
      <c r="K1670" s="40">
        <f t="shared" si="240"/>
        <v>0</v>
      </c>
      <c r="L1670" t="str">
        <f>'(Raw) LensesGH'!F1670</f>
        <v>Canon EF-M</v>
      </c>
      <c r="M1670" t="str">
        <f>'(Raw) LensesGH'!G1670</f>
        <v>APS-C</v>
      </c>
      <c r="N1670" t="str">
        <f>'(Raw) LensesGH'!H1670</f>
        <v>630g</v>
      </c>
      <c r="O1670" s="5">
        <f t="shared" si="241"/>
        <v>630</v>
      </c>
      <c r="P1670" t="str">
        <f>'(Raw) LensesGH'!I1670</f>
        <v>87 x 130.9mm</v>
      </c>
      <c r="Q1670" s="39">
        <f t="shared" si="242"/>
        <v>87</v>
      </c>
      <c r="R1670" s="39">
        <f t="shared" si="234"/>
        <v>130.9</v>
      </c>
    </row>
    <row r="1671" spans="1:18" x14ac:dyDescent="0.25">
      <c r="A1671" t="str">
        <f>'(Raw) LensesGH'!A1671</f>
        <v>Walimex Pro 10mm 3.1 VCSC für Fujifilm X schwarz</v>
      </c>
      <c r="B1671" t="str">
        <f>'(Raw) LensesGH'!B1671</f>
        <v>10mm</v>
      </c>
      <c r="C1671" s="5">
        <f t="shared" si="235"/>
        <v>10</v>
      </c>
      <c r="D1671" s="5">
        <f t="shared" si="236"/>
        <v>10</v>
      </c>
      <c r="E1671" t="str">
        <f>'(Raw) LensesGH'!C1671</f>
        <v>1:3.1</v>
      </c>
      <c r="F1671" s="9">
        <f t="shared" si="237"/>
        <v>3.1</v>
      </c>
      <c r="G1671" s="9">
        <f t="shared" si="238"/>
        <v>3.1</v>
      </c>
      <c r="H1671">
        <f>'(Raw) LensesGH'!D1671</f>
        <v>0</v>
      </c>
      <c r="I1671" s="2">
        <f t="shared" si="239"/>
        <v>0</v>
      </c>
      <c r="J1671" s="2">
        <f>'(Raw) LensesGH'!E1671</f>
        <v>0</v>
      </c>
      <c r="K1671" s="40">
        <f t="shared" si="240"/>
        <v>0</v>
      </c>
      <c r="L1671" t="str">
        <f>'(Raw) LensesGH'!F1671</f>
        <v>Fujifilm X</v>
      </c>
      <c r="M1671" t="str">
        <f>'(Raw) LensesGH'!G1671</f>
        <v>APS-C</v>
      </c>
      <c r="N1671" t="str">
        <f>'(Raw) LensesGH'!H1671</f>
        <v>630g</v>
      </c>
      <c r="O1671" s="5">
        <f t="shared" si="241"/>
        <v>630</v>
      </c>
      <c r="P1671" t="str">
        <f>'(Raw) LensesGH'!I1671</f>
        <v>87 x 130.9mm</v>
      </c>
      <c r="Q1671" s="39">
        <f t="shared" si="242"/>
        <v>87</v>
      </c>
      <c r="R1671" s="39">
        <f t="shared" si="234"/>
        <v>130.9</v>
      </c>
    </row>
    <row r="1672" spans="1:18" x14ac:dyDescent="0.25">
      <c r="A1672" t="str">
        <f>'(Raw) LensesGH'!A1672</f>
        <v>Walimex Pro 10mm 3.1 VCSC für Micro-Four-Thirds schwarz</v>
      </c>
      <c r="B1672" t="str">
        <f>'(Raw) LensesGH'!B1672</f>
        <v>10mm</v>
      </c>
      <c r="C1672" s="5">
        <f t="shared" si="235"/>
        <v>10</v>
      </c>
      <c r="D1672" s="5">
        <f t="shared" si="236"/>
        <v>10</v>
      </c>
      <c r="E1672" t="str">
        <f>'(Raw) LensesGH'!C1672</f>
        <v>1:3.1</v>
      </c>
      <c r="F1672" s="9">
        <f t="shared" si="237"/>
        <v>3.1</v>
      </c>
      <c r="G1672" s="9">
        <f t="shared" si="238"/>
        <v>3.1</v>
      </c>
      <c r="H1672">
        <f>'(Raw) LensesGH'!D1672</f>
        <v>0</v>
      </c>
      <c r="I1672" s="2">
        <f t="shared" si="239"/>
        <v>0</v>
      </c>
      <c r="J1672" s="2">
        <f>'(Raw) LensesGH'!E1672</f>
        <v>0</v>
      </c>
      <c r="K1672" s="40">
        <f t="shared" si="240"/>
        <v>0</v>
      </c>
      <c r="L1672" t="str">
        <f>'(Raw) LensesGH'!F1672</f>
        <v>Micro-Four-Thirds</v>
      </c>
      <c r="M1672" t="str">
        <f>'(Raw) LensesGH'!G1672</f>
        <v>APS-C</v>
      </c>
      <c r="N1672" t="str">
        <f>'(Raw) LensesGH'!H1672</f>
        <v>630g</v>
      </c>
      <c r="O1672" s="5">
        <f t="shared" si="241"/>
        <v>630</v>
      </c>
      <c r="P1672" t="str">
        <f>'(Raw) LensesGH'!I1672</f>
        <v>87 x 130.9mm</v>
      </c>
      <c r="Q1672" s="39">
        <f t="shared" si="242"/>
        <v>87</v>
      </c>
      <c r="R1672" s="39">
        <f t="shared" si="234"/>
        <v>130.9</v>
      </c>
    </row>
    <row r="1673" spans="1:18" x14ac:dyDescent="0.25">
      <c r="A1673" t="str">
        <f>'(Raw) LensesGH'!A1673</f>
        <v>Walimex Pro 10mm 3.1 VCSC für Pentax K schwarz</v>
      </c>
      <c r="B1673" t="str">
        <f>'(Raw) LensesGH'!B1673</f>
        <v>10mm</v>
      </c>
      <c r="C1673" s="5">
        <f t="shared" si="235"/>
        <v>10</v>
      </c>
      <c r="D1673" s="5">
        <f t="shared" si="236"/>
        <v>10</v>
      </c>
      <c r="E1673" t="str">
        <f>'(Raw) LensesGH'!C1673</f>
        <v>1:3.1</v>
      </c>
      <c r="F1673" s="9">
        <f t="shared" si="237"/>
        <v>3.1</v>
      </c>
      <c r="G1673" s="9">
        <f t="shared" si="238"/>
        <v>3.1</v>
      </c>
      <c r="H1673">
        <f>'(Raw) LensesGH'!D1673</f>
        <v>0</v>
      </c>
      <c r="I1673" s="2">
        <f t="shared" si="239"/>
        <v>0</v>
      </c>
      <c r="J1673" s="2">
        <f>'(Raw) LensesGH'!E1673</f>
        <v>0</v>
      </c>
      <c r="K1673" s="40">
        <f t="shared" si="240"/>
        <v>0</v>
      </c>
      <c r="L1673" t="str">
        <f>'(Raw) LensesGH'!F1673</f>
        <v>Pentax K</v>
      </c>
      <c r="M1673" t="str">
        <f>'(Raw) LensesGH'!G1673</f>
        <v>APS-C</v>
      </c>
      <c r="N1673" t="str">
        <f>'(Raw) LensesGH'!H1673</f>
        <v>590g</v>
      </c>
      <c r="O1673" s="5">
        <f t="shared" si="241"/>
        <v>590</v>
      </c>
      <c r="P1673" t="str">
        <f>'(Raw) LensesGH'!I1673</f>
        <v>87 x 104.6mm</v>
      </c>
      <c r="Q1673" s="39">
        <f t="shared" si="242"/>
        <v>87</v>
      </c>
      <c r="R1673" s="39">
        <f t="shared" si="234"/>
        <v>104.6</v>
      </c>
    </row>
    <row r="1674" spans="1:18" x14ac:dyDescent="0.25">
      <c r="A1674" t="str">
        <f>'(Raw) LensesGH'!A1674</f>
        <v>Walimex Pro 10mm 3.1 VCSC für Samsung NX schwarz</v>
      </c>
      <c r="B1674" t="str">
        <f>'(Raw) LensesGH'!B1674</f>
        <v>10mm</v>
      </c>
      <c r="C1674" s="5">
        <f t="shared" si="235"/>
        <v>10</v>
      </c>
      <c r="D1674" s="5">
        <f t="shared" si="236"/>
        <v>10</v>
      </c>
      <c r="E1674" t="str">
        <f>'(Raw) LensesGH'!C1674</f>
        <v>1:3.1</v>
      </c>
      <c r="F1674" s="9">
        <f t="shared" si="237"/>
        <v>3.1</v>
      </c>
      <c r="G1674" s="9">
        <f t="shared" si="238"/>
        <v>3.1</v>
      </c>
      <c r="H1674">
        <f>'(Raw) LensesGH'!D1674</f>
        <v>0</v>
      </c>
      <c r="I1674" s="2">
        <f t="shared" si="239"/>
        <v>0</v>
      </c>
      <c r="J1674" s="2">
        <f>'(Raw) LensesGH'!E1674</f>
        <v>0</v>
      </c>
      <c r="K1674" s="40">
        <f t="shared" si="240"/>
        <v>0</v>
      </c>
      <c r="L1674" t="str">
        <f>'(Raw) LensesGH'!F1674</f>
        <v>Samsung NX</v>
      </c>
      <c r="M1674" t="str">
        <f>'(Raw) LensesGH'!G1674</f>
        <v>APS-C</v>
      </c>
      <c r="N1674" t="str">
        <f>'(Raw) LensesGH'!H1674</f>
        <v>630g</v>
      </c>
      <c r="O1674" s="5">
        <f t="shared" si="241"/>
        <v>630</v>
      </c>
      <c r="P1674" t="str">
        <f>'(Raw) LensesGH'!I1674</f>
        <v>87 x 130.9mm</v>
      </c>
      <c r="Q1674" s="39">
        <f t="shared" si="242"/>
        <v>87</v>
      </c>
      <c r="R1674" s="39">
        <f t="shared" si="234"/>
        <v>130.9</v>
      </c>
    </row>
    <row r="1675" spans="1:18" x14ac:dyDescent="0.25">
      <c r="A1675" t="str">
        <f>'(Raw) LensesGH'!A1675</f>
        <v>Walimex Pro 10mm 3.1 VCSC für Sony E schwarz</v>
      </c>
      <c r="B1675" t="str">
        <f>'(Raw) LensesGH'!B1675</f>
        <v>10mm</v>
      </c>
      <c r="C1675" s="5">
        <f t="shared" si="235"/>
        <v>10</v>
      </c>
      <c r="D1675" s="5">
        <f t="shared" si="236"/>
        <v>10</v>
      </c>
      <c r="E1675" t="str">
        <f>'(Raw) LensesGH'!C1675</f>
        <v>1:3.1</v>
      </c>
      <c r="F1675" s="9">
        <f t="shared" si="237"/>
        <v>3.1</v>
      </c>
      <c r="G1675" s="9">
        <f t="shared" si="238"/>
        <v>3.1</v>
      </c>
      <c r="H1675">
        <f>'(Raw) LensesGH'!D1675</f>
        <v>0</v>
      </c>
      <c r="I1675" s="2">
        <f t="shared" si="239"/>
        <v>0</v>
      </c>
      <c r="J1675" s="2">
        <f>'(Raw) LensesGH'!E1675</f>
        <v>0</v>
      </c>
      <c r="K1675" s="40">
        <f t="shared" si="240"/>
        <v>0</v>
      </c>
      <c r="L1675" t="str">
        <f>'(Raw) LensesGH'!F1675</f>
        <v>Sony E</v>
      </c>
      <c r="M1675" t="str">
        <f>'(Raw) LensesGH'!G1675</f>
        <v>APS-C</v>
      </c>
      <c r="N1675" t="str">
        <f>'(Raw) LensesGH'!H1675</f>
        <v>630g</v>
      </c>
      <c r="O1675" s="5">
        <f t="shared" si="241"/>
        <v>630</v>
      </c>
      <c r="P1675" t="str">
        <f>'(Raw) LensesGH'!I1675</f>
        <v>87 x 130.9mm</v>
      </c>
      <c r="Q1675" s="39">
        <f t="shared" si="242"/>
        <v>87</v>
      </c>
      <c r="R1675" s="39">
        <f t="shared" si="234"/>
        <v>130.9</v>
      </c>
    </row>
    <row r="1676" spans="1:18" x14ac:dyDescent="0.25">
      <c r="A1676" t="str">
        <f>'(Raw) LensesGH'!A1676</f>
        <v>Walimex Pro 10mm 3.1 VDSLR für Canon EF schwarz</v>
      </c>
      <c r="B1676" t="str">
        <f>'(Raw) LensesGH'!B1676</f>
        <v>10mm</v>
      </c>
      <c r="C1676" s="5">
        <f t="shared" si="235"/>
        <v>10</v>
      </c>
      <c r="D1676" s="5">
        <f t="shared" si="236"/>
        <v>10</v>
      </c>
      <c r="E1676" t="str">
        <f>'(Raw) LensesGH'!C1676</f>
        <v>1:3.1</v>
      </c>
      <c r="F1676" s="9">
        <f t="shared" si="237"/>
        <v>3.1</v>
      </c>
      <c r="G1676" s="9">
        <f t="shared" si="238"/>
        <v>3.1</v>
      </c>
      <c r="H1676">
        <f>'(Raw) LensesGH'!D1676</f>
        <v>0</v>
      </c>
      <c r="I1676" s="2">
        <f t="shared" si="239"/>
        <v>0</v>
      </c>
      <c r="J1676" s="2">
        <f>'(Raw) LensesGH'!E1676</f>
        <v>0</v>
      </c>
      <c r="K1676" s="40">
        <f t="shared" si="240"/>
        <v>0</v>
      </c>
      <c r="L1676" t="str">
        <f>'(Raw) LensesGH'!F1676</f>
        <v>Canon EF</v>
      </c>
      <c r="M1676" t="str">
        <f>'(Raw) LensesGH'!G1676</f>
        <v>APS-C</v>
      </c>
      <c r="N1676" t="str">
        <f>'(Raw) LensesGH'!H1676</f>
        <v>600g</v>
      </c>
      <c r="O1676" s="5">
        <f t="shared" si="241"/>
        <v>600</v>
      </c>
      <c r="P1676" t="str">
        <f>'(Raw) LensesGH'!I1676</f>
        <v>87 x 106.1mm</v>
      </c>
      <c r="Q1676" s="39">
        <f t="shared" si="242"/>
        <v>87</v>
      </c>
      <c r="R1676" s="39">
        <f t="shared" si="234"/>
        <v>106.1</v>
      </c>
    </row>
    <row r="1677" spans="1:18" x14ac:dyDescent="0.25">
      <c r="A1677" t="str">
        <f>'(Raw) LensesGH'!A1677</f>
        <v>Walimex Pro 10mm 3.1 VDSLR für Nikon F schwarz</v>
      </c>
      <c r="B1677" t="str">
        <f>'(Raw) LensesGH'!B1677</f>
        <v>10mm</v>
      </c>
      <c r="C1677" s="5">
        <f t="shared" si="235"/>
        <v>10</v>
      </c>
      <c r="D1677" s="5">
        <f t="shared" si="236"/>
        <v>10</v>
      </c>
      <c r="E1677" t="str">
        <f>'(Raw) LensesGH'!C1677</f>
        <v>1:3.1</v>
      </c>
      <c r="F1677" s="9">
        <f t="shared" si="237"/>
        <v>3.1</v>
      </c>
      <c r="G1677" s="9">
        <f t="shared" si="238"/>
        <v>3.1</v>
      </c>
      <c r="H1677">
        <f>'(Raw) LensesGH'!D1677</f>
        <v>0</v>
      </c>
      <c r="I1677" s="2">
        <f t="shared" si="239"/>
        <v>0</v>
      </c>
      <c r="J1677" s="2">
        <f>'(Raw) LensesGH'!E1677</f>
        <v>0</v>
      </c>
      <c r="K1677" s="40">
        <f t="shared" si="240"/>
        <v>0</v>
      </c>
      <c r="L1677" t="str">
        <f>'(Raw) LensesGH'!F1677</f>
        <v>Nikon F</v>
      </c>
      <c r="M1677" t="str">
        <f>'(Raw) LensesGH'!G1677</f>
        <v>APS-C</v>
      </c>
      <c r="N1677" t="str">
        <f>'(Raw) LensesGH'!H1677</f>
        <v>590g</v>
      </c>
      <c r="O1677" s="5">
        <f t="shared" si="241"/>
        <v>590</v>
      </c>
      <c r="P1677" t="str">
        <f>'(Raw) LensesGH'!I1677</f>
        <v>87 x 103.6mm</v>
      </c>
      <c r="Q1677" s="39">
        <f t="shared" si="242"/>
        <v>87</v>
      </c>
      <c r="R1677" s="39">
        <f t="shared" si="234"/>
        <v>103.6</v>
      </c>
    </row>
    <row r="1678" spans="1:18" x14ac:dyDescent="0.25">
      <c r="A1678" t="str">
        <f>'(Raw) LensesGH'!A1678</f>
        <v>Walimex Pro 12mm 2.0 CSC für Canon EF-M silber</v>
      </c>
      <c r="B1678" t="str">
        <f>'(Raw) LensesGH'!B1678</f>
        <v>12mm</v>
      </c>
      <c r="C1678" s="5">
        <f t="shared" si="235"/>
        <v>12</v>
      </c>
      <c r="D1678" s="5">
        <f t="shared" si="236"/>
        <v>12</v>
      </c>
      <c r="E1678" t="str">
        <f>'(Raw) LensesGH'!C1678</f>
        <v>1:2.0</v>
      </c>
      <c r="F1678" s="9">
        <f t="shared" si="237"/>
        <v>2</v>
      </c>
      <c r="G1678" s="9">
        <f t="shared" si="238"/>
        <v>2</v>
      </c>
      <c r="H1678" t="str">
        <f>'(Raw) LensesGH'!D1678</f>
        <v>67mm</v>
      </c>
      <c r="I1678" s="2">
        <f t="shared" si="239"/>
        <v>67</v>
      </c>
      <c r="J1678" s="2">
        <f>'(Raw) LensesGH'!E1678</f>
        <v>0</v>
      </c>
      <c r="K1678" s="40">
        <f t="shared" si="240"/>
        <v>0</v>
      </c>
      <c r="L1678" t="str">
        <f>'(Raw) LensesGH'!F1678</f>
        <v>Canon EF-M</v>
      </c>
      <c r="M1678" t="str">
        <f>'(Raw) LensesGH'!G1678</f>
        <v>APS-C</v>
      </c>
      <c r="N1678" t="str">
        <f>'(Raw) LensesGH'!H1678</f>
        <v>260g</v>
      </c>
      <c r="O1678" s="5">
        <f t="shared" si="241"/>
        <v>260</v>
      </c>
      <c r="P1678" t="str">
        <f>'(Raw) LensesGH'!I1678</f>
        <v>72.5 x 59mm</v>
      </c>
      <c r="Q1678" s="39">
        <f t="shared" si="242"/>
        <v>72.5</v>
      </c>
      <c r="R1678" s="39">
        <f t="shared" si="234"/>
        <v>59</v>
      </c>
    </row>
    <row r="1679" spans="1:18" x14ac:dyDescent="0.25">
      <c r="A1679" t="str">
        <f>'(Raw) LensesGH'!A1679</f>
        <v>Walimex Pro 12mm 2.0 CSC für Fujifilm X schwarz</v>
      </c>
      <c r="B1679" t="str">
        <f>'(Raw) LensesGH'!B1679</f>
        <v>12mm</v>
      </c>
      <c r="C1679" s="5">
        <f t="shared" si="235"/>
        <v>12</v>
      </c>
      <c r="D1679" s="5">
        <f t="shared" si="236"/>
        <v>12</v>
      </c>
      <c r="E1679" t="str">
        <f>'(Raw) LensesGH'!C1679</f>
        <v>1:2.0</v>
      </c>
      <c r="F1679" s="9">
        <f t="shared" si="237"/>
        <v>2</v>
      </c>
      <c r="G1679" s="9">
        <f t="shared" si="238"/>
        <v>2</v>
      </c>
      <c r="H1679" t="str">
        <f>'(Raw) LensesGH'!D1679</f>
        <v>67mm</v>
      </c>
      <c r="I1679" s="2">
        <f t="shared" si="239"/>
        <v>67</v>
      </c>
      <c r="J1679" s="2">
        <f>'(Raw) LensesGH'!E1679</f>
        <v>0</v>
      </c>
      <c r="K1679" s="40">
        <f t="shared" si="240"/>
        <v>0</v>
      </c>
      <c r="L1679" t="str">
        <f>'(Raw) LensesGH'!F1679</f>
        <v>Fujifilm X</v>
      </c>
      <c r="M1679" t="str">
        <f>'(Raw) LensesGH'!G1679</f>
        <v>APS-C</v>
      </c>
      <c r="N1679" t="str">
        <f>'(Raw) LensesGH'!H1679</f>
        <v>260g</v>
      </c>
      <c r="O1679" s="5">
        <f t="shared" si="241"/>
        <v>260</v>
      </c>
      <c r="P1679" t="str">
        <f>'(Raw) LensesGH'!I1679</f>
        <v>72.5 x 59mm</v>
      </c>
      <c r="Q1679" s="39">
        <f t="shared" si="242"/>
        <v>72.5</v>
      </c>
      <c r="R1679" s="39">
        <f t="shared" si="234"/>
        <v>59</v>
      </c>
    </row>
    <row r="1680" spans="1:18" x14ac:dyDescent="0.25">
      <c r="A1680" t="str">
        <f>'(Raw) LensesGH'!A1680</f>
        <v>Walimex Pro 12mm 2.0 CSC für Micro-Four-Thirds schwarz</v>
      </c>
      <c r="B1680" t="str">
        <f>'(Raw) LensesGH'!B1680</f>
        <v>12mm</v>
      </c>
      <c r="C1680" s="5">
        <f t="shared" si="235"/>
        <v>12</v>
      </c>
      <c r="D1680" s="5">
        <f t="shared" si="236"/>
        <v>12</v>
      </c>
      <c r="E1680" t="str">
        <f>'(Raw) LensesGH'!C1680</f>
        <v>1:2.0</v>
      </c>
      <c r="F1680" s="9">
        <f t="shared" si="237"/>
        <v>2</v>
      </c>
      <c r="G1680" s="9">
        <f t="shared" si="238"/>
        <v>2</v>
      </c>
      <c r="H1680" t="str">
        <f>'(Raw) LensesGH'!D1680</f>
        <v>67mm</v>
      </c>
      <c r="I1680" s="2">
        <f t="shared" si="239"/>
        <v>67</v>
      </c>
      <c r="J1680" s="2">
        <f>'(Raw) LensesGH'!E1680</f>
        <v>0</v>
      </c>
      <c r="K1680" s="40">
        <f t="shared" si="240"/>
        <v>0</v>
      </c>
      <c r="L1680" t="str">
        <f>'(Raw) LensesGH'!F1680</f>
        <v>Micro-Four-Thirds</v>
      </c>
      <c r="M1680" t="str">
        <f>'(Raw) LensesGH'!G1680</f>
        <v>Four-Thirds</v>
      </c>
      <c r="N1680" t="str">
        <f>'(Raw) LensesGH'!H1680</f>
        <v>260g</v>
      </c>
      <c r="O1680" s="5">
        <f t="shared" si="241"/>
        <v>260</v>
      </c>
      <c r="P1680" t="str">
        <f>'(Raw) LensesGH'!I1680</f>
        <v>72.5 x 59mm</v>
      </c>
      <c r="Q1680" s="39">
        <f t="shared" si="242"/>
        <v>72.5</v>
      </c>
      <c r="R1680" s="39">
        <f t="shared" si="234"/>
        <v>59</v>
      </c>
    </row>
    <row r="1681" spans="1:18" x14ac:dyDescent="0.25">
      <c r="A1681" t="str">
        <f>'(Raw) LensesGH'!A1681</f>
        <v>Walimex Pro 12mm 2.0 CSC für Micro-Four-Thirds silber</v>
      </c>
      <c r="B1681" t="str">
        <f>'(Raw) LensesGH'!B1681</f>
        <v>12mm</v>
      </c>
      <c r="C1681" s="5">
        <f t="shared" si="235"/>
        <v>12</v>
      </c>
      <c r="D1681" s="5">
        <f t="shared" si="236"/>
        <v>12</v>
      </c>
      <c r="E1681" t="str">
        <f>'(Raw) LensesGH'!C1681</f>
        <v>1:2.0</v>
      </c>
      <c r="F1681" s="9">
        <f t="shared" si="237"/>
        <v>2</v>
      </c>
      <c r="G1681" s="9">
        <f t="shared" si="238"/>
        <v>2</v>
      </c>
      <c r="H1681" t="str">
        <f>'(Raw) LensesGH'!D1681</f>
        <v>67mm</v>
      </c>
      <c r="I1681" s="2">
        <f t="shared" si="239"/>
        <v>67</v>
      </c>
      <c r="J1681" s="2">
        <f>'(Raw) LensesGH'!E1681</f>
        <v>0</v>
      </c>
      <c r="K1681" s="40">
        <f t="shared" si="240"/>
        <v>0</v>
      </c>
      <c r="L1681" t="str">
        <f>'(Raw) LensesGH'!F1681</f>
        <v>Micro-Four-Thirds</v>
      </c>
      <c r="M1681" t="str">
        <f>'(Raw) LensesGH'!G1681</f>
        <v>Four-Thirds</v>
      </c>
      <c r="N1681" t="str">
        <f>'(Raw) LensesGH'!H1681</f>
        <v>260g</v>
      </c>
      <c r="O1681" s="5">
        <f t="shared" si="241"/>
        <v>260</v>
      </c>
      <c r="P1681" t="str">
        <f>'(Raw) LensesGH'!I1681</f>
        <v>72.5 x 59mm</v>
      </c>
      <c r="Q1681" s="39">
        <f t="shared" si="242"/>
        <v>72.5</v>
      </c>
      <c r="R1681" s="39">
        <f t="shared" si="234"/>
        <v>59</v>
      </c>
    </row>
    <row r="1682" spans="1:18" x14ac:dyDescent="0.25">
      <c r="A1682" t="str">
        <f>'(Raw) LensesGH'!A1682</f>
        <v>Walimex Pro 12mm 2.0 CSC für Samsung NX schwarz</v>
      </c>
      <c r="B1682" t="str">
        <f>'(Raw) LensesGH'!B1682</f>
        <v>12mm</v>
      </c>
      <c r="C1682" s="5">
        <f t="shared" si="235"/>
        <v>12</v>
      </c>
      <c r="D1682" s="5">
        <f t="shared" si="236"/>
        <v>12</v>
      </c>
      <c r="E1682" t="str">
        <f>'(Raw) LensesGH'!C1682</f>
        <v>1:2.0</v>
      </c>
      <c r="F1682" s="9">
        <f t="shared" si="237"/>
        <v>2</v>
      </c>
      <c r="G1682" s="9">
        <f t="shared" si="238"/>
        <v>2</v>
      </c>
      <c r="H1682" t="str">
        <f>'(Raw) LensesGH'!D1682</f>
        <v>67mm</v>
      </c>
      <c r="I1682" s="2">
        <f t="shared" si="239"/>
        <v>67</v>
      </c>
      <c r="J1682" s="2">
        <f>'(Raw) LensesGH'!E1682</f>
        <v>0</v>
      </c>
      <c r="K1682" s="40">
        <f t="shared" si="240"/>
        <v>0</v>
      </c>
      <c r="L1682" t="str">
        <f>'(Raw) LensesGH'!F1682</f>
        <v>Samsung NX</v>
      </c>
      <c r="M1682" t="str">
        <f>'(Raw) LensesGH'!G1682</f>
        <v>APS-C</v>
      </c>
      <c r="N1682" t="str">
        <f>'(Raw) LensesGH'!H1682</f>
        <v>260g</v>
      </c>
      <c r="O1682" s="5">
        <f t="shared" si="241"/>
        <v>260</v>
      </c>
      <c r="P1682" t="str">
        <f>'(Raw) LensesGH'!I1682</f>
        <v>72.5 x 59mm</v>
      </c>
      <c r="Q1682" s="39">
        <f t="shared" si="242"/>
        <v>72.5</v>
      </c>
      <c r="R1682" s="39">
        <f t="shared" si="234"/>
        <v>59</v>
      </c>
    </row>
    <row r="1683" spans="1:18" x14ac:dyDescent="0.25">
      <c r="A1683" t="str">
        <f>'(Raw) LensesGH'!A1683</f>
        <v>Walimex Pro 12mm 2.0 CSC für Sony E schwarz</v>
      </c>
      <c r="B1683" t="str">
        <f>'(Raw) LensesGH'!B1683</f>
        <v>12mm</v>
      </c>
      <c r="C1683" s="5">
        <f t="shared" si="235"/>
        <v>12</v>
      </c>
      <c r="D1683" s="5">
        <f t="shared" si="236"/>
        <v>12</v>
      </c>
      <c r="E1683" t="str">
        <f>'(Raw) LensesGH'!C1683</f>
        <v>1:2.0</v>
      </c>
      <c r="F1683" s="9">
        <f t="shared" si="237"/>
        <v>2</v>
      </c>
      <c r="G1683" s="9">
        <f t="shared" si="238"/>
        <v>2</v>
      </c>
      <c r="H1683" t="str">
        <f>'(Raw) LensesGH'!D1683</f>
        <v>67mm</v>
      </c>
      <c r="I1683" s="2">
        <f t="shared" si="239"/>
        <v>67</v>
      </c>
      <c r="J1683" s="2">
        <f>'(Raw) LensesGH'!E1683</f>
        <v>0</v>
      </c>
      <c r="K1683" s="40">
        <f t="shared" si="240"/>
        <v>0</v>
      </c>
      <c r="L1683" t="str">
        <f>'(Raw) LensesGH'!F1683</f>
        <v>Sony E</v>
      </c>
      <c r="M1683" t="str">
        <f>'(Raw) LensesGH'!G1683</f>
        <v>APS-C</v>
      </c>
      <c r="N1683" t="str">
        <f>'(Raw) LensesGH'!H1683</f>
        <v>260g</v>
      </c>
      <c r="O1683" s="5">
        <f t="shared" si="241"/>
        <v>260</v>
      </c>
      <c r="P1683" t="str">
        <f>'(Raw) LensesGH'!I1683</f>
        <v>72.5 x 59mm</v>
      </c>
      <c r="Q1683" s="39">
        <f t="shared" si="242"/>
        <v>72.5</v>
      </c>
      <c r="R1683" s="39">
        <f t="shared" si="234"/>
        <v>59</v>
      </c>
    </row>
    <row r="1684" spans="1:18" x14ac:dyDescent="0.25">
      <c r="A1684" t="str">
        <f>'(Raw) LensesGH'!A1684</f>
        <v>Walimex Pro 12mm 2.0 CSC für Sony E silber</v>
      </c>
      <c r="B1684" t="str">
        <f>'(Raw) LensesGH'!B1684</f>
        <v>12mm</v>
      </c>
      <c r="C1684" s="5">
        <f t="shared" si="235"/>
        <v>12</v>
      </c>
      <c r="D1684" s="5">
        <f t="shared" si="236"/>
        <v>12</v>
      </c>
      <c r="E1684" t="str">
        <f>'(Raw) LensesGH'!C1684</f>
        <v>1:2.0</v>
      </c>
      <c r="F1684" s="9">
        <f t="shared" si="237"/>
        <v>2</v>
      </c>
      <c r="G1684" s="9">
        <f t="shared" si="238"/>
        <v>2</v>
      </c>
      <c r="H1684" t="str">
        <f>'(Raw) LensesGH'!D1684</f>
        <v>67mm</v>
      </c>
      <c r="I1684" s="2">
        <f t="shared" si="239"/>
        <v>67</v>
      </c>
      <c r="J1684" s="2">
        <f>'(Raw) LensesGH'!E1684</f>
        <v>0</v>
      </c>
      <c r="K1684" s="40">
        <f t="shared" si="240"/>
        <v>0</v>
      </c>
      <c r="L1684" t="str">
        <f>'(Raw) LensesGH'!F1684</f>
        <v>Sony E</v>
      </c>
      <c r="M1684" t="str">
        <f>'(Raw) LensesGH'!G1684</f>
        <v>APS-C</v>
      </c>
      <c r="N1684" t="str">
        <f>'(Raw) LensesGH'!H1684</f>
        <v>260g</v>
      </c>
      <c r="O1684" s="5">
        <f t="shared" si="241"/>
        <v>260</v>
      </c>
      <c r="P1684" t="str">
        <f>'(Raw) LensesGH'!I1684</f>
        <v>72.5 x 59mm</v>
      </c>
      <c r="Q1684" s="39">
        <f t="shared" si="242"/>
        <v>72.5</v>
      </c>
      <c r="R1684" s="39">
        <f t="shared" si="234"/>
        <v>59</v>
      </c>
    </row>
    <row r="1685" spans="1:18" x14ac:dyDescent="0.25">
      <c r="A1685" t="str">
        <f>'(Raw) LensesGH'!A1685</f>
        <v>Walimex Pro 12mm 2.2 VCSC für Canon EF-M schwarz</v>
      </c>
      <c r="B1685" t="str">
        <f>'(Raw) LensesGH'!B1685</f>
        <v>12mm</v>
      </c>
      <c r="C1685" s="5">
        <f t="shared" si="235"/>
        <v>12</v>
      </c>
      <c r="D1685" s="5">
        <f t="shared" si="236"/>
        <v>12</v>
      </c>
      <c r="E1685" t="str">
        <f>'(Raw) LensesGH'!C1685</f>
        <v>1:2.2</v>
      </c>
      <c r="F1685" s="9">
        <f t="shared" si="237"/>
        <v>2.2000000000000002</v>
      </c>
      <c r="G1685" s="9">
        <f t="shared" si="238"/>
        <v>2.2000000000000002</v>
      </c>
      <c r="H1685" t="str">
        <f>'(Raw) LensesGH'!D1685</f>
        <v>67mm</v>
      </c>
      <c r="I1685" s="2">
        <f t="shared" si="239"/>
        <v>67</v>
      </c>
      <c r="J1685" s="2">
        <f>'(Raw) LensesGH'!E1685</f>
        <v>0</v>
      </c>
      <c r="K1685" s="40">
        <f t="shared" si="240"/>
        <v>0</v>
      </c>
      <c r="L1685" t="str">
        <f>'(Raw) LensesGH'!F1685</f>
        <v>Canon EF-M</v>
      </c>
      <c r="M1685" t="str">
        <f>'(Raw) LensesGH'!G1685</f>
        <v>APS-C</v>
      </c>
      <c r="N1685" t="str">
        <f>'(Raw) LensesGH'!H1685</f>
        <v>265g</v>
      </c>
      <c r="O1685" s="5">
        <f t="shared" si="241"/>
        <v>265</v>
      </c>
      <c r="P1685" t="str">
        <f>'(Raw) LensesGH'!I1685</f>
        <v>73.6 x 59mm</v>
      </c>
      <c r="Q1685" s="39">
        <f t="shared" si="242"/>
        <v>73.599999999999994</v>
      </c>
      <c r="R1685" s="39">
        <f t="shared" si="234"/>
        <v>59</v>
      </c>
    </row>
    <row r="1686" spans="1:18" x14ac:dyDescent="0.25">
      <c r="A1686" t="str">
        <f>'(Raw) LensesGH'!A1686</f>
        <v>Walimex Pro 12mm 2.2 VCSC für Fujifilm X schwarz</v>
      </c>
      <c r="B1686" t="str">
        <f>'(Raw) LensesGH'!B1686</f>
        <v>12mm</v>
      </c>
      <c r="C1686" s="5">
        <f t="shared" si="235"/>
        <v>12</v>
      </c>
      <c r="D1686" s="5">
        <f t="shared" si="236"/>
        <v>12</v>
      </c>
      <c r="E1686" t="str">
        <f>'(Raw) LensesGH'!C1686</f>
        <v>1:2.2</v>
      </c>
      <c r="F1686" s="9">
        <f t="shared" si="237"/>
        <v>2.2000000000000002</v>
      </c>
      <c r="G1686" s="9">
        <f t="shared" si="238"/>
        <v>2.2000000000000002</v>
      </c>
      <c r="H1686" t="str">
        <f>'(Raw) LensesGH'!D1686</f>
        <v>67mm</v>
      </c>
      <c r="I1686" s="2">
        <f t="shared" si="239"/>
        <v>67</v>
      </c>
      <c r="J1686" s="2">
        <f>'(Raw) LensesGH'!E1686</f>
        <v>0</v>
      </c>
      <c r="K1686" s="40">
        <f t="shared" si="240"/>
        <v>0</v>
      </c>
      <c r="L1686" t="str">
        <f>'(Raw) LensesGH'!F1686</f>
        <v>Fujifilm X</v>
      </c>
      <c r="M1686" t="str">
        <f>'(Raw) LensesGH'!G1686</f>
        <v>Four-Thirds</v>
      </c>
      <c r="N1686" t="str">
        <f>'(Raw) LensesGH'!H1686</f>
        <v>265g</v>
      </c>
      <c r="O1686" s="5">
        <f t="shared" si="241"/>
        <v>265</v>
      </c>
      <c r="P1686" t="str">
        <f>'(Raw) LensesGH'!I1686</f>
        <v>73.6 x 59mm</v>
      </c>
      <c r="Q1686" s="39">
        <f t="shared" si="242"/>
        <v>73.599999999999994</v>
      </c>
      <c r="R1686" s="39">
        <f t="shared" si="234"/>
        <v>59</v>
      </c>
    </row>
    <row r="1687" spans="1:18" x14ac:dyDescent="0.25">
      <c r="A1687" t="str">
        <f>'(Raw) LensesGH'!A1687</f>
        <v>Walimex Pro 12mm 2.2 VCSC für Micro-Four-Thirds schwarz</v>
      </c>
      <c r="B1687" t="str">
        <f>'(Raw) LensesGH'!B1687</f>
        <v>12mm</v>
      </c>
      <c r="C1687" s="5">
        <f t="shared" si="235"/>
        <v>12</v>
      </c>
      <c r="D1687" s="5">
        <f t="shared" si="236"/>
        <v>12</v>
      </c>
      <c r="E1687" t="str">
        <f>'(Raw) LensesGH'!C1687</f>
        <v>1:2.2</v>
      </c>
      <c r="F1687" s="9">
        <f t="shared" si="237"/>
        <v>2.2000000000000002</v>
      </c>
      <c r="G1687" s="9">
        <f t="shared" si="238"/>
        <v>2.2000000000000002</v>
      </c>
      <c r="H1687" t="str">
        <f>'(Raw) LensesGH'!D1687</f>
        <v>67mm</v>
      </c>
      <c r="I1687" s="2">
        <f t="shared" si="239"/>
        <v>67</v>
      </c>
      <c r="J1687" s="2">
        <f>'(Raw) LensesGH'!E1687</f>
        <v>0</v>
      </c>
      <c r="K1687" s="40">
        <f t="shared" si="240"/>
        <v>0</v>
      </c>
      <c r="L1687" t="str">
        <f>'(Raw) LensesGH'!F1687</f>
        <v>Micro-Four-Thirds</v>
      </c>
      <c r="M1687" t="str">
        <f>'(Raw) LensesGH'!G1687</f>
        <v>Four-Thirds</v>
      </c>
      <c r="N1687" t="str">
        <f>'(Raw) LensesGH'!H1687</f>
        <v>265g</v>
      </c>
      <c r="O1687" s="5">
        <f t="shared" si="241"/>
        <v>265</v>
      </c>
      <c r="P1687" t="str">
        <f>'(Raw) LensesGH'!I1687</f>
        <v>73.6 x 59mm</v>
      </c>
      <c r="Q1687" s="39">
        <f t="shared" si="242"/>
        <v>73.599999999999994</v>
      </c>
      <c r="R1687" s="39">
        <f t="shared" si="234"/>
        <v>59</v>
      </c>
    </row>
    <row r="1688" spans="1:18" x14ac:dyDescent="0.25">
      <c r="A1688" t="str">
        <f>'(Raw) LensesGH'!A1688</f>
        <v>Walimex Pro 12mm 2.2 VCSC für Samsung NX schwarz</v>
      </c>
      <c r="B1688" t="str">
        <f>'(Raw) LensesGH'!B1688</f>
        <v>12mm</v>
      </c>
      <c r="C1688" s="5">
        <f t="shared" si="235"/>
        <v>12</v>
      </c>
      <c r="D1688" s="5">
        <f t="shared" si="236"/>
        <v>12</v>
      </c>
      <c r="E1688" t="str">
        <f>'(Raw) LensesGH'!C1688</f>
        <v>1:2.2</v>
      </c>
      <c r="F1688" s="9">
        <f t="shared" si="237"/>
        <v>2.2000000000000002</v>
      </c>
      <c r="G1688" s="9">
        <f t="shared" si="238"/>
        <v>2.2000000000000002</v>
      </c>
      <c r="H1688" t="str">
        <f>'(Raw) LensesGH'!D1688</f>
        <v>67mm</v>
      </c>
      <c r="I1688" s="2">
        <f t="shared" si="239"/>
        <v>67</v>
      </c>
      <c r="J1688" s="2">
        <f>'(Raw) LensesGH'!E1688</f>
        <v>0</v>
      </c>
      <c r="K1688" s="40">
        <f t="shared" si="240"/>
        <v>0</v>
      </c>
      <c r="L1688" t="str">
        <f>'(Raw) LensesGH'!F1688</f>
        <v>Samsung NX</v>
      </c>
      <c r="M1688" t="str">
        <f>'(Raw) LensesGH'!G1688</f>
        <v>Four-Thirds</v>
      </c>
      <c r="N1688" t="str">
        <f>'(Raw) LensesGH'!H1688</f>
        <v>265g</v>
      </c>
      <c r="O1688" s="5">
        <f t="shared" si="241"/>
        <v>265</v>
      </c>
      <c r="P1688" t="str">
        <f>'(Raw) LensesGH'!I1688</f>
        <v>73.6 x 59mm</v>
      </c>
      <c r="Q1688" s="39">
        <f t="shared" si="242"/>
        <v>73.599999999999994</v>
      </c>
      <c r="R1688" s="39">
        <f t="shared" si="234"/>
        <v>59</v>
      </c>
    </row>
    <row r="1689" spans="1:18" x14ac:dyDescent="0.25">
      <c r="A1689" t="str">
        <f>'(Raw) LensesGH'!A1689</f>
        <v>Walimex Pro 12mm 2.2 VCSC für Sony E schwarz</v>
      </c>
      <c r="B1689" t="str">
        <f>'(Raw) LensesGH'!B1689</f>
        <v>12mm</v>
      </c>
      <c r="C1689" s="5">
        <f t="shared" si="235"/>
        <v>12</v>
      </c>
      <c r="D1689" s="5">
        <f t="shared" si="236"/>
        <v>12</v>
      </c>
      <c r="E1689" t="str">
        <f>'(Raw) LensesGH'!C1689</f>
        <v>1:2.2</v>
      </c>
      <c r="F1689" s="9">
        <f t="shared" si="237"/>
        <v>2.2000000000000002</v>
      </c>
      <c r="G1689" s="9">
        <f t="shared" si="238"/>
        <v>2.2000000000000002</v>
      </c>
      <c r="H1689" t="str">
        <f>'(Raw) LensesGH'!D1689</f>
        <v>67mm</v>
      </c>
      <c r="I1689" s="2">
        <f t="shared" si="239"/>
        <v>67</v>
      </c>
      <c r="J1689" s="2">
        <f>'(Raw) LensesGH'!E1689</f>
        <v>0</v>
      </c>
      <c r="K1689" s="40">
        <f t="shared" si="240"/>
        <v>0</v>
      </c>
      <c r="L1689" t="str">
        <f>'(Raw) LensesGH'!F1689</f>
        <v>Sony E</v>
      </c>
      <c r="M1689" t="str">
        <f>'(Raw) LensesGH'!G1689</f>
        <v>APS-C</v>
      </c>
      <c r="N1689" t="str">
        <f>'(Raw) LensesGH'!H1689</f>
        <v>265g</v>
      </c>
      <c r="O1689" s="5">
        <f t="shared" si="241"/>
        <v>265</v>
      </c>
      <c r="P1689" t="str">
        <f>'(Raw) LensesGH'!I1689</f>
        <v>73.6 x 59mm</v>
      </c>
      <c r="Q1689" s="39">
        <f t="shared" si="242"/>
        <v>73.599999999999994</v>
      </c>
      <c r="R1689" s="39">
        <f t="shared" si="234"/>
        <v>59</v>
      </c>
    </row>
    <row r="1690" spans="1:18" x14ac:dyDescent="0.25">
      <c r="A1690" t="str">
        <f>'(Raw) LensesGH'!A1690</f>
        <v>Walimex Pro 12mm 2.8 Fisheye CSC für Fujifilm X schwarz</v>
      </c>
      <c r="B1690" t="str">
        <f>'(Raw) LensesGH'!B1690</f>
        <v>12mm</v>
      </c>
      <c r="C1690" s="5">
        <f t="shared" si="235"/>
        <v>12</v>
      </c>
      <c r="D1690" s="5">
        <f t="shared" si="236"/>
        <v>12</v>
      </c>
      <c r="E1690" t="str">
        <f>'(Raw) LensesGH'!C1690</f>
        <v>1:2.8</v>
      </c>
      <c r="F1690" s="9">
        <f t="shared" si="237"/>
        <v>2.8</v>
      </c>
      <c r="G1690" s="9">
        <f t="shared" si="238"/>
        <v>2.8</v>
      </c>
      <c r="H1690">
        <f>'(Raw) LensesGH'!D1690</f>
        <v>0</v>
      </c>
      <c r="I1690" s="2">
        <f t="shared" si="239"/>
        <v>0</v>
      </c>
      <c r="J1690" s="2">
        <f>'(Raw) LensesGH'!E1690</f>
        <v>0</v>
      </c>
      <c r="K1690" s="40">
        <f t="shared" si="240"/>
        <v>0</v>
      </c>
      <c r="L1690" t="str">
        <f>'(Raw) LensesGH'!F1690</f>
        <v>Fujifilm X</v>
      </c>
      <c r="M1690" t="str">
        <f>'(Raw) LensesGH'!G1690</f>
        <v>APS-C/ Kleinbild</v>
      </c>
      <c r="N1690" t="str">
        <f>'(Raw) LensesGH'!H1690</f>
        <v>576g</v>
      </c>
      <c r="O1690" s="5">
        <f t="shared" si="241"/>
        <v>576</v>
      </c>
      <c r="P1690" t="str">
        <f>'(Raw) LensesGH'!I1690</f>
        <v>86 x 98mm</v>
      </c>
      <c r="Q1690" s="39">
        <f t="shared" si="242"/>
        <v>86</v>
      </c>
      <c r="R1690" s="39">
        <f t="shared" si="234"/>
        <v>98</v>
      </c>
    </row>
    <row r="1691" spans="1:18" x14ac:dyDescent="0.25">
      <c r="A1691" t="str">
        <f>'(Raw) LensesGH'!A1691</f>
        <v>Walimex Pro 12mm 2.8 Fisheye CSC für Sony E schwarz</v>
      </c>
      <c r="B1691" t="str">
        <f>'(Raw) LensesGH'!B1691</f>
        <v>12mm</v>
      </c>
      <c r="C1691" s="5">
        <f t="shared" si="235"/>
        <v>12</v>
      </c>
      <c r="D1691" s="5">
        <f t="shared" si="236"/>
        <v>12</v>
      </c>
      <c r="E1691" t="str">
        <f>'(Raw) LensesGH'!C1691</f>
        <v>1:2.8</v>
      </c>
      <c r="F1691" s="9">
        <f t="shared" si="237"/>
        <v>2.8</v>
      </c>
      <c r="G1691" s="9">
        <f t="shared" si="238"/>
        <v>2.8</v>
      </c>
      <c r="H1691">
        <f>'(Raw) LensesGH'!D1691</f>
        <v>0</v>
      </c>
      <c r="I1691" s="2">
        <f t="shared" si="239"/>
        <v>0</v>
      </c>
      <c r="J1691" s="2">
        <f>'(Raw) LensesGH'!E1691</f>
        <v>0</v>
      </c>
      <c r="K1691" s="40">
        <f t="shared" si="240"/>
        <v>0</v>
      </c>
      <c r="L1691" t="str">
        <f>'(Raw) LensesGH'!F1691</f>
        <v>Sony E</v>
      </c>
      <c r="M1691" t="str">
        <f>'(Raw) LensesGH'!G1691</f>
        <v>APS-C/ Kleinbild</v>
      </c>
      <c r="N1691" t="str">
        <f>'(Raw) LensesGH'!H1691</f>
        <v>528g</v>
      </c>
      <c r="O1691" s="5">
        <f t="shared" si="241"/>
        <v>528</v>
      </c>
      <c r="P1691" t="str">
        <f>'(Raw) LensesGH'!I1691</f>
        <v>77.3 x 98mm</v>
      </c>
      <c r="Q1691" s="39">
        <f t="shared" si="242"/>
        <v>77.3</v>
      </c>
      <c r="R1691" s="39">
        <f t="shared" si="234"/>
        <v>98</v>
      </c>
    </row>
    <row r="1692" spans="1:18" x14ac:dyDescent="0.25">
      <c r="A1692" t="str">
        <f>'(Raw) LensesGH'!A1692</f>
        <v>Walimex Pro 12mm 2.8 Fisheye DSLR für Canon EF schwarz</v>
      </c>
      <c r="B1692" t="str">
        <f>'(Raw) LensesGH'!B1692</f>
        <v>12mm</v>
      </c>
      <c r="C1692" s="5">
        <f t="shared" si="235"/>
        <v>12</v>
      </c>
      <c r="D1692" s="5">
        <f t="shared" si="236"/>
        <v>12</v>
      </c>
      <c r="E1692" t="str">
        <f>'(Raw) LensesGH'!C1692</f>
        <v>1:2.8</v>
      </c>
      <c r="F1692" s="9">
        <f t="shared" si="237"/>
        <v>2.8</v>
      </c>
      <c r="G1692" s="9">
        <f t="shared" si="238"/>
        <v>2.8</v>
      </c>
      <c r="H1692">
        <f>'(Raw) LensesGH'!D1692</f>
        <v>0</v>
      </c>
      <c r="I1692" s="2">
        <f t="shared" si="239"/>
        <v>0</v>
      </c>
      <c r="J1692" s="2">
        <f>'(Raw) LensesGH'!E1692</f>
        <v>0</v>
      </c>
      <c r="K1692" s="40">
        <f t="shared" si="240"/>
        <v>0</v>
      </c>
      <c r="L1692" t="str">
        <f>'(Raw) LensesGH'!F1692</f>
        <v>Canon EF</v>
      </c>
      <c r="M1692" t="str">
        <f>'(Raw) LensesGH'!G1692</f>
        <v>APS-C/ Kleinbild</v>
      </c>
      <c r="N1692" t="str">
        <f>'(Raw) LensesGH'!H1692</f>
        <v>565g</v>
      </c>
      <c r="O1692" s="5">
        <f t="shared" si="241"/>
        <v>565</v>
      </c>
      <c r="P1692" t="str">
        <f>'(Raw) LensesGH'!I1692</f>
        <v>72 x 98mm</v>
      </c>
      <c r="Q1692" s="39">
        <f t="shared" si="242"/>
        <v>72</v>
      </c>
      <c r="R1692" s="39">
        <f t="shared" si="234"/>
        <v>98</v>
      </c>
    </row>
    <row r="1693" spans="1:18" x14ac:dyDescent="0.25">
      <c r="A1693" t="str">
        <f>'(Raw) LensesGH'!A1693</f>
        <v>Walimex Pro 12mm 2.8 Fisheye DSLR für Canon EF-M schwarz</v>
      </c>
      <c r="B1693" t="str">
        <f>'(Raw) LensesGH'!B1693</f>
        <v>12mm</v>
      </c>
      <c r="C1693" s="5">
        <f t="shared" si="235"/>
        <v>12</v>
      </c>
      <c r="D1693" s="5">
        <f t="shared" si="236"/>
        <v>12</v>
      </c>
      <c r="E1693" t="str">
        <f>'(Raw) LensesGH'!C1693</f>
        <v>1:2.8</v>
      </c>
      <c r="F1693" s="9">
        <f t="shared" si="237"/>
        <v>2.8</v>
      </c>
      <c r="G1693" s="9">
        <f t="shared" si="238"/>
        <v>2.8</v>
      </c>
      <c r="H1693">
        <f>'(Raw) LensesGH'!D1693</f>
        <v>0</v>
      </c>
      <c r="I1693" s="2">
        <f t="shared" si="239"/>
        <v>0</v>
      </c>
      <c r="J1693" s="2">
        <f>'(Raw) LensesGH'!E1693</f>
        <v>0</v>
      </c>
      <c r="K1693" s="40">
        <f t="shared" si="240"/>
        <v>0</v>
      </c>
      <c r="L1693" t="str">
        <f>'(Raw) LensesGH'!F1693</f>
        <v>Canon EF-M</v>
      </c>
      <c r="M1693" t="str">
        <f>'(Raw) LensesGH'!G1693</f>
        <v>APS-C/ Kleinbild</v>
      </c>
      <c r="N1693" t="str">
        <f>'(Raw) LensesGH'!H1693</f>
        <v>576g</v>
      </c>
      <c r="O1693" s="5">
        <f t="shared" si="241"/>
        <v>576</v>
      </c>
      <c r="P1693" t="str">
        <f>'(Raw) LensesGH'!I1693</f>
        <v>86 x 108mm</v>
      </c>
      <c r="Q1693" s="39">
        <f t="shared" si="242"/>
        <v>86</v>
      </c>
      <c r="R1693" s="39">
        <f t="shared" si="234"/>
        <v>108</v>
      </c>
    </row>
    <row r="1694" spans="1:18" x14ac:dyDescent="0.25">
      <c r="A1694" t="str">
        <f>'(Raw) LensesGH'!A1694</f>
        <v>Walimex Pro 12mm 2.8 Fisheye DSLR für Four-Thirds schwarz</v>
      </c>
      <c r="B1694" t="str">
        <f>'(Raw) LensesGH'!B1694</f>
        <v>12mm</v>
      </c>
      <c r="C1694" s="5">
        <f t="shared" si="235"/>
        <v>12</v>
      </c>
      <c r="D1694" s="5">
        <f t="shared" si="236"/>
        <v>12</v>
      </c>
      <c r="E1694" t="str">
        <f>'(Raw) LensesGH'!C1694</f>
        <v>1:2.8</v>
      </c>
      <c r="F1694" s="9">
        <f t="shared" si="237"/>
        <v>2.8</v>
      </c>
      <c r="G1694" s="9">
        <f t="shared" si="238"/>
        <v>2.8</v>
      </c>
      <c r="H1694">
        <f>'(Raw) LensesGH'!D1694</f>
        <v>0</v>
      </c>
      <c r="I1694" s="2">
        <f t="shared" si="239"/>
        <v>0</v>
      </c>
      <c r="J1694" s="2">
        <f>'(Raw) LensesGH'!E1694</f>
        <v>0</v>
      </c>
      <c r="K1694" s="40">
        <f t="shared" si="240"/>
        <v>0</v>
      </c>
      <c r="L1694" t="str">
        <f>'(Raw) LensesGH'!F1694</f>
        <v>Four-Thirds</v>
      </c>
      <c r="M1694" t="str">
        <f>'(Raw) LensesGH'!G1694</f>
        <v>APS-C/ Kleinbild</v>
      </c>
      <c r="N1694" t="str">
        <f>'(Raw) LensesGH'!H1694</f>
        <v>565g</v>
      </c>
      <c r="O1694" s="5">
        <f t="shared" si="241"/>
        <v>565</v>
      </c>
      <c r="P1694" t="str">
        <f>'(Raw) LensesGH'!I1694</f>
        <v>72 x 98mm</v>
      </c>
      <c r="Q1694" s="39">
        <f t="shared" si="242"/>
        <v>72</v>
      </c>
      <c r="R1694" s="39">
        <f t="shared" si="234"/>
        <v>98</v>
      </c>
    </row>
    <row r="1695" spans="1:18" x14ac:dyDescent="0.25">
      <c r="A1695" t="str">
        <f>'(Raw) LensesGH'!A1695</f>
        <v>Walimex Pro 12mm 2.8 Fisheye DSLR für Micro-Four-Thirds schwarz</v>
      </c>
      <c r="B1695" t="str">
        <f>'(Raw) LensesGH'!B1695</f>
        <v>12mm</v>
      </c>
      <c r="C1695" s="5">
        <f t="shared" si="235"/>
        <v>12</v>
      </c>
      <c r="D1695" s="5">
        <f t="shared" si="236"/>
        <v>12</v>
      </c>
      <c r="E1695" t="str">
        <f>'(Raw) LensesGH'!C1695</f>
        <v>1:2.8</v>
      </c>
      <c r="F1695" s="9">
        <f t="shared" si="237"/>
        <v>2.8</v>
      </c>
      <c r="G1695" s="9">
        <f t="shared" si="238"/>
        <v>2.8</v>
      </c>
      <c r="H1695">
        <f>'(Raw) LensesGH'!D1695</f>
        <v>0</v>
      </c>
      <c r="I1695" s="2">
        <f t="shared" si="239"/>
        <v>0</v>
      </c>
      <c r="J1695" s="2">
        <f>'(Raw) LensesGH'!E1695</f>
        <v>0</v>
      </c>
      <c r="K1695" s="40">
        <f t="shared" si="240"/>
        <v>0</v>
      </c>
      <c r="L1695" t="str">
        <f>'(Raw) LensesGH'!F1695</f>
        <v>Micro-Four-Thirds</v>
      </c>
      <c r="M1695" t="str">
        <f>'(Raw) LensesGH'!G1695</f>
        <v>APS-C/ Kleinbild</v>
      </c>
      <c r="N1695" t="str">
        <f>'(Raw) LensesGH'!H1695</f>
        <v>565g</v>
      </c>
      <c r="O1695" s="5">
        <f t="shared" si="241"/>
        <v>565</v>
      </c>
      <c r="P1695" t="str">
        <f>'(Raw) LensesGH'!I1695</f>
        <v>72 x 98mm</v>
      </c>
      <c r="Q1695" s="39">
        <f t="shared" si="242"/>
        <v>72</v>
      </c>
      <c r="R1695" s="39">
        <f t="shared" si="234"/>
        <v>98</v>
      </c>
    </row>
    <row r="1696" spans="1:18" x14ac:dyDescent="0.25">
      <c r="A1696" t="str">
        <f>'(Raw) LensesGH'!A1696</f>
        <v>Walimex Pro 12mm 2.8 Fisheye DSLR für Nikon F schwarz</v>
      </c>
      <c r="B1696" t="str">
        <f>'(Raw) LensesGH'!B1696</f>
        <v>12mm</v>
      </c>
      <c r="C1696" s="5">
        <f t="shared" si="235"/>
        <v>12</v>
      </c>
      <c r="D1696" s="5">
        <f t="shared" si="236"/>
        <v>12</v>
      </c>
      <c r="E1696" t="str">
        <f>'(Raw) LensesGH'!C1696</f>
        <v>1:2.8</v>
      </c>
      <c r="F1696" s="9">
        <f t="shared" si="237"/>
        <v>2.8</v>
      </c>
      <c r="G1696" s="9">
        <f t="shared" si="238"/>
        <v>2.8</v>
      </c>
      <c r="H1696">
        <f>'(Raw) LensesGH'!D1696</f>
        <v>0</v>
      </c>
      <c r="I1696" s="2">
        <f t="shared" si="239"/>
        <v>0</v>
      </c>
      <c r="J1696" s="2">
        <f>'(Raw) LensesGH'!E1696</f>
        <v>0</v>
      </c>
      <c r="K1696" s="40">
        <f t="shared" si="240"/>
        <v>0</v>
      </c>
      <c r="L1696" t="str">
        <f>'(Raw) LensesGH'!F1696</f>
        <v>Nikon F</v>
      </c>
      <c r="M1696" t="str">
        <f>'(Raw) LensesGH'!G1696</f>
        <v>APS-C/ Kleinbild</v>
      </c>
      <c r="N1696" t="str">
        <f>'(Raw) LensesGH'!H1696</f>
        <v>565g</v>
      </c>
      <c r="O1696" s="5">
        <f t="shared" si="241"/>
        <v>565</v>
      </c>
      <c r="P1696" t="str">
        <f>'(Raw) LensesGH'!I1696</f>
        <v>72 x 98mm</v>
      </c>
      <c r="Q1696" s="39">
        <f t="shared" si="242"/>
        <v>72</v>
      </c>
      <c r="R1696" s="39">
        <f t="shared" si="234"/>
        <v>98</v>
      </c>
    </row>
    <row r="1697" spans="1:18" x14ac:dyDescent="0.25">
      <c r="A1697" t="str">
        <f>'(Raw) LensesGH'!A1697</f>
        <v>Walimex Pro 12mm 2.8 Fisheye DSLR für Pentax K schwarz</v>
      </c>
      <c r="B1697" t="str">
        <f>'(Raw) LensesGH'!B1697</f>
        <v>12mm</v>
      </c>
      <c r="C1697" s="5">
        <f t="shared" si="235"/>
        <v>12</v>
      </c>
      <c r="D1697" s="5">
        <f t="shared" si="236"/>
        <v>12</v>
      </c>
      <c r="E1697" t="str">
        <f>'(Raw) LensesGH'!C1697</f>
        <v>1:2.8</v>
      </c>
      <c r="F1697" s="9">
        <f t="shared" si="237"/>
        <v>2.8</v>
      </c>
      <c r="G1697" s="9">
        <f t="shared" si="238"/>
        <v>2.8</v>
      </c>
      <c r="H1697">
        <f>'(Raw) LensesGH'!D1697</f>
        <v>0</v>
      </c>
      <c r="I1697" s="2">
        <f t="shared" si="239"/>
        <v>0</v>
      </c>
      <c r="J1697" s="2">
        <f>'(Raw) LensesGH'!E1697</f>
        <v>0</v>
      </c>
      <c r="K1697" s="40">
        <f t="shared" si="240"/>
        <v>0</v>
      </c>
      <c r="L1697" t="str">
        <f>'(Raw) LensesGH'!F1697</f>
        <v>Pentax K</v>
      </c>
      <c r="M1697" t="str">
        <f>'(Raw) LensesGH'!G1697</f>
        <v>APS-C/ Kleinbild</v>
      </c>
      <c r="N1697" t="str">
        <f>'(Raw) LensesGH'!H1697</f>
        <v>565g</v>
      </c>
      <c r="O1697" s="5">
        <f t="shared" si="241"/>
        <v>565</v>
      </c>
      <c r="P1697" t="str">
        <f>'(Raw) LensesGH'!I1697</f>
        <v>72 x 98mm</v>
      </c>
      <c r="Q1697" s="39">
        <f t="shared" si="242"/>
        <v>72</v>
      </c>
      <c r="R1697" s="39">
        <f t="shared" si="234"/>
        <v>98</v>
      </c>
    </row>
    <row r="1698" spans="1:18" x14ac:dyDescent="0.25">
      <c r="A1698" t="str">
        <f>'(Raw) LensesGH'!A1698</f>
        <v>Walimex Pro 12mm 2.8 Fisheye DSLR für Samsung NX schwarz</v>
      </c>
      <c r="B1698" t="str">
        <f>'(Raw) LensesGH'!B1698</f>
        <v>12mm</v>
      </c>
      <c r="C1698" s="5">
        <f t="shared" si="235"/>
        <v>12</v>
      </c>
      <c r="D1698" s="5">
        <f t="shared" si="236"/>
        <v>12</v>
      </c>
      <c r="E1698" t="str">
        <f>'(Raw) LensesGH'!C1698</f>
        <v>1:2.8</v>
      </c>
      <c r="F1698" s="9">
        <f t="shared" si="237"/>
        <v>2.8</v>
      </c>
      <c r="G1698" s="9">
        <f t="shared" si="238"/>
        <v>2.8</v>
      </c>
      <c r="H1698">
        <f>'(Raw) LensesGH'!D1698</f>
        <v>0</v>
      </c>
      <c r="I1698" s="2">
        <f t="shared" si="239"/>
        <v>0</v>
      </c>
      <c r="J1698" s="2">
        <f>'(Raw) LensesGH'!E1698</f>
        <v>0</v>
      </c>
      <c r="K1698" s="40">
        <f t="shared" si="240"/>
        <v>0</v>
      </c>
      <c r="L1698" t="str">
        <f>'(Raw) LensesGH'!F1698</f>
        <v>Samsung NX</v>
      </c>
      <c r="M1698" t="str">
        <f>'(Raw) LensesGH'!G1698</f>
        <v>APS-C/ Kleinbild</v>
      </c>
      <c r="N1698" t="str">
        <f>'(Raw) LensesGH'!H1698</f>
        <v>565g</v>
      </c>
      <c r="O1698" s="5">
        <f t="shared" si="241"/>
        <v>565</v>
      </c>
      <c r="P1698" t="str">
        <f>'(Raw) LensesGH'!I1698</f>
        <v>72 x 98mm</v>
      </c>
      <c r="Q1698" s="39">
        <f t="shared" si="242"/>
        <v>72</v>
      </c>
      <c r="R1698" s="39">
        <f t="shared" si="234"/>
        <v>98</v>
      </c>
    </row>
    <row r="1699" spans="1:18" x14ac:dyDescent="0.25">
      <c r="A1699" t="str">
        <f>'(Raw) LensesGH'!A1699</f>
        <v>Walimex Pro 12mm 2.8 Fisheye DSLR für Sony A schwarz</v>
      </c>
      <c r="B1699" t="str">
        <f>'(Raw) LensesGH'!B1699</f>
        <v>12mm</v>
      </c>
      <c r="C1699" s="5">
        <f t="shared" si="235"/>
        <v>12</v>
      </c>
      <c r="D1699" s="5">
        <f t="shared" si="236"/>
        <v>12</v>
      </c>
      <c r="E1699" t="str">
        <f>'(Raw) LensesGH'!C1699</f>
        <v>1:2.8</v>
      </c>
      <c r="F1699" s="9">
        <f t="shared" si="237"/>
        <v>2.8</v>
      </c>
      <c r="G1699" s="9">
        <f t="shared" si="238"/>
        <v>2.8</v>
      </c>
      <c r="H1699">
        <f>'(Raw) LensesGH'!D1699</f>
        <v>0</v>
      </c>
      <c r="I1699" s="2">
        <f t="shared" si="239"/>
        <v>0</v>
      </c>
      <c r="J1699" s="2">
        <f>'(Raw) LensesGH'!E1699</f>
        <v>0</v>
      </c>
      <c r="K1699" s="40">
        <f t="shared" si="240"/>
        <v>0</v>
      </c>
      <c r="L1699" t="str">
        <f>'(Raw) LensesGH'!F1699</f>
        <v>Sony A</v>
      </c>
      <c r="M1699" t="str">
        <f>'(Raw) LensesGH'!G1699</f>
        <v>APS-C/ Kleinbild</v>
      </c>
      <c r="N1699" t="str">
        <f>'(Raw) LensesGH'!H1699</f>
        <v>565g</v>
      </c>
      <c r="O1699" s="5">
        <f t="shared" si="241"/>
        <v>565</v>
      </c>
      <c r="P1699" t="str">
        <f>'(Raw) LensesGH'!I1699</f>
        <v>72 x 98mm</v>
      </c>
      <c r="Q1699" s="39">
        <f t="shared" si="242"/>
        <v>72</v>
      </c>
      <c r="R1699" s="39">
        <f t="shared" si="234"/>
        <v>98</v>
      </c>
    </row>
    <row r="1700" spans="1:18" x14ac:dyDescent="0.25">
      <c r="A1700" t="str">
        <f>'(Raw) LensesGH'!A1700</f>
        <v>Walimex Pro 12mm 3.1 Fisheye VDSLR für Canon EF schwarz</v>
      </c>
      <c r="B1700" t="str">
        <f>'(Raw) LensesGH'!B1700</f>
        <v>12mm</v>
      </c>
      <c r="C1700" s="5">
        <f t="shared" si="235"/>
        <v>12</v>
      </c>
      <c r="D1700" s="5">
        <f t="shared" si="236"/>
        <v>12</v>
      </c>
      <c r="E1700" t="str">
        <f>'(Raw) LensesGH'!C1700</f>
        <v>1:3.1</v>
      </c>
      <c r="F1700" s="9">
        <f t="shared" si="237"/>
        <v>3.1</v>
      </c>
      <c r="G1700" s="9">
        <f t="shared" si="238"/>
        <v>3.1</v>
      </c>
      <c r="H1700">
        <f>'(Raw) LensesGH'!D1700</f>
        <v>0</v>
      </c>
      <c r="I1700" s="2">
        <f t="shared" si="239"/>
        <v>0</v>
      </c>
      <c r="J1700" s="2">
        <f>'(Raw) LensesGH'!E1700</f>
        <v>0</v>
      </c>
      <c r="K1700" s="40">
        <f t="shared" si="240"/>
        <v>0</v>
      </c>
      <c r="L1700" t="str">
        <f>'(Raw) LensesGH'!F1700</f>
        <v>Canon EF</v>
      </c>
      <c r="M1700" t="str">
        <f>'(Raw) LensesGH'!G1700</f>
        <v>APS-C</v>
      </c>
      <c r="N1700" t="str">
        <f>'(Raw) LensesGH'!H1700</f>
        <v>565g</v>
      </c>
      <c r="O1700" s="5">
        <f t="shared" si="241"/>
        <v>565</v>
      </c>
      <c r="P1700" t="str">
        <f>'(Raw) LensesGH'!I1700</f>
        <v>72 x 98mm</v>
      </c>
      <c r="Q1700" s="39">
        <f t="shared" si="242"/>
        <v>72</v>
      </c>
      <c r="R1700" s="39">
        <f t="shared" si="234"/>
        <v>98</v>
      </c>
    </row>
    <row r="1701" spans="1:18" x14ac:dyDescent="0.25">
      <c r="A1701" t="str">
        <f>'(Raw) LensesGH'!A1701</f>
        <v>Walimex Pro 12mm 3.1 Fisheye VDSLR für Nikon F schwarz</v>
      </c>
      <c r="B1701" t="str">
        <f>'(Raw) LensesGH'!B1701</f>
        <v>12mm</v>
      </c>
      <c r="C1701" s="5">
        <f t="shared" si="235"/>
        <v>12</v>
      </c>
      <c r="D1701" s="5">
        <f t="shared" si="236"/>
        <v>12</v>
      </c>
      <c r="E1701" t="str">
        <f>'(Raw) LensesGH'!C1701</f>
        <v>1:3.1</v>
      </c>
      <c r="F1701" s="9">
        <f t="shared" si="237"/>
        <v>3.1</v>
      </c>
      <c r="G1701" s="9">
        <f t="shared" si="238"/>
        <v>3.1</v>
      </c>
      <c r="H1701">
        <f>'(Raw) LensesGH'!D1701</f>
        <v>0</v>
      </c>
      <c r="I1701" s="2">
        <f t="shared" si="239"/>
        <v>0</v>
      </c>
      <c r="J1701" s="2">
        <f>'(Raw) LensesGH'!E1701</f>
        <v>0</v>
      </c>
      <c r="K1701" s="40">
        <f t="shared" si="240"/>
        <v>0</v>
      </c>
      <c r="L1701" t="str">
        <f>'(Raw) LensesGH'!F1701</f>
        <v>Nikon F</v>
      </c>
      <c r="M1701" t="str">
        <f>'(Raw) LensesGH'!G1701</f>
        <v>APS-C</v>
      </c>
      <c r="N1701" t="str">
        <f>'(Raw) LensesGH'!H1701</f>
        <v>565g</v>
      </c>
      <c r="O1701" s="5">
        <f t="shared" si="241"/>
        <v>565</v>
      </c>
      <c r="P1701" t="str">
        <f>'(Raw) LensesGH'!I1701</f>
        <v>72 x 98mm</v>
      </c>
      <c r="Q1701" s="39">
        <f t="shared" si="242"/>
        <v>72</v>
      </c>
      <c r="R1701" s="39">
        <f t="shared" si="234"/>
        <v>98</v>
      </c>
    </row>
    <row r="1702" spans="1:18" x14ac:dyDescent="0.25">
      <c r="A1702" t="str">
        <f>'(Raw) LensesGH'!A1702</f>
        <v>Walimex Pro 12mm 3.1 Fisheye VDSLR für Samsung NX schwarz</v>
      </c>
      <c r="B1702" t="str">
        <f>'(Raw) LensesGH'!B1702</f>
        <v>12mm</v>
      </c>
      <c r="C1702" s="5">
        <f t="shared" si="235"/>
        <v>12</v>
      </c>
      <c r="D1702" s="5">
        <f t="shared" si="236"/>
        <v>12</v>
      </c>
      <c r="E1702" t="str">
        <f>'(Raw) LensesGH'!C1702</f>
        <v>1:3.1</v>
      </c>
      <c r="F1702" s="9">
        <f t="shared" si="237"/>
        <v>3.1</v>
      </c>
      <c r="G1702" s="9">
        <f t="shared" si="238"/>
        <v>3.1</v>
      </c>
      <c r="H1702">
        <f>'(Raw) LensesGH'!D1702</f>
        <v>0</v>
      </c>
      <c r="I1702" s="2">
        <f t="shared" si="239"/>
        <v>0</v>
      </c>
      <c r="J1702" s="2">
        <f>'(Raw) LensesGH'!E1702</f>
        <v>0</v>
      </c>
      <c r="K1702" s="40">
        <f t="shared" si="240"/>
        <v>0</v>
      </c>
      <c r="L1702" t="str">
        <f>'(Raw) LensesGH'!F1702</f>
        <v>Samsung NX</v>
      </c>
      <c r="M1702" t="str">
        <f>'(Raw) LensesGH'!G1702</f>
        <v>APS-C</v>
      </c>
      <c r="N1702" t="str">
        <f>'(Raw) LensesGH'!H1702</f>
        <v>565g</v>
      </c>
      <c r="O1702" s="5">
        <f t="shared" si="241"/>
        <v>565</v>
      </c>
      <c r="P1702" t="str">
        <f>'(Raw) LensesGH'!I1702</f>
        <v>72 x 98mm</v>
      </c>
      <c r="Q1702" s="39">
        <f t="shared" si="242"/>
        <v>72</v>
      </c>
      <c r="R1702" s="39">
        <f t="shared" si="234"/>
        <v>98</v>
      </c>
    </row>
    <row r="1703" spans="1:18" x14ac:dyDescent="0.25">
      <c r="A1703" t="str">
        <f>'(Raw) LensesGH'!A1703</f>
        <v>Walimex Pro 135mm 2.0 AE für Nikon F schwarz</v>
      </c>
      <c r="B1703" t="str">
        <f>'(Raw) LensesGH'!B1703</f>
        <v>135mm</v>
      </c>
      <c r="C1703" s="5">
        <f t="shared" si="235"/>
        <v>135</v>
      </c>
      <c r="D1703" s="5">
        <f t="shared" si="236"/>
        <v>135</v>
      </c>
      <c r="E1703" t="str">
        <f>'(Raw) LensesGH'!C1703</f>
        <v>1:2.0</v>
      </c>
      <c r="F1703" s="9">
        <f t="shared" si="237"/>
        <v>2</v>
      </c>
      <c r="G1703" s="9">
        <f t="shared" si="238"/>
        <v>2</v>
      </c>
      <c r="H1703" t="str">
        <f>'(Raw) LensesGH'!D1703</f>
        <v>77mm</v>
      </c>
      <c r="I1703" s="2">
        <f t="shared" si="239"/>
        <v>77</v>
      </c>
      <c r="J1703" s="2">
        <f>'(Raw) LensesGH'!E1703</f>
        <v>0</v>
      </c>
      <c r="K1703" s="40">
        <f t="shared" si="240"/>
        <v>0</v>
      </c>
      <c r="L1703" t="str">
        <f>'(Raw) LensesGH'!F1703</f>
        <v>Nikon F</v>
      </c>
      <c r="M1703" t="str">
        <f>'(Raw) LensesGH'!G1703</f>
        <v>APS-C/ Kleinbild</v>
      </c>
      <c r="N1703" t="str">
        <f>'(Raw) LensesGH'!H1703</f>
        <v>880g</v>
      </c>
      <c r="O1703" s="5">
        <f t="shared" si="241"/>
        <v>880</v>
      </c>
      <c r="P1703" t="str">
        <f>'(Raw) LensesGH'!I1703</f>
        <v>82 x 120mm</v>
      </c>
      <c r="Q1703" s="39">
        <f t="shared" si="242"/>
        <v>82</v>
      </c>
      <c r="R1703" s="39">
        <f t="shared" si="234"/>
        <v>120</v>
      </c>
    </row>
    <row r="1704" spans="1:18" x14ac:dyDescent="0.25">
      <c r="A1704" t="str">
        <f>'(Raw) LensesGH'!A1704</f>
        <v>Walimex Pro 135mm 2.0 für Canon EF schwarz</v>
      </c>
      <c r="B1704" t="str">
        <f>'(Raw) LensesGH'!B1704</f>
        <v>135mm</v>
      </c>
      <c r="C1704" s="5">
        <f t="shared" si="235"/>
        <v>135</v>
      </c>
      <c r="D1704" s="5">
        <f t="shared" si="236"/>
        <v>135</v>
      </c>
      <c r="E1704" t="str">
        <f>'(Raw) LensesGH'!C1704</f>
        <v>1:2.0</v>
      </c>
      <c r="F1704" s="9">
        <f t="shared" si="237"/>
        <v>2</v>
      </c>
      <c r="G1704" s="9">
        <f t="shared" si="238"/>
        <v>2</v>
      </c>
      <c r="H1704" t="str">
        <f>'(Raw) LensesGH'!D1704</f>
        <v>77mm</v>
      </c>
      <c r="I1704" s="2">
        <f t="shared" si="239"/>
        <v>77</v>
      </c>
      <c r="J1704" s="2">
        <f>'(Raw) LensesGH'!E1704</f>
        <v>0</v>
      </c>
      <c r="K1704" s="40">
        <f t="shared" si="240"/>
        <v>0</v>
      </c>
      <c r="L1704" t="str">
        <f>'(Raw) LensesGH'!F1704</f>
        <v>Canon EF</v>
      </c>
      <c r="M1704" t="str">
        <f>'(Raw) LensesGH'!G1704</f>
        <v>APS-C/ Kleinbild</v>
      </c>
      <c r="N1704" t="str">
        <f>'(Raw) LensesGH'!H1704</f>
        <v>915g</v>
      </c>
      <c r="O1704" s="5">
        <f t="shared" si="241"/>
        <v>915</v>
      </c>
      <c r="P1704" t="str">
        <f>'(Raw) LensesGH'!I1704</f>
        <v>82 x 120mm</v>
      </c>
      <c r="Q1704" s="39">
        <f t="shared" si="242"/>
        <v>82</v>
      </c>
      <c r="R1704" s="39">
        <f t="shared" si="234"/>
        <v>120</v>
      </c>
    </row>
    <row r="1705" spans="1:18" x14ac:dyDescent="0.25">
      <c r="A1705" t="str">
        <f>'(Raw) LensesGH'!A1705</f>
        <v>Walimex Pro 135mm 2.0 für Canon EF-M schwarz</v>
      </c>
      <c r="B1705" t="str">
        <f>'(Raw) LensesGH'!B1705</f>
        <v>135mm</v>
      </c>
      <c r="C1705" s="5">
        <f t="shared" si="235"/>
        <v>135</v>
      </c>
      <c r="D1705" s="5">
        <f t="shared" si="236"/>
        <v>135</v>
      </c>
      <c r="E1705" t="str">
        <f>'(Raw) LensesGH'!C1705</f>
        <v>1:2.0</v>
      </c>
      <c r="F1705" s="9">
        <f t="shared" si="237"/>
        <v>2</v>
      </c>
      <c r="G1705" s="9">
        <f t="shared" si="238"/>
        <v>2</v>
      </c>
      <c r="H1705" t="str">
        <f>'(Raw) LensesGH'!D1705</f>
        <v>77mm</v>
      </c>
      <c r="I1705" s="2">
        <f t="shared" si="239"/>
        <v>77</v>
      </c>
      <c r="J1705" s="2">
        <f>'(Raw) LensesGH'!E1705</f>
        <v>0</v>
      </c>
      <c r="K1705" s="40">
        <f t="shared" si="240"/>
        <v>0</v>
      </c>
      <c r="L1705" t="str">
        <f>'(Raw) LensesGH'!F1705</f>
        <v>Canon EF-M</v>
      </c>
      <c r="M1705" t="str">
        <f>'(Raw) LensesGH'!G1705</f>
        <v>APS-C/ Kleinbild</v>
      </c>
      <c r="N1705" t="str">
        <f>'(Raw) LensesGH'!H1705</f>
        <v>930g</v>
      </c>
      <c r="O1705" s="5">
        <f t="shared" si="241"/>
        <v>930</v>
      </c>
      <c r="P1705" t="str">
        <f>'(Raw) LensesGH'!I1705</f>
        <v>82 x 120mm</v>
      </c>
      <c r="Q1705" s="39">
        <f t="shared" si="242"/>
        <v>82</v>
      </c>
      <c r="R1705" s="39">
        <f t="shared" si="234"/>
        <v>120</v>
      </c>
    </row>
    <row r="1706" spans="1:18" x14ac:dyDescent="0.25">
      <c r="A1706" t="str">
        <f>'(Raw) LensesGH'!A1706</f>
        <v>Walimex Pro 135mm 2.0 für Micro-Four-Thirds schwarz</v>
      </c>
      <c r="B1706" t="str">
        <f>'(Raw) LensesGH'!B1706</f>
        <v>135mm</v>
      </c>
      <c r="C1706" s="5">
        <f t="shared" si="235"/>
        <v>135</v>
      </c>
      <c r="D1706" s="5">
        <f t="shared" si="236"/>
        <v>135</v>
      </c>
      <c r="E1706" t="str">
        <f>'(Raw) LensesGH'!C1706</f>
        <v>1:2.0</v>
      </c>
      <c r="F1706" s="9">
        <f t="shared" si="237"/>
        <v>2</v>
      </c>
      <c r="G1706" s="9">
        <f t="shared" si="238"/>
        <v>2</v>
      </c>
      <c r="H1706" t="str">
        <f>'(Raw) LensesGH'!D1706</f>
        <v>77mm</v>
      </c>
      <c r="I1706" s="2">
        <f t="shared" si="239"/>
        <v>77</v>
      </c>
      <c r="J1706" s="2">
        <f>'(Raw) LensesGH'!E1706</f>
        <v>0</v>
      </c>
      <c r="K1706" s="40">
        <f t="shared" si="240"/>
        <v>0</v>
      </c>
      <c r="L1706" t="str">
        <f>'(Raw) LensesGH'!F1706</f>
        <v>Micro-Four-Thirds</v>
      </c>
      <c r="M1706" t="str">
        <f>'(Raw) LensesGH'!G1706</f>
        <v>APS-C/ Kleinbild</v>
      </c>
      <c r="N1706" t="str">
        <f>'(Raw) LensesGH'!H1706</f>
        <v>928g</v>
      </c>
      <c r="O1706" s="5">
        <f t="shared" si="241"/>
        <v>928</v>
      </c>
      <c r="P1706" t="str">
        <f>'(Raw) LensesGH'!I1706</f>
        <v>82 x 120mm</v>
      </c>
      <c r="Q1706" s="39">
        <f t="shared" si="242"/>
        <v>82</v>
      </c>
      <c r="R1706" s="39">
        <f t="shared" si="234"/>
        <v>120</v>
      </c>
    </row>
    <row r="1707" spans="1:18" x14ac:dyDescent="0.25">
      <c r="A1707" t="str">
        <f>'(Raw) LensesGH'!A1707</f>
        <v>Walimex Pro 135mm 2.0 für Pentax K schwarz</v>
      </c>
      <c r="B1707" t="str">
        <f>'(Raw) LensesGH'!B1707</f>
        <v>135mm</v>
      </c>
      <c r="C1707" s="5">
        <f t="shared" si="235"/>
        <v>135</v>
      </c>
      <c r="D1707" s="5">
        <f t="shared" si="236"/>
        <v>135</v>
      </c>
      <c r="E1707" t="str">
        <f>'(Raw) LensesGH'!C1707</f>
        <v>1:2.0</v>
      </c>
      <c r="F1707" s="9">
        <f t="shared" si="237"/>
        <v>2</v>
      </c>
      <c r="G1707" s="9">
        <f t="shared" si="238"/>
        <v>2</v>
      </c>
      <c r="H1707" t="str">
        <f>'(Raw) LensesGH'!D1707</f>
        <v>77mm</v>
      </c>
      <c r="I1707" s="2">
        <f t="shared" si="239"/>
        <v>77</v>
      </c>
      <c r="J1707" s="2">
        <f>'(Raw) LensesGH'!E1707</f>
        <v>0</v>
      </c>
      <c r="K1707" s="40">
        <f t="shared" si="240"/>
        <v>0</v>
      </c>
      <c r="L1707" t="str">
        <f>'(Raw) LensesGH'!F1707</f>
        <v>Pentax K</v>
      </c>
      <c r="M1707" t="str">
        <f>'(Raw) LensesGH'!G1707</f>
        <v>APS-C/ Kleinbild</v>
      </c>
      <c r="N1707" t="str">
        <f>'(Raw) LensesGH'!H1707</f>
        <v>884g</v>
      </c>
      <c r="O1707" s="5">
        <f t="shared" si="241"/>
        <v>884</v>
      </c>
      <c r="P1707" t="str">
        <f>'(Raw) LensesGH'!I1707</f>
        <v>82 x 120mm</v>
      </c>
      <c r="Q1707" s="39">
        <f t="shared" si="242"/>
        <v>82</v>
      </c>
      <c r="R1707" s="39">
        <f t="shared" si="234"/>
        <v>120</v>
      </c>
    </row>
    <row r="1708" spans="1:18" x14ac:dyDescent="0.25">
      <c r="A1708" t="str">
        <f>'(Raw) LensesGH'!A1708</f>
        <v>Walimex Pro 135mm 2.0 für Sony A schwarz</v>
      </c>
      <c r="B1708" t="str">
        <f>'(Raw) LensesGH'!B1708</f>
        <v>135mm</v>
      </c>
      <c r="C1708" s="5">
        <f t="shared" si="235"/>
        <v>135</v>
      </c>
      <c r="D1708" s="5">
        <f t="shared" si="236"/>
        <v>135</v>
      </c>
      <c r="E1708" t="str">
        <f>'(Raw) LensesGH'!C1708</f>
        <v>1:2.0</v>
      </c>
      <c r="F1708" s="9">
        <f t="shared" si="237"/>
        <v>2</v>
      </c>
      <c r="G1708" s="9">
        <f t="shared" si="238"/>
        <v>2</v>
      </c>
      <c r="H1708" t="str">
        <f>'(Raw) LensesGH'!D1708</f>
        <v>77mm</v>
      </c>
      <c r="I1708" s="2">
        <f t="shared" si="239"/>
        <v>77</v>
      </c>
      <c r="J1708" s="2">
        <f>'(Raw) LensesGH'!E1708</f>
        <v>0</v>
      </c>
      <c r="K1708" s="40">
        <f t="shared" si="240"/>
        <v>0</v>
      </c>
      <c r="L1708" t="str">
        <f>'(Raw) LensesGH'!F1708</f>
        <v>Sony A</v>
      </c>
      <c r="M1708" t="str">
        <f>'(Raw) LensesGH'!G1708</f>
        <v>APS-C/ Kleinbild</v>
      </c>
      <c r="N1708" t="str">
        <f>'(Raw) LensesGH'!H1708</f>
        <v>884g</v>
      </c>
      <c r="O1708" s="5">
        <f t="shared" si="241"/>
        <v>884</v>
      </c>
      <c r="P1708" t="str">
        <f>'(Raw) LensesGH'!I1708</f>
        <v>82 x 120mm</v>
      </c>
      <c r="Q1708" s="39">
        <f t="shared" si="242"/>
        <v>82</v>
      </c>
      <c r="R1708" s="39">
        <f t="shared" si="234"/>
        <v>120</v>
      </c>
    </row>
    <row r="1709" spans="1:18" x14ac:dyDescent="0.25">
      <c r="A1709" t="str">
        <f>'(Raw) LensesGH'!A1709</f>
        <v>Walimex Pro 135mm 2.0 für Sony E schwarz</v>
      </c>
      <c r="B1709" t="str">
        <f>'(Raw) LensesGH'!B1709</f>
        <v>135mm</v>
      </c>
      <c r="C1709" s="5">
        <f t="shared" si="235"/>
        <v>135</v>
      </c>
      <c r="D1709" s="5">
        <f t="shared" si="236"/>
        <v>135</v>
      </c>
      <c r="E1709" t="str">
        <f>'(Raw) LensesGH'!C1709</f>
        <v>1:2.0</v>
      </c>
      <c r="F1709" s="9">
        <f t="shared" si="237"/>
        <v>2</v>
      </c>
      <c r="G1709" s="9">
        <f t="shared" si="238"/>
        <v>2</v>
      </c>
      <c r="H1709" t="str">
        <f>'(Raw) LensesGH'!D1709</f>
        <v>77mm</v>
      </c>
      <c r="I1709" s="2">
        <f t="shared" si="239"/>
        <v>77</v>
      </c>
      <c r="J1709" s="2">
        <f>'(Raw) LensesGH'!E1709</f>
        <v>0</v>
      </c>
      <c r="K1709" s="40">
        <f t="shared" si="240"/>
        <v>0</v>
      </c>
      <c r="L1709" t="str">
        <f>'(Raw) LensesGH'!F1709</f>
        <v>Sony E</v>
      </c>
      <c r="M1709" t="str">
        <f>'(Raw) LensesGH'!G1709</f>
        <v>APS-C/ Kleinbild</v>
      </c>
      <c r="N1709" t="str">
        <f>'(Raw) LensesGH'!H1709</f>
        <v>940g</v>
      </c>
      <c r="O1709" s="5">
        <f t="shared" si="241"/>
        <v>940</v>
      </c>
      <c r="P1709" t="str">
        <f>'(Raw) LensesGH'!I1709</f>
        <v>82 x 120mm</v>
      </c>
      <c r="Q1709" s="39">
        <f t="shared" si="242"/>
        <v>82</v>
      </c>
      <c r="R1709" s="39">
        <f t="shared" si="234"/>
        <v>120</v>
      </c>
    </row>
    <row r="1710" spans="1:18" x14ac:dyDescent="0.25">
      <c r="A1710" t="str">
        <f>'(Raw) LensesGH'!A1710</f>
        <v>Walimex Pro 135mm T2.2 VDSLR für Canon EF schwarz</v>
      </c>
      <c r="B1710" t="str">
        <f>'(Raw) LensesGH'!B1710</f>
        <v>135mm</v>
      </c>
      <c r="C1710" s="5">
        <f t="shared" si="235"/>
        <v>135</v>
      </c>
      <c r="D1710" s="5">
        <f t="shared" si="236"/>
        <v>135</v>
      </c>
      <c r="E1710" t="str">
        <f>'(Raw) LensesGH'!C1710</f>
        <v>1:2.2</v>
      </c>
      <c r="F1710" s="9">
        <f t="shared" si="237"/>
        <v>2.2000000000000002</v>
      </c>
      <c r="G1710" s="9">
        <f t="shared" si="238"/>
        <v>2.2000000000000002</v>
      </c>
      <c r="H1710" t="str">
        <f>'(Raw) LensesGH'!D1710</f>
        <v>77mm</v>
      </c>
      <c r="I1710" s="2">
        <f t="shared" si="239"/>
        <v>77</v>
      </c>
      <c r="J1710" s="2">
        <f>'(Raw) LensesGH'!E1710</f>
        <v>0</v>
      </c>
      <c r="K1710" s="40">
        <f t="shared" si="240"/>
        <v>0</v>
      </c>
      <c r="L1710" t="str">
        <f>'(Raw) LensesGH'!F1710</f>
        <v>Canon EF</v>
      </c>
      <c r="M1710" t="str">
        <f>'(Raw) LensesGH'!G1710</f>
        <v>APS-C/ Kleinbild</v>
      </c>
      <c r="N1710" t="str">
        <f>'(Raw) LensesGH'!H1710</f>
        <v>892g</v>
      </c>
      <c r="O1710" s="5">
        <f t="shared" si="241"/>
        <v>892</v>
      </c>
      <c r="P1710" t="str">
        <f>'(Raw) LensesGH'!I1710</f>
        <v>82 x 120mm</v>
      </c>
      <c r="Q1710" s="39">
        <f t="shared" si="242"/>
        <v>82</v>
      </c>
      <c r="R1710" s="39">
        <f t="shared" si="234"/>
        <v>120</v>
      </c>
    </row>
    <row r="1711" spans="1:18" x14ac:dyDescent="0.25">
      <c r="A1711" t="str">
        <f>'(Raw) LensesGH'!A1711</f>
        <v>Walimex Pro 135mm T2.2 VDSLR für Four-Thirds schwarz</v>
      </c>
      <c r="B1711" t="str">
        <f>'(Raw) LensesGH'!B1711</f>
        <v>135mm</v>
      </c>
      <c r="C1711" s="5">
        <f t="shared" si="235"/>
        <v>135</v>
      </c>
      <c r="D1711" s="5">
        <f t="shared" si="236"/>
        <v>135</v>
      </c>
      <c r="E1711" t="str">
        <f>'(Raw) LensesGH'!C1711</f>
        <v>1:2.2</v>
      </c>
      <c r="F1711" s="9">
        <f t="shared" si="237"/>
        <v>2.2000000000000002</v>
      </c>
      <c r="G1711" s="9">
        <f t="shared" si="238"/>
        <v>2.2000000000000002</v>
      </c>
      <c r="H1711" t="str">
        <f>'(Raw) LensesGH'!D1711</f>
        <v>77mm</v>
      </c>
      <c r="I1711" s="2">
        <f t="shared" si="239"/>
        <v>77</v>
      </c>
      <c r="J1711" s="2">
        <f>'(Raw) LensesGH'!E1711</f>
        <v>0</v>
      </c>
      <c r="K1711" s="40">
        <f t="shared" si="240"/>
        <v>0</v>
      </c>
      <c r="L1711" t="str">
        <f>'(Raw) LensesGH'!F1711</f>
        <v>Four-Thirds</v>
      </c>
      <c r="M1711" t="str">
        <f>'(Raw) LensesGH'!G1711</f>
        <v>APS-C/ Kleinbild</v>
      </c>
      <c r="N1711" t="str">
        <f>'(Raw) LensesGH'!H1711</f>
        <v>935g</v>
      </c>
      <c r="O1711" s="5">
        <f t="shared" si="241"/>
        <v>935</v>
      </c>
      <c r="P1711" t="str">
        <f>'(Raw) LensesGH'!I1711</f>
        <v>82 x 120mm</v>
      </c>
      <c r="Q1711" s="39">
        <f t="shared" si="242"/>
        <v>82</v>
      </c>
      <c r="R1711" s="39">
        <f t="shared" si="234"/>
        <v>120</v>
      </c>
    </row>
    <row r="1712" spans="1:18" x14ac:dyDescent="0.25">
      <c r="A1712" t="str">
        <f>'(Raw) LensesGH'!A1712</f>
        <v>Walimex Pro 135mm T2.2 VDSLR für Micro-Four-Thirds schwarz</v>
      </c>
      <c r="B1712" t="str">
        <f>'(Raw) LensesGH'!B1712</f>
        <v>135mm</v>
      </c>
      <c r="C1712" s="5">
        <f t="shared" si="235"/>
        <v>135</v>
      </c>
      <c r="D1712" s="5">
        <f t="shared" si="236"/>
        <v>135</v>
      </c>
      <c r="E1712" t="str">
        <f>'(Raw) LensesGH'!C1712</f>
        <v>1:2.2</v>
      </c>
      <c r="F1712" s="9">
        <f t="shared" si="237"/>
        <v>2.2000000000000002</v>
      </c>
      <c r="G1712" s="9">
        <f t="shared" si="238"/>
        <v>2.2000000000000002</v>
      </c>
      <c r="H1712" t="str">
        <f>'(Raw) LensesGH'!D1712</f>
        <v>77mm</v>
      </c>
      <c r="I1712" s="2">
        <f t="shared" si="239"/>
        <v>77</v>
      </c>
      <c r="J1712" s="2">
        <f>'(Raw) LensesGH'!E1712</f>
        <v>0</v>
      </c>
      <c r="K1712" s="40">
        <f t="shared" si="240"/>
        <v>0</v>
      </c>
      <c r="L1712" t="str">
        <f>'(Raw) LensesGH'!F1712</f>
        <v>Micro-Four-Thirds</v>
      </c>
      <c r="M1712" t="str">
        <f>'(Raw) LensesGH'!G1712</f>
        <v>APS-C/ Kleinbild</v>
      </c>
      <c r="N1712" t="str">
        <f>'(Raw) LensesGH'!H1712</f>
        <v>920g</v>
      </c>
      <c r="O1712" s="5">
        <f t="shared" si="241"/>
        <v>920</v>
      </c>
      <c r="P1712" t="str">
        <f>'(Raw) LensesGH'!I1712</f>
        <v>82 x 120mm</v>
      </c>
      <c r="Q1712" s="39">
        <f t="shared" si="242"/>
        <v>82</v>
      </c>
      <c r="R1712" s="39">
        <f t="shared" si="234"/>
        <v>120</v>
      </c>
    </row>
    <row r="1713" spans="1:18" x14ac:dyDescent="0.25">
      <c r="A1713" t="str">
        <f>'(Raw) LensesGH'!A1713</f>
        <v>Walimex Pro 135mm T2.2 VDSLR für Nikon F schwarz</v>
      </c>
      <c r="B1713" t="str">
        <f>'(Raw) LensesGH'!B1713</f>
        <v>135mm</v>
      </c>
      <c r="C1713" s="5">
        <f t="shared" si="235"/>
        <v>135</v>
      </c>
      <c r="D1713" s="5">
        <f t="shared" si="236"/>
        <v>135</v>
      </c>
      <c r="E1713" t="str">
        <f>'(Raw) LensesGH'!C1713</f>
        <v>1:2.2</v>
      </c>
      <c r="F1713" s="9">
        <f t="shared" si="237"/>
        <v>2.2000000000000002</v>
      </c>
      <c r="G1713" s="9">
        <f t="shared" si="238"/>
        <v>2.2000000000000002</v>
      </c>
      <c r="H1713" t="str">
        <f>'(Raw) LensesGH'!D1713</f>
        <v>77mm</v>
      </c>
      <c r="I1713" s="2">
        <f t="shared" si="239"/>
        <v>77</v>
      </c>
      <c r="J1713" s="2">
        <f>'(Raw) LensesGH'!E1713</f>
        <v>0</v>
      </c>
      <c r="K1713" s="40">
        <f t="shared" si="240"/>
        <v>0</v>
      </c>
      <c r="L1713" t="str">
        <f>'(Raw) LensesGH'!F1713</f>
        <v>Nikon F</v>
      </c>
      <c r="M1713" t="str">
        <f>'(Raw) LensesGH'!G1713</f>
        <v>APS-C/ Kleinbild</v>
      </c>
      <c r="N1713" t="str">
        <f>'(Raw) LensesGH'!H1713</f>
        <v>882g</v>
      </c>
      <c r="O1713" s="5">
        <f t="shared" si="241"/>
        <v>882</v>
      </c>
      <c r="P1713" t="str">
        <f>'(Raw) LensesGH'!I1713</f>
        <v>82 x 120mm</v>
      </c>
      <c r="Q1713" s="39">
        <f t="shared" si="242"/>
        <v>82</v>
      </c>
      <c r="R1713" s="39">
        <f t="shared" si="234"/>
        <v>120</v>
      </c>
    </row>
    <row r="1714" spans="1:18" x14ac:dyDescent="0.25">
      <c r="A1714" t="str">
        <f>'(Raw) LensesGH'!A1714</f>
        <v>Walimex Pro 135mm T2.2 VDSLR für Samsung NX schwarz</v>
      </c>
      <c r="B1714" t="str">
        <f>'(Raw) LensesGH'!B1714</f>
        <v>135mm</v>
      </c>
      <c r="C1714" s="5">
        <f t="shared" si="235"/>
        <v>135</v>
      </c>
      <c r="D1714" s="5">
        <f t="shared" si="236"/>
        <v>135</v>
      </c>
      <c r="E1714" t="str">
        <f>'(Raw) LensesGH'!C1714</f>
        <v>1:2.2</v>
      </c>
      <c r="F1714" s="9">
        <f t="shared" si="237"/>
        <v>2.2000000000000002</v>
      </c>
      <c r="G1714" s="9">
        <f t="shared" si="238"/>
        <v>2.2000000000000002</v>
      </c>
      <c r="H1714" t="str">
        <f>'(Raw) LensesGH'!D1714</f>
        <v>77mm</v>
      </c>
      <c r="I1714" s="2">
        <f t="shared" si="239"/>
        <v>77</v>
      </c>
      <c r="J1714" s="2">
        <f>'(Raw) LensesGH'!E1714</f>
        <v>0</v>
      </c>
      <c r="K1714" s="40">
        <f t="shared" si="240"/>
        <v>0</v>
      </c>
      <c r="L1714" t="str">
        <f>'(Raw) LensesGH'!F1714</f>
        <v>Samsung NX</v>
      </c>
      <c r="M1714" t="str">
        <f>'(Raw) LensesGH'!G1714</f>
        <v>APS-C/ Kleinbild</v>
      </c>
      <c r="N1714" t="str">
        <f>'(Raw) LensesGH'!H1714</f>
        <v>850g</v>
      </c>
      <c r="O1714" s="5">
        <f t="shared" si="241"/>
        <v>850</v>
      </c>
      <c r="P1714" t="str">
        <f>'(Raw) LensesGH'!I1714</f>
        <v>82 x 120mm</v>
      </c>
      <c r="Q1714" s="39">
        <f t="shared" si="242"/>
        <v>82</v>
      </c>
      <c r="R1714" s="39">
        <f t="shared" si="234"/>
        <v>120</v>
      </c>
    </row>
    <row r="1715" spans="1:18" x14ac:dyDescent="0.25">
      <c r="A1715" t="str">
        <f>'(Raw) LensesGH'!A1715</f>
        <v>Walimex Pro 135mm T2.2 VDSLR für Sony A schwarz</v>
      </c>
      <c r="B1715" t="str">
        <f>'(Raw) LensesGH'!B1715</f>
        <v>135mm</v>
      </c>
      <c r="C1715" s="5">
        <f t="shared" si="235"/>
        <v>135</v>
      </c>
      <c r="D1715" s="5">
        <f t="shared" si="236"/>
        <v>135</v>
      </c>
      <c r="E1715" t="str">
        <f>'(Raw) LensesGH'!C1715</f>
        <v>1:2.2</v>
      </c>
      <c r="F1715" s="9">
        <f t="shared" si="237"/>
        <v>2.2000000000000002</v>
      </c>
      <c r="G1715" s="9">
        <f t="shared" si="238"/>
        <v>2.2000000000000002</v>
      </c>
      <c r="H1715" t="str">
        <f>'(Raw) LensesGH'!D1715</f>
        <v>77mm</v>
      </c>
      <c r="I1715" s="2">
        <f t="shared" si="239"/>
        <v>77</v>
      </c>
      <c r="J1715" s="2">
        <f>'(Raw) LensesGH'!E1715</f>
        <v>0</v>
      </c>
      <c r="K1715" s="40">
        <f t="shared" si="240"/>
        <v>0</v>
      </c>
      <c r="L1715" t="str">
        <f>'(Raw) LensesGH'!F1715</f>
        <v>Sony A</v>
      </c>
      <c r="M1715" t="str">
        <f>'(Raw) LensesGH'!G1715</f>
        <v>APS-C/ Kleinbild</v>
      </c>
      <c r="N1715" t="str">
        <f>'(Raw) LensesGH'!H1715</f>
        <v>886g</v>
      </c>
      <c r="O1715" s="5">
        <f t="shared" si="241"/>
        <v>886</v>
      </c>
      <c r="P1715" t="str">
        <f>'(Raw) LensesGH'!I1715</f>
        <v>82 x 120mm</v>
      </c>
      <c r="Q1715" s="39">
        <f t="shared" si="242"/>
        <v>82</v>
      </c>
      <c r="R1715" s="39">
        <f t="shared" si="234"/>
        <v>120</v>
      </c>
    </row>
    <row r="1716" spans="1:18" x14ac:dyDescent="0.25">
      <c r="A1716" t="str">
        <f>'(Raw) LensesGH'!A1716</f>
        <v>Walimex Pro 135mm T2.2 VDSLR für Sony E schwarz</v>
      </c>
      <c r="B1716" t="str">
        <f>'(Raw) LensesGH'!B1716</f>
        <v>135mm</v>
      </c>
      <c r="C1716" s="5">
        <f t="shared" si="235"/>
        <v>135</v>
      </c>
      <c r="D1716" s="5">
        <f t="shared" si="236"/>
        <v>135</v>
      </c>
      <c r="E1716" t="str">
        <f>'(Raw) LensesGH'!C1716</f>
        <v>1:2.2</v>
      </c>
      <c r="F1716" s="9">
        <f t="shared" si="237"/>
        <v>2.2000000000000002</v>
      </c>
      <c r="G1716" s="9">
        <f t="shared" si="238"/>
        <v>2.2000000000000002</v>
      </c>
      <c r="H1716" t="str">
        <f>'(Raw) LensesGH'!D1716</f>
        <v>77mm</v>
      </c>
      <c r="I1716" s="2">
        <f t="shared" si="239"/>
        <v>77</v>
      </c>
      <c r="J1716" s="2">
        <f>'(Raw) LensesGH'!E1716</f>
        <v>0</v>
      </c>
      <c r="K1716" s="40">
        <f t="shared" si="240"/>
        <v>0</v>
      </c>
      <c r="L1716" t="str">
        <f>'(Raw) LensesGH'!F1716</f>
        <v>Sony E</v>
      </c>
      <c r="M1716" t="str">
        <f>'(Raw) LensesGH'!G1716</f>
        <v>APS-C/ Kleinbild</v>
      </c>
      <c r="N1716" t="str">
        <f>'(Raw) LensesGH'!H1716</f>
        <v>926g</v>
      </c>
      <c r="O1716" s="5">
        <f t="shared" si="241"/>
        <v>926</v>
      </c>
      <c r="P1716" t="str">
        <f>'(Raw) LensesGH'!I1716</f>
        <v>82 x 120mm</v>
      </c>
      <c r="Q1716" s="39">
        <f t="shared" si="242"/>
        <v>82</v>
      </c>
      <c r="R1716" s="39">
        <f t="shared" si="234"/>
        <v>120</v>
      </c>
    </row>
    <row r="1717" spans="1:18" x14ac:dyDescent="0.25">
      <c r="A1717" t="str">
        <f>'(Raw) LensesGH'!A1717</f>
        <v>Walimex Pro 14mm 2.8 für Canon EF schwarz</v>
      </c>
      <c r="B1717" t="str">
        <f>'(Raw) LensesGH'!B1717</f>
        <v>14mm</v>
      </c>
      <c r="C1717" s="5">
        <f t="shared" si="235"/>
        <v>14</v>
      </c>
      <c r="D1717" s="5">
        <f t="shared" si="236"/>
        <v>14</v>
      </c>
      <c r="E1717" t="str">
        <f>'(Raw) LensesGH'!C1717</f>
        <v>1:2.8</v>
      </c>
      <c r="F1717" s="9">
        <f t="shared" si="237"/>
        <v>2.8</v>
      </c>
      <c r="G1717" s="9">
        <f t="shared" si="238"/>
        <v>2.8</v>
      </c>
      <c r="H1717">
        <f>'(Raw) LensesGH'!D1717</f>
        <v>0</v>
      </c>
      <c r="I1717" s="2">
        <f t="shared" si="239"/>
        <v>0</v>
      </c>
      <c r="J1717" s="2">
        <f>'(Raw) LensesGH'!E1717</f>
        <v>0</v>
      </c>
      <c r="K1717" s="40">
        <f t="shared" si="240"/>
        <v>0</v>
      </c>
      <c r="L1717" t="str">
        <f>'(Raw) LensesGH'!F1717</f>
        <v>Canon EF</v>
      </c>
      <c r="M1717" t="str">
        <f>'(Raw) LensesGH'!G1717</f>
        <v>APS-C/ Kleinbild</v>
      </c>
      <c r="N1717" t="str">
        <f>'(Raw) LensesGH'!H1717</f>
        <v>550g</v>
      </c>
      <c r="O1717" s="5">
        <f t="shared" si="241"/>
        <v>550</v>
      </c>
      <c r="P1717" t="str">
        <f>'(Raw) LensesGH'!I1717</f>
        <v>86.5 x 100mm</v>
      </c>
      <c r="Q1717" s="39">
        <f t="shared" si="242"/>
        <v>86.5</v>
      </c>
      <c r="R1717" s="39">
        <f t="shared" si="234"/>
        <v>100</v>
      </c>
    </row>
    <row r="1718" spans="1:18" x14ac:dyDescent="0.25">
      <c r="A1718" t="str">
        <f>'(Raw) LensesGH'!A1718</f>
        <v>Walimex Pro 14mm 2.8 für Canon EF-M schwarz</v>
      </c>
      <c r="B1718" t="str">
        <f>'(Raw) LensesGH'!B1718</f>
        <v>14mm</v>
      </c>
      <c r="C1718" s="5">
        <f t="shared" si="235"/>
        <v>14</v>
      </c>
      <c r="D1718" s="5">
        <f t="shared" si="236"/>
        <v>14</v>
      </c>
      <c r="E1718" t="str">
        <f>'(Raw) LensesGH'!C1718</f>
        <v>1:2.8</v>
      </c>
      <c r="F1718" s="9">
        <f t="shared" si="237"/>
        <v>2.8</v>
      </c>
      <c r="G1718" s="9">
        <f t="shared" si="238"/>
        <v>2.8</v>
      </c>
      <c r="H1718">
        <f>'(Raw) LensesGH'!D1718</f>
        <v>0</v>
      </c>
      <c r="I1718" s="2">
        <f t="shared" si="239"/>
        <v>0</v>
      </c>
      <c r="J1718" s="2">
        <f>'(Raw) LensesGH'!E1718</f>
        <v>0</v>
      </c>
      <c r="K1718" s="40">
        <f t="shared" si="240"/>
        <v>0</v>
      </c>
      <c r="L1718" t="str">
        <f>'(Raw) LensesGH'!F1718</f>
        <v>Canon EF-M</v>
      </c>
      <c r="M1718" t="str">
        <f>'(Raw) LensesGH'!G1718</f>
        <v>APS-C/ Kleinbild</v>
      </c>
      <c r="N1718" t="str">
        <f>'(Raw) LensesGH'!H1718</f>
        <v>550g</v>
      </c>
      <c r="O1718" s="5">
        <f t="shared" si="241"/>
        <v>550</v>
      </c>
      <c r="P1718" t="str">
        <f>'(Raw) LensesGH'!I1718</f>
        <v>87 x 96.1mm</v>
      </c>
      <c r="Q1718" s="39">
        <f t="shared" si="242"/>
        <v>87</v>
      </c>
      <c r="R1718" s="39">
        <f t="shared" si="234"/>
        <v>96.1</v>
      </c>
    </row>
    <row r="1719" spans="1:18" x14ac:dyDescent="0.25">
      <c r="A1719" t="str">
        <f>'(Raw) LensesGH'!A1719</f>
        <v>Walimex Pro 14mm 2.8 für Four-Thirds schwarz</v>
      </c>
      <c r="B1719" t="str">
        <f>'(Raw) LensesGH'!B1719</f>
        <v>14mm</v>
      </c>
      <c r="C1719" s="5">
        <f t="shared" si="235"/>
        <v>14</v>
      </c>
      <c r="D1719" s="5">
        <f t="shared" si="236"/>
        <v>14</v>
      </c>
      <c r="E1719" t="str">
        <f>'(Raw) LensesGH'!C1719</f>
        <v>1:2.8</v>
      </c>
      <c r="F1719" s="9">
        <f t="shared" si="237"/>
        <v>2.8</v>
      </c>
      <c r="G1719" s="9">
        <f t="shared" si="238"/>
        <v>2.8</v>
      </c>
      <c r="H1719">
        <f>'(Raw) LensesGH'!D1719</f>
        <v>0</v>
      </c>
      <c r="I1719" s="2">
        <f t="shared" si="239"/>
        <v>0</v>
      </c>
      <c r="J1719" s="2">
        <f>'(Raw) LensesGH'!E1719</f>
        <v>0</v>
      </c>
      <c r="K1719" s="40">
        <f t="shared" si="240"/>
        <v>0</v>
      </c>
      <c r="L1719" t="str">
        <f>'(Raw) LensesGH'!F1719</f>
        <v>Four-Thirds</v>
      </c>
      <c r="M1719" t="str">
        <f>'(Raw) LensesGH'!G1719</f>
        <v>Four-Thirds</v>
      </c>
      <c r="N1719" t="str">
        <f>'(Raw) LensesGH'!H1719</f>
        <v>550g</v>
      </c>
      <c r="O1719" s="5">
        <f t="shared" si="241"/>
        <v>550</v>
      </c>
      <c r="P1719" t="str">
        <f>'(Raw) LensesGH'!I1719</f>
        <v>86.5 x 100mm</v>
      </c>
      <c r="Q1719" s="39">
        <f t="shared" si="242"/>
        <v>86.5</v>
      </c>
      <c r="R1719" s="39">
        <f t="shared" si="234"/>
        <v>100</v>
      </c>
    </row>
    <row r="1720" spans="1:18" x14ac:dyDescent="0.25">
      <c r="A1720" t="str">
        <f>'(Raw) LensesGH'!A1720</f>
        <v>Walimex Pro 14mm 2.8 für Micro-Four-Thirds schwarz</v>
      </c>
      <c r="B1720" t="str">
        <f>'(Raw) LensesGH'!B1720</f>
        <v>14mm</v>
      </c>
      <c r="C1720" s="5">
        <f t="shared" si="235"/>
        <v>14</v>
      </c>
      <c r="D1720" s="5">
        <f t="shared" si="236"/>
        <v>14</v>
      </c>
      <c r="E1720" t="str">
        <f>'(Raw) LensesGH'!C1720</f>
        <v>1:2.8</v>
      </c>
      <c r="F1720" s="9">
        <f t="shared" si="237"/>
        <v>2.8</v>
      </c>
      <c r="G1720" s="9">
        <f t="shared" si="238"/>
        <v>2.8</v>
      </c>
      <c r="H1720">
        <f>'(Raw) LensesGH'!D1720</f>
        <v>0</v>
      </c>
      <c r="I1720" s="2">
        <f t="shared" si="239"/>
        <v>0</v>
      </c>
      <c r="J1720" s="2">
        <f>'(Raw) LensesGH'!E1720</f>
        <v>0</v>
      </c>
      <c r="K1720" s="40">
        <f t="shared" si="240"/>
        <v>0</v>
      </c>
      <c r="L1720" t="str">
        <f>'(Raw) LensesGH'!F1720</f>
        <v>Micro-Four-Thirds</v>
      </c>
      <c r="M1720" t="str">
        <f>'(Raw) LensesGH'!G1720</f>
        <v>Four-Thirds</v>
      </c>
      <c r="N1720" t="str">
        <f>'(Raw) LensesGH'!H1720</f>
        <v>560g</v>
      </c>
      <c r="O1720" s="5">
        <f t="shared" si="241"/>
        <v>560</v>
      </c>
      <c r="P1720" t="str">
        <f>'(Raw) LensesGH'!I1720</f>
        <v>86.5 x 101.4mm</v>
      </c>
      <c r="Q1720" s="39">
        <f t="shared" si="242"/>
        <v>86.5</v>
      </c>
      <c r="R1720" s="39">
        <f t="shared" si="234"/>
        <v>101.4</v>
      </c>
    </row>
    <row r="1721" spans="1:18" x14ac:dyDescent="0.25">
      <c r="A1721" t="str">
        <f>'(Raw) LensesGH'!A1721</f>
        <v>Walimex Pro 14mm 2.8 für Nikon F schwarz</v>
      </c>
      <c r="B1721" t="str">
        <f>'(Raw) LensesGH'!B1721</f>
        <v>14mm</v>
      </c>
      <c r="C1721" s="5">
        <f t="shared" si="235"/>
        <v>14</v>
      </c>
      <c r="D1721" s="5">
        <f t="shared" si="236"/>
        <v>14</v>
      </c>
      <c r="E1721" t="str">
        <f>'(Raw) LensesGH'!C1721</f>
        <v>1:2.8</v>
      </c>
      <c r="F1721" s="9">
        <f t="shared" si="237"/>
        <v>2.8</v>
      </c>
      <c r="G1721" s="9">
        <f t="shared" si="238"/>
        <v>2.8</v>
      </c>
      <c r="H1721">
        <f>'(Raw) LensesGH'!D1721</f>
        <v>0</v>
      </c>
      <c r="I1721" s="2">
        <f t="shared" si="239"/>
        <v>0</v>
      </c>
      <c r="J1721" s="2">
        <f>'(Raw) LensesGH'!E1721</f>
        <v>0</v>
      </c>
      <c r="K1721" s="40">
        <f t="shared" si="240"/>
        <v>0</v>
      </c>
      <c r="L1721" t="str">
        <f>'(Raw) LensesGH'!F1721</f>
        <v>Nikon F</v>
      </c>
      <c r="M1721" t="str">
        <f>'(Raw) LensesGH'!G1721</f>
        <v>APS-C/ Kleinbild</v>
      </c>
      <c r="N1721" t="str">
        <f>'(Raw) LensesGH'!H1721</f>
        <v>550g</v>
      </c>
      <c r="O1721" s="5">
        <f t="shared" si="241"/>
        <v>550</v>
      </c>
      <c r="P1721" t="str">
        <f>'(Raw) LensesGH'!I1721</f>
        <v>86.5 x 100mm</v>
      </c>
      <c r="Q1721" s="39">
        <f t="shared" si="242"/>
        <v>86.5</v>
      </c>
      <c r="R1721" s="39">
        <f t="shared" si="234"/>
        <v>100</v>
      </c>
    </row>
    <row r="1722" spans="1:18" x14ac:dyDescent="0.25">
      <c r="A1722" t="str">
        <f>'(Raw) LensesGH'!A1722</f>
        <v>Walimex Pro 14mm 2.8 für Pentax K schwarz</v>
      </c>
      <c r="B1722" t="str">
        <f>'(Raw) LensesGH'!B1722</f>
        <v>14mm</v>
      </c>
      <c r="C1722" s="5">
        <f t="shared" si="235"/>
        <v>14</v>
      </c>
      <c r="D1722" s="5">
        <f t="shared" si="236"/>
        <v>14</v>
      </c>
      <c r="E1722" t="str">
        <f>'(Raw) LensesGH'!C1722</f>
        <v>1:2.8</v>
      </c>
      <c r="F1722" s="9">
        <f t="shared" si="237"/>
        <v>2.8</v>
      </c>
      <c r="G1722" s="9">
        <f t="shared" si="238"/>
        <v>2.8</v>
      </c>
      <c r="H1722">
        <f>'(Raw) LensesGH'!D1722</f>
        <v>0</v>
      </c>
      <c r="I1722" s="2">
        <f t="shared" si="239"/>
        <v>0</v>
      </c>
      <c r="J1722" s="2">
        <f>'(Raw) LensesGH'!E1722</f>
        <v>0</v>
      </c>
      <c r="K1722" s="40">
        <f t="shared" si="240"/>
        <v>0</v>
      </c>
      <c r="L1722" t="str">
        <f>'(Raw) LensesGH'!F1722</f>
        <v>Pentax K</v>
      </c>
      <c r="M1722" t="str">
        <f>'(Raw) LensesGH'!G1722</f>
        <v>APS-C/ Kleinbild</v>
      </c>
      <c r="N1722" t="str">
        <f>'(Raw) LensesGH'!H1722</f>
        <v>550g</v>
      </c>
      <c r="O1722" s="5">
        <f t="shared" si="241"/>
        <v>550</v>
      </c>
      <c r="P1722" t="str">
        <f>'(Raw) LensesGH'!I1722</f>
        <v>86.5 x 100mm</v>
      </c>
      <c r="Q1722" s="39">
        <f t="shared" si="242"/>
        <v>86.5</v>
      </c>
      <c r="R1722" s="39">
        <f t="shared" si="234"/>
        <v>100</v>
      </c>
    </row>
    <row r="1723" spans="1:18" x14ac:dyDescent="0.25">
      <c r="A1723" t="str">
        <f>'(Raw) LensesGH'!A1723</f>
        <v>Walimex Pro 14mm 2.8 für Samsung NX schwarz</v>
      </c>
      <c r="B1723" t="str">
        <f>'(Raw) LensesGH'!B1723</f>
        <v>14mm</v>
      </c>
      <c r="C1723" s="5">
        <f t="shared" si="235"/>
        <v>14</v>
      </c>
      <c r="D1723" s="5">
        <f t="shared" si="236"/>
        <v>14</v>
      </c>
      <c r="E1723" t="str">
        <f>'(Raw) LensesGH'!C1723</f>
        <v>1:2.8</v>
      </c>
      <c r="F1723" s="9">
        <f t="shared" si="237"/>
        <v>2.8</v>
      </c>
      <c r="G1723" s="9">
        <f t="shared" si="238"/>
        <v>2.8</v>
      </c>
      <c r="H1723">
        <f>'(Raw) LensesGH'!D1723</f>
        <v>0</v>
      </c>
      <c r="I1723" s="2">
        <f t="shared" si="239"/>
        <v>0</v>
      </c>
      <c r="J1723" s="2">
        <f>'(Raw) LensesGH'!E1723</f>
        <v>0</v>
      </c>
      <c r="K1723" s="40">
        <f t="shared" si="240"/>
        <v>0</v>
      </c>
      <c r="L1723" t="str">
        <f>'(Raw) LensesGH'!F1723</f>
        <v>Samsung NX</v>
      </c>
      <c r="M1723" t="str">
        <f>'(Raw) LensesGH'!G1723</f>
        <v>APS-C</v>
      </c>
      <c r="N1723" t="str">
        <f>'(Raw) LensesGH'!H1723</f>
        <v>550g</v>
      </c>
      <c r="O1723" s="5">
        <f t="shared" si="241"/>
        <v>550</v>
      </c>
      <c r="P1723" t="str">
        <f>'(Raw) LensesGH'!I1723</f>
        <v>86.5 x 100mm</v>
      </c>
      <c r="Q1723" s="39">
        <f t="shared" si="242"/>
        <v>86.5</v>
      </c>
      <c r="R1723" s="39">
        <f t="shared" si="234"/>
        <v>100</v>
      </c>
    </row>
    <row r="1724" spans="1:18" x14ac:dyDescent="0.25">
      <c r="A1724" t="str">
        <f>'(Raw) LensesGH'!A1724</f>
        <v>Walimex Pro 14mm 2.8 für Sony A schwarz</v>
      </c>
      <c r="B1724" t="str">
        <f>'(Raw) LensesGH'!B1724</f>
        <v>14mm</v>
      </c>
      <c r="C1724" s="5">
        <f t="shared" si="235"/>
        <v>14</v>
      </c>
      <c r="D1724" s="5">
        <f t="shared" si="236"/>
        <v>14</v>
      </c>
      <c r="E1724" t="str">
        <f>'(Raw) LensesGH'!C1724</f>
        <v>1:2.8</v>
      </c>
      <c r="F1724" s="9">
        <f t="shared" si="237"/>
        <v>2.8</v>
      </c>
      <c r="G1724" s="9">
        <f t="shared" si="238"/>
        <v>2.8</v>
      </c>
      <c r="H1724">
        <f>'(Raw) LensesGH'!D1724</f>
        <v>0</v>
      </c>
      <c r="I1724" s="2">
        <f t="shared" si="239"/>
        <v>0</v>
      </c>
      <c r="J1724" s="2">
        <f>'(Raw) LensesGH'!E1724</f>
        <v>0</v>
      </c>
      <c r="K1724" s="40">
        <f t="shared" si="240"/>
        <v>0</v>
      </c>
      <c r="L1724" t="str">
        <f>'(Raw) LensesGH'!F1724</f>
        <v>Sony A</v>
      </c>
      <c r="M1724" t="str">
        <f>'(Raw) LensesGH'!G1724</f>
        <v>APS-C</v>
      </c>
      <c r="N1724" t="str">
        <f>'(Raw) LensesGH'!H1724</f>
        <v>550g</v>
      </c>
      <c r="O1724" s="5">
        <f t="shared" si="241"/>
        <v>550</v>
      </c>
      <c r="P1724" t="str">
        <f>'(Raw) LensesGH'!I1724</f>
        <v>86.5 x 100mm</v>
      </c>
      <c r="Q1724" s="39">
        <f t="shared" si="242"/>
        <v>86.5</v>
      </c>
      <c r="R1724" s="39">
        <f t="shared" si="234"/>
        <v>100</v>
      </c>
    </row>
    <row r="1725" spans="1:18" x14ac:dyDescent="0.25">
      <c r="A1725" t="str">
        <f>'(Raw) LensesGH'!A1725</f>
        <v>Walimex Pro 14mm 2.8 für Sony E schwarz</v>
      </c>
      <c r="B1725" t="str">
        <f>'(Raw) LensesGH'!B1725</f>
        <v>14mm</v>
      </c>
      <c r="C1725" s="5">
        <f t="shared" si="235"/>
        <v>14</v>
      </c>
      <c r="D1725" s="5">
        <f t="shared" si="236"/>
        <v>14</v>
      </c>
      <c r="E1725" t="str">
        <f>'(Raw) LensesGH'!C1725</f>
        <v>1:2.8</v>
      </c>
      <c r="F1725" s="9">
        <f t="shared" si="237"/>
        <v>2.8</v>
      </c>
      <c r="G1725" s="9">
        <f t="shared" si="238"/>
        <v>2.8</v>
      </c>
      <c r="H1725">
        <f>'(Raw) LensesGH'!D1725</f>
        <v>0</v>
      </c>
      <c r="I1725" s="2">
        <f t="shared" si="239"/>
        <v>0</v>
      </c>
      <c r="J1725" s="2">
        <f>'(Raw) LensesGH'!E1725</f>
        <v>0</v>
      </c>
      <c r="K1725" s="40">
        <f t="shared" si="240"/>
        <v>0</v>
      </c>
      <c r="L1725" t="str">
        <f>'(Raw) LensesGH'!F1725</f>
        <v>Sony E</v>
      </c>
      <c r="M1725" t="str">
        <f>'(Raw) LensesGH'!G1725</f>
        <v>APS-C/ Kleinbild</v>
      </c>
      <c r="N1725" t="str">
        <f>'(Raw) LensesGH'!H1725</f>
        <v>550g</v>
      </c>
      <c r="O1725" s="5">
        <f t="shared" si="241"/>
        <v>550</v>
      </c>
      <c r="P1725" t="str">
        <f>'(Raw) LensesGH'!I1725</f>
        <v>87 x 96.1mm</v>
      </c>
      <c r="Q1725" s="39">
        <f t="shared" si="242"/>
        <v>87</v>
      </c>
      <c r="R1725" s="39">
        <f t="shared" si="234"/>
        <v>96.1</v>
      </c>
    </row>
    <row r="1726" spans="1:18" x14ac:dyDescent="0.25">
      <c r="A1726" t="str">
        <f>'(Raw) LensesGH'!A1726</f>
        <v>Walimex Pro 14mm 3.1 VCSC für Canon EF-M schwarz</v>
      </c>
      <c r="B1726" t="str">
        <f>'(Raw) LensesGH'!B1726</f>
        <v>14mm</v>
      </c>
      <c r="C1726" s="5">
        <f t="shared" si="235"/>
        <v>14</v>
      </c>
      <c r="D1726" s="5">
        <f t="shared" si="236"/>
        <v>14</v>
      </c>
      <c r="E1726" t="str">
        <f>'(Raw) LensesGH'!C1726</f>
        <v>1:3.1</v>
      </c>
      <c r="F1726" s="9">
        <f t="shared" si="237"/>
        <v>3.1</v>
      </c>
      <c r="G1726" s="9">
        <f t="shared" si="238"/>
        <v>3.1</v>
      </c>
      <c r="H1726">
        <f>'(Raw) LensesGH'!D1726</f>
        <v>0</v>
      </c>
      <c r="I1726" s="2">
        <f t="shared" si="239"/>
        <v>0</v>
      </c>
      <c r="J1726" s="2">
        <f>'(Raw) LensesGH'!E1726</f>
        <v>0</v>
      </c>
      <c r="K1726" s="40">
        <f t="shared" si="240"/>
        <v>0</v>
      </c>
      <c r="L1726" t="str">
        <f>'(Raw) LensesGH'!F1726</f>
        <v>Canon EF-M</v>
      </c>
      <c r="M1726" t="str">
        <f>'(Raw) LensesGH'!G1726</f>
        <v>APS-C</v>
      </c>
      <c r="N1726" t="str">
        <f>'(Raw) LensesGH'!H1726</f>
        <v>690g</v>
      </c>
      <c r="O1726" s="5">
        <f t="shared" si="241"/>
        <v>690</v>
      </c>
      <c r="P1726" t="str">
        <f>'(Raw) LensesGH'!I1726</f>
        <v>87 x 122mm</v>
      </c>
      <c r="Q1726" s="39">
        <f t="shared" si="242"/>
        <v>87</v>
      </c>
      <c r="R1726" s="39">
        <f t="shared" si="234"/>
        <v>122</v>
      </c>
    </row>
    <row r="1727" spans="1:18" x14ac:dyDescent="0.25">
      <c r="A1727" t="str">
        <f>'(Raw) LensesGH'!A1727</f>
        <v>Walimex Pro 14mm 3.1 VDSLR für Canon EF schwarz</v>
      </c>
      <c r="B1727" t="str">
        <f>'(Raw) LensesGH'!B1727</f>
        <v>14mm</v>
      </c>
      <c r="C1727" s="5">
        <f t="shared" si="235"/>
        <v>14</v>
      </c>
      <c r="D1727" s="5">
        <f t="shared" si="236"/>
        <v>14</v>
      </c>
      <c r="E1727" t="str">
        <f>'(Raw) LensesGH'!C1727</f>
        <v>1:3.1</v>
      </c>
      <c r="F1727" s="9">
        <f t="shared" si="237"/>
        <v>3.1</v>
      </c>
      <c r="G1727" s="9">
        <f t="shared" si="238"/>
        <v>3.1</v>
      </c>
      <c r="H1727">
        <f>'(Raw) LensesGH'!D1727</f>
        <v>0</v>
      </c>
      <c r="I1727" s="2">
        <f t="shared" si="239"/>
        <v>0</v>
      </c>
      <c r="J1727" s="2">
        <f>'(Raw) LensesGH'!E1727</f>
        <v>0</v>
      </c>
      <c r="K1727" s="40">
        <f t="shared" si="240"/>
        <v>0</v>
      </c>
      <c r="L1727" t="str">
        <f>'(Raw) LensesGH'!F1727</f>
        <v>Canon EF</v>
      </c>
      <c r="M1727" t="str">
        <f>'(Raw) LensesGH'!G1727</f>
        <v>APS-C/ Kleinbild</v>
      </c>
      <c r="N1727" t="str">
        <f>'(Raw) LensesGH'!H1727</f>
        <v>620g</v>
      </c>
      <c r="O1727" s="5">
        <f t="shared" si="241"/>
        <v>620</v>
      </c>
      <c r="P1727" t="str">
        <f>'(Raw) LensesGH'!I1727</f>
        <v>87 x 96.1mm</v>
      </c>
      <c r="Q1727" s="39">
        <f t="shared" si="242"/>
        <v>87</v>
      </c>
      <c r="R1727" s="39">
        <f t="shared" si="234"/>
        <v>96.1</v>
      </c>
    </row>
    <row r="1728" spans="1:18" x14ac:dyDescent="0.25">
      <c r="A1728" t="str">
        <f>'(Raw) LensesGH'!A1728</f>
        <v>Walimex Pro 14mm 3.1 VDSLR für Four-Thirds schwarz</v>
      </c>
      <c r="B1728" t="str">
        <f>'(Raw) LensesGH'!B1728</f>
        <v>14mm</v>
      </c>
      <c r="C1728" s="5">
        <f t="shared" si="235"/>
        <v>14</v>
      </c>
      <c r="D1728" s="5">
        <f t="shared" si="236"/>
        <v>14</v>
      </c>
      <c r="E1728" t="str">
        <f>'(Raw) LensesGH'!C1728</f>
        <v>1:3.1</v>
      </c>
      <c r="F1728" s="9">
        <f t="shared" si="237"/>
        <v>3.1</v>
      </c>
      <c r="G1728" s="9">
        <f t="shared" si="238"/>
        <v>3.1</v>
      </c>
      <c r="H1728">
        <f>'(Raw) LensesGH'!D1728</f>
        <v>0</v>
      </c>
      <c r="I1728" s="2">
        <f t="shared" si="239"/>
        <v>0</v>
      </c>
      <c r="J1728" s="2">
        <f>'(Raw) LensesGH'!E1728</f>
        <v>0</v>
      </c>
      <c r="K1728" s="40">
        <f t="shared" si="240"/>
        <v>0</v>
      </c>
      <c r="L1728" t="str">
        <f>'(Raw) LensesGH'!F1728</f>
        <v>Four-Thirds</v>
      </c>
      <c r="M1728" t="str">
        <f>'(Raw) LensesGH'!G1728</f>
        <v>Four-Thirds</v>
      </c>
      <c r="N1728" t="str">
        <f>'(Raw) LensesGH'!H1728</f>
        <v>638g</v>
      </c>
      <c r="O1728" s="5">
        <f t="shared" si="241"/>
        <v>638</v>
      </c>
      <c r="P1728" t="str">
        <f>'(Raw) LensesGH'!I1728</f>
        <v>87 x 101.4mm</v>
      </c>
      <c r="Q1728" s="39">
        <f t="shared" si="242"/>
        <v>87</v>
      </c>
      <c r="R1728" s="39">
        <f t="shared" si="234"/>
        <v>101.4</v>
      </c>
    </row>
    <row r="1729" spans="1:18" x14ac:dyDescent="0.25">
      <c r="A1729" t="str">
        <f>'(Raw) LensesGH'!A1729</f>
        <v>Walimex Pro 14mm 3.1 VDSLR für Fujifilm X schwarz</v>
      </c>
      <c r="B1729" t="str">
        <f>'(Raw) LensesGH'!B1729</f>
        <v>14mm</v>
      </c>
      <c r="C1729" s="5">
        <f t="shared" si="235"/>
        <v>14</v>
      </c>
      <c r="D1729" s="5">
        <f t="shared" si="236"/>
        <v>14</v>
      </c>
      <c r="E1729" t="str">
        <f>'(Raw) LensesGH'!C1729</f>
        <v>1:3.1</v>
      </c>
      <c r="F1729" s="9">
        <f t="shared" si="237"/>
        <v>3.1</v>
      </c>
      <c r="G1729" s="9">
        <f t="shared" si="238"/>
        <v>3.1</v>
      </c>
      <c r="H1729">
        <f>'(Raw) LensesGH'!D1729</f>
        <v>0</v>
      </c>
      <c r="I1729" s="2">
        <f t="shared" si="239"/>
        <v>0</v>
      </c>
      <c r="J1729" s="2">
        <f>'(Raw) LensesGH'!E1729</f>
        <v>0</v>
      </c>
      <c r="K1729" s="40">
        <f t="shared" si="240"/>
        <v>0</v>
      </c>
      <c r="L1729" t="str">
        <f>'(Raw) LensesGH'!F1729</f>
        <v>Fujifilm X</v>
      </c>
      <c r="M1729" t="str">
        <f>'(Raw) LensesGH'!G1729</f>
        <v>APS-C/ Kleinbild</v>
      </c>
      <c r="N1729" t="str">
        <f>'(Raw) LensesGH'!H1729</f>
        <v>620g</v>
      </c>
      <c r="O1729" s="5">
        <f t="shared" si="241"/>
        <v>620</v>
      </c>
      <c r="P1729" t="str">
        <f>'(Raw) LensesGH'!I1729</f>
        <v>87 x 96.1mm</v>
      </c>
      <c r="Q1729" s="39">
        <f t="shared" si="242"/>
        <v>87</v>
      </c>
      <c r="R1729" s="39">
        <f t="shared" si="234"/>
        <v>96.1</v>
      </c>
    </row>
    <row r="1730" spans="1:18" x14ac:dyDescent="0.25">
      <c r="A1730" t="str">
        <f>'(Raw) LensesGH'!A1730</f>
        <v>Walimex Pro 14mm 3.1 VDSLR für Micro-Four-Thirds schwarz</v>
      </c>
      <c r="B1730" t="str">
        <f>'(Raw) LensesGH'!B1730</f>
        <v>14mm</v>
      </c>
      <c r="C1730" s="5">
        <f t="shared" si="235"/>
        <v>14</v>
      </c>
      <c r="D1730" s="5">
        <f t="shared" si="236"/>
        <v>14</v>
      </c>
      <c r="E1730" t="str">
        <f>'(Raw) LensesGH'!C1730</f>
        <v>1:3.1</v>
      </c>
      <c r="F1730" s="9">
        <f t="shared" si="237"/>
        <v>3.1</v>
      </c>
      <c r="G1730" s="9">
        <f t="shared" si="238"/>
        <v>3.1</v>
      </c>
      <c r="H1730">
        <f>'(Raw) LensesGH'!D1730</f>
        <v>0</v>
      </c>
      <c r="I1730" s="2">
        <f t="shared" si="239"/>
        <v>0</v>
      </c>
      <c r="J1730" s="2">
        <f>'(Raw) LensesGH'!E1730</f>
        <v>0</v>
      </c>
      <c r="K1730" s="40">
        <f t="shared" si="240"/>
        <v>0</v>
      </c>
      <c r="L1730" t="str">
        <f>'(Raw) LensesGH'!F1730</f>
        <v>Micro-Four-Thirds</v>
      </c>
      <c r="M1730" t="str">
        <f>'(Raw) LensesGH'!G1730</f>
        <v>Four-Thirds</v>
      </c>
      <c r="N1730" t="str">
        <f>'(Raw) LensesGH'!H1730</f>
        <v>638g</v>
      </c>
      <c r="O1730" s="5">
        <f t="shared" si="241"/>
        <v>638</v>
      </c>
      <c r="P1730" t="str">
        <f>'(Raw) LensesGH'!I1730</f>
        <v>87 x 101.4mm</v>
      </c>
      <c r="Q1730" s="39">
        <f t="shared" si="242"/>
        <v>87</v>
      </c>
      <c r="R1730" s="39">
        <f t="shared" ref="R1730:R1793" si="243">getSizeLength(P1730)</f>
        <v>101.4</v>
      </c>
    </row>
    <row r="1731" spans="1:18" x14ac:dyDescent="0.25">
      <c r="A1731" t="str">
        <f>'(Raw) LensesGH'!A1731</f>
        <v>Walimex Pro 14mm 3.1 VDSLR für Nikon 1 schwarz</v>
      </c>
      <c r="B1731" t="str">
        <f>'(Raw) LensesGH'!B1731</f>
        <v>14mm</v>
      </c>
      <c r="C1731" s="5">
        <f t="shared" ref="C1731:C1794" si="244">getFocalLengthStart(B1731)</f>
        <v>14</v>
      </c>
      <c r="D1731" s="5">
        <f t="shared" ref="D1731:D1794" si="245">getFocalLengthEnd(B1731)</f>
        <v>14</v>
      </c>
      <c r="E1731" t="str">
        <f>'(Raw) LensesGH'!C1731</f>
        <v>1:3.1</v>
      </c>
      <c r="F1731" s="9">
        <f t="shared" ref="F1731:F1794" si="246">getApertureStart(E1731)</f>
        <v>3.1</v>
      </c>
      <c r="G1731" s="9">
        <f t="shared" ref="G1731:G1794" si="247">getApertureEnd(F1731)</f>
        <v>3.1</v>
      </c>
      <c r="H1731">
        <f>'(Raw) LensesGH'!D1731</f>
        <v>0</v>
      </c>
      <c r="I1731" s="2">
        <f t="shared" ref="I1731:I1794" si="248">getFiltersizeAsDouble(H1731)</f>
        <v>0</v>
      </c>
      <c r="J1731" s="2">
        <f>'(Raw) LensesGH'!E1731</f>
        <v>0</v>
      </c>
      <c r="K1731" s="40">
        <f t="shared" ref="K1731:K1794" si="249">getMagnification(J1731)</f>
        <v>0</v>
      </c>
      <c r="L1731" t="str">
        <f>'(Raw) LensesGH'!F1731</f>
        <v>Nikon 1</v>
      </c>
      <c r="M1731" t="str">
        <f>'(Raw) LensesGH'!G1731</f>
        <v>APS-C/ Kleinbild</v>
      </c>
      <c r="N1731" t="str">
        <f>'(Raw) LensesGH'!H1731</f>
        <v>605g</v>
      </c>
      <c r="O1731" s="5">
        <f t="shared" ref="O1731:O1794" si="250">getWeightAsDouble(N1731)</f>
        <v>605</v>
      </c>
      <c r="P1731" t="str">
        <f>'(Raw) LensesGH'!I1731</f>
        <v>87 x 93.6mm</v>
      </c>
      <c r="Q1731" s="39">
        <f t="shared" ref="Q1731:Q1794" si="251">getSizeDiameter(P1731)</f>
        <v>87</v>
      </c>
      <c r="R1731" s="39">
        <f t="shared" si="243"/>
        <v>93.6</v>
      </c>
    </row>
    <row r="1732" spans="1:18" x14ac:dyDescent="0.25">
      <c r="A1732" t="str">
        <f>'(Raw) LensesGH'!A1732</f>
        <v>Walimex Pro 14mm 3.1 VDSLR für Nikon F schwarz</v>
      </c>
      <c r="B1732" t="str">
        <f>'(Raw) LensesGH'!B1732</f>
        <v>14mm</v>
      </c>
      <c r="C1732" s="5">
        <f t="shared" si="244"/>
        <v>14</v>
      </c>
      <c r="D1732" s="5">
        <f t="shared" si="245"/>
        <v>14</v>
      </c>
      <c r="E1732" t="str">
        <f>'(Raw) LensesGH'!C1732</f>
        <v>1:3.1</v>
      </c>
      <c r="F1732" s="9">
        <f t="shared" si="246"/>
        <v>3.1</v>
      </c>
      <c r="G1732" s="9">
        <f t="shared" si="247"/>
        <v>3.1</v>
      </c>
      <c r="H1732">
        <f>'(Raw) LensesGH'!D1732</f>
        <v>0</v>
      </c>
      <c r="I1732" s="2">
        <f t="shared" si="248"/>
        <v>0</v>
      </c>
      <c r="J1732" s="2">
        <f>'(Raw) LensesGH'!E1732</f>
        <v>0</v>
      </c>
      <c r="K1732" s="40">
        <f t="shared" si="249"/>
        <v>0</v>
      </c>
      <c r="L1732" t="str">
        <f>'(Raw) LensesGH'!F1732</f>
        <v>Nikon F</v>
      </c>
      <c r="M1732" t="str">
        <f>'(Raw) LensesGH'!G1732</f>
        <v>APS-C/ Kleinbild</v>
      </c>
      <c r="N1732" t="str">
        <f>'(Raw) LensesGH'!H1732</f>
        <v>605g</v>
      </c>
      <c r="O1732" s="5">
        <f t="shared" si="250"/>
        <v>605</v>
      </c>
      <c r="P1732" t="str">
        <f>'(Raw) LensesGH'!I1732</f>
        <v>87 x 93.6mm</v>
      </c>
      <c r="Q1732" s="39">
        <f t="shared" si="251"/>
        <v>87</v>
      </c>
      <c r="R1732" s="39">
        <f t="shared" si="243"/>
        <v>93.6</v>
      </c>
    </row>
    <row r="1733" spans="1:18" x14ac:dyDescent="0.25">
      <c r="A1733" t="str">
        <f>'(Raw) LensesGH'!A1733</f>
        <v>Walimex Pro 14mm 3.1 VDSLR für Samsung NX schwarz</v>
      </c>
      <c r="B1733" t="str">
        <f>'(Raw) LensesGH'!B1733</f>
        <v>14mm</v>
      </c>
      <c r="C1733" s="5">
        <f t="shared" si="244"/>
        <v>14</v>
      </c>
      <c r="D1733" s="5">
        <f t="shared" si="245"/>
        <v>14</v>
      </c>
      <c r="E1733" t="str">
        <f>'(Raw) LensesGH'!C1733</f>
        <v>1:3.1</v>
      </c>
      <c r="F1733" s="9">
        <f t="shared" si="246"/>
        <v>3.1</v>
      </c>
      <c r="G1733" s="9">
        <f t="shared" si="247"/>
        <v>3.1</v>
      </c>
      <c r="H1733">
        <f>'(Raw) LensesGH'!D1733</f>
        <v>0</v>
      </c>
      <c r="I1733" s="2">
        <f t="shared" si="248"/>
        <v>0</v>
      </c>
      <c r="J1733" s="2">
        <f>'(Raw) LensesGH'!E1733</f>
        <v>0</v>
      </c>
      <c r="K1733" s="40">
        <f t="shared" si="249"/>
        <v>0</v>
      </c>
      <c r="L1733" t="str">
        <f>'(Raw) LensesGH'!F1733</f>
        <v>Samsung NX</v>
      </c>
      <c r="M1733" t="str">
        <f>'(Raw) LensesGH'!G1733</f>
        <v>APS-C</v>
      </c>
      <c r="N1733" t="str">
        <f>'(Raw) LensesGH'!H1733</f>
        <v>624g</v>
      </c>
      <c r="O1733" s="5">
        <f t="shared" si="250"/>
        <v>624</v>
      </c>
      <c r="P1733" t="str">
        <f>'(Raw) LensesGH'!I1733</f>
        <v>87 x 114.6mm</v>
      </c>
      <c r="Q1733" s="39">
        <f t="shared" si="251"/>
        <v>87</v>
      </c>
      <c r="R1733" s="39">
        <f t="shared" si="243"/>
        <v>114.6</v>
      </c>
    </row>
    <row r="1734" spans="1:18" x14ac:dyDescent="0.25">
      <c r="A1734" t="str">
        <f>'(Raw) LensesGH'!A1734</f>
        <v>Walimex Pro 14mm 3.1 VDSLR für Sony A schwarz</v>
      </c>
      <c r="B1734" t="str">
        <f>'(Raw) LensesGH'!B1734</f>
        <v>14mm</v>
      </c>
      <c r="C1734" s="5">
        <f t="shared" si="244"/>
        <v>14</v>
      </c>
      <c r="D1734" s="5">
        <f t="shared" si="245"/>
        <v>14</v>
      </c>
      <c r="E1734" t="str">
        <f>'(Raw) LensesGH'!C1734</f>
        <v>1:3.1</v>
      </c>
      <c r="F1734" s="9">
        <f t="shared" si="246"/>
        <v>3.1</v>
      </c>
      <c r="G1734" s="9">
        <f t="shared" si="247"/>
        <v>3.1</v>
      </c>
      <c r="H1734">
        <f>'(Raw) LensesGH'!D1734</f>
        <v>0</v>
      </c>
      <c r="I1734" s="2">
        <f t="shared" si="248"/>
        <v>0</v>
      </c>
      <c r="J1734" s="2">
        <f>'(Raw) LensesGH'!E1734</f>
        <v>0</v>
      </c>
      <c r="K1734" s="40">
        <f t="shared" si="249"/>
        <v>0</v>
      </c>
      <c r="L1734" t="str">
        <f>'(Raw) LensesGH'!F1734</f>
        <v>Sony A</v>
      </c>
      <c r="M1734" t="str">
        <f>'(Raw) LensesGH'!G1734</f>
        <v>APS-C</v>
      </c>
      <c r="N1734" t="str">
        <f>'(Raw) LensesGH'!H1734</f>
        <v>614g</v>
      </c>
      <c r="O1734" s="5">
        <f t="shared" si="250"/>
        <v>614</v>
      </c>
      <c r="P1734" t="str">
        <f>'(Raw) LensesGH'!I1734</f>
        <v>87 x 95.6mm</v>
      </c>
      <c r="Q1734" s="39">
        <f t="shared" si="251"/>
        <v>87</v>
      </c>
      <c r="R1734" s="39">
        <f t="shared" si="243"/>
        <v>95.6</v>
      </c>
    </row>
    <row r="1735" spans="1:18" x14ac:dyDescent="0.25">
      <c r="A1735" t="str">
        <f>'(Raw) LensesGH'!A1735</f>
        <v>Walimex Pro 14mm 3.1 VDSLR für Sony E schwarz</v>
      </c>
      <c r="B1735" t="str">
        <f>'(Raw) LensesGH'!B1735</f>
        <v>14mm</v>
      </c>
      <c r="C1735" s="5">
        <f t="shared" si="244"/>
        <v>14</v>
      </c>
      <c r="D1735" s="5">
        <f t="shared" si="245"/>
        <v>14</v>
      </c>
      <c r="E1735" t="str">
        <f>'(Raw) LensesGH'!C1735</f>
        <v>1:3.1</v>
      </c>
      <c r="F1735" s="9">
        <f t="shared" si="246"/>
        <v>3.1</v>
      </c>
      <c r="G1735" s="9">
        <f t="shared" si="247"/>
        <v>3.1</v>
      </c>
      <c r="H1735">
        <f>'(Raw) LensesGH'!D1735</f>
        <v>0</v>
      </c>
      <c r="I1735" s="2">
        <f t="shared" si="248"/>
        <v>0</v>
      </c>
      <c r="J1735" s="2">
        <f>'(Raw) LensesGH'!E1735</f>
        <v>0</v>
      </c>
      <c r="K1735" s="40">
        <f t="shared" si="249"/>
        <v>0</v>
      </c>
      <c r="L1735" t="str">
        <f>'(Raw) LensesGH'!F1735</f>
        <v>Sony E</v>
      </c>
      <c r="M1735" t="str">
        <f>'(Raw) LensesGH'!G1735</f>
        <v>APS-C/ Kleinbild</v>
      </c>
      <c r="N1735" t="str">
        <f>'(Raw) LensesGH'!H1735</f>
        <v>643g</v>
      </c>
      <c r="O1735" s="5">
        <f t="shared" si="250"/>
        <v>643</v>
      </c>
      <c r="P1735" t="str">
        <f>'(Raw) LensesGH'!I1735</f>
        <v>87 x 122.1mm</v>
      </c>
      <c r="Q1735" s="39">
        <f t="shared" si="251"/>
        <v>87</v>
      </c>
      <c r="R1735" s="39">
        <f t="shared" si="243"/>
        <v>122.1</v>
      </c>
    </row>
    <row r="1736" spans="1:18" x14ac:dyDescent="0.25">
      <c r="A1736" t="str">
        <f>'(Raw) LensesGH'!A1736</f>
        <v>Walimex Pro 16mm 2.0 für Canon EF schwarz</v>
      </c>
      <c r="B1736" t="str">
        <f>'(Raw) LensesGH'!B1736</f>
        <v>16mm</v>
      </c>
      <c r="C1736" s="5">
        <f t="shared" si="244"/>
        <v>16</v>
      </c>
      <c r="D1736" s="5">
        <f t="shared" si="245"/>
        <v>16</v>
      </c>
      <c r="E1736" t="str">
        <f>'(Raw) LensesGH'!C1736</f>
        <v>1:2.0</v>
      </c>
      <c r="F1736" s="9">
        <f t="shared" si="246"/>
        <v>2</v>
      </c>
      <c r="G1736" s="9">
        <f t="shared" si="247"/>
        <v>2</v>
      </c>
      <c r="H1736" t="str">
        <f>'(Raw) LensesGH'!D1736</f>
        <v>77mm</v>
      </c>
      <c r="I1736" s="2">
        <f t="shared" si="248"/>
        <v>77</v>
      </c>
      <c r="J1736" s="2">
        <f>'(Raw) LensesGH'!E1736</f>
        <v>0</v>
      </c>
      <c r="K1736" s="40">
        <f t="shared" si="249"/>
        <v>0</v>
      </c>
      <c r="L1736" t="str">
        <f>'(Raw) LensesGH'!F1736</f>
        <v>Canon EF</v>
      </c>
      <c r="M1736" t="str">
        <f>'(Raw) LensesGH'!G1736</f>
        <v>APS-C</v>
      </c>
      <c r="N1736" t="str">
        <f>'(Raw) LensesGH'!H1736</f>
        <v>583g</v>
      </c>
      <c r="O1736" s="5">
        <f t="shared" si="250"/>
        <v>583</v>
      </c>
      <c r="P1736" t="str">
        <f>'(Raw) LensesGH'!I1736</f>
        <v>83 x 89mm</v>
      </c>
      <c r="Q1736" s="39">
        <f t="shared" si="251"/>
        <v>83</v>
      </c>
      <c r="R1736" s="39">
        <f t="shared" si="243"/>
        <v>89</v>
      </c>
    </row>
    <row r="1737" spans="1:18" x14ac:dyDescent="0.25">
      <c r="A1737" t="str">
        <f>'(Raw) LensesGH'!A1737</f>
        <v>Walimex Pro 16mm 2.0 für Fujifilm X schwarz</v>
      </c>
      <c r="B1737" t="str">
        <f>'(Raw) LensesGH'!B1737</f>
        <v>16mm</v>
      </c>
      <c r="C1737" s="5">
        <f t="shared" si="244"/>
        <v>16</v>
      </c>
      <c r="D1737" s="5">
        <f t="shared" si="245"/>
        <v>16</v>
      </c>
      <c r="E1737" t="str">
        <f>'(Raw) LensesGH'!C1737</f>
        <v>1:2.0</v>
      </c>
      <c r="F1737" s="9">
        <f t="shared" si="246"/>
        <v>2</v>
      </c>
      <c r="G1737" s="9">
        <f t="shared" si="247"/>
        <v>2</v>
      </c>
      <c r="H1737" t="str">
        <f>'(Raw) LensesGH'!D1737</f>
        <v>77mm</v>
      </c>
      <c r="I1737" s="2">
        <f t="shared" si="248"/>
        <v>77</v>
      </c>
      <c r="J1737" s="2">
        <f>'(Raw) LensesGH'!E1737</f>
        <v>0</v>
      </c>
      <c r="K1737" s="40">
        <f t="shared" si="249"/>
        <v>0</v>
      </c>
      <c r="L1737" t="str">
        <f>'(Raw) LensesGH'!F1737</f>
        <v>Fujifilm X</v>
      </c>
      <c r="M1737" t="str">
        <f>'(Raw) LensesGH'!G1737</f>
        <v>APS-C</v>
      </c>
      <c r="N1737" t="str">
        <f>'(Raw) LensesGH'!H1737</f>
        <v>615g</v>
      </c>
      <c r="O1737" s="5">
        <f t="shared" si="250"/>
        <v>615</v>
      </c>
      <c r="P1737" t="str">
        <f>'(Raw) LensesGH'!I1737</f>
        <v>83 x 116mm</v>
      </c>
      <c r="Q1737" s="39">
        <f t="shared" si="251"/>
        <v>83</v>
      </c>
      <c r="R1737" s="39">
        <f t="shared" si="243"/>
        <v>116</v>
      </c>
    </row>
    <row r="1738" spans="1:18" x14ac:dyDescent="0.25">
      <c r="A1738" t="str">
        <f>'(Raw) LensesGH'!A1738</f>
        <v>Walimex Pro 16mm 2.0 für Micro-Four-Thirds schwarz</v>
      </c>
      <c r="B1738" t="str">
        <f>'(Raw) LensesGH'!B1738</f>
        <v>16mm</v>
      </c>
      <c r="C1738" s="5">
        <f t="shared" si="244"/>
        <v>16</v>
      </c>
      <c r="D1738" s="5">
        <f t="shared" si="245"/>
        <v>16</v>
      </c>
      <c r="E1738" t="str">
        <f>'(Raw) LensesGH'!C1738</f>
        <v>1:2.0</v>
      </c>
      <c r="F1738" s="9">
        <f t="shared" si="246"/>
        <v>2</v>
      </c>
      <c r="G1738" s="9">
        <f t="shared" si="247"/>
        <v>2</v>
      </c>
      <c r="H1738" t="str">
        <f>'(Raw) LensesGH'!D1738</f>
        <v>77mm</v>
      </c>
      <c r="I1738" s="2">
        <f t="shared" si="248"/>
        <v>77</v>
      </c>
      <c r="J1738" s="2">
        <f>'(Raw) LensesGH'!E1738</f>
        <v>0</v>
      </c>
      <c r="K1738" s="40">
        <f t="shared" si="249"/>
        <v>0</v>
      </c>
      <c r="L1738" t="str">
        <f>'(Raw) LensesGH'!F1738</f>
        <v>Micro-Four-Thirds</v>
      </c>
      <c r="M1738" t="str">
        <f>'(Raw) LensesGH'!G1738</f>
        <v>Four-Thirds</v>
      </c>
      <c r="N1738" t="str">
        <f>'(Raw) LensesGH'!H1738</f>
        <v>610g</v>
      </c>
      <c r="O1738" s="5">
        <f t="shared" si="250"/>
        <v>610</v>
      </c>
      <c r="P1738" t="str">
        <f>'(Raw) LensesGH'!I1738</f>
        <v>83 x 114mm</v>
      </c>
      <c r="Q1738" s="39">
        <f t="shared" si="251"/>
        <v>83</v>
      </c>
      <c r="R1738" s="39">
        <f t="shared" si="243"/>
        <v>114</v>
      </c>
    </row>
    <row r="1739" spans="1:18" x14ac:dyDescent="0.25">
      <c r="A1739" t="str">
        <f>'(Raw) LensesGH'!A1739</f>
        <v>Walimex Pro 16mm 2.0 für Nikon F schwarz</v>
      </c>
      <c r="B1739" t="str">
        <f>'(Raw) LensesGH'!B1739</f>
        <v>16mm</v>
      </c>
      <c r="C1739" s="5">
        <f t="shared" si="244"/>
        <v>16</v>
      </c>
      <c r="D1739" s="5">
        <f t="shared" si="245"/>
        <v>16</v>
      </c>
      <c r="E1739" t="str">
        <f>'(Raw) LensesGH'!C1739</f>
        <v>1:2.0</v>
      </c>
      <c r="F1739" s="9">
        <f t="shared" si="246"/>
        <v>2</v>
      </c>
      <c r="G1739" s="9">
        <f t="shared" si="247"/>
        <v>2</v>
      </c>
      <c r="H1739" t="str">
        <f>'(Raw) LensesGH'!D1739</f>
        <v>77mm</v>
      </c>
      <c r="I1739" s="2">
        <f t="shared" si="248"/>
        <v>77</v>
      </c>
      <c r="J1739" s="2">
        <f>'(Raw) LensesGH'!E1739</f>
        <v>0</v>
      </c>
      <c r="K1739" s="40">
        <f t="shared" si="249"/>
        <v>0</v>
      </c>
      <c r="L1739" t="str">
        <f>'(Raw) LensesGH'!F1739</f>
        <v>Nikon F</v>
      </c>
      <c r="M1739" t="str">
        <f>'(Raw) LensesGH'!G1739</f>
        <v>APS-C</v>
      </c>
      <c r="N1739" t="str">
        <f>'(Raw) LensesGH'!H1739</f>
        <v>571g</v>
      </c>
      <c r="O1739" s="5">
        <f t="shared" si="250"/>
        <v>571</v>
      </c>
      <c r="P1739" t="str">
        <f>'(Raw) LensesGH'!I1739</f>
        <v>83 x 87mm</v>
      </c>
      <c r="Q1739" s="39">
        <f t="shared" si="251"/>
        <v>83</v>
      </c>
      <c r="R1739" s="39">
        <f t="shared" si="243"/>
        <v>87</v>
      </c>
    </row>
    <row r="1740" spans="1:18" x14ac:dyDescent="0.25">
      <c r="A1740" t="str">
        <f>'(Raw) LensesGH'!A1740</f>
        <v>Walimex Pro 16mm 2.0 für Pentax K schwarz</v>
      </c>
      <c r="B1740" t="str">
        <f>'(Raw) LensesGH'!B1740</f>
        <v>16mm</v>
      </c>
      <c r="C1740" s="5">
        <f t="shared" si="244"/>
        <v>16</v>
      </c>
      <c r="D1740" s="5">
        <f t="shared" si="245"/>
        <v>16</v>
      </c>
      <c r="E1740" t="str">
        <f>'(Raw) LensesGH'!C1740</f>
        <v>1:2.0</v>
      </c>
      <c r="F1740" s="9">
        <f t="shared" si="246"/>
        <v>2</v>
      </c>
      <c r="G1740" s="9">
        <f t="shared" si="247"/>
        <v>2</v>
      </c>
      <c r="H1740" t="str">
        <f>'(Raw) LensesGH'!D1740</f>
        <v>77mm</v>
      </c>
      <c r="I1740" s="2">
        <f t="shared" si="248"/>
        <v>77</v>
      </c>
      <c r="J1740" s="2">
        <f>'(Raw) LensesGH'!E1740</f>
        <v>0</v>
      </c>
      <c r="K1740" s="40">
        <f t="shared" si="249"/>
        <v>0</v>
      </c>
      <c r="L1740" t="str">
        <f>'(Raw) LensesGH'!F1740</f>
        <v>Pentax K</v>
      </c>
      <c r="M1740" t="str">
        <f>'(Raw) LensesGH'!G1740</f>
        <v>APS-C</v>
      </c>
      <c r="N1740" t="str">
        <f>'(Raw) LensesGH'!H1740</f>
        <v>574g</v>
      </c>
      <c r="O1740" s="5">
        <f t="shared" si="250"/>
        <v>574</v>
      </c>
      <c r="P1740" t="str">
        <f>'(Raw) LensesGH'!I1740</f>
        <v>83 x 88mm</v>
      </c>
      <c r="Q1740" s="39">
        <f t="shared" si="251"/>
        <v>83</v>
      </c>
      <c r="R1740" s="39">
        <f t="shared" si="243"/>
        <v>88</v>
      </c>
    </row>
    <row r="1741" spans="1:18" x14ac:dyDescent="0.25">
      <c r="A1741" t="str">
        <f>'(Raw) LensesGH'!A1741</f>
        <v>Walimex Pro 16mm 2.0 für Samsung NX schwarz</v>
      </c>
      <c r="B1741" t="str">
        <f>'(Raw) LensesGH'!B1741</f>
        <v>16mm</v>
      </c>
      <c r="C1741" s="5">
        <f t="shared" si="244"/>
        <v>16</v>
      </c>
      <c r="D1741" s="5">
        <f t="shared" si="245"/>
        <v>16</v>
      </c>
      <c r="E1741" t="str">
        <f>'(Raw) LensesGH'!C1741</f>
        <v>1:2.0</v>
      </c>
      <c r="F1741" s="9">
        <f t="shared" si="246"/>
        <v>2</v>
      </c>
      <c r="G1741" s="9">
        <f t="shared" si="247"/>
        <v>2</v>
      </c>
      <c r="H1741" t="str">
        <f>'(Raw) LensesGH'!D1741</f>
        <v>77mm</v>
      </c>
      <c r="I1741" s="2">
        <f t="shared" si="248"/>
        <v>77</v>
      </c>
      <c r="J1741" s="2">
        <f>'(Raw) LensesGH'!E1741</f>
        <v>0</v>
      </c>
      <c r="K1741" s="40">
        <f t="shared" si="249"/>
        <v>0</v>
      </c>
      <c r="L1741" t="str">
        <f>'(Raw) LensesGH'!F1741</f>
        <v>Samsung NX</v>
      </c>
      <c r="M1741" t="str">
        <f>'(Raw) LensesGH'!G1741</f>
        <v>APS-C</v>
      </c>
      <c r="N1741" t="str">
        <f>'(Raw) LensesGH'!H1741</f>
        <v>605g</v>
      </c>
      <c r="O1741" s="5">
        <f t="shared" si="250"/>
        <v>605</v>
      </c>
      <c r="P1741" t="str">
        <f>'(Raw) LensesGH'!I1741</f>
        <v>83 x 108mm</v>
      </c>
      <c r="Q1741" s="39">
        <f t="shared" si="251"/>
        <v>83</v>
      </c>
      <c r="R1741" s="39">
        <f t="shared" si="243"/>
        <v>108</v>
      </c>
    </row>
    <row r="1742" spans="1:18" x14ac:dyDescent="0.25">
      <c r="A1742" t="str">
        <f>'(Raw) LensesGH'!A1742</f>
        <v>Walimex Pro 16mm 2.0 für Sony E schwarz</v>
      </c>
      <c r="B1742" t="str">
        <f>'(Raw) LensesGH'!B1742</f>
        <v>16mm</v>
      </c>
      <c r="C1742" s="5">
        <f t="shared" si="244"/>
        <v>16</v>
      </c>
      <c r="D1742" s="5">
        <f t="shared" si="245"/>
        <v>16</v>
      </c>
      <c r="E1742" t="str">
        <f>'(Raw) LensesGH'!C1742</f>
        <v>1:2.0</v>
      </c>
      <c r="F1742" s="9">
        <f t="shared" si="246"/>
        <v>2</v>
      </c>
      <c r="G1742" s="9">
        <f t="shared" si="247"/>
        <v>2</v>
      </c>
      <c r="H1742" t="str">
        <f>'(Raw) LensesGH'!D1742</f>
        <v>77mm</v>
      </c>
      <c r="I1742" s="2">
        <f t="shared" si="248"/>
        <v>77</v>
      </c>
      <c r="J1742" s="2">
        <f>'(Raw) LensesGH'!E1742</f>
        <v>0</v>
      </c>
      <c r="K1742" s="40">
        <f t="shared" si="249"/>
        <v>0</v>
      </c>
      <c r="L1742" t="str">
        <f>'(Raw) LensesGH'!F1742</f>
        <v>Sony E</v>
      </c>
      <c r="M1742" t="str">
        <f>'(Raw) LensesGH'!G1742</f>
        <v>APS-C</v>
      </c>
      <c r="N1742" t="str">
        <f>'(Raw) LensesGH'!H1742</f>
        <v>575g</v>
      </c>
      <c r="O1742" s="5">
        <f t="shared" si="250"/>
        <v>575</v>
      </c>
      <c r="P1742" t="str">
        <f>'(Raw) LensesGH'!I1742</f>
        <v>83 x 89mm</v>
      </c>
      <c r="Q1742" s="39">
        <f t="shared" si="251"/>
        <v>83</v>
      </c>
      <c r="R1742" s="39">
        <f t="shared" si="243"/>
        <v>89</v>
      </c>
    </row>
    <row r="1743" spans="1:18" x14ac:dyDescent="0.25">
      <c r="A1743" t="str">
        <f>'(Raw) LensesGH'!A1743</f>
        <v>Walimex Pro 16mm 2.2 VDSLR für Canon EF schwarz</v>
      </c>
      <c r="B1743" t="str">
        <f>'(Raw) LensesGH'!B1743</f>
        <v>16mm</v>
      </c>
      <c r="C1743" s="5">
        <f t="shared" si="244"/>
        <v>16</v>
      </c>
      <c r="D1743" s="5">
        <f t="shared" si="245"/>
        <v>16</v>
      </c>
      <c r="E1743" t="str">
        <f>'(Raw) LensesGH'!C1743</f>
        <v>1:2.2</v>
      </c>
      <c r="F1743" s="9">
        <f t="shared" si="246"/>
        <v>2.2000000000000002</v>
      </c>
      <c r="G1743" s="9">
        <f t="shared" si="247"/>
        <v>2.2000000000000002</v>
      </c>
      <c r="H1743" t="str">
        <f>'(Raw) LensesGH'!D1743</f>
        <v>77mm</v>
      </c>
      <c r="I1743" s="2">
        <f t="shared" si="248"/>
        <v>77</v>
      </c>
      <c r="J1743" s="2">
        <f>'(Raw) LensesGH'!E1743</f>
        <v>0</v>
      </c>
      <c r="K1743" s="40">
        <f t="shared" si="249"/>
        <v>0</v>
      </c>
      <c r="L1743" t="str">
        <f>'(Raw) LensesGH'!F1743</f>
        <v>Canon EF</v>
      </c>
      <c r="M1743" t="str">
        <f>'(Raw) LensesGH'!G1743</f>
        <v>APS-C</v>
      </c>
      <c r="N1743" t="str">
        <f>'(Raw) LensesGH'!H1743</f>
        <v>590g</v>
      </c>
      <c r="O1743" s="5">
        <f t="shared" si="250"/>
        <v>590</v>
      </c>
      <c r="P1743" t="str">
        <f>'(Raw) LensesGH'!I1743</f>
        <v>83 x 89.4mm</v>
      </c>
      <c r="Q1743" s="39">
        <f t="shared" si="251"/>
        <v>83</v>
      </c>
      <c r="R1743" s="39">
        <f t="shared" si="243"/>
        <v>89.4</v>
      </c>
    </row>
    <row r="1744" spans="1:18" x14ac:dyDescent="0.25">
      <c r="A1744" t="str">
        <f>'(Raw) LensesGH'!A1744</f>
        <v>Walimex Pro 16mm 2.2 VDSLR für Canon EF-M schwarz</v>
      </c>
      <c r="B1744" t="str">
        <f>'(Raw) LensesGH'!B1744</f>
        <v>16mm</v>
      </c>
      <c r="C1744" s="5">
        <f t="shared" si="244"/>
        <v>16</v>
      </c>
      <c r="D1744" s="5">
        <f t="shared" si="245"/>
        <v>16</v>
      </c>
      <c r="E1744" t="str">
        <f>'(Raw) LensesGH'!C1744</f>
        <v>1:2.2</v>
      </c>
      <c r="F1744" s="9">
        <f t="shared" si="246"/>
        <v>2.2000000000000002</v>
      </c>
      <c r="G1744" s="9">
        <f t="shared" si="247"/>
        <v>2.2000000000000002</v>
      </c>
      <c r="H1744" t="str">
        <f>'(Raw) LensesGH'!D1744</f>
        <v>77mm</v>
      </c>
      <c r="I1744" s="2">
        <f t="shared" si="248"/>
        <v>77</v>
      </c>
      <c r="J1744" s="2">
        <f>'(Raw) LensesGH'!E1744</f>
        <v>0</v>
      </c>
      <c r="K1744" s="40">
        <f t="shared" si="249"/>
        <v>0</v>
      </c>
      <c r="L1744" t="str">
        <f>'(Raw) LensesGH'!F1744</f>
        <v>Canon EF-M</v>
      </c>
      <c r="M1744" t="str">
        <f>'(Raw) LensesGH'!G1744</f>
        <v>APS-C</v>
      </c>
      <c r="N1744" t="str">
        <f>'(Raw) LensesGH'!H1744</f>
        <v>620g</v>
      </c>
      <c r="O1744" s="5">
        <f t="shared" si="250"/>
        <v>620</v>
      </c>
      <c r="P1744" t="str">
        <f>'(Raw) LensesGH'!I1744</f>
        <v>83 x 115.3mm</v>
      </c>
      <c r="Q1744" s="39">
        <f t="shared" si="251"/>
        <v>83</v>
      </c>
      <c r="R1744" s="39">
        <f t="shared" si="243"/>
        <v>115.3</v>
      </c>
    </row>
    <row r="1745" spans="1:18" x14ac:dyDescent="0.25">
      <c r="A1745" t="str">
        <f>'(Raw) LensesGH'!A1745</f>
        <v>Walimex Pro 16mm 2.2 VDSLR für Four-Thirds schwarz</v>
      </c>
      <c r="B1745" t="str">
        <f>'(Raw) LensesGH'!B1745</f>
        <v>16mm</v>
      </c>
      <c r="C1745" s="5">
        <f t="shared" si="244"/>
        <v>16</v>
      </c>
      <c r="D1745" s="5">
        <f t="shared" si="245"/>
        <v>16</v>
      </c>
      <c r="E1745" t="str">
        <f>'(Raw) LensesGH'!C1745</f>
        <v>1:2.2</v>
      </c>
      <c r="F1745" s="9">
        <f t="shared" si="246"/>
        <v>2.2000000000000002</v>
      </c>
      <c r="G1745" s="9">
        <f t="shared" si="247"/>
        <v>2.2000000000000002</v>
      </c>
      <c r="H1745" t="str">
        <f>'(Raw) LensesGH'!D1745</f>
        <v>77mm</v>
      </c>
      <c r="I1745" s="2">
        <f t="shared" si="248"/>
        <v>77</v>
      </c>
      <c r="J1745" s="2">
        <f>'(Raw) LensesGH'!E1745</f>
        <v>0</v>
      </c>
      <c r="K1745" s="40">
        <f t="shared" si="249"/>
        <v>0</v>
      </c>
      <c r="L1745" t="str">
        <f>'(Raw) LensesGH'!F1745</f>
        <v>Four-Thirds</v>
      </c>
      <c r="M1745" t="str">
        <f>'(Raw) LensesGH'!G1745</f>
        <v>APS-C</v>
      </c>
      <c r="N1745" t="str">
        <f>'(Raw) LensesGH'!H1745</f>
        <v>610g</v>
      </c>
      <c r="O1745" s="5">
        <f t="shared" si="250"/>
        <v>610</v>
      </c>
      <c r="P1745" t="str">
        <f>'(Raw) LensesGH'!I1745</f>
        <v>83 x 94.7mm</v>
      </c>
      <c r="Q1745" s="39">
        <f t="shared" si="251"/>
        <v>83</v>
      </c>
      <c r="R1745" s="39">
        <f t="shared" si="243"/>
        <v>94.7</v>
      </c>
    </row>
    <row r="1746" spans="1:18" x14ac:dyDescent="0.25">
      <c r="A1746" t="str">
        <f>'(Raw) LensesGH'!A1746</f>
        <v>Walimex Pro 16mm 2.2 VDSLR für Fujifilm X schwarz</v>
      </c>
      <c r="B1746" t="str">
        <f>'(Raw) LensesGH'!B1746</f>
        <v>16mm</v>
      </c>
      <c r="C1746" s="5">
        <f t="shared" si="244"/>
        <v>16</v>
      </c>
      <c r="D1746" s="5">
        <f t="shared" si="245"/>
        <v>16</v>
      </c>
      <c r="E1746" t="str">
        <f>'(Raw) LensesGH'!C1746</f>
        <v>1:2.2</v>
      </c>
      <c r="F1746" s="9">
        <f t="shared" si="246"/>
        <v>2.2000000000000002</v>
      </c>
      <c r="G1746" s="9">
        <f t="shared" si="247"/>
        <v>2.2000000000000002</v>
      </c>
      <c r="H1746" t="str">
        <f>'(Raw) LensesGH'!D1746</f>
        <v>77mm</v>
      </c>
      <c r="I1746" s="2">
        <f t="shared" si="248"/>
        <v>77</v>
      </c>
      <c r="J1746" s="2">
        <f>'(Raw) LensesGH'!E1746</f>
        <v>0</v>
      </c>
      <c r="K1746" s="40">
        <f t="shared" si="249"/>
        <v>0</v>
      </c>
      <c r="L1746" t="str">
        <f>'(Raw) LensesGH'!F1746</f>
        <v>Fujifilm X</v>
      </c>
      <c r="M1746" t="str">
        <f>'(Raw) LensesGH'!G1746</f>
        <v>APS-C</v>
      </c>
      <c r="N1746" t="str">
        <f>'(Raw) LensesGH'!H1746</f>
        <v>625g</v>
      </c>
      <c r="O1746" s="5">
        <f t="shared" si="250"/>
        <v>625</v>
      </c>
      <c r="P1746" t="str">
        <f>'(Raw) LensesGH'!I1746</f>
        <v>83 x 115.7mm</v>
      </c>
      <c r="Q1746" s="39">
        <f t="shared" si="251"/>
        <v>83</v>
      </c>
      <c r="R1746" s="39">
        <f t="shared" si="243"/>
        <v>115.7</v>
      </c>
    </row>
    <row r="1747" spans="1:18" x14ac:dyDescent="0.25">
      <c r="A1747" t="str">
        <f>'(Raw) LensesGH'!A1747</f>
        <v>Walimex Pro 16mm 2.2 VDSLR für Micro-Four-Thirds schwarz</v>
      </c>
      <c r="B1747" t="str">
        <f>'(Raw) LensesGH'!B1747</f>
        <v>16mm</v>
      </c>
      <c r="C1747" s="5">
        <f t="shared" si="244"/>
        <v>16</v>
      </c>
      <c r="D1747" s="5">
        <f t="shared" si="245"/>
        <v>16</v>
      </c>
      <c r="E1747" t="str">
        <f>'(Raw) LensesGH'!C1747</f>
        <v>1:2.2</v>
      </c>
      <c r="F1747" s="9">
        <f t="shared" si="246"/>
        <v>2.2000000000000002</v>
      </c>
      <c r="G1747" s="9">
        <f t="shared" si="247"/>
        <v>2.2000000000000002</v>
      </c>
      <c r="H1747" t="str">
        <f>'(Raw) LensesGH'!D1747</f>
        <v>77mm</v>
      </c>
      <c r="I1747" s="2">
        <f t="shared" si="248"/>
        <v>77</v>
      </c>
      <c r="J1747" s="2">
        <f>'(Raw) LensesGH'!E1747</f>
        <v>0</v>
      </c>
      <c r="K1747" s="40">
        <f t="shared" si="249"/>
        <v>0</v>
      </c>
      <c r="L1747" t="str">
        <f>'(Raw) LensesGH'!F1747</f>
        <v>Micro-Four-Thirds</v>
      </c>
      <c r="M1747" t="str">
        <f>'(Raw) LensesGH'!G1747</f>
        <v>Four-Thirds</v>
      </c>
      <c r="N1747" t="str">
        <f>'(Raw) LensesGH'!H1747</f>
        <v>620g</v>
      </c>
      <c r="O1747" s="5">
        <f t="shared" si="250"/>
        <v>620</v>
      </c>
      <c r="P1747" t="str">
        <f>'(Raw) LensesGH'!I1747</f>
        <v>83 x 114.2mm</v>
      </c>
      <c r="Q1747" s="39">
        <f t="shared" si="251"/>
        <v>83</v>
      </c>
      <c r="R1747" s="39">
        <f t="shared" si="243"/>
        <v>114.2</v>
      </c>
    </row>
    <row r="1748" spans="1:18" x14ac:dyDescent="0.25">
      <c r="A1748" t="str">
        <f>'(Raw) LensesGH'!A1748</f>
        <v>Walimex Pro 16mm 2.2 VDSLR für Nikon F schwarz</v>
      </c>
      <c r="B1748" t="str">
        <f>'(Raw) LensesGH'!B1748</f>
        <v>16mm</v>
      </c>
      <c r="C1748" s="5">
        <f t="shared" si="244"/>
        <v>16</v>
      </c>
      <c r="D1748" s="5">
        <f t="shared" si="245"/>
        <v>16</v>
      </c>
      <c r="E1748" t="str">
        <f>'(Raw) LensesGH'!C1748</f>
        <v>1:2.2</v>
      </c>
      <c r="F1748" s="9">
        <f t="shared" si="246"/>
        <v>2.2000000000000002</v>
      </c>
      <c r="G1748" s="9">
        <f t="shared" si="247"/>
        <v>2.2000000000000002</v>
      </c>
      <c r="H1748" t="str">
        <f>'(Raw) LensesGH'!D1748</f>
        <v>77mm</v>
      </c>
      <c r="I1748" s="2">
        <f t="shared" si="248"/>
        <v>77</v>
      </c>
      <c r="J1748" s="2">
        <f>'(Raw) LensesGH'!E1748</f>
        <v>0</v>
      </c>
      <c r="K1748" s="40">
        <f t="shared" si="249"/>
        <v>0</v>
      </c>
      <c r="L1748" t="str">
        <f>'(Raw) LensesGH'!F1748</f>
        <v>Nikon F</v>
      </c>
      <c r="M1748" t="str">
        <f>'(Raw) LensesGH'!G1748</f>
        <v>APS-C</v>
      </c>
      <c r="N1748" t="str">
        <f>'(Raw) LensesGH'!H1748</f>
        <v>580g</v>
      </c>
      <c r="O1748" s="5">
        <f t="shared" si="250"/>
        <v>580</v>
      </c>
      <c r="P1748" t="str">
        <f>'(Raw) LensesGH'!I1748</f>
        <v>83 x 86.9mm</v>
      </c>
      <c r="Q1748" s="39">
        <f t="shared" si="251"/>
        <v>83</v>
      </c>
      <c r="R1748" s="39">
        <f t="shared" si="243"/>
        <v>86.9</v>
      </c>
    </row>
    <row r="1749" spans="1:18" x14ac:dyDescent="0.25">
      <c r="A1749" t="str">
        <f>'(Raw) LensesGH'!A1749</f>
        <v>Walimex Pro 16mm 2.2 VDSLR für Pentax K schwarz</v>
      </c>
      <c r="B1749" t="str">
        <f>'(Raw) LensesGH'!B1749</f>
        <v>16mm</v>
      </c>
      <c r="C1749" s="5">
        <f t="shared" si="244"/>
        <v>16</v>
      </c>
      <c r="D1749" s="5">
        <f t="shared" si="245"/>
        <v>16</v>
      </c>
      <c r="E1749" t="str">
        <f>'(Raw) LensesGH'!C1749</f>
        <v>1:2.2</v>
      </c>
      <c r="F1749" s="9">
        <f t="shared" si="246"/>
        <v>2.2000000000000002</v>
      </c>
      <c r="G1749" s="9">
        <f t="shared" si="247"/>
        <v>2.2000000000000002</v>
      </c>
      <c r="H1749" t="str">
        <f>'(Raw) LensesGH'!D1749</f>
        <v>77mm</v>
      </c>
      <c r="I1749" s="2">
        <f t="shared" si="248"/>
        <v>77</v>
      </c>
      <c r="J1749" s="2">
        <f>'(Raw) LensesGH'!E1749</f>
        <v>0</v>
      </c>
      <c r="K1749" s="40">
        <f t="shared" si="249"/>
        <v>0</v>
      </c>
      <c r="L1749" t="str">
        <f>'(Raw) LensesGH'!F1749</f>
        <v>Pentax K</v>
      </c>
      <c r="M1749" t="str">
        <f>'(Raw) LensesGH'!G1749</f>
        <v>APS-C</v>
      </c>
      <c r="N1749" t="str">
        <f>'(Raw) LensesGH'!H1749</f>
        <v>580g</v>
      </c>
      <c r="O1749" s="5">
        <f t="shared" si="250"/>
        <v>580</v>
      </c>
      <c r="P1749" t="str">
        <f>'(Raw) LensesGH'!I1749</f>
        <v>83 x 87.9mm</v>
      </c>
      <c r="Q1749" s="39">
        <f t="shared" si="251"/>
        <v>83</v>
      </c>
      <c r="R1749" s="39">
        <f t="shared" si="243"/>
        <v>87.9</v>
      </c>
    </row>
    <row r="1750" spans="1:18" x14ac:dyDescent="0.25">
      <c r="A1750" t="str">
        <f>'(Raw) LensesGH'!A1750</f>
        <v>Walimex Pro 16mm 2.2 VDSLR für Samsung NX schwarz</v>
      </c>
      <c r="B1750" t="str">
        <f>'(Raw) LensesGH'!B1750</f>
        <v>16mm</v>
      </c>
      <c r="C1750" s="5">
        <f t="shared" si="244"/>
        <v>16</v>
      </c>
      <c r="D1750" s="5">
        <f t="shared" si="245"/>
        <v>16</v>
      </c>
      <c r="E1750" t="str">
        <f>'(Raw) LensesGH'!C1750</f>
        <v>1:2.2</v>
      </c>
      <c r="F1750" s="9">
        <f t="shared" si="246"/>
        <v>2.2000000000000002</v>
      </c>
      <c r="G1750" s="9">
        <f t="shared" si="247"/>
        <v>2.2000000000000002</v>
      </c>
      <c r="H1750" t="str">
        <f>'(Raw) LensesGH'!D1750</f>
        <v>77mm</v>
      </c>
      <c r="I1750" s="2">
        <f t="shared" si="248"/>
        <v>77</v>
      </c>
      <c r="J1750" s="2">
        <f>'(Raw) LensesGH'!E1750</f>
        <v>0</v>
      </c>
      <c r="K1750" s="40">
        <f t="shared" si="249"/>
        <v>0</v>
      </c>
      <c r="L1750" t="str">
        <f>'(Raw) LensesGH'!F1750</f>
        <v>Samsung NX</v>
      </c>
      <c r="M1750" t="str">
        <f>'(Raw) LensesGH'!G1750</f>
        <v>APS-C</v>
      </c>
      <c r="N1750" t="str">
        <f>'(Raw) LensesGH'!H1750</f>
        <v>615g</v>
      </c>
      <c r="O1750" s="5">
        <f t="shared" si="250"/>
        <v>615</v>
      </c>
      <c r="P1750" t="str">
        <f>'(Raw) LensesGH'!I1750</f>
        <v>83 x 107.9mm</v>
      </c>
      <c r="Q1750" s="39">
        <f t="shared" si="251"/>
        <v>83</v>
      </c>
      <c r="R1750" s="39">
        <f t="shared" si="243"/>
        <v>107.9</v>
      </c>
    </row>
    <row r="1751" spans="1:18" x14ac:dyDescent="0.25">
      <c r="A1751" t="str">
        <f>'(Raw) LensesGH'!A1751</f>
        <v>Walimex Pro 16mm 2.2 VDSLR für Sony A schwarz</v>
      </c>
      <c r="B1751" t="str">
        <f>'(Raw) LensesGH'!B1751</f>
        <v>16mm</v>
      </c>
      <c r="C1751" s="5">
        <f t="shared" si="244"/>
        <v>16</v>
      </c>
      <c r="D1751" s="5">
        <f t="shared" si="245"/>
        <v>16</v>
      </c>
      <c r="E1751" t="str">
        <f>'(Raw) LensesGH'!C1751</f>
        <v>1:2.2</v>
      </c>
      <c r="F1751" s="9">
        <f t="shared" si="246"/>
        <v>2.2000000000000002</v>
      </c>
      <c r="G1751" s="9">
        <f t="shared" si="247"/>
        <v>2.2000000000000002</v>
      </c>
      <c r="H1751" t="str">
        <f>'(Raw) LensesGH'!D1751</f>
        <v>77mm</v>
      </c>
      <c r="I1751" s="2">
        <f t="shared" si="248"/>
        <v>77</v>
      </c>
      <c r="J1751" s="2">
        <f>'(Raw) LensesGH'!E1751</f>
        <v>0</v>
      </c>
      <c r="K1751" s="40">
        <f t="shared" si="249"/>
        <v>0</v>
      </c>
      <c r="L1751" t="str">
        <f>'(Raw) LensesGH'!F1751</f>
        <v>Sony A</v>
      </c>
      <c r="M1751" t="str">
        <f>'(Raw) LensesGH'!G1751</f>
        <v>APS-C</v>
      </c>
      <c r="N1751" t="str">
        <f>'(Raw) LensesGH'!H1751</f>
        <v>585g</v>
      </c>
      <c r="O1751" s="5">
        <f t="shared" si="250"/>
        <v>585</v>
      </c>
      <c r="P1751" t="str">
        <f>'(Raw) LensesGH'!I1751</f>
        <v>83 x 88.9mm</v>
      </c>
      <c r="Q1751" s="39">
        <f t="shared" si="251"/>
        <v>83</v>
      </c>
      <c r="R1751" s="39">
        <f t="shared" si="243"/>
        <v>88.9</v>
      </c>
    </row>
    <row r="1752" spans="1:18" x14ac:dyDescent="0.25">
      <c r="A1752" t="str">
        <f>'(Raw) LensesGH'!A1752</f>
        <v>Walimex Pro 16mm 2.2 VDSLR für Sony E schwarz</v>
      </c>
      <c r="B1752" t="str">
        <f>'(Raw) LensesGH'!B1752</f>
        <v>16mm</v>
      </c>
      <c r="C1752" s="5">
        <f t="shared" si="244"/>
        <v>16</v>
      </c>
      <c r="D1752" s="5">
        <f t="shared" si="245"/>
        <v>16</v>
      </c>
      <c r="E1752" t="str">
        <f>'(Raw) LensesGH'!C1752</f>
        <v>1:2.2</v>
      </c>
      <c r="F1752" s="9">
        <f t="shared" si="246"/>
        <v>2.2000000000000002</v>
      </c>
      <c r="G1752" s="9">
        <f t="shared" si="247"/>
        <v>2.2000000000000002</v>
      </c>
      <c r="H1752" t="str">
        <f>'(Raw) LensesGH'!D1752</f>
        <v>77mm</v>
      </c>
      <c r="I1752" s="2">
        <f t="shared" si="248"/>
        <v>77</v>
      </c>
      <c r="J1752" s="2">
        <f>'(Raw) LensesGH'!E1752</f>
        <v>0</v>
      </c>
      <c r="K1752" s="40">
        <f t="shared" si="249"/>
        <v>0</v>
      </c>
      <c r="L1752" t="str">
        <f>'(Raw) LensesGH'!F1752</f>
        <v>Sony E</v>
      </c>
      <c r="M1752" t="str">
        <f>'(Raw) LensesGH'!G1752</f>
        <v>APS-C</v>
      </c>
      <c r="N1752" t="str">
        <f>'(Raw) LensesGH'!H1752</f>
        <v>620g</v>
      </c>
      <c r="O1752" s="5">
        <f t="shared" si="250"/>
        <v>620</v>
      </c>
      <c r="P1752" t="str">
        <f>'(Raw) LensesGH'!I1752</f>
        <v>83 x 115.4mm</v>
      </c>
      <c r="Q1752" s="39">
        <f t="shared" si="251"/>
        <v>83</v>
      </c>
      <c r="R1752" s="39">
        <f t="shared" si="243"/>
        <v>115.4</v>
      </c>
    </row>
    <row r="1753" spans="1:18" x14ac:dyDescent="0.25">
      <c r="A1753" t="str">
        <f>'(Raw) LensesGH'!A1753</f>
        <v>Walimex Pro 24mm 1.4 CSC für Canon EF-M schwarz</v>
      </c>
      <c r="B1753" t="str">
        <f>'(Raw) LensesGH'!B1753</f>
        <v>24mm</v>
      </c>
      <c r="C1753" s="5">
        <f t="shared" si="244"/>
        <v>24</v>
      </c>
      <c r="D1753" s="5">
        <f t="shared" si="245"/>
        <v>24</v>
      </c>
      <c r="E1753" t="str">
        <f>'(Raw) LensesGH'!C1753</f>
        <v>1:1.4</v>
      </c>
      <c r="F1753" s="9">
        <f t="shared" si="246"/>
        <v>1.4</v>
      </c>
      <c r="G1753" s="9">
        <f t="shared" si="247"/>
        <v>1.4</v>
      </c>
      <c r="H1753" t="str">
        <f>'(Raw) LensesGH'!D1753</f>
        <v>77mm</v>
      </c>
      <c r="I1753" s="2">
        <f t="shared" si="248"/>
        <v>77</v>
      </c>
      <c r="J1753" s="2">
        <f>'(Raw) LensesGH'!E1753</f>
        <v>0</v>
      </c>
      <c r="K1753" s="40">
        <f t="shared" si="249"/>
        <v>0</v>
      </c>
      <c r="L1753" t="str">
        <f>'(Raw) LensesGH'!F1753</f>
        <v>Canon EF-M</v>
      </c>
      <c r="M1753" t="str">
        <f>'(Raw) LensesGH'!G1753</f>
        <v>APS-C/ Kleinbild</v>
      </c>
      <c r="N1753" t="str">
        <f>'(Raw) LensesGH'!H1753</f>
        <v>590g</v>
      </c>
      <c r="O1753" s="5">
        <f t="shared" si="250"/>
        <v>590</v>
      </c>
      <c r="P1753" t="str">
        <f>'(Raw) LensesGH'!I1753</f>
        <v>83 x 123.4mm</v>
      </c>
      <c r="Q1753" s="39">
        <f t="shared" si="251"/>
        <v>83</v>
      </c>
      <c r="R1753" s="39">
        <f t="shared" si="243"/>
        <v>123.4</v>
      </c>
    </row>
    <row r="1754" spans="1:18" x14ac:dyDescent="0.25">
      <c r="A1754" t="str">
        <f>'(Raw) LensesGH'!A1754</f>
        <v>Walimex Pro 24mm 1.4 CSC für Fujifilm X schwarz</v>
      </c>
      <c r="B1754" t="str">
        <f>'(Raw) LensesGH'!B1754</f>
        <v>24mm</v>
      </c>
      <c r="C1754" s="5">
        <f t="shared" si="244"/>
        <v>24</v>
      </c>
      <c r="D1754" s="5">
        <f t="shared" si="245"/>
        <v>24</v>
      </c>
      <c r="E1754" t="str">
        <f>'(Raw) LensesGH'!C1754</f>
        <v>1:1.4</v>
      </c>
      <c r="F1754" s="9">
        <f t="shared" si="246"/>
        <v>1.4</v>
      </c>
      <c r="G1754" s="9">
        <f t="shared" si="247"/>
        <v>1.4</v>
      </c>
      <c r="H1754" t="str">
        <f>'(Raw) LensesGH'!D1754</f>
        <v>77mm</v>
      </c>
      <c r="I1754" s="2">
        <f t="shared" si="248"/>
        <v>77</v>
      </c>
      <c r="J1754" s="2">
        <f>'(Raw) LensesGH'!E1754</f>
        <v>0</v>
      </c>
      <c r="K1754" s="40">
        <f t="shared" si="249"/>
        <v>0</v>
      </c>
      <c r="L1754" t="str">
        <f>'(Raw) LensesGH'!F1754</f>
        <v>Fujifilm X</v>
      </c>
      <c r="M1754" t="str">
        <f>'(Raw) LensesGH'!G1754</f>
        <v>APS-C/ Kleinbild</v>
      </c>
      <c r="N1754" t="str">
        <f>'(Raw) LensesGH'!H1754</f>
        <v>630g</v>
      </c>
      <c r="O1754" s="5">
        <f t="shared" si="250"/>
        <v>630</v>
      </c>
      <c r="P1754" t="str">
        <f>'(Raw) LensesGH'!I1754</f>
        <v>83 x 123.8mm</v>
      </c>
      <c r="Q1754" s="39">
        <f t="shared" si="251"/>
        <v>83</v>
      </c>
      <c r="R1754" s="39">
        <f t="shared" si="243"/>
        <v>123.8</v>
      </c>
    </row>
    <row r="1755" spans="1:18" x14ac:dyDescent="0.25">
      <c r="A1755" t="str">
        <f>'(Raw) LensesGH'!A1755</f>
        <v>Walimex Pro 24mm 1.4 für Canon EF schwarz</v>
      </c>
      <c r="B1755" t="str">
        <f>'(Raw) LensesGH'!B1755</f>
        <v>24mm</v>
      </c>
      <c r="C1755" s="5">
        <f t="shared" si="244"/>
        <v>24</v>
      </c>
      <c r="D1755" s="5">
        <f t="shared" si="245"/>
        <v>24</v>
      </c>
      <c r="E1755" t="str">
        <f>'(Raw) LensesGH'!C1755</f>
        <v>1:1.4</v>
      </c>
      <c r="F1755" s="9">
        <f t="shared" si="246"/>
        <v>1.4</v>
      </c>
      <c r="G1755" s="9">
        <f t="shared" si="247"/>
        <v>1.4</v>
      </c>
      <c r="H1755" t="str">
        <f>'(Raw) LensesGH'!D1755</f>
        <v>77mm</v>
      </c>
      <c r="I1755" s="2">
        <f t="shared" si="248"/>
        <v>77</v>
      </c>
      <c r="J1755" s="2">
        <f>'(Raw) LensesGH'!E1755</f>
        <v>0</v>
      </c>
      <c r="K1755" s="40">
        <f t="shared" si="249"/>
        <v>0</v>
      </c>
      <c r="L1755" t="str">
        <f>'(Raw) LensesGH'!F1755</f>
        <v>Canon EF</v>
      </c>
      <c r="M1755" t="str">
        <f>'(Raw) LensesGH'!G1755</f>
        <v>APS-C/ Kleinbild</v>
      </c>
      <c r="N1755" t="str">
        <f>'(Raw) LensesGH'!H1755</f>
        <v>610g</v>
      </c>
      <c r="O1755" s="5">
        <f t="shared" si="250"/>
        <v>610</v>
      </c>
      <c r="P1755" t="str">
        <f>'(Raw) LensesGH'!I1755</f>
        <v>83 x 97.5mm</v>
      </c>
      <c r="Q1755" s="39">
        <f t="shared" si="251"/>
        <v>83</v>
      </c>
      <c r="R1755" s="39">
        <f t="shared" si="243"/>
        <v>97.5</v>
      </c>
    </row>
    <row r="1756" spans="1:18" x14ac:dyDescent="0.25">
      <c r="A1756" t="str">
        <f>'(Raw) LensesGH'!A1756</f>
        <v>Walimex Pro 24mm 1.4 für Four-Thirds schwarz</v>
      </c>
      <c r="B1756" t="str">
        <f>'(Raw) LensesGH'!B1756</f>
        <v>24mm</v>
      </c>
      <c r="C1756" s="5">
        <f t="shared" si="244"/>
        <v>24</v>
      </c>
      <c r="D1756" s="5">
        <f t="shared" si="245"/>
        <v>24</v>
      </c>
      <c r="E1756" t="str">
        <f>'(Raw) LensesGH'!C1756</f>
        <v>1:1.4</v>
      </c>
      <c r="F1756" s="9">
        <f t="shared" si="246"/>
        <v>1.4</v>
      </c>
      <c r="G1756" s="9">
        <f t="shared" si="247"/>
        <v>1.4</v>
      </c>
      <c r="H1756" t="str">
        <f>'(Raw) LensesGH'!D1756</f>
        <v>77mm</v>
      </c>
      <c r="I1756" s="2">
        <f t="shared" si="248"/>
        <v>77</v>
      </c>
      <c r="J1756" s="2">
        <f>'(Raw) LensesGH'!E1756</f>
        <v>0</v>
      </c>
      <c r="K1756" s="40">
        <f t="shared" si="249"/>
        <v>0</v>
      </c>
      <c r="L1756" t="str">
        <f>'(Raw) LensesGH'!F1756</f>
        <v>Four-Thirds</v>
      </c>
      <c r="M1756" t="str">
        <f>'(Raw) LensesGH'!G1756</f>
        <v>Four-Thirds</v>
      </c>
      <c r="N1756" t="str">
        <f>'(Raw) LensesGH'!H1756</f>
        <v>624g</v>
      </c>
      <c r="O1756" s="5">
        <f t="shared" si="250"/>
        <v>624</v>
      </c>
      <c r="P1756" t="str">
        <f>'(Raw) LensesGH'!I1756</f>
        <v>83 x 103mm</v>
      </c>
      <c r="Q1756" s="39">
        <f t="shared" si="251"/>
        <v>83</v>
      </c>
      <c r="R1756" s="39">
        <f t="shared" si="243"/>
        <v>103</v>
      </c>
    </row>
    <row r="1757" spans="1:18" x14ac:dyDescent="0.25">
      <c r="A1757" t="str">
        <f>'(Raw) LensesGH'!A1757</f>
        <v>Walimex Pro 24mm 1.4 für Micro-Four-Thirds schwarz</v>
      </c>
      <c r="B1757" t="str">
        <f>'(Raw) LensesGH'!B1757</f>
        <v>24mm</v>
      </c>
      <c r="C1757" s="5">
        <f t="shared" si="244"/>
        <v>24</v>
      </c>
      <c r="D1757" s="5">
        <f t="shared" si="245"/>
        <v>24</v>
      </c>
      <c r="E1757" t="str">
        <f>'(Raw) LensesGH'!C1757</f>
        <v>1:1.4</v>
      </c>
      <c r="F1757" s="9">
        <f t="shared" si="246"/>
        <v>1.4</v>
      </c>
      <c r="G1757" s="9">
        <f t="shared" si="247"/>
        <v>1.4</v>
      </c>
      <c r="H1757" t="str">
        <f>'(Raw) LensesGH'!D1757</f>
        <v>77mm</v>
      </c>
      <c r="I1757" s="2">
        <f t="shared" si="248"/>
        <v>77</v>
      </c>
      <c r="J1757" s="2">
        <f>'(Raw) LensesGH'!E1757</f>
        <v>0</v>
      </c>
      <c r="K1757" s="40">
        <f t="shared" si="249"/>
        <v>0</v>
      </c>
      <c r="L1757" t="str">
        <f>'(Raw) LensesGH'!F1757</f>
        <v>Micro-Four-Thirds</v>
      </c>
      <c r="M1757" t="str">
        <f>'(Raw) LensesGH'!G1757</f>
        <v>Four-Thirds</v>
      </c>
      <c r="N1757" t="str">
        <f>'(Raw) LensesGH'!H1757</f>
        <v>610g</v>
      </c>
      <c r="O1757" s="5">
        <f t="shared" si="250"/>
        <v>610</v>
      </c>
      <c r="P1757" t="str">
        <f>'(Raw) LensesGH'!I1757</f>
        <v>83 x 103mm</v>
      </c>
      <c r="Q1757" s="39">
        <f t="shared" si="251"/>
        <v>83</v>
      </c>
      <c r="R1757" s="39">
        <f t="shared" si="243"/>
        <v>103</v>
      </c>
    </row>
    <row r="1758" spans="1:18" x14ac:dyDescent="0.25">
      <c r="A1758" t="str">
        <f>'(Raw) LensesGH'!A1758</f>
        <v>Walimex Pro 24mm 1.4 für Nikon 1 schwarz</v>
      </c>
      <c r="B1758" t="str">
        <f>'(Raw) LensesGH'!B1758</f>
        <v>24mm</v>
      </c>
      <c r="C1758" s="5">
        <f t="shared" si="244"/>
        <v>24</v>
      </c>
      <c r="D1758" s="5">
        <f t="shared" si="245"/>
        <v>24</v>
      </c>
      <c r="E1758" t="str">
        <f>'(Raw) LensesGH'!C1758</f>
        <v>1:1.4</v>
      </c>
      <c r="F1758" s="9">
        <f t="shared" si="246"/>
        <v>1.4</v>
      </c>
      <c r="G1758" s="9">
        <f t="shared" si="247"/>
        <v>1.4</v>
      </c>
      <c r="H1758" t="str">
        <f>'(Raw) LensesGH'!D1758</f>
        <v>77mm</v>
      </c>
      <c r="I1758" s="2">
        <f t="shared" si="248"/>
        <v>77</v>
      </c>
      <c r="J1758" s="2">
        <f>'(Raw) LensesGH'!E1758</f>
        <v>0</v>
      </c>
      <c r="K1758" s="40">
        <f t="shared" si="249"/>
        <v>0</v>
      </c>
      <c r="L1758" t="str">
        <f>'(Raw) LensesGH'!F1758</f>
        <v>Nikon 1</v>
      </c>
      <c r="M1758" t="str">
        <f>'(Raw) LensesGH'!G1758</f>
        <v>APS-C/ Kleinbild</v>
      </c>
      <c r="N1758" t="str">
        <f>'(Raw) LensesGH'!H1758</f>
        <v>610g</v>
      </c>
      <c r="O1758" s="5">
        <f t="shared" si="250"/>
        <v>610</v>
      </c>
      <c r="P1758" t="str">
        <f>'(Raw) LensesGH'!I1758</f>
        <v>83 x 95mm</v>
      </c>
      <c r="Q1758" s="39">
        <f t="shared" si="251"/>
        <v>83</v>
      </c>
      <c r="R1758" s="39">
        <f t="shared" si="243"/>
        <v>95</v>
      </c>
    </row>
    <row r="1759" spans="1:18" x14ac:dyDescent="0.25">
      <c r="A1759" t="str">
        <f>'(Raw) LensesGH'!A1759</f>
        <v>Walimex Pro 24mm 1.4 für Nikon F schwarz</v>
      </c>
      <c r="B1759" t="str">
        <f>'(Raw) LensesGH'!B1759</f>
        <v>24mm</v>
      </c>
      <c r="C1759" s="5">
        <f t="shared" si="244"/>
        <v>24</v>
      </c>
      <c r="D1759" s="5">
        <f t="shared" si="245"/>
        <v>24</v>
      </c>
      <c r="E1759" t="str">
        <f>'(Raw) LensesGH'!C1759</f>
        <v>1:1.4</v>
      </c>
      <c r="F1759" s="9">
        <f t="shared" si="246"/>
        <v>1.4</v>
      </c>
      <c r="G1759" s="9">
        <f t="shared" si="247"/>
        <v>1.4</v>
      </c>
      <c r="H1759" t="str">
        <f>'(Raw) LensesGH'!D1759</f>
        <v>77mm</v>
      </c>
      <c r="I1759" s="2">
        <f t="shared" si="248"/>
        <v>77</v>
      </c>
      <c r="J1759" s="2">
        <f>'(Raw) LensesGH'!E1759</f>
        <v>0</v>
      </c>
      <c r="K1759" s="40">
        <f t="shared" si="249"/>
        <v>0</v>
      </c>
      <c r="L1759" t="str">
        <f>'(Raw) LensesGH'!F1759</f>
        <v>Nikon F</v>
      </c>
      <c r="M1759" t="str">
        <f>'(Raw) LensesGH'!G1759</f>
        <v>APS-C/ Kleinbild</v>
      </c>
      <c r="N1759" t="str">
        <f>'(Raw) LensesGH'!H1759</f>
        <v>610g</v>
      </c>
      <c r="O1759" s="5">
        <f t="shared" si="250"/>
        <v>610</v>
      </c>
      <c r="P1759" t="str">
        <f>'(Raw) LensesGH'!I1759</f>
        <v>83 x 95mm</v>
      </c>
      <c r="Q1759" s="39">
        <f t="shared" si="251"/>
        <v>83</v>
      </c>
      <c r="R1759" s="39">
        <f t="shared" si="243"/>
        <v>95</v>
      </c>
    </row>
    <row r="1760" spans="1:18" x14ac:dyDescent="0.25">
      <c r="A1760" t="str">
        <f>'(Raw) LensesGH'!A1760</f>
        <v>Walimex Pro 24mm 1.4 für Pentax K schwarz</v>
      </c>
      <c r="B1760" t="str">
        <f>'(Raw) LensesGH'!B1760</f>
        <v>24mm</v>
      </c>
      <c r="C1760" s="5">
        <f t="shared" si="244"/>
        <v>24</v>
      </c>
      <c r="D1760" s="5">
        <f t="shared" si="245"/>
        <v>24</v>
      </c>
      <c r="E1760" t="str">
        <f>'(Raw) LensesGH'!C1760</f>
        <v>1:1.4</v>
      </c>
      <c r="F1760" s="9">
        <f t="shared" si="246"/>
        <v>1.4</v>
      </c>
      <c r="G1760" s="9">
        <f t="shared" si="247"/>
        <v>1.4</v>
      </c>
      <c r="H1760" t="str">
        <f>'(Raw) LensesGH'!D1760</f>
        <v>77mm</v>
      </c>
      <c r="I1760" s="2">
        <f t="shared" si="248"/>
        <v>77</v>
      </c>
      <c r="J1760" s="2">
        <f>'(Raw) LensesGH'!E1760</f>
        <v>0</v>
      </c>
      <c r="K1760" s="40">
        <f t="shared" si="249"/>
        <v>0</v>
      </c>
      <c r="L1760" t="str">
        <f>'(Raw) LensesGH'!F1760</f>
        <v>Pentax K</v>
      </c>
      <c r="M1760" t="str">
        <f>'(Raw) LensesGH'!G1760</f>
        <v>APS-C/ Kleinbild</v>
      </c>
      <c r="N1760" t="str">
        <f>'(Raw) LensesGH'!H1760</f>
        <v>614g</v>
      </c>
      <c r="O1760" s="5">
        <f t="shared" si="250"/>
        <v>614</v>
      </c>
      <c r="P1760" t="str">
        <f>'(Raw) LensesGH'!I1760</f>
        <v>83 x 96mm</v>
      </c>
      <c r="Q1760" s="39">
        <f t="shared" si="251"/>
        <v>83</v>
      </c>
      <c r="R1760" s="39">
        <f t="shared" si="243"/>
        <v>96</v>
      </c>
    </row>
    <row r="1761" spans="1:18" x14ac:dyDescent="0.25">
      <c r="A1761" t="str">
        <f>'(Raw) LensesGH'!A1761</f>
        <v>Walimex Pro 24mm 1.4 für Samsung NX schwarz</v>
      </c>
      <c r="B1761" t="str">
        <f>'(Raw) LensesGH'!B1761</f>
        <v>24mm</v>
      </c>
      <c r="C1761" s="5">
        <f t="shared" si="244"/>
        <v>24</v>
      </c>
      <c r="D1761" s="5">
        <f t="shared" si="245"/>
        <v>24</v>
      </c>
      <c r="E1761" t="str">
        <f>'(Raw) LensesGH'!C1761</f>
        <v>1:1.4</v>
      </c>
      <c r="F1761" s="9">
        <f t="shared" si="246"/>
        <v>1.4</v>
      </c>
      <c r="G1761" s="9">
        <f t="shared" si="247"/>
        <v>1.4</v>
      </c>
      <c r="H1761" t="str">
        <f>'(Raw) LensesGH'!D1761</f>
        <v>77mm</v>
      </c>
      <c r="I1761" s="2">
        <f t="shared" si="248"/>
        <v>77</v>
      </c>
      <c r="J1761" s="2">
        <f>'(Raw) LensesGH'!E1761</f>
        <v>0</v>
      </c>
      <c r="K1761" s="40">
        <f t="shared" si="249"/>
        <v>0</v>
      </c>
      <c r="L1761" t="str">
        <f>'(Raw) LensesGH'!F1761</f>
        <v>Samsung NX</v>
      </c>
      <c r="M1761" t="str">
        <f>'(Raw) LensesGH'!G1761</f>
        <v>APS-C</v>
      </c>
      <c r="N1761" t="str">
        <f>'(Raw) LensesGH'!H1761</f>
        <v>630g</v>
      </c>
      <c r="O1761" s="5">
        <f t="shared" si="250"/>
        <v>630</v>
      </c>
      <c r="P1761" t="str">
        <f>'(Raw) LensesGH'!I1761</f>
        <v>83 x 116mm</v>
      </c>
      <c r="Q1761" s="39">
        <f t="shared" si="251"/>
        <v>83</v>
      </c>
      <c r="R1761" s="39">
        <f t="shared" si="243"/>
        <v>116</v>
      </c>
    </row>
    <row r="1762" spans="1:18" x14ac:dyDescent="0.25">
      <c r="A1762" t="str">
        <f>'(Raw) LensesGH'!A1762</f>
        <v>Walimex Pro 24mm 1.4 für Sony A schwarz</v>
      </c>
      <c r="B1762" t="str">
        <f>'(Raw) LensesGH'!B1762</f>
        <v>24mm</v>
      </c>
      <c r="C1762" s="5">
        <f t="shared" si="244"/>
        <v>24</v>
      </c>
      <c r="D1762" s="5">
        <f t="shared" si="245"/>
        <v>24</v>
      </c>
      <c r="E1762" t="str">
        <f>'(Raw) LensesGH'!C1762</f>
        <v>1:1.4</v>
      </c>
      <c r="F1762" s="9">
        <f t="shared" si="246"/>
        <v>1.4</v>
      </c>
      <c r="G1762" s="9">
        <f t="shared" si="247"/>
        <v>1.4</v>
      </c>
      <c r="H1762" t="str">
        <f>'(Raw) LensesGH'!D1762</f>
        <v>77mm</v>
      </c>
      <c r="I1762" s="2">
        <f t="shared" si="248"/>
        <v>77</v>
      </c>
      <c r="J1762" s="2">
        <f>'(Raw) LensesGH'!E1762</f>
        <v>0</v>
      </c>
      <c r="K1762" s="40">
        <f t="shared" si="249"/>
        <v>0</v>
      </c>
      <c r="L1762" t="str">
        <f>'(Raw) LensesGH'!F1762</f>
        <v>Sony A</v>
      </c>
      <c r="M1762" t="str">
        <f>'(Raw) LensesGH'!G1762</f>
        <v>APS-C</v>
      </c>
      <c r="N1762" t="str">
        <f>'(Raw) LensesGH'!H1762</f>
        <v>606g</v>
      </c>
      <c r="O1762" s="5">
        <f t="shared" si="250"/>
        <v>606</v>
      </c>
      <c r="P1762" t="str">
        <f>'(Raw) LensesGH'!I1762</f>
        <v>83 x 97mm</v>
      </c>
      <c r="Q1762" s="39">
        <f t="shared" si="251"/>
        <v>83</v>
      </c>
      <c r="R1762" s="39">
        <f t="shared" si="243"/>
        <v>97</v>
      </c>
    </row>
    <row r="1763" spans="1:18" x14ac:dyDescent="0.25">
      <c r="A1763" t="str">
        <f>'(Raw) LensesGH'!A1763</f>
        <v>Walimex Pro 24mm 1.4 für Sony E schwarz</v>
      </c>
      <c r="B1763" t="str">
        <f>'(Raw) LensesGH'!B1763</f>
        <v>24mm</v>
      </c>
      <c r="C1763" s="5">
        <f t="shared" si="244"/>
        <v>24</v>
      </c>
      <c r="D1763" s="5">
        <f t="shared" si="245"/>
        <v>24</v>
      </c>
      <c r="E1763" t="str">
        <f>'(Raw) LensesGH'!C1763</f>
        <v>1:1.4</v>
      </c>
      <c r="F1763" s="9">
        <f t="shared" si="246"/>
        <v>1.4</v>
      </c>
      <c r="G1763" s="9">
        <f t="shared" si="247"/>
        <v>1.4</v>
      </c>
      <c r="H1763" t="str">
        <f>'(Raw) LensesGH'!D1763</f>
        <v>77mm</v>
      </c>
      <c r="I1763" s="2">
        <f t="shared" si="248"/>
        <v>77</v>
      </c>
      <c r="J1763" s="2">
        <f>'(Raw) LensesGH'!E1763</f>
        <v>0</v>
      </c>
      <c r="K1763" s="40">
        <f t="shared" si="249"/>
        <v>0</v>
      </c>
      <c r="L1763" t="str">
        <f>'(Raw) LensesGH'!F1763</f>
        <v>Sony E</v>
      </c>
      <c r="M1763" t="str">
        <f>'(Raw) LensesGH'!G1763</f>
        <v>APS-C</v>
      </c>
      <c r="N1763" t="str">
        <f>'(Raw) LensesGH'!H1763</f>
        <v>610g</v>
      </c>
      <c r="O1763" s="5">
        <f t="shared" si="250"/>
        <v>610</v>
      </c>
      <c r="P1763" t="str">
        <f>'(Raw) LensesGH'!I1763</f>
        <v>83 x 97.5mm</v>
      </c>
      <c r="Q1763" s="39">
        <f t="shared" si="251"/>
        <v>83</v>
      </c>
      <c r="R1763" s="39">
        <f t="shared" si="243"/>
        <v>97.5</v>
      </c>
    </row>
    <row r="1764" spans="1:18" x14ac:dyDescent="0.25">
      <c r="A1764" t="str">
        <f>'(Raw) LensesGH'!A1764</f>
        <v>Walimex Pro 24mm 1.5 VCSC für Canon EF-M schwarz</v>
      </c>
      <c r="B1764" t="str">
        <f>'(Raw) LensesGH'!B1764</f>
        <v>24mm</v>
      </c>
      <c r="C1764" s="5">
        <f t="shared" si="244"/>
        <v>24</v>
      </c>
      <c r="D1764" s="5">
        <f t="shared" si="245"/>
        <v>24</v>
      </c>
      <c r="E1764" t="str">
        <f>'(Raw) LensesGH'!C1764</f>
        <v>1:1.5</v>
      </c>
      <c r="F1764" s="9">
        <f t="shared" si="246"/>
        <v>1.5</v>
      </c>
      <c r="G1764" s="9">
        <f t="shared" si="247"/>
        <v>1.5</v>
      </c>
      <c r="H1764" t="str">
        <f>'(Raw) LensesGH'!D1764</f>
        <v>77mm</v>
      </c>
      <c r="I1764" s="2">
        <f t="shared" si="248"/>
        <v>77</v>
      </c>
      <c r="J1764" s="2">
        <f>'(Raw) LensesGH'!E1764</f>
        <v>0</v>
      </c>
      <c r="K1764" s="40">
        <f t="shared" si="249"/>
        <v>0</v>
      </c>
      <c r="L1764" t="str">
        <f>'(Raw) LensesGH'!F1764</f>
        <v>Canon EF-M</v>
      </c>
      <c r="M1764" t="str">
        <f>'(Raw) LensesGH'!G1764</f>
        <v>APS-C</v>
      </c>
      <c r="N1764" t="str">
        <f>'(Raw) LensesGH'!H1764</f>
        <v>630g</v>
      </c>
      <c r="O1764" s="5">
        <f t="shared" si="250"/>
        <v>630</v>
      </c>
      <c r="P1764" t="str">
        <f>'(Raw) LensesGH'!I1764</f>
        <v>83 x 123.4mm</v>
      </c>
      <c r="Q1764" s="39">
        <f t="shared" si="251"/>
        <v>83</v>
      </c>
      <c r="R1764" s="39">
        <f t="shared" si="243"/>
        <v>123.4</v>
      </c>
    </row>
    <row r="1765" spans="1:18" x14ac:dyDescent="0.25">
      <c r="A1765" t="str">
        <f>'(Raw) LensesGH'!A1765</f>
        <v>Walimex Pro 24mm 1.5 VCSC für Fujifilm X schwarz</v>
      </c>
      <c r="B1765" t="str">
        <f>'(Raw) LensesGH'!B1765</f>
        <v>24mm</v>
      </c>
      <c r="C1765" s="5">
        <f t="shared" si="244"/>
        <v>24</v>
      </c>
      <c r="D1765" s="5">
        <f t="shared" si="245"/>
        <v>24</v>
      </c>
      <c r="E1765" t="str">
        <f>'(Raw) LensesGH'!C1765</f>
        <v>1:1.5</v>
      </c>
      <c r="F1765" s="9">
        <f t="shared" si="246"/>
        <v>1.5</v>
      </c>
      <c r="G1765" s="9">
        <f t="shared" si="247"/>
        <v>1.5</v>
      </c>
      <c r="H1765" t="str">
        <f>'(Raw) LensesGH'!D1765</f>
        <v>77mm</v>
      </c>
      <c r="I1765" s="2">
        <f t="shared" si="248"/>
        <v>77</v>
      </c>
      <c r="J1765" s="2">
        <f>'(Raw) LensesGH'!E1765</f>
        <v>0</v>
      </c>
      <c r="K1765" s="40">
        <f t="shared" si="249"/>
        <v>0</v>
      </c>
      <c r="L1765" t="str">
        <f>'(Raw) LensesGH'!F1765</f>
        <v>Fujifilm X</v>
      </c>
      <c r="M1765" t="str">
        <f>'(Raw) LensesGH'!G1765</f>
        <v>APS-C</v>
      </c>
      <c r="N1765" t="str">
        <f>'(Raw) LensesGH'!H1765</f>
        <v>640g</v>
      </c>
      <c r="O1765" s="5">
        <f t="shared" si="250"/>
        <v>640</v>
      </c>
      <c r="P1765" t="str">
        <f>'(Raw) LensesGH'!I1765</f>
        <v>83 x 123.4mm</v>
      </c>
      <c r="Q1765" s="39">
        <f t="shared" si="251"/>
        <v>83</v>
      </c>
      <c r="R1765" s="39">
        <f t="shared" si="243"/>
        <v>123.4</v>
      </c>
    </row>
    <row r="1766" spans="1:18" x14ac:dyDescent="0.25">
      <c r="A1766" t="str">
        <f>'(Raw) LensesGH'!A1766</f>
        <v>Walimex Pro 24mm 1.5 VCSC für Pentax Q schwarz</v>
      </c>
      <c r="B1766" t="str">
        <f>'(Raw) LensesGH'!B1766</f>
        <v>24mm</v>
      </c>
      <c r="C1766" s="5">
        <f t="shared" si="244"/>
        <v>24</v>
      </c>
      <c r="D1766" s="5">
        <f t="shared" si="245"/>
        <v>24</v>
      </c>
      <c r="E1766" t="str">
        <f>'(Raw) LensesGH'!C1766</f>
        <v>1:1.5</v>
      </c>
      <c r="F1766" s="9">
        <f t="shared" si="246"/>
        <v>1.5</v>
      </c>
      <c r="G1766" s="9">
        <f t="shared" si="247"/>
        <v>1.5</v>
      </c>
      <c r="H1766" t="str">
        <f>'(Raw) LensesGH'!D1766</f>
        <v>77mm</v>
      </c>
      <c r="I1766" s="2">
        <f t="shared" si="248"/>
        <v>77</v>
      </c>
      <c r="J1766" s="2">
        <f>'(Raw) LensesGH'!E1766</f>
        <v>0</v>
      </c>
      <c r="K1766" s="40">
        <f t="shared" si="249"/>
        <v>0</v>
      </c>
      <c r="L1766" t="str">
        <f>'(Raw) LensesGH'!F1766</f>
        <v>Pentax Q</v>
      </c>
      <c r="M1766" t="str">
        <f>'(Raw) LensesGH'!G1766</f>
        <v>APS-C</v>
      </c>
      <c r="N1766" t="str">
        <f>'(Raw) LensesGH'!H1766</f>
        <v>615g</v>
      </c>
      <c r="O1766" s="5">
        <f t="shared" si="250"/>
        <v>615</v>
      </c>
      <c r="P1766" t="str">
        <f>'(Raw) LensesGH'!I1766</f>
        <v>83 x 97.5mm</v>
      </c>
      <c r="Q1766" s="39">
        <f t="shared" si="251"/>
        <v>83</v>
      </c>
      <c r="R1766" s="39">
        <f t="shared" si="243"/>
        <v>97.5</v>
      </c>
    </row>
    <row r="1767" spans="1:18" x14ac:dyDescent="0.25">
      <c r="A1767" t="str">
        <f>'(Raw) LensesGH'!A1767</f>
        <v>Walimex Pro 24mm 1.5 VDSLR für Canon EF schwarz</v>
      </c>
      <c r="B1767" t="str">
        <f>'(Raw) LensesGH'!B1767</f>
        <v>24mm</v>
      </c>
      <c r="C1767" s="5">
        <f t="shared" si="244"/>
        <v>24</v>
      </c>
      <c r="D1767" s="5">
        <f t="shared" si="245"/>
        <v>24</v>
      </c>
      <c r="E1767" t="str">
        <f>'(Raw) LensesGH'!C1767</f>
        <v>1:1.5</v>
      </c>
      <c r="F1767" s="9">
        <f t="shared" si="246"/>
        <v>1.5</v>
      </c>
      <c r="G1767" s="9">
        <f t="shared" si="247"/>
        <v>1.5</v>
      </c>
      <c r="H1767" t="str">
        <f>'(Raw) LensesGH'!D1767</f>
        <v>77mm</v>
      </c>
      <c r="I1767" s="2">
        <f t="shared" si="248"/>
        <v>77</v>
      </c>
      <c r="J1767" s="2">
        <f>'(Raw) LensesGH'!E1767</f>
        <v>0</v>
      </c>
      <c r="K1767" s="40">
        <f t="shared" si="249"/>
        <v>0</v>
      </c>
      <c r="L1767" t="str">
        <f>'(Raw) LensesGH'!F1767</f>
        <v>Canon EF</v>
      </c>
      <c r="M1767" t="str">
        <f>'(Raw) LensesGH'!G1767</f>
        <v>APS-C/ Kleinbild</v>
      </c>
      <c r="N1767" t="str">
        <f>'(Raw) LensesGH'!H1767</f>
        <v>615g</v>
      </c>
      <c r="O1767" s="5">
        <f t="shared" si="250"/>
        <v>615</v>
      </c>
      <c r="P1767" t="str">
        <f>'(Raw) LensesGH'!I1767</f>
        <v>83 x 97.5mm</v>
      </c>
      <c r="Q1767" s="39">
        <f t="shared" si="251"/>
        <v>83</v>
      </c>
      <c r="R1767" s="39">
        <f t="shared" si="243"/>
        <v>97.5</v>
      </c>
    </row>
    <row r="1768" spans="1:18" x14ac:dyDescent="0.25">
      <c r="A1768" t="str">
        <f>'(Raw) LensesGH'!A1768</f>
        <v>Walimex Pro 24mm 1.5 VDSLR für Four-Thirds schwarz</v>
      </c>
      <c r="B1768" t="str">
        <f>'(Raw) LensesGH'!B1768</f>
        <v>24mm</v>
      </c>
      <c r="C1768" s="5">
        <f t="shared" si="244"/>
        <v>24</v>
      </c>
      <c r="D1768" s="5">
        <f t="shared" si="245"/>
        <v>24</v>
      </c>
      <c r="E1768" t="str">
        <f>'(Raw) LensesGH'!C1768</f>
        <v>1:1.5</v>
      </c>
      <c r="F1768" s="9">
        <f t="shared" si="246"/>
        <v>1.5</v>
      </c>
      <c r="G1768" s="9">
        <f t="shared" si="247"/>
        <v>1.5</v>
      </c>
      <c r="H1768" t="str">
        <f>'(Raw) LensesGH'!D1768</f>
        <v>77mm</v>
      </c>
      <c r="I1768" s="2">
        <f t="shared" si="248"/>
        <v>77</v>
      </c>
      <c r="J1768" s="2">
        <f>'(Raw) LensesGH'!E1768</f>
        <v>0</v>
      </c>
      <c r="K1768" s="40">
        <f t="shared" si="249"/>
        <v>0</v>
      </c>
      <c r="L1768" t="str">
        <f>'(Raw) LensesGH'!F1768</f>
        <v>Four-Thirds</v>
      </c>
      <c r="M1768" t="str">
        <f>'(Raw) LensesGH'!G1768</f>
        <v>Four-Thirds</v>
      </c>
      <c r="N1768" t="str">
        <f>'(Raw) LensesGH'!H1768</f>
        <v>633g</v>
      </c>
      <c r="O1768" s="5">
        <f t="shared" si="250"/>
        <v>633</v>
      </c>
      <c r="P1768" t="str">
        <f>'(Raw) LensesGH'!I1768</f>
        <v>83 x 102.8mm</v>
      </c>
      <c r="Q1768" s="39">
        <f t="shared" si="251"/>
        <v>83</v>
      </c>
      <c r="R1768" s="39">
        <f t="shared" si="243"/>
        <v>102.8</v>
      </c>
    </row>
    <row r="1769" spans="1:18" x14ac:dyDescent="0.25">
      <c r="A1769" t="str">
        <f>'(Raw) LensesGH'!A1769</f>
        <v>Walimex Pro 24mm 1.5 VDSLR für Micro-Four-Thirds schwarz</v>
      </c>
      <c r="B1769" t="str">
        <f>'(Raw) LensesGH'!B1769</f>
        <v>24mm</v>
      </c>
      <c r="C1769" s="5">
        <f t="shared" si="244"/>
        <v>24</v>
      </c>
      <c r="D1769" s="5">
        <f t="shared" si="245"/>
        <v>24</v>
      </c>
      <c r="E1769" t="str">
        <f>'(Raw) LensesGH'!C1769</f>
        <v>1:1.5</v>
      </c>
      <c r="F1769" s="9">
        <f t="shared" si="246"/>
        <v>1.5</v>
      </c>
      <c r="G1769" s="9">
        <f t="shared" si="247"/>
        <v>1.5</v>
      </c>
      <c r="H1769" t="str">
        <f>'(Raw) LensesGH'!D1769</f>
        <v>77mm</v>
      </c>
      <c r="I1769" s="2">
        <f t="shared" si="248"/>
        <v>77</v>
      </c>
      <c r="J1769" s="2">
        <f>'(Raw) LensesGH'!E1769</f>
        <v>0</v>
      </c>
      <c r="K1769" s="40">
        <f t="shared" si="249"/>
        <v>0</v>
      </c>
      <c r="L1769" t="str">
        <f>'(Raw) LensesGH'!F1769</f>
        <v>Micro-Four-Thirds</v>
      </c>
      <c r="M1769" t="str">
        <f>'(Raw) LensesGH'!G1769</f>
        <v>Four-Thirds</v>
      </c>
      <c r="N1769" t="str">
        <f>'(Raw) LensesGH'!H1769</f>
        <v>633g</v>
      </c>
      <c r="O1769" s="5">
        <f t="shared" si="250"/>
        <v>633</v>
      </c>
      <c r="P1769" t="str">
        <f>'(Raw) LensesGH'!I1769</f>
        <v>83 x 102.8mm</v>
      </c>
      <c r="Q1769" s="39">
        <f t="shared" si="251"/>
        <v>83</v>
      </c>
      <c r="R1769" s="39">
        <f t="shared" si="243"/>
        <v>102.8</v>
      </c>
    </row>
    <row r="1770" spans="1:18" x14ac:dyDescent="0.25">
      <c r="A1770" t="str">
        <f>'(Raw) LensesGH'!A1770</f>
        <v>Walimex Pro 24mm 1.5 VDSLR für Nikon 1 schwarz</v>
      </c>
      <c r="B1770" t="str">
        <f>'(Raw) LensesGH'!B1770</f>
        <v>24mm</v>
      </c>
      <c r="C1770" s="5">
        <f t="shared" si="244"/>
        <v>24</v>
      </c>
      <c r="D1770" s="5">
        <f t="shared" si="245"/>
        <v>24</v>
      </c>
      <c r="E1770" t="str">
        <f>'(Raw) LensesGH'!C1770</f>
        <v>1:1.5</v>
      </c>
      <c r="F1770" s="9">
        <f t="shared" si="246"/>
        <v>1.5</v>
      </c>
      <c r="G1770" s="9">
        <f t="shared" si="247"/>
        <v>1.5</v>
      </c>
      <c r="H1770" t="str">
        <f>'(Raw) LensesGH'!D1770</f>
        <v>77mm</v>
      </c>
      <c r="I1770" s="2">
        <f t="shared" si="248"/>
        <v>77</v>
      </c>
      <c r="J1770" s="2">
        <f>'(Raw) LensesGH'!E1770</f>
        <v>0</v>
      </c>
      <c r="K1770" s="40">
        <f t="shared" si="249"/>
        <v>0</v>
      </c>
      <c r="L1770" t="str">
        <f>'(Raw) LensesGH'!F1770</f>
        <v>Nikon 1</v>
      </c>
      <c r="M1770" t="str">
        <f>'(Raw) LensesGH'!G1770</f>
        <v>APS-C/ Kleinbild</v>
      </c>
      <c r="N1770" t="str">
        <f>'(Raw) LensesGH'!H1770</f>
        <v>600g</v>
      </c>
      <c r="O1770" s="5">
        <f t="shared" si="250"/>
        <v>600</v>
      </c>
      <c r="P1770" t="str">
        <f>'(Raw) LensesGH'!I1770</f>
        <v>83 x 95mm</v>
      </c>
      <c r="Q1770" s="39">
        <f t="shared" si="251"/>
        <v>83</v>
      </c>
      <c r="R1770" s="39">
        <f t="shared" si="243"/>
        <v>95</v>
      </c>
    </row>
    <row r="1771" spans="1:18" x14ac:dyDescent="0.25">
      <c r="A1771" t="str">
        <f>'(Raw) LensesGH'!A1771</f>
        <v>Walimex Pro 24mm 1.5 VDSLR für Nikon F schwarz</v>
      </c>
      <c r="B1771" t="str">
        <f>'(Raw) LensesGH'!B1771</f>
        <v>24mm</v>
      </c>
      <c r="C1771" s="5">
        <f t="shared" si="244"/>
        <v>24</v>
      </c>
      <c r="D1771" s="5">
        <f t="shared" si="245"/>
        <v>24</v>
      </c>
      <c r="E1771" t="str">
        <f>'(Raw) LensesGH'!C1771</f>
        <v>1:1.5</v>
      </c>
      <c r="F1771" s="9">
        <f t="shared" si="246"/>
        <v>1.5</v>
      </c>
      <c r="G1771" s="9">
        <f t="shared" si="247"/>
        <v>1.5</v>
      </c>
      <c r="H1771" t="str">
        <f>'(Raw) LensesGH'!D1771</f>
        <v>77mm</v>
      </c>
      <c r="I1771" s="2">
        <f t="shared" si="248"/>
        <v>77</v>
      </c>
      <c r="J1771" s="2">
        <f>'(Raw) LensesGH'!E1771</f>
        <v>0</v>
      </c>
      <c r="K1771" s="40">
        <f t="shared" si="249"/>
        <v>0</v>
      </c>
      <c r="L1771" t="str">
        <f>'(Raw) LensesGH'!F1771</f>
        <v>Nikon F</v>
      </c>
      <c r="M1771" t="str">
        <f>'(Raw) LensesGH'!G1771</f>
        <v>APS-C/ Kleinbild</v>
      </c>
      <c r="N1771" t="str">
        <f>'(Raw) LensesGH'!H1771</f>
        <v>600g</v>
      </c>
      <c r="O1771" s="5">
        <f t="shared" si="250"/>
        <v>600</v>
      </c>
      <c r="P1771" t="str">
        <f>'(Raw) LensesGH'!I1771</f>
        <v>83 x 95mm</v>
      </c>
      <c r="Q1771" s="39">
        <f t="shared" si="251"/>
        <v>83</v>
      </c>
      <c r="R1771" s="39">
        <f t="shared" si="243"/>
        <v>95</v>
      </c>
    </row>
    <row r="1772" spans="1:18" x14ac:dyDescent="0.25">
      <c r="A1772" t="str">
        <f>'(Raw) LensesGH'!A1772</f>
        <v>Walimex Pro 24mm 1.5 VDSLR für Pentax K schwarz</v>
      </c>
      <c r="B1772" t="str">
        <f>'(Raw) LensesGH'!B1772</f>
        <v>24mm</v>
      </c>
      <c r="C1772" s="5">
        <f t="shared" si="244"/>
        <v>24</v>
      </c>
      <c r="D1772" s="5">
        <f t="shared" si="245"/>
        <v>24</v>
      </c>
      <c r="E1772" t="str">
        <f>'(Raw) LensesGH'!C1772</f>
        <v>1:1.5</v>
      </c>
      <c r="F1772" s="9">
        <f t="shared" si="246"/>
        <v>1.5</v>
      </c>
      <c r="G1772" s="9">
        <f t="shared" si="247"/>
        <v>1.5</v>
      </c>
      <c r="H1772" t="str">
        <f>'(Raw) LensesGH'!D1772</f>
        <v>77mm</v>
      </c>
      <c r="I1772" s="2">
        <f t="shared" si="248"/>
        <v>77</v>
      </c>
      <c r="J1772" s="2">
        <f>'(Raw) LensesGH'!E1772</f>
        <v>0</v>
      </c>
      <c r="K1772" s="40">
        <f t="shared" si="249"/>
        <v>0</v>
      </c>
      <c r="L1772" t="str">
        <f>'(Raw) LensesGH'!F1772</f>
        <v>Pentax K</v>
      </c>
      <c r="M1772" t="str">
        <f>'(Raw) LensesGH'!G1772</f>
        <v>APS-C</v>
      </c>
      <c r="N1772" t="str">
        <f>'(Raw) LensesGH'!H1772</f>
        <v>600g</v>
      </c>
      <c r="O1772" s="5">
        <f t="shared" si="250"/>
        <v>600</v>
      </c>
      <c r="P1772" t="str">
        <f>'(Raw) LensesGH'!I1772</f>
        <v>83 x 96mm</v>
      </c>
      <c r="Q1772" s="39">
        <f t="shared" si="251"/>
        <v>83</v>
      </c>
      <c r="R1772" s="39">
        <f t="shared" si="243"/>
        <v>96</v>
      </c>
    </row>
    <row r="1773" spans="1:18" x14ac:dyDescent="0.25">
      <c r="A1773" t="str">
        <f>'(Raw) LensesGH'!A1773</f>
        <v>Walimex Pro 24mm 1.5 VDSLR für Samsung NX schwarz</v>
      </c>
      <c r="B1773" t="str">
        <f>'(Raw) LensesGH'!B1773</f>
        <v>24mm</v>
      </c>
      <c r="C1773" s="5">
        <f t="shared" si="244"/>
        <v>24</v>
      </c>
      <c r="D1773" s="5">
        <f t="shared" si="245"/>
        <v>24</v>
      </c>
      <c r="E1773" t="str">
        <f>'(Raw) LensesGH'!C1773</f>
        <v>1:1.5</v>
      </c>
      <c r="F1773" s="9">
        <f t="shared" si="246"/>
        <v>1.5</v>
      </c>
      <c r="G1773" s="9">
        <f t="shared" si="247"/>
        <v>1.5</v>
      </c>
      <c r="H1773" t="str">
        <f>'(Raw) LensesGH'!D1773</f>
        <v>77mm</v>
      </c>
      <c r="I1773" s="2">
        <f t="shared" si="248"/>
        <v>77</v>
      </c>
      <c r="J1773" s="2">
        <f>'(Raw) LensesGH'!E1773</f>
        <v>0</v>
      </c>
      <c r="K1773" s="40">
        <f t="shared" si="249"/>
        <v>0</v>
      </c>
      <c r="L1773" t="str">
        <f>'(Raw) LensesGH'!F1773</f>
        <v>Samsung NX</v>
      </c>
      <c r="M1773" t="str">
        <f>'(Raw) LensesGH'!G1773</f>
        <v>APS-C</v>
      </c>
      <c r="N1773" t="str">
        <f>'(Raw) LensesGH'!H1773</f>
        <v>637g</v>
      </c>
      <c r="O1773" s="5">
        <f t="shared" si="250"/>
        <v>637</v>
      </c>
      <c r="P1773" t="str">
        <f>'(Raw) LensesGH'!I1773</f>
        <v>83 x 116mm</v>
      </c>
      <c r="Q1773" s="39">
        <f t="shared" si="251"/>
        <v>83</v>
      </c>
      <c r="R1773" s="39">
        <f t="shared" si="243"/>
        <v>116</v>
      </c>
    </row>
    <row r="1774" spans="1:18" x14ac:dyDescent="0.25">
      <c r="A1774" t="str">
        <f>'(Raw) LensesGH'!A1774</f>
        <v>Walimex Pro 24mm 1.5 VDSLR für Sony A schwarz</v>
      </c>
      <c r="B1774" t="str">
        <f>'(Raw) LensesGH'!B1774</f>
        <v>24mm</v>
      </c>
      <c r="C1774" s="5">
        <f t="shared" si="244"/>
        <v>24</v>
      </c>
      <c r="D1774" s="5">
        <f t="shared" si="245"/>
        <v>24</v>
      </c>
      <c r="E1774" t="str">
        <f>'(Raw) LensesGH'!C1774</f>
        <v>1:1.5</v>
      </c>
      <c r="F1774" s="9">
        <f t="shared" si="246"/>
        <v>1.5</v>
      </c>
      <c r="G1774" s="9">
        <f t="shared" si="247"/>
        <v>1.5</v>
      </c>
      <c r="H1774" t="str">
        <f>'(Raw) LensesGH'!D1774</f>
        <v>77mm</v>
      </c>
      <c r="I1774" s="2">
        <f t="shared" si="248"/>
        <v>77</v>
      </c>
      <c r="J1774" s="2">
        <f>'(Raw) LensesGH'!E1774</f>
        <v>0</v>
      </c>
      <c r="K1774" s="40">
        <f t="shared" si="249"/>
        <v>0</v>
      </c>
      <c r="L1774" t="str">
        <f>'(Raw) LensesGH'!F1774</f>
        <v>Sony A</v>
      </c>
      <c r="M1774" t="str">
        <f>'(Raw) LensesGH'!G1774</f>
        <v>APS-C</v>
      </c>
      <c r="N1774" t="str">
        <f>'(Raw) LensesGH'!H1774</f>
        <v>609g</v>
      </c>
      <c r="O1774" s="5">
        <f t="shared" si="250"/>
        <v>609</v>
      </c>
      <c r="P1774" t="str">
        <f>'(Raw) LensesGH'!I1774</f>
        <v>83 x 97mm</v>
      </c>
      <c r="Q1774" s="39">
        <f t="shared" si="251"/>
        <v>83</v>
      </c>
      <c r="R1774" s="39">
        <f t="shared" si="243"/>
        <v>97</v>
      </c>
    </row>
    <row r="1775" spans="1:18" x14ac:dyDescent="0.25">
      <c r="A1775" t="str">
        <f>'(Raw) LensesGH'!A1775</f>
        <v>Walimex Pro 24mm 1.5 VDSLR für Sony E schwarz</v>
      </c>
      <c r="B1775" t="str">
        <f>'(Raw) LensesGH'!B1775</f>
        <v>24mm</v>
      </c>
      <c r="C1775" s="5">
        <f t="shared" si="244"/>
        <v>24</v>
      </c>
      <c r="D1775" s="5">
        <f t="shared" si="245"/>
        <v>24</v>
      </c>
      <c r="E1775" t="str">
        <f>'(Raw) LensesGH'!C1775</f>
        <v>1:1.5</v>
      </c>
      <c r="F1775" s="9">
        <f t="shared" si="246"/>
        <v>1.5</v>
      </c>
      <c r="G1775" s="9">
        <f t="shared" si="247"/>
        <v>1.5</v>
      </c>
      <c r="H1775" t="str">
        <f>'(Raw) LensesGH'!D1775</f>
        <v>77mm</v>
      </c>
      <c r="I1775" s="2">
        <f t="shared" si="248"/>
        <v>77</v>
      </c>
      <c r="J1775" s="2">
        <f>'(Raw) LensesGH'!E1775</f>
        <v>0</v>
      </c>
      <c r="K1775" s="40">
        <f t="shared" si="249"/>
        <v>0</v>
      </c>
      <c r="L1775" t="str">
        <f>'(Raw) LensesGH'!F1775</f>
        <v>Sony E</v>
      </c>
      <c r="M1775" t="str">
        <f>'(Raw) LensesGH'!G1775</f>
        <v>APS-C</v>
      </c>
      <c r="N1775" t="str">
        <f>'(Raw) LensesGH'!H1775</f>
        <v>638g</v>
      </c>
      <c r="O1775" s="5">
        <f t="shared" si="250"/>
        <v>638</v>
      </c>
      <c r="P1775" t="str">
        <f>'(Raw) LensesGH'!I1775</f>
        <v>83 x 123.5mm</v>
      </c>
      <c r="Q1775" s="39">
        <f t="shared" si="251"/>
        <v>83</v>
      </c>
      <c r="R1775" s="39">
        <f t="shared" si="243"/>
        <v>123.5</v>
      </c>
    </row>
    <row r="1776" spans="1:18" x14ac:dyDescent="0.25">
      <c r="A1776" t="str">
        <f>'(Raw) LensesGH'!A1776</f>
        <v>Walimex Pro 300mm 6.3 DSLR Reflex für Canon EF schwarz</v>
      </c>
      <c r="B1776" t="str">
        <f>'(Raw) LensesGH'!B1776</f>
        <v>300mm</v>
      </c>
      <c r="C1776" s="5">
        <f t="shared" si="244"/>
        <v>300</v>
      </c>
      <c r="D1776" s="5">
        <f t="shared" si="245"/>
        <v>300</v>
      </c>
      <c r="E1776" t="str">
        <f>'(Raw) LensesGH'!C1776</f>
        <v>1:6.3</v>
      </c>
      <c r="F1776" s="9">
        <f t="shared" si="246"/>
        <v>6.3</v>
      </c>
      <c r="G1776" s="9">
        <f t="shared" si="247"/>
        <v>6.3</v>
      </c>
      <c r="H1776">
        <f>'(Raw) LensesGH'!D1776</f>
        <v>0</v>
      </c>
      <c r="I1776" s="2">
        <f t="shared" si="248"/>
        <v>0</v>
      </c>
      <c r="J1776" s="2">
        <f>'(Raw) LensesGH'!E1776</f>
        <v>0</v>
      </c>
      <c r="K1776" s="40">
        <f t="shared" si="249"/>
        <v>0</v>
      </c>
      <c r="L1776" t="str">
        <f>'(Raw) LensesGH'!F1776</f>
        <v>Canon EF</v>
      </c>
      <c r="M1776" t="str">
        <f>'(Raw) LensesGH'!G1776</f>
        <v>APS-C</v>
      </c>
      <c r="N1776" t="str">
        <f>'(Raw) LensesGH'!H1776</f>
        <v>270g</v>
      </c>
      <c r="O1776" s="5">
        <f t="shared" si="250"/>
        <v>270</v>
      </c>
      <c r="P1776" t="str">
        <f>'(Raw) LensesGH'!I1776</f>
        <v>64.5 x 76.1mm</v>
      </c>
      <c r="Q1776" s="39">
        <f t="shared" si="251"/>
        <v>64.5</v>
      </c>
      <c r="R1776" s="39">
        <f t="shared" si="243"/>
        <v>76.099999999999994</v>
      </c>
    </row>
    <row r="1777" spans="1:18" x14ac:dyDescent="0.25">
      <c r="A1777" t="str">
        <f>'(Raw) LensesGH'!A1777</f>
        <v>Walimex Pro 300mm 6.3 DSLR Reflex für Nikon F schwarz</v>
      </c>
      <c r="B1777" t="str">
        <f>'(Raw) LensesGH'!B1777</f>
        <v>300mm</v>
      </c>
      <c r="C1777" s="5">
        <f t="shared" si="244"/>
        <v>300</v>
      </c>
      <c r="D1777" s="5">
        <f t="shared" si="245"/>
        <v>300</v>
      </c>
      <c r="E1777" t="str">
        <f>'(Raw) LensesGH'!C1777</f>
        <v>1:6.3</v>
      </c>
      <c r="F1777" s="9">
        <f t="shared" si="246"/>
        <v>6.3</v>
      </c>
      <c r="G1777" s="9">
        <f t="shared" si="247"/>
        <v>6.3</v>
      </c>
      <c r="H1777">
        <f>'(Raw) LensesGH'!D1777</f>
        <v>0</v>
      </c>
      <c r="I1777" s="2">
        <f t="shared" si="248"/>
        <v>0</v>
      </c>
      <c r="J1777" s="2">
        <f>'(Raw) LensesGH'!E1777</f>
        <v>0</v>
      </c>
      <c r="K1777" s="40">
        <f t="shared" si="249"/>
        <v>0</v>
      </c>
      <c r="L1777" t="str">
        <f>'(Raw) LensesGH'!F1777</f>
        <v>Nikon F</v>
      </c>
      <c r="M1777" t="str">
        <f>'(Raw) LensesGH'!G1777</f>
        <v>APS-C</v>
      </c>
      <c r="N1777" t="str">
        <f>'(Raw) LensesGH'!H1777</f>
        <v>270g</v>
      </c>
      <c r="O1777" s="5">
        <f t="shared" si="250"/>
        <v>270</v>
      </c>
      <c r="P1777" t="str">
        <f>'(Raw) LensesGH'!I1777</f>
        <v>64.5 x 76.1mm</v>
      </c>
      <c r="Q1777" s="39">
        <f t="shared" si="251"/>
        <v>64.5</v>
      </c>
      <c r="R1777" s="39">
        <f t="shared" si="243"/>
        <v>76.099999999999994</v>
      </c>
    </row>
    <row r="1778" spans="1:18" x14ac:dyDescent="0.25">
      <c r="A1778" t="str">
        <f>'(Raw) LensesGH'!A1778</f>
        <v>Walimex Pro 300mm 6.3 DSLR Reflex für Sony A schwarz</v>
      </c>
      <c r="B1778" t="str">
        <f>'(Raw) LensesGH'!B1778</f>
        <v>300mm</v>
      </c>
      <c r="C1778" s="5">
        <f t="shared" si="244"/>
        <v>300</v>
      </c>
      <c r="D1778" s="5">
        <f t="shared" si="245"/>
        <v>300</v>
      </c>
      <c r="E1778" t="str">
        <f>'(Raw) LensesGH'!C1778</f>
        <v>1:6.3</v>
      </c>
      <c r="F1778" s="9">
        <f t="shared" si="246"/>
        <v>6.3</v>
      </c>
      <c r="G1778" s="9">
        <f t="shared" si="247"/>
        <v>6.3</v>
      </c>
      <c r="H1778">
        <f>'(Raw) LensesGH'!D1778</f>
        <v>0</v>
      </c>
      <c r="I1778" s="2">
        <f t="shared" si="248"/>
        <v>0</v>
      </c>
      <c r="J1778" s="2">
        <f>'(Raw) LensesGH'!E1778</f>
        <v>0</v>
      </c>
      <c r="K1778" s="40">
        <f t="shared" si="249"/>
        <v>0</v>
      </c>
      <c r="L1778" t="str">
        <f>'(Raw) LensesGH'!F1778</f>
        <v>Sony A</v>
      </c>
      <c r="M1778" t="str">
        <f>'(Raw) LensesGH'!G1778</f>
        <v>APS-C</v>
      </c>
      <c r="N1778" t="str">
        <f>'(Raw) LensesGH'!H1778</f>
        <v>270g</v>
      </c>
      <c r="O1778" s="5">
        <f t="shared" si="250"/>
        <v>270</v>
      </c>
      <c r="P1778" t="str">
        <f>'(Raw) LensesGH'!I1778</f>
        <v>64.5 x 76.1mm</v>
      </c>
      <c r="Q1778" s="39">
        <f t="shared" si="251"/>
        <v>64.5</v>
      </c>
      <c r="R1778" s="39">
        <f t="shared" si="243"/>
        <v>76.099999999999994</v>
      </c>
    </row>
    <row r="1779" spans="1:18" x14ac:dyDescent="0.25">
      <c r="A1779" t="str">
        <f>'(Raw) LensesGH'!A1779</f>
        <v>Walimex Pro 300mm 6.3 ED UMC CS Reflex für Canon EF-M schwarz</v>
      </c>
      <c r="B1779" t="str">
        <f>'(Raw) LensesGH'!B1779</f>
        <v>300mm</v>
      </c>
      <c r="C1779" s="5">
        <f t="shared" si="244"/>
        <v>300</v>
      </c>
      <c r="D1779" s="5">
        <f t="shared" si="245"/>
        <v>300</v>
      </c>
      <c r="E1779" t="str">
        <f>'(Raw) LensesGH'!C1779</f>
        <v>1:6.3</v>
      </c>
      <c r="F1779" s="9">
        <f t="shared" si="246"/>
        <v>6.3</v>
      </c>
      <c r="G1779" s="9">
        <f t="shared" si="247"/>
        <v>6.3</v>
      </c>
      <c r="H1779">
        <f>'(Raw) LensesGH'!D1779</f>
        <v>0</v>
      </c>
      <c r="I1779" s="2">
        <f t="shared" si="248"/>
        <v>0</v>
      </c>
      <c r="J1779" s="2">
        <f>'(Raw) LensesGH'!E1779</f>
        <v>0</v>
      </c>
      <c r="K1779" s="40">
        <f t="shared" si="249"/>
        <v>0</v>
      </c>
      <c r="L1779" t="str">
        <f>'(Raw) LensesGH'!F1779</f>
        <v>Canon EF-M</v>
      </c>
      <c r="M1779" t="str">
        <f>'(Raw) LensesGH'!G1779</f>
        <v>APS-C</v>
      </c>
      <c r="N1779" t="str">
        <f>'(Raw) LensesGH'!H1779</f>
        <v>318g</v>
      </c>
      <c r="O1779" s="5">
        <f t="shared" si="250"/>
        <v>318</v>
      </c>
      <c r="P1779" t="str">
        <f>'(Raw) LensesGH'!I1779</f>
        <v>64.5 x 74mm</v>
      </c>
      <c r="Q1779" s="39">
        <f t="shared" si="251"/>
        <v>64.5</v>
      </c>
      <c r="R1779" s="39">
        <f t="shared" si="243"/>
        <v>74</v>
      </c>
    </row>
    <row r="1780" spans="1:18" x14ac:dyDescent="0.25">
      <c r="A1780" t="str">
        <f>'(Raw) LensesGH'!A1780</f>
        <v>Walimex Pro 300mm 6.3 ED UMC CS Reflex für Canon EF-M silber</v>
      </c>
      <c r="B1780" t="str">
        <f>'(Raw) LensesGH'!B1780</f>
        <v>300mm</v>
      </c>
      <c r="C1780" s="5">
        <f t="shared" si="244"/>
        <v>300</v>
      </c>
      <c r="D1780" s="5">
        <f t="shared" si="245"/>
        <v>300</v>
      </c>
      <c r="E1780" t="str">
        <f>'(Raw) LensesGH'!C1780</f>
        <v>1:6.3</v>
      </c>
      <c r="F1780" s="9">
        <f t="shared" si="246"/>
        <v>6.3</v>
      </c>
      <c r="G1780" s="9">
        <f t="shared" si="247"/>
        <v>6.3</v>
      </c>
      <c r="H1780">
        <f>'(Raw) LensesGH'!D1780</f>
        <v>0</v>
      </c>
      <c r="I1780" s="2">
        <f t="shared" si="248"/>
        <v>0</v>
      </c>
      <c r="J1780" s="2">
        <f>'(Raw) LensesGH'!E1780</f>
        <v>0</v>
      </c>
      <c r="K1780" s="40">
        <f t="shared" si="249"/>
        <v>0</v>
      </c>
      <c r="L1780" t="str">
        <f>'(Raw) LensesGH'!F1780</f>
        <v>Canon EF-M</v>
      </c>
      <c r="M1780" t="str">
        <f>'(Raw) LensesGH'!G1780</f>
        <v>APS-C</v>
      </c>
      <c r="N1780" t="str">
        <f>'(Raw) LensesGH'!H1780</f>
        <v>318g</v>
      </c>
      <c r="O1780" s="5">
        <f t="shared" si="250"/>
        <v>318</v>
      </c>
      <c r="P1780" t="str">
        <f>'(Raw) LensesGH'!I1780</f>
        <v>64.5 x 74mm</v>
      </c>
      <c r="Q1780" s="39">
        <f t="shared" si="251"/>
        <v>64.5</v>
      </c>
      <c r="R1780" s="39">
        <f t="shared" si="243"/>
        <v>74</v>
      </c>
    </row>
    <row r="1781" spans="1:18" x14ac:dyDescent="0.25">
      <c r="A1781" t="str">
        <f>'(Raw) LensesGH'!A1781</f>
        <v>Walimex Pro 300mm 6.3 ED UMC CS Reflex für Fujifilm X schwarz</v>
      </c>
      <c r="B1781" t="str">
        <f>'(Raw) LensesGH'!B1781</f>
        <v>300mm</v>
      </c>
      <c r="C1781" s="5">
        <f t="shared" si="244"/>
        <v>300</v>
      </c>
      <c r="D1781" s="5">
        <f t="shared" si="245"/>
        <v>300</v>
      </c>
      <c r="E1781" t="str">
        <f>'(Raw) LensesGH'!C1781</f>
        <v>1:6.3</v>
      </c>
      <c r="F1781" s="9">
        <f t="shared" si="246"/>
        <v>6.3</v>
      </c>
      <c r="G1781" s="9">
        <f t="shared" si="247"/>
        <v>6.3</v>
      </c>
      <c r="H1781">
        <f>'(Raw) LensesGH'!D1781</f>
        <v>0</v>
      </c>
      <c r="I1781" s="2">
        <f t="shared" si="248"/>
        <v>0</v>
      </c>
      <c r="J1781" s="2">
        <f>'(Raw) LensesGH'!E1781</f>
        <v>0</v>
      </c>
      <c r="K1781" s="40">
        <f t="shared" si="249"/>
        <v>0</v>
      </c>
      <c r="L1781" t="str">
        <f>'(Raw) LensesGH'!F1781</f>
        <v>Fujifilm X</v>
      </c>
      <c r="M1781" t="str">
        <f>'(Raw) LensesGH'!G1781</f>
        <v>APS-C</v>
      </c>
      <c r="N1781" t="str">
        <f>'(Raw) LensesGH'!H1781</f>
        <v>316g</v>
      </c>
      <c r="O1781" s="5">
        <f t="shared" si="250"/>
        <v>316</v>
      </c>
      <c r="P1781" t="str">
        <f>'(Raw) LensesGH'!I1781</f>
        <v>64.5 x 74mm</v>
      </c>
      <c r="Q1781" s="39">
        <f t="shared" si="251"/>
        <v>64.5</v>
      </c>
      <c r="R1781" s="39">
        <f t="shared" si="243"/>
        <v>74</v>
      </c>
    </row>
    <row r="1782" spans="1:18" x14ac:dyDescent="0.25">
      <c r="A1782" t="str">
        <f>'(Raw) LensesGH'!A1782</f>
        <v>Walimex Pro 300mm 6.3 ED UMC CS Reflex für Fujifilm X silber</v>
      </c>
      <c r="B1782" t="str">
        <f>'(Raw) LensesGH'!B1782</f>
        <v>300mm</v>
      </c>
      <c r="C1782" s="5">
        <f t="shared" si="244"/>
        <v>300</v>
      </c>
      <c r="D1782" s="5">
        <f t="shared" si="245"/>
        <v>300</v>
      </c>
      <c r="E1782" t="str">
        <f>'(Raw) LensesGH'!C1782</f>
        <v>1:6.3</v>
      </c>
      <c r="F1782" s="9">
        <f t="shared" si="246"/>
        <v>6.3</v>
      </c>
      <c r="G1782" s="9">
        <f t="shared" si="247"/>
        <v>6.3</v>
      </c>
      <c r="H1782">
        <f>'(Raw) LensesGH'!D1782</f>
        <v>0</v>
      </c>
      <c r="I1782" s="2">
        <f t="shared" si="248"/>
        <v>0</v>
      </c>
      <c r="J1782" s="2">
        <f>'(Raw) LensesGH'!E1782</f>
        <v>0</v>
      </c>
      <c r="K1782" s="40">
        <f t="shared" si="249"/>
        <v>0</v>
      </c>
      <c r="L1782" t="str">
        <f>'(Raw) LensesGH'!F1782</f>
        <v>Fujifilm X</v>
      </c>
      <c r="M1782" t="str">
        <f>'(Raw) LensesGH'!G1782</f>
        <v>APS-C</v>
      </c>
      <c r="N1782" t="str">
        <f>'(Raw) LensesGH'!H1782</f>
        <v>316g</v>
      </c>
      <c r="O1782" s="5">
        <f t="shared" si="250"/>
        <v>316</v>
      </c>
      <c r="P1782" t="str">
        <f>'(Raw) LensesGH'!I1782</f>
        <v>64.5 x 74mm</v>
      </c>
      <c r="Q1782" s="39">
        <f t="shared" si="251"/>
        <v>64.5</v>
      </c>
      <c r="R1782" s="39">
        <f t="shared" si="243"/>
        <v>74</v>
      </c>
    </row>
    <row r="1783" spans="1:18" x14ac:dyDescent="0.25">
      <c r="A1783" t="str">
        <f>'(Raw) LensesGH'!A1783</f>
        <v>Walimex Pro 300mm 6.3 ED UMC CS Reflex für Micro-Four-Thirds schwarz</v>
      </c>
      <c r="B1783" t="str">
        <f>'(Raw) LensesGH'!B1783</f>
        <v>300mm</v>
      </c>
      <c r="C1783" s="5">
        <f t="shared" si="244"/>
        <v>300</v>
      </c>
      <c r="D1783" s="5">
        <f t="shared" si="245"/>
        <v>300</v>
      </c>
      <c r="E1783" t="str">
        <f>'(Raw) LensesGH'!C1783</f>
        <v>1:6.3</v>
      </c>
      <c r="F1783" s="9">
        <f t="shared" si="246"/>
        <v>6.3</v>
      </c>
      <c r="G1783" s="9">
        <f t="shared" si="247"/>
        <v>6.3</v>
      </c>
      <c r="H1783">
        <f>'(Raw) LensesGH'!D1783</f>
        <v>0</v>
      </c>
      <c r="I1783" s="2">
        <f t="shared" si="248"/>
        <v>0</v>
      </c>
      <c r="J1783" s="2">
        <f>'(Raw) LensesGH'!E1783</f>
        <v>0</v>
      </c>
      <c r="K1783" s="40">
        <f t="shared" si="249"/>
        <v>0</v>
      </c>
      <c r="L1783" t="str">
        <f>'(Raw) LensesGH'!F1783</f>
        <v>Micro-Four-Thirds</v>
      </c>
      <c r="M1783" t="str">
        <f>'(Raw) LensesGH'!G1783</f>
        <v>Four-Thirds</v>
      </c>
      <c r="N1783" t="str">
        <f>'(Raw) LensesGH'!H1783</f>
        <v>311g</v>
      </c>
      <c r="O1783" s="5">
        <f t="shared" si="250"/>
        <v>311</v>
      </c>
      <c r="P1783" t="str">
        <f>'(Raw) LensesGH'!I1783</f>
        <v>64.5 x 73mm</v>
      </c>
      <c r="Q1783" s="39">
        <f t="shared" si="251"/>
        <v>64.5</v>
      </c>
      <c r="R1783" s="39">
        <f t="shared" si="243"/>
        <v>73</v>
      </c>
    </row>
    <row r="1784" spans="1:18" x14ac:dyDescent="0.25">
      <c r="A1784" t="str">
        <f>'(Raw) LensesGH'!A1784</f>
        <v>Walimex Pro 300mm 6.3 ED UMC CS Reflex für Micro-Four-Thirds silber</v>
      </c>
      <c r="B1784" t="str">
        <f>'(Raw) LensesGH'!B1784</f>
        <v>300mm</v>
      </c>
      <c r="C1784" s="5">
        <f t="shared" si="244"/>
        <v>300</v>
      </c>
      <c r="D1784" s="5">
        <f t="shared" si="245"/>
        <v>300</v>
      </c>
      <c r="E1784" t="str">
        <f>'(Raw) LensesGH'!C1784</f>
        <v>1:6.3</v>
      </c>
      <c r="F1784" s="9">
        <f t="shared" si="246"/>
        <v>6.3</v>
      </c>
      <c r="G1784" s="9">
        <f t="shared" si="247"/>
        <v>6.3</v>
      </c>
      <c r="H1784">
        <f>'(Raw) LensesGH'!D1784</f>
        <v>0</v>
      </c>
      <c r="I1784" s="2">
        <f t="shared" si="248"/>
        <v>0</v>
      </c>
      <c r="J1784" s="2">
        <f>'(Raw) LensesGH'!E1784</f>
        <v>0</v>
      </c>
      <c r="K1784" s="40">
        <f t="shared" si="249"/>
        <v>0</v>
      </c>
      <c r="L1784" t="str">
        <f>'(Raw) LensesGH'!F1784</f>
        <v>Micro-Four-Thirds</v>
      </c>
      <c r="M1784" t="str">
        <f>'(Raw) LensesGH'!G1784</f>
        <v>Four-Thirds</v>
      </c>
      <c r="N1784" t="str">
        <f>'(Raw) LensesGH'!H1784</f>
        <v>311g</v>
      </c>
      <c r="O1784" s="5">
        <f t="shared" si="250"/>
        <v>311</v>
      </c>
      <c r="P1784" t="str">
        <f>'(Raw) LensesGH'!I1784</f>
        <v>64.5 x 73mm</v>
      </c>
      <c r="Q1784" s="39">
        <f t="shared" si="251"/>
        <v>64.5</v>
      </c>
      <c r="R1784" s="39">
        <f t="shared" si="243"/>
        <v>73</v>
      </c>
    </row>
    <row r="1785" spans="1:18" x14ac:dyDescent="0.25">
      <c r="A1785" t="str">
        <f>'(Raw) LensesGH'!A1785</f>
        <v>Walimex Pro 300mm 6.3 ED UMC CS Reflex für Sony E schwarz</v>
      </c>
      <c r="B1785" t="str">
        <f>'(Raw) LensesGH'!B1785</f>
        <v>300mm</v>
      </c>
      <c r="C1785" s="5">
        <f t="shared" si="244"/>
        <v>300</v>
      </c>
      <c r="D1785" s="5">
        <f t="shared" si="245"/>
        <v>300</v>
      </c>
      <c r="E1785" t="str">
        <f>'(Raw) LensesGH'!C1785</f>
        <v>1:6.3</v>
      </c>
      <c r="F1785" s="9">
        <f t="shared" si="246"/>
        <v>6.3</v>
      </c>
      <c r="G1785" s="9">
        <f t="shared" si="247"/>
        <v>6.3</v>
      </c>
      <c r="H1785">
        <f>'(Raw) LensesGH'!D1785</f>
        <v>0</v>
      </c>
      <c r="I1785" s="2">
        <f t="shared" si="248"/>
        <v>0</v>
      </c>
      <c r="J1785" s="2">
        <f>'(Raw) LensesGH'!E1785</f>
        <v>0</v>
      </c>
      <c r="K1785" s="40">
        <f t="shared" si="249"/>
        <v>0</v>
      </c>
      <c r="L1785" t="str">
        <f>'(Raw) LensesGH'!F1785</f>
        <v>Sony E</v>
      </c>
      <c r="M1785" t="str">
        <f>'(Raw) LensesGH'!G1785</f>
        <v>APS-C</v>
      </c>
      <c r="N1785" t="str">
        <f>'(Raw) LensesGH'!H1785</f>
        <v>318g</v>
      </c>
      <c r="O1785" s="5">
        <f t="shared" si="250"/>
        <v>318</v>
      </c>
      <c r="P1785" t="str">
        <f>'(Raw) LensesGH'!I1785</f>
        <v>64.5 x 74mm</v>
      </c>
      <c r="Q1785" s="39">
        <f t="shared" si="251"/>
        <v>64.5</v>
      </c>
      <c r="R1785" s="39">
        <f t="shared" si="243"/>
        <v>74</v>
      </c>
    </row>
    <row r="1786" spans="1:18" x14ac:dyDescent="0.25">
      <c r="A1786" t="str">
        <f>'(Raw) LensesGH'!A1786</f>
        <v>Walimex Pro 300mm 6.3 ED UMC CS Reflex für Sony E silber</v>
      </c>
      <c r="B1786" t="str">
        <f>'(Raw) LensesGH'!B1786</f>
        <v>300mm</v>
      </c>
      <c r="C1786" s="5">
        <f t="shared" si="244"/>
        <v>300</v>
      </c>
      <c r="D1786" s="5">
        <f t="shared" si="245"/>
        <v>300</v>
      </c>
      <c r="E1786" t="str">
        <f>'(Raw) LensesGH'!C1786</f>
        <v>1:6.3</v>
      </c>
      <c r="F1786" s="9">
        <f t="shared" si="246"/>
        <v>6.3</v>
      </c>
      <c r="G1786" s="9">
        <f t="shared" si="247"/>
        <v>6.3</v>
      </c>
      <c r="H1786">
        <f>'(Raw) LensesGH'!D1786</f>
        <v>0</v>
      </c>
      <c r="I1786" s="2">
        <f t="shared" si="248"/>
        <v>0</v>
      </c>
      <c r="J1786" s="2">
        <f>'(Raw) LensesGH'!E1786</f>
        <v>0</v>
      </c>
      <c r="K1786" s="40">
        <f t="shared" si="249"/>
        <v>0</v>
      </c>
      <c r="L1786" t="str">
        <f>'(Raw) LensesGH'!F1786</f>
        <v>Sony E</v>
      </c>
      <c r="M1786" t="str">
        <f>'(Raw) LensesGH'!G1786</f>
        <v>APS-C</v>
      </c>
      <c r="N1786" t="str">
        <f>'(Raw) LensesGH'!H1786</f>
        <v>318g</v>
      </c>
      <c r="O1786" s="5">
        <f t="shared" si="250"/>
        <v>318</v>
      </c>
      <c r="P1786" t="str">
        <f>'(Raw) LensesGH'!I1786</f>
        <v>64.5 x 74mm</v>
      </c>
      <c r="Q1786" s="39">
        <f t="shared" si="251"/>
        <v>64.5</v>
      </c>
      <c r="R1786" s="39">
        <f t="shared" si="243"/>
        <v>74</v>
      </c>
    </row>
    <row r="1787" spans="1:18" x14ac:dyDescent="0.25">
      <c r="A1787" t="str">
        <f>'(Raw) LensesGH'!A1787</f>
        <v>Walimex Pro 35mm 1.4 CSC für Canon EF-M schwarz</v>
      </c>
      <c r="B1787" t="str">
        <f>'(Raw) LensesGH'!B1787</f>
        <v>35mm</v>
      </c>
      <c r="C1787" s="5">
        <f t="shared" si="244"/>
        <v>35</v>
      </c>
      <c r="D1787" s="5">
        <f t="shared" si="245"/>
        <v>35</v>
      </c>
      <c r="E1787" t="str">
        <f>'(Raw) LensesGH'!C1787</f>
        <v>1:1.4</v>
      </c>
      <c r="F1787" s="9">
        <f t="shared" si="246"/>
        <v>1.4</v>
      </c>
      <c r="G1787" s="9">
        <f t="shared" si="247"/>
        <v>1.4</v>
      </c>
      <c r="H1787" t="str">
        <f>'(Raw) LensesGH'!D1787</f>
        <v>77mm</v>
      </c>
      <c r="I1787" s="2">
        <f t="shared" si="248"/>
        <v>77</v>
      </c>
      <c r="J1787" s="2">
        <f>'(Raw) LensesGH'!E1787</f>
        <v>0</v>
      </c>
      <c r="K1787" s="40">
        <f t="shared" si="249"/>
        <v>0</v>
      </c>
      <c r="L1787" t="str">
        <f>'(Raw) LensesGH'!F1787</f>
        <v>Canon EF-M</v>
      </c>
      <c r="M1787" t="str">
        <f>'(Raw) LensesGH'!G1787</f>
        <v>APS-C</v>
      </c>
      <c r="N1787" t="str">
        <f>'(Raw) LensesGH'!H1787</f>
        <v>716g</v>
      </c>
      <c r="O1787" s="5">
        <f t="shared" si="250"/>
        <v>716</v>
      </c>
      <c r="P1787" t="str">
        <f>'(Raw) LensesGH'!I1787</f>
        <v>83 x 110mm</v>
      </c>
      <c r="Q1787" s="39">
        <f t="shared" si="251"/>
        <v>83</v>
      </c>
      <c r="R1787" s="39">
        <f t="shared" si="243"/>
        <v>110</v>
      </c>
    </row>
    <row r="1788" spans="1:18" x14ac:dyDescent="0.25">
      <c r="A1788" t="str">
        <f>'(Raw) LensesGH'!A1788</f>
        <v>Walimex Pro 35mm 1.4 DSLR für Canon EF schwarz</v>
      </c>
      <c r="B1788" t="str">
        <f>'(Raw) LensesGH'!B1788</f>
        <v>35mm</v>
      </c>
      <c r="C1788" s="5">
        <f t="shared" si="244"/>
        <v>35</v>
      </c>
      <c r="D1788" s="5">
        <f t="shared" si="245"/>
        <v>35</v>
      </c>
      <c r="E1788" t="str">
        <f>'(Raw) LensesGH'!C1788</f>
        <v>1:1.4</v>
      </c>
      <c r="F1788" s="9">
        <f t="shared" si="246"/>
        <v>1.4</v>
      </c>
      <c r="G1788" s="9">
        <f t="shared" si="247"/>
        <v>1.4</v>
      </c>
      <c r="H1788" t="str">
        <f>'(Raw) LensesGH'!D1788</f>
        <v>77mm</v>
      </c>
      <c r="I1788" s="2">
        <f t="shared" si="248"/>
        <v>77</v>
      </c>
      <c r="J1788" s="2">
        <f>'(Raw) LensesGH'!E1788</f>
        <v>0</v>
      </c>
      <c r="K1788" s="40">
        <f t="shared" si="249"/>
        <v>0</v>
      </c>
      <c r="L1788" t="str">
        <f>'(Raw) LensesGH'!F1788</f>
        <v>Canon EF</v>
      </c>
      <c r="M1788">
        <f>'(Raw) LensesGH'!G1788</f>
        <v>0</v>
      </c>
      <c r="N1788" t="str">
        <f>'(Raw) LensesGH'!H1788</f>
        <v>760g</v>
      </c>
      <c r="O1788" s="5">
        <f t="shared" si="250"/>
        <v>760</v>
      </c>
      <c r="P1788" t="str">
        <f>'(Raw) LensesGH'!I1788</f>
        <v>83 x 109mm</v>
      </c>
      <c r="Q1788" s="39">
        <f t="shared" si="251"/>
        <v>83</v>
      </c>
      <c r="R1788" s="39">
        <f t="shared" si="243"/>
        <v>109</v>
      </c>
    </row>
    <row r="1789" spans="1:18" x14ac:dyDescent="0.25">
      <c r="A1789" t="str">
        <f>'(Raw) LensesGH'!A1789</f>
        <v>Walimex Pro 35mm 1.4 für Canon EF schwarz</v>
      </c>
      <c r="B1789" t="str">
        <f>'(Raw) LensesGH'!B1789</f>
        <v>35mm</v>
      </c>
      <c r="C1789" s="5">
        <f t="shared" si="244"/>
        <v>35</v>
      </c>
      <c r="D1789" s="5">
        <f t="shared" si="245"/>
        <v>35</v>
      </c>
      <c r="E1789" t="str">
        <f>'(Raw) LensesGH'!C1789</f>
        <v>1:1.4</v>
      </c>
      <c r="F1789" s="9">
        <f t="shared" si="246"/>
        <v>1.4</v>
      </c>
      <c r="G1789" s="9">
        <f t="shared" si="247"/>
        <v>1.4</v>
      </c>
      <c r="H1789" t="str">
        <f>'(Raw) LensesGH'!D1789</f>
        <v>77mm</v>
      </c>
      <c r="I1789" s="2">
        <f t="shared" si="248"/>
        <v>77</v>
      </c>
      <c r="J1789" s="2">
        <f>'(Raw) LensesGH'!E1789</f>
        <v>0</v>
      </c>
      <c r="K1789" s="40">
        <f t="shared" si="249"/>
        <v>0</v>
      </c>
      <c r="L1789" t="str">
        <f>'(Raw) LensesGH'!F1789</f>
        <v>Canon EF</v>
      </c>
      <c r="M1789" t="str">
        <f>'(Raw) LensesGH'!G1789</f>
        <v>APS-C/ Kleinbild</v>
      </c>
      <c r="N1789" t="str">
        <f>'(Raw) LensesGH'!H1789</f>
        <v>734g</v>
      </c>
      <c r="O1789" s="5">
        <f t="shared" si="250"/>
        <v>734</v>
      </c>
      <c r="P1789" t="str">
        <f>'(Raw) LensesGH'!I1789</f>
        <v>83 x 111.5mm</v>
      </c>
      <c r="Q1789" s="39">
        <f t="shared" si="251"/>
        <v>83</v>
      </c>
      <c r="R1789" s="39">
        <f t="shared" si="243"/>
        <v>111.5</v>
      </c>
    </row>
    <row r="1790" spans="1:18" x14ac:dyDescent="0.25">
      <c r="A1790" t="str">
        <f>'(Raw) LensesGH'!A1790</f>
        <v>Walimex Pro 35mm 1.4 für Four-Thirds schwarz</v>
      </c>
      <c r="B1790" t="str">
        <f>'(Raw) LensesGH'!B1790</f>
        <v>35mm</v>
      </c>
      <c r="C1790" s="5">
        <f t="shared" si="244"/>
        <v>35</v>
      </c>
      <c r="D1790" s="5">
        <f t="shared" si="245"/>
        <v>35</v>
      </c>
      <c r="E1790" t="str">
        <f>'(Raw) LensesGH'!C1790</f>
        <v>1:1.4</v>
      </c>
      <c r="F1790" s="9">
        <f t="shared" si="246"/>
        <v>1.4</v>
      </c>
      <c r="G1790" s="9">
        <f t="shared" si="247"/>
        <v>1.4</v>
      </c>
      <c r="H1790" t="str">
        <f>'(Raw) LensesGH'!D1790</f>
        <v>77mm</v>
      </c>
      <c r="I1790" s="2">
        <f t="shared" si="248"/>
        <v>77</v>
      </c>
      <c r="J1790" s="2">
        <f>'(Raw) LensesGH'!E1790</f>
        <v>0</v>
      </c>
      <c r="K1790" s="40">
        <f t="shared" si="249"/>
        <v>0</v>
      </c>
      <c r="L1790" t="str">
        <f>'(Raw) LensesGH'!F1790</f>
        <v>Four-Thirds</v>
      </c>
      <c r="M1790" t="str">
        <f>'(Raw) LensesGH'!G1790</f>
        <v>Four-Thirds</v>
      </c>
      <c r="N1790" t="str">
        <f>'(Raw) LensesGH'!H1790</f>
        <v>734g</v>
      </c>
      <c r="O1790" s="5">
        <f t="shared" si="250"/>
        <v>734</v>
      </c>
      <c r="P1790" t="str">
        <f>'(Raw) LensesGH'!I1790</f>
        <v>83 x 111.5mm</v>
      </c>
      <c r="Q1790" s="39">
        <f t="shared" si="251"/>
        <v>83</v>
      </c>
      <c r="R1790" s="39">
        <f t="shared" si="243"/>
        <v>111.5</v>
      </c>
    </row>
    <row r="1791" spans="1:18" x14ac:dyDescent="0.25">
      <c r="A1791" t="str">
        <f>'(Raw) LensesGH'!A1791</f>
        <v>Walimex Pro 35mm 1.4 für Fujifilm X schwarz</v>
      </c>
      <c r="B1791" t="str">
        <f>'(Raw) LensesGH'!B1791</f>
        <v>35mm</v>
      </c>
      <c r="C1791" s="5">
        <f t="shared" si="244"/>
        <v>35</v>
      </c>
      <c r="D1791" s="5">
        <f t="shared" si="245"/>
        <v>35</v>
      </c>
      <c r="E1791" t="str">
        <f>'(Raw) LensesGH'!C1791</f>
        <v>1:1.4</v>
      </c>
      <c r="F1791" s="9">
        <f t="shared" si="246"/>
        <v>1.4</v>
      </c>
      <c r="G1791" s="9">
        <f t="shared" si="247"/>
        <v>1.4</v>
      </c>
      <c r="H1791" t="str">
        <f>'(Raw) LensesGH'!D1791</f>
        <v>77mm</v>
      </c>
      <c r="I1791" s="2">
        <f t="shared" si="248"/>
        <v>77</v>
      </c>
      <c r="J1791" s="2">
        <f>'(Raw) LensesGH'!E1791</f>
        <v>0</v>
      </c>
      <c r="K1791" s="40">
        <f t="shared" si="249"/>
        <v>0</v>
      </c>
      <c r="L1791" t="str">
        <f>'(Raw) LensesGH'!F1791</f>
        <v>Fujifilm X</v>
      </c>
      <c r="M1791" t="str">
        <f>'(Raw) LensesGH'!G1791</f>
        <v>APS-C/ Kleinbild</v>
      </c>
      <c r="N1791" t="str">
        <f>'(Raw) LensesGH'!H1791</f>
        <v>734g</v>
      </c>
      <c r="O1791" s="5">
        <f t="shared" si="250"/>
        <v>734</v>
      </c>
      <c r="P1791" t="str">
        <f>'(Raw) LensesGH'!I1791</f>
        <v>83 x 111.5mm</v>
      </c>
      <c r="Q1791" s="39">
        <f t="shared" si="251"/>
        <v>83</v>
      </c>
      <c r="R1791" s="39">
        <f t="shared" si="243"/>
        <v>111.5</v>
      </c>
    </row>
    <row r="1792" spans="1:18" x14ac:dyDescent="0.25">
      <c r="A1792" t="str">
        <f>'(Raw) LensesGH'!A1792</f>
        <v>Walimex Pro 35mm 1.4 für Nikon 1 schwarz</v>
      </c>
      <c r="B1792" t="str">
        <f>'(Raw) LensesGH'!B1792</f>
        <v>35mm</v>
      </c>
      <c r="C1792" s="5">
        <f t="shared" si="244"/>
        <v>35</v>
      </c>
      <c r="D1792" s="5">
        <f t="shared" si="245"/>
        <v>35</v>
      </c>
      <c r="E1792" t="str">
        <f>'(Raw) LensesGH'!C1792</f>
        <v>1:1.4</v>
      </c>
      <c r="F1792" s="9">
        <f t="shared" si="246"/>
        <v>1.4</v>
      </c>
      <c r="G1792" s="9">
        <f t="shared" si="247"/>
        <v>1.4</v>
      </c>
      <c r="H1792" t="str">
        <f>'(Raw) LensesGH'!D1792</f>
        <v>77mm</v>
      </c>
      <c r="I1792" s="2">
        <f t="shared" si="248"/>
        <v>77</v>
      </c>
      <c r="J1792" s="2">
        <f>'(Raw) LensesGH'!E1792</f>
        <v>0</v>
      </c>
      <c r="K1792" s="40">
        <f t="shared" si="249"/>
        <v>0</v>
      </c>
      <c r="L1792" t="str">
        <f>'(Raw) LensesGH'!F1792</f>
        <v>Nikon 1</v>
      </c>
      <c r="M1792" t="str">
        <f>'(Raw) LensesGH'!G1792</f>
        <v>APS-C/ Kleinbild</v>
      </c>
      <c r="N1792" t="str">
        <f>'(Raw) LensesGH'!H1792</f>
        <v>734g</v>
      </c>
      <c r="O1792" s="5">
        <f t="shared" si="250"/>
        <v>734</v>
      </c>
      <c r="P1792" t="str">
        <f>'(Raw) LensesGH'!I1792</f>
        <v>83 x 111.5mm</v>
      </c>
      <c r="Q1792" s="39">
        <f t="shared" si="251"/>
        <v>83</v>
      </c>
      <c r="R1792" s="39">
        <f t="shared" si="243"/>
        <v>111.5</v>
      </c>
    </row>
    <row r="1793" spans="1:18" x14ac:dyDescent="0.25">
      <c r="A1793" t="str">
        <f>'(Raw) LensesGH'!A1793</f>
        <v>Walimex Pro 35mm 1.4 für Nikon F schwarz</v>
      </c>
      <c r="B1793" t="str">
        <f>'(Raw) LensesGH'!B1793</f>
        <v>35mm</v>
      </c>
      <c r="C1793" s="5">
        <f t="shared" si="244"/>
        <v>35</v>
      </c>
      <c r="D1793" s="5">
        <f t="shared" si="245"/>
        <v>35</v>
      </c>
      <c r="E1793" t="str">
        <f>'(Raw) LensesGH'!C1793</f>
        <v>1:1.4</v>
      </c>
      <c r="F1793" s="9">
        <f t="shared" si="246"/>
        <v>1.4</v>
      </c>
      <c r="G1793" s="9">
        <f t="shared" si="247"/>
        <v>1.4</v>
      </c>
      <c r="H1793" t="str">
        <f>'(Raw) LensesGH'!D1793</f>
        <v>77mm</v>
      </c>
      <c r="I1793" s="2">
        <f t="shared" si="248"/>
        <v>77</v>
      </c>
      <c r="J1793" s="2">
        <f>'(Raw) LensesGH'!E1793</f>
        <v>0</v>
      </c>
      <c r="K1793" s="40">
        <f t="shared" si="249"/>
        <v>0</v>
      </c>
      <c r="L1793" t="str">
        <f>'(Raw) LensesGH'!F1793</f>
        <v>Nikon F</v>
      </c>
      <c r="M1793" t="str">
        <f>'(Raw) LensesGH'!G1793</f>
        <v>APS-C/ Kleinbild</v>
      </c>
      <c r="N1793" t="str">
        <f>'(Raw) LensesGH'!H1793</f>
        <v>734g</v>
      </c>
      <c r="O1793" s="5">
        <f t="shared" si="250"/>
        <v>734</v>
      </c>
      <c r="P1793" t="str">
        <f>'(Raw) LensesGH'!I1793</f>
        <v>83 x 111.5mm</v>
      </c>
      <c r="Q1793" s="39">
        <f t="shared" si="251"/>
        <v>83</v>
      </c>
      <c r="R1793" s="39">
        <f t="shared" si="243"/>
        <v>111.5</v>
      </c>
    </row>
    <row r="1794" spans="1:18" x14ac:dyDescent="0.25">
      <c r="A1794" t="str">
        <f>'(Raw) LensesGH'!A1794</f>
        <v>Walimex Pro 35mm 1.4 für Pentax K schwarz</v>
      </c>
      <c r="B1794" t="str">
        <f>'(Raw) LensesGH'!B1794</f>
        <v>35mm</v>
      </c>
      <c r="C1794" s="5">
        <f t="shared" si="244"/>
        <v>35</v>
      </c>
      <c r="D1794" s="5">
        <f t="shared" si="245"/>
        <v>35</v>
      </c>
      <c r="E1794" t="str">
        <f>'(Raw) LensesGH'!C1794</f>
        <v>1:1.4</v>
      </c>
      <c r="F1794" s="9">
        <f t="shared" si="246"/>
        <v>1.4</v>
      </c>
      <c r="G1794" s="9">
        <f t="shared" si="247"/>
        <v>1.4</v>
      </c>
      <c r="H1794" t="str">
        <f>'(Raw) LensesGH'!D1794</f>
        <v>77mm</v>
      </c>
      <c r="I1794" s="2">
        <f t="shared" si="248"/>
        <v>77</v>
      </c>
      <c r="J1794" s="2">
        <f>'(Raw) LensesGH'!E1794</f>
        <v>0</v>
      </c>
      <c r="K1794" s="40">
        <f t="shared" si="249"/>
        <v>0</v>
      </c>
      <c r="L1794" t="str">
        <f>'(Raw) LensesGH'!F1794</f>
        <v>Pentax K</v>
      </c>
      <c r="M1794" t="str">
        <f>'(Raw) LensesGH'!G1794</f>
        <v>APS-C/ Kleinbild</v>
      </c>
      <c r="N1794" t="str">
        <f>'(Raw) LensesGH'!H1794</f>
        <v>734g</v>
      </c>
      <c r="O1794" s="5">
        <f t="shared" si="250"/>
        <v>734</v>
      </c>
      <c r="P1794" t="str">
        <f>'(Raw) LensesGH'!I1794</f>
        <v>83 x 111.5mm</v>
      </c>
      <c r="Q1794" s="39">
        <f t="shared" si="251"/>
        <v>83</v>
      </c>
      <c r="R1794" s="39">
        <f t="shared" ref="R1794:R1857" si="252">getSizeLength(P1794)</f>
        <v>111.5</v>
      </c>
    </row>
    <row r="1795" spans="1:18" x14ac:dyDescent="0.25">
      <c r="A1795" t="str">
        <f>'(Raw) LensesGH'!A1795</f>
        <v>Walimex Pro 35mm 1.4 für Samsung NX schwarz</v>
      </c>
      <c r="B1795" t="str">
        <f>'(Raw) LensesGH'!B1795</f>
        <v>35mm</v>
      </c>
      <c r="C1795" s="5">
        <f t="shared" ref="C1795:C1858" si="253">getFocalLengthStart(B1795)</f>
        <v>35</v>
      </c>
      <c r="D1795" s="5">
        <f t="shared" ref="D1795:D1858" si="254">getFocalLengthEnd(B1795)</f>
        <v>35</v>
      </c>
      <c r="E1795" t="str">
        <f>'(Raw) LensesGH'!C1795</f>
        <v>1:1.4</v>
      </c>
      <c r="F1795" s="9">
        <f t="shared" ref="F1795:F1858" si="255">getApertureStart(E1795)</f>
        <v>1.4</v>
      </c>
      <c r="G1795" s="9">
        <f t="shared" ref="G1795:G1858" si="256">getApertureEnd(F1795)</f>
        <v>1.4</v>
      </c>
      <c r="H1795" t="str">
        <f>'(Raw) LensesGH'!D1795</f>
        <v>77mm</v>
      </c>
      <c r="I1795" s="2">
        <f t="shared" ref="I1795:I1858" si="257">getFiltersizeAsDouble(H1795)</f>
        <v>77</v>
      </c>
      <c r="J1795" s="2">
        <f>'(Raw) LensesGH'!E1795</f>
        <v>0</v>
      </c>
      <c r="K1795" s="40">
        <f t="shared" ref="K1795:K1858" si="258">getMagnification(J1795)</f>
        <v>0</v>
      </c>
      <c r="L1795" t="str">
        <f>'(Raw) LensesGH'!F1795</f>
        <v>Samsung NX</v>
      </c>
      <c r="M1795" t="str">
        <f>'(Raw) LensesGH'!G1795</f>
        <v>APS-C</v>
      </c>
      <c r="N1795" t="str">
        <f>'(Raw) LensesGH'!H1795</f>
        <v>734g</v>
      </c>
      <c r="O1795" s="5">
        <f t="shared" ref="O1795:O1858" si="259">getWeightAsDouble(N1795)</f>
        <v>734</v>
      </c>
      <c r="P1795" t="str">
        <f>'(Raw) LensesGH'!I1795</f>
        <v>83 x 111.5mm</v>
      </c>
      <c r="Q1795" s="39">
        <f t="shared" ref="Q1795:Q1858" si="260">getSizeDiameter(P1795)</f>
        <v>83</v>
      </c>
      <c r="R1795" s="39">
        <f t="shared" si="252"/>
        <v>111.5</v>
      </c>
    </row>
    <row r="1796" spans="1:18" x14ac:dyDescent="0.25">
      <c r="A1796" t="str">
        <f>'(Raw) LensesGH'!A1796</f>
        <v>Walimex Pro 35mm 1.4 für Sony A schwarz</v>
      </c>
      <c r="B1796" t="str">
        <f>'(Raw) LensesGH'!B1796</f>
        <v>35mm</v>
      </c>
      <c r="C1796" s="5">
        <f t="shared" si="253"/>
        <v>35</v>
      </c>
      <c r="D1796" s="5">
        <f t="shared" si="254"/>
        <v>35</v>
      </c>
      <c r="E1796" t="str">
        <f>'(Raw) LensesGH'!C1796</f>
        <v>1:1.4</v>
      </c>
      <c r="F1796" s="9">
        <f t="shared" si="255"/>
        <v>1.4</v>
      </c>
      <c r="G1796" s="9">
        <f t="shared" si="256"/>
        <v>1.4</v>
      </c>
      <c r="H1796" t="str">
        <f>'(Raw) LensesGH'!D1796</f>
        <v>77mm</v>
      </c>
      <c r="I1796" s="2">
        <f t="shared" si="257"/>
        <v>77</v>
      </c>
      <c r="J1796" s="2">
        <f>'(Raw) LensesGH'!E1796</f>
        <v>0</v>
      </c>
      <c r="K1796" s="40">
        <f t="shared" si="258"/>
        <v>0</v>
      </c>
      <c r="L1796" t="str">
        <f>'(Raw) LensesGH'!F1796</f>
        <v>Sony A</v>
      </c>
      <c r="M1796" t="str">
        <f>'(Raw) LensesGH'!G1796</f>
        <v>APS-C</v>
      </c>
      <c r="N1796" t="str">
        <f>'(Raw) LensesGH'!H1796</f>
        <v>734g</v>
      </c>
      <c r="O1796" s="5">
        <f t="shared" si="259"/>
        <v>734</v>
      </c>
      <c r="P1796" t="str">
        <f>'(Raw) LensesGH'!I1796</f>
        <v>83 x 111.5mm</v>
      </c>
      <c r="Q1796" s="39">
        <f t="shared" si="260"/>
        <v>83</v>
      </c>
      <c r="R1796" s="39">
        <f t="shared" si="252"/>
        <v>111.5</v>
      </c>
    </row>
    <row r="1797" spans="1:18" x14ac:dyDescent="0.25">
      <c r="A1797" t="str">
        <f>'(Raw) LensesGH'!A1797</f>
        <v>Walimex Pro 35mm 1.4 für Sony E schwarz</v>
      </c>
      <c r="B1797" t="str">
        <f>'(Raw) LensesGH'!B1797</f>
        <v>35mm</v>
      </c>
      <c r="C1797" s="5">
        <f t="shared" si="253"/>
        <v>35</v>
      </c>
      <c r="D1797" s="5">
        <f t="shared" si="254"/>
        <v>35</v>
      </c>
      <c r="E1797" t="str">
        <f>'(Raw) LensesGH'!C1797</f>
        <v>1:1.4</v>
      </c>
      <c r="F1797" s="9">
        <f t="shared" si="255"/>
        <v>1.4</v>
      </c>
      <c r="G1797" s="9">
        <f t="shared" si="256"/>
        <v>1.4</v>
      </c>
      <c r="H1797" t="str">
        <f>'(Raw) LensesGH'!D1797</f>
        <v>77mm</v>
      </c>
      <c r="I1797" s="2">
        <f t="shared" si="257"/>
        <v>77</v>
      </c>
      <c r="J1797" s="2">
        <f>'(Raw) LensesGH'!E1797</f>
        <v>0</v>
      </c>
      <c r="K1797" s="40">
        <f t="shared" si="258"/>
        <v>0</v>
      </c>
      <c r="L1797" t="str">
        <f>'(Raw) LensesGH'!F1797</f>
        <v>Sony E</v>
      </c>
      <c r="M1797" t="str">
        <f>'(Raw) LensesGH'!G1797</f>
        <v>APS-C</v>
      </c>
      <c r="N1797" t="str">
        <f>'(Raw) LensesGH'!H1797</f>
        <v>734g</v>
      </c>
      <c r="O1797" s="5">
        <f t="shared" si="259"/>
        <v>734</v>
      </c>
      <c r="P1797" t="str">
        <f>'(Raw) LensesGH'!I1797</f>
        <v>83 x 111.5mm</v>
      </c>
      <c r="Q1797" s="39">
        <f t="shared" si="260"/>
        <v>83</v>
      </c>
      <c r="R1797" s="39">
        <f t="shared" si="252"/>
        <v>111.5</v>
      </c>
    </row>
    <row r="1798" spans="1:18" x14ac:dyDescent="0.25">
      <c r="A1798" t="str">
        <f>'(Raw) LensesGH'!A1798</f>
        <v>Walimex Pro 35mm 1.5 VCSC für Samsung NX schwarz</v>
      </c>
      <c r="B1798" t="str">
        <f>'(Raw) LensesGH'!B1798</f>
        <v>35mm</v>
      </c>
      <c r="C1798" s="5">
        <f t="shared" si="253"/>
        <v>35</v>
      </c>
      <c r="D1798" s="5">
        <f t="shared" si="254"/>
        <v>35</v>
      </c>
      <c r="E1798" t="str">
        <f>'(Raw) LensesGH'!C1798</f>
        <v>1:1.5</v>
      </c>
      <c r="F1798" s="9">
        <f t="shared" si="255"/>
        <v>1.5</v>
      </c>
      <c r="G1798" s="9">
        <f t="shared" si="256"/>
        <v>1.5</v>
      </c>
      <c r="H1798" t="str">
        <f>'(Raw) LensesGH'!D1798</f>
        <v>77mm</v>
      </c>
      <c r="I1798" s="2">
        <f t="shared" si="257"/>
        <v>77</v>
      </c>
      <c r="J1798" s="2">
        <f>'(Raw) LensesGH'!E1798</f>
        <v>0</v>
      </c>
      <c r="K1798" s="40">
        <f t="shared" si="258"/>
        <v>0</v>
      </c>
      <c r="L1798" t="str">
        <f>'(Raw) LensesGH'!F1798</f>
        <v>Samsung NX</v>
      </c>
      <c r="M1798" t="str">
        <f>'(Raw) LensesGH'!G1798</f>
        <v>APS-C</v>
      </c>
      <c r="N1798" t="str">
        <f>'(Raw) LensesGH'!H1798</f>
        <v>722g</v>
      </c>
      <c r="O1798" s="5">
        <f t="shared" si="259"/>
        <v>722</v>
      </c>
      <c r="P1798" t="str">
        <f>'(Raw) LensesGH'!I1798</f>
        <v>83 x 130mm</v>
      </c>
      <c r="Q1798" s="39">
        <f t="shared" si="260"/>
        <v>83</v>
      </c>
      <c r="R1798" s="39">
        <f t="shared" si="252"/>
        <v>130</v>
      </c>
    </row>
    <row r="1799" spans="1:18" x14ac:dyDescent="0.25">
      <c r="A1799" t="str">
        <f>'(Raw) LensesGH'!A1799</f>
        <v>Walimex Pro 35mm 1.5 VDSLR für Canon EF schwarz</v>
      </c>
      <c r="B1799" t="str">
        <f>'(Raw) LensesGH'!B1799</f>
        <v>35mm</v>
      </c>
      <c r="C1799" s="5">
        <f t="shared" si="253"/>
        <v>35</v>
      </c>
      <c r="D1799" s="5">
        <f t="shared" si="254"/>
        <v>35</v>
      </c>
      <c r="E1799" t="str">
        <f>'(Raw) LensesGH'!C1799</f>
        <v>1:1.5</v>
      </c>
      <c r="F1799" s="9">
        <f t="shared" si="255"/>
        <v>1.5</v>
      </c>
      <c r="G1799" s="9">
        <f t="shared" si="256"/>
        <v>1.5</v>
      </c>
      <c r="H1799" t="str">
        <f>'(Raw) LensesGH'!D1799</f>
        <v>77mm</v>
      </c>
      <c r="I1799" s="2">
        <f t="shared" si="257"/>
        <v>77</v>
      </c>
      <c r="J1799" s="2">
        <f>'(Raw) LensesGH'!E1799</f>
        <v>0</v>
      </c>
      <c r="K1799" s="40">
        <f t="shared" si="258"/>
        <v>0</v>
      </c>
      <c r="L1799" t="str">
        <f>'(Raw) LensesGH'!F1799</f>
        <v>Canon EF</v>
      </c>
      <c r="M1799" t="str">
        <f>'(Raw) LensesGH'!G1799</f>
        <v>APS-C/ Kleinbild</v>
      </c>
      <c r="N1799" t="str">
        <f>'(Raw) LensesGH'!H1799</f>
        <v>700g</v>
      </c>
      <c r="O1799" s="5">
        <f t="shared" si="259"/>
        <v>700</v>
      </c>
      <c r="P1799" t="str">
        <f>'(Raw) LensesGH'!I1799</f>
        <v>83 x 111.5mm</v>
      </c>
      <c r="Q1799" s="39">
        <f t="shared" si="260"/>
        <v>83</v>
      </c>
      <c r="R1799" s="39">
        <f t="shared" si="252"/>
        <v>111.5</v>
      </c>
    </row>
    <row r="1800" spans="1:18" x14ac:dyDescent="0.25">
      <c r="A1800" t="str">
        <f>'(Raw) LensesGH'!A1800</f>
        <v>Walimex Pro 35mm 1.5 VDSLR für Four-Thirds schwarz</v>
      </c>
      <c r="B1800" t="str">
        <f>'(Raw) LensesGH'!B1800</f>
        <v>35mm</v>
      </c>
      <c r="C1800" s="5">
        <f t="shared" si="253"/>
        <v>35</v>
      </c>
      <c r="D1800" s="5">
        <f t="shared" si="254"/>
        <v>35</v>
      </c>
      <c r="E1800" t="str">
        <f>'(Raw) LensesGH'!C1800</f>
        <v>1:1.5</v>
      </c>
      <c r="F1800" s="9">
        <f t="shared" si="255"/>
        <v>1.5</v>
      </c>
      <c r="G1800" s="9">
        <f t="shared" si="256"/>
        <v>1.5</v>
      </c>
      <c r="H1800" t="str">
        <f>'(Raw) LensesGH'!D1800</f>
        <v>77mm</v>
      </c>
      <c r="I1800" s="2">
        <f t="shared" si="257"/>
        <v>77</v>
      </c>
      <c r="J1800" s="2">
        <f>'(Raw) LensesGH'!E1800</f>
        <v>0</v>
      </c>
      <c r="K1800" s="40">
        <f t="shared" si="258"/>
        <v>0</v>
      </c>
      <c r="L1800" t="str">
        <f>'(Raw) LensesGH'!F1800</f>
        <v>Four-Thirds</v>
      </c>
      <c r="M1800" t="str">
        <f>'(Raw) LensesGH'!G1800</f>
        <v>Four-Thirds</v>
      </c>
      <c r="N1800" t="str">
        <f>'(Raw) LensesGH'!H1800</f>
        <v>718g</v>
      </c>
      <c r="O1800" s="5">
        <f t="shared" si="259"/>
        <v>718</v>
      </c>
      <c r="P1800" t="str">
        <f>'(Raw) LensesGH'!I1800</f>
        <v>83 x 116.8mm</v>
      </c>
      <c r="Q1800" s="39">
        <f t="shared" si="260"/>
        <v>83</v>
      </c>
      <c r="R1800" s="39">
        <f t="shared" si="252"/>
        <v>116.8</v>
      </c>
    </row>
    <row r="1801" spans="1:18" x14ac:dyDescent="0.25">
      <c r="A1801" t="str">
        <f>'(Raw) LensesGH'!A1801</f>
        <v>Walimex Pro 35mm 1.5 VDSLR für Fujifilm X schwarz</v>
      </c>
      <c r="B1801" t="str">
        <f>'(Raw) LensesGH'!B1801</f>
        <v>35mm</v>
      </c>
      <c r="C1801" s="5">
        <f t="shared" si="253"/>
        <v>35</v>
      </c>
      <c r="D1801" s="5">
        <f t="shared" si="254"/>
        <v>35</v>
      </c>
      <c r="E1801" t="str">
        <f>'(Raw) LensesGH'!C1801</f>
        <v>1:1.5</v>
      </c>
      <c r="F1801" s="9">
        <f t="shared" si="255"/>
        <v>1.5</v>
      </c>
      <c r="G1801" s="9">
        <f t="shared" si="256"/>
        <v>1.5</v>
      </c>
      <c r="H1801" t="str">
        <f>'(Raw) LensesGH'!D1801</f>
        <v>77mm</v>
      </c>
      <c r="I1801" s="2">
        <f t="shared" si="257"/>
        <v>77</v>
      </c>
      <c r="J1801" s="2">
        <f>'(Raw) LensesGH'!E1801</f>
        <v>0</v>
      </c>
      <c r="K1801" s="40">
        <f t="shared" si="258"/>
        <v>0</v>
      </c>
      <c r="L1801" t="str">
        <f>'(Raw) LensesGH'!F1801</f>
        <v>Fujifilm X</v>
      </c>
      <c r="M1801" t="str">
        <f>'(Raw) LensesGH'!G1801</f>
        <v>APS-C/ Kleinbild</v>
      </c>
      <c r="N1801" t="str">
        <f>'(Raw) LensesGH'!H1801</f>
        <v>700g</v>
      </c>
      <c r="O1801" s="5">
        <f t="shared" si="259"/>
        <v>700</v>
      </c>
      <c r="P1801" t="str">
        <f>'(Raw) LensesGH'!I1801</f>
        <v>83 x 111.5mm</v>
      </c>
      <c r="Q1801" s="39">
        <f t="shared" si="260"/>
        <v>83</v>
      </c>
      <c r="R1801" s="39">
        <f t="shared" si="252"/>
        <v>111.5</v>
      </c>
    </row>
    <row r="1802" spans="1:18" x14ac:dyDescent="0.25">
      <c r="A1802" t="str">
        <f>'(Raw) LensesGH'!A1802</f>
        <v>Walimex Pro 35mm 1.5 VDSLR für Micro-Four-Thirds schwarz</v>
      </c>
      <c r="B1802" t="str">
        <f>'(Raw) LensesGH'!B1802</f>
        <v>35mm</v>
      </c>
      <c r="C1802" s="5">
        <f t="shared" si="253"/>
        <v>35</v>
      </c>
      <c r="D1802" s="5">
        <f t="shared" si="254"/>
        <v>35</v>
      </c>
      <c r="E1802" t="str">
        <f>'(Raw) LensesGH'!C1802</f>
        <v>1:1.5</v>
      </c>
      <c r="F1802" s="9">
        <f t="shared" si="255"/>
        <v>1.5</v>
      </c>
      <c r="G1802" s="9">
        <f t="shared" si="256"/>
        <v>1.5</v>
      </c>
      <c r="H1802" t="str">
        <f>'(Raw) LensesGH'!D1802</f>
        <v>77mm</v>
      </c>
      <c r="I1802" s="2">
        <f t="shared" si="257"/>
        <v>77</v>
      </c>
      <c r="J1802" s="2">
        <f>'(Raw) LensesGH'!E1802</f>
        <v>0</v>
      </c>
      <c r="K1802" s="40">
        <f t="shared" si="258"/>
        <v>0</v>
      </c>
      <c r="L1802" t="str">
        <f>'(Raw) LensesGH'!F1802</f>
        <v>Micro-Four-Thirds</v>
      </c>
      <c r="M1802" t="str">
        <f>'(Raw) LensesGH'!G1802</f>
        <v>Four-Thirds</v>
      </c>
      <c r="N1802" t="str">
        <f>'(Raw) LensesGH'!H1802</f>
        <v>718g</v>
      </c>
      <c r="O1802" s="5">
        <f t="shared" si="259"/>
        <v>718</v>
      </c>
      <c r="P1802" t="str">
        <f>'(Raw) LensesGH'!I1802</f>
        <v>83 x 116.8mm</v>
      </c>
      <c r="Q1802" s="39">
        <f t="shared" si="260"/>
        <v>83</v>
      </c>
      <c r="R1802" s="39">
        <f t="shared" si="252"/>
        <v>116.8</v>
      </c>
    </row>
    <row r="1803" spans="1:18" x14ac:dyDescent="0.25">
      <c r="A1803" t="str">
        <f>'(Raw) LensesGH'!A1803</f>
        <v>Walimex Pro 35mm 1.5 VDSLR für Nikon F schwarz</v>
      </c>
      <c r="B1803" t="str">
        <f>'(Raw) LensesGH'!B1803</f>
        <v>35mm</v>
      </c>
      <c r="C1803" s="5">
        <f t="shared" si="253"/>
        <v>35</v>
      </c>
      <c r="D1803" s="5">
        <f t="shared" si="254"/>
        <v>35</v>
      </c>
      <c r="E1803" t="str">
        <f>'(Raw) LensesGH'!C1803</f>
        <v>1:1.5</v>
      </c>
      <c r="F1803" s="9">
        <f t="shared" si="255"/>
        <v>1.5</v>
      </c>
      <c r="G1803" s="9">
        <f t="shared" si="256"/>
        <v>1.5</v>
      </c>
      <c r="H1803" t="str">
        <f>'(Raw) LensesGH'!D1803</f>
        <v>77mm</v>
      </c>
      <c r="I1803" s="2">
        <f t="shared" si="257"/>
        <v>77</v>
      </c>
      <c r="J1803" s="2">
        <f>'(Raw) LensesGH'!E1803</f>
        <v>0</v>
      </c>
      <c r="K1803" s="40">
        <f t="shared" si="258"/>
        <v>0</v>
      </c>
      <c r="L1803" t="str">
        <f>'(Raw) LensesGH'!F1803</f>
        <v>Nikon F</v>
      </c>
      <c r="M1803" t="str">
        <f>'(Raw) LensesGH'!G1803</f>
        <v>APS-C/ Kleinbild</v>
      </c>
      <c r="N1803" t="str">
        <f>'(Raw) LensesGH'!H1803</f>
        <v>685g</v>
      </c>
      <c r="O1803" s="5">
        <f t="shared" si="259"/>
        <v>685</v>
      </c>
      <c r="P1803" t="str">
        <f>'(Raw) LensesGH'!I1803</f>
        <v>83 x 109mm</v>
      </c>
      <c r="Q1803" s="39">
        <f t="shared" si="260"/>
        <v>83</v>
      </c>
      <c r="R1803" s="39">
        <f t="shared" si="252"/>
        <v>109</v>
      </c>
    </row>
    <row r="1804" spans="1:18" x14ac:dyDescent="0.25">
      <c r="A1804" t="str">
        <f>'(Raw) LensesGH'!A1804</f>
        <v>Walimex Pro 35mm 1.5 VDSLR für Pentax K schwarz</v>
      </c>
      <c r="B1804" t="str">
        <f>'(Raw) LensesGH'!B1804</f>
        <v>35mm</v>
      </c>
      <c r="C1804" s="5">
        <f t="shared" si="253"/>
        <v>35</v>
      </c>
      <c r="D1804" s="5">
        <f t="shared" si="254"/>
        <v>35</v>
      </c>
      <c r="E1804" t="str">
        <f>'(Raw) LensesGH'!C1804</f>
        <v>1:1.5</v>
      </c>
      <c r="F1804" s="9">
        <f t="shared" si="255"/>
        <v>1.5</v>
      </c>
      <c r="G1804" s="9">
        <f t="shared" si="256"/>
        <v>1.5</v>
      </c>
      <c r="H1804" t="str">
        <f>'(Raw) LensesGH'!D1804</f>
        <v>77mm</v>
      </c>
      <c r="I1804" s="2">
        <f t="shared" si="257"/>
        <v>77</v>
      </c>
      <c r="J1804" s="2">
        <f>'(Raw) LensesGH'!E1804</f>
        <v>0</v>
      </c>
      <c r="K1804" s="40">
        <f t="shared" si="258"/>
        <v>0</v>
      </c>
      <c r="L1804" t="str">
        <f>'(Raw) LensesGH'!F1804</f>
        <v>Pentax K</v>
      </c>
      <c r="M1804" t="str">
        <f>'(Raw) LensesGH'!G1804</f>
        <v>APS-C/ Kleinbild</v>
      </c>
      <c r="N1804" t="str">
        <f>'(Raw) LensesGH'!H1804</f>
        <v>670g</v>
      </c>
      <c r="O1804" s="5">
        <f t="shared" si="259"/>
        <v>670</v>
      </c>
      <c r="P1804" t="str">
        <f>'(Raw) LensesGH'!I1804</f>
        <v>83 x 110mm</v>
      </c>
      <c r="Q1804" s="39">
        <f t="shared" si="260"/>
        <v>83</v>
      </c>
      <c r="R1804" s="39">
        <f t="shared" si="252"/>
        <v>110</v>
      </c>
    </row>
    <row r="1805" spans="1:18" x14ac:dyDescent="0.25">
      <c r="A1805" t="str">
        <f>'(Raw) LensesGH'!A1805</f>
        <v>Walimex Pro 35mm 1.5 VDSLR für Sony A schwarz</v>
      </c>
      <c r="B1805" t="str">
        <f>'(Raw) LensesGH'!B1805</f>
        <v>35mm</v>
      </c>
      <c r="C1805" s="5">
        <f t="shared" si="253"/>
        <v>35</v>
      </c>
      <c r="D1805" s="5">
        <f t="shared" si="254"/>
        <v>35</v>
      </c>
      <c r="E1805" t="str">
        <f>'(Raw) LensesGH'!C1805</f>
        <v>1:1.5</v>
      </c>
      <c r="F1805" s="9">
        <f t="shared" si="255"/>
        <v>1.5</v>
      </c>
      <c r="G1805" s="9">
        <f t="shared" si="256"/>
        <v>1.5</v>
      </c>
      <c r="H1805" t="str">
        <f>'(Raw) LensesGH'!D1805</f>
        <v>77mm</v>
      </c>
      <c r="I1805" s="2">
        <f t="shared" si="257"/>
        <v>77</v>
      </c>
      <c r="J1805" s="2">
        <f>'(Raw) LensesGH'!E1805</f>
        <v>0</v>
      </c>
      <c r="K1805" s="40">
        <f t="shared" si="258"/>
        <v>0</v>
      </c>
      <c r="L1805" t="str">
        <f>'(Raw) LensesGH'!F1805</f>
        <v>Sony A</v>
      </c>
      <c r="M1805" t="str">
        <f>'(Raw) LensesGH'!G1805</f>
        <v>APS-C</v>
      </c>
      <c r="N1805" t="str">
        <f>'(Raw) LensesGH'!H1805</f>
        <v>694g</v>
      </c>
      <c r="O1805" s="5">
        <f t="shared" si="259"/>
        <v>694</v>
      </c>
      <c r="P1805" t="str">
        <f>'(Raw) LensesGH'!I1805</f>
        <v>83 x 111mm</v>
      </c>
      <c r="Q1805" s="39">
        <f t="shared" si="260"/>
        <v>83</v>
      </c>
      <c r="R1805" s="39">
        <f t="shared" si="252"/>
        <v>111</v>
      </c>
    </row>
    <row r="1806" spans="1:18" x14ac:dyDescent="0.25">
      <c r="A1806" t="str">
        <f>'(Raw) LensesGH'!A1806</f>
        <v>Walimex Pro 35mm 1.5 VDSLR für Sony E schwarz</v>
      </c>
      <c r="B1806" t="str">
        <f>'(Raw) LensesGH'!B1806</f>
        <v>35mm</v>
      </c>
      <c r="C1806" s="5">
        <f t="shared" si="253"/>
        <v>35</v>
      </c>
      <c r="D1806" s="5">
        <f t="shared" si="254"/>
        <v>35</v>
      </c>
      <c r="E1806" t="str">
        <f>'(Raw) LensesGH'!C1806</f>
        <v>1:1.5</v>
      </c>
      <c r="F1806" s="9">
        <f t="shared" si="255"/>
        <v>1.5</v>
      </c>
      <c r="G1806" s="9">
        <f t="shared" si="256"/>
        <v>1.5</v>
      </c>
      <c r="H1806" t="str">
        <f>'(Raw) LensesGH'!D1806</f>
        <v>77mm</v>
      </c>
      <c r="I1806" s="2">
        <f t="shared" si="257"/>
        <v>77</v>
      </c>
      <c r="J1806" s="2">
        <f>'(Raw) LensesGH'!E1806</f>
        <v>0</v>
      </c>
      <c r="K1806" s="40">
        <f t="shared" si="258"/>
        <v>0</v>
      </c>
      <c r="L1806" t="str">
        <f>'(Raw) LensesGH'!F1806</f>
        <v>Sony E</v>
      </c>
      <c r="M1806" t="str">
        <f>'(Raw) LensesGH'!G1806</f>
        <v>APS-C</v>
      </c>
      <c r="N1806" t="str">
        <f>'(Raw) LensesGH'!H1806</f>
        <v>723g</v>
      </c>
      <c r="O1806" s="5">
        <f t="shared" si="259"/>
        <v>723</v>
      </c>
      <c r="P1806" t="str">
        <f>'(Raw) LensesGH'!I1806</f>
        <v>83 x 137.5mm</v>
      </c>
      <c r="Q1806" s="39">
        <f t="shared" si="260"/>
        <v>83</v>
      </c>
      <c r="R1806" s="39">
        <f t="shared" si="252"/>
        <v>137.5</v>
      </c>
    </row>
    <row r="1807" spans="1:18" x14ac:dyDescent="0.25">
      <c r="A1807" t="str">
        <f>'(Raw) LensesGH'!A1807</f>
        <v>Walimex Pro 500mm 6.3 für Canon EF weiß</v>
      </c>
      <c r="B1807" t="str">
        <f>'(Raw) LensesGH'!B1807</f>
        <v>500mm</v>
      </c>
      <c r="C1807" s="5">
        <f t="shared" si="253"/>
        <v>500</v>
      </c>
      <c r="D1807" s="5">
        <f t="shared" si="254"/>
        <v>500</v>
      </c>
      <c r="E1807" t="str">
        <f>'(Raw) LensesGH'!C1807</f>
        <v>1:6.3</v>
      </c>
      <c r="F1807" s="9">
        <f t="shared" si="255"/>
        <v>6.3</v>
      </c>
      <c r="G1807" s="9">
        <f t="shared" si="256"/>
        <v>6.3</v>
      </c>
      <c r="H1807" t="str">
        <f>'(Raw) LensesGH'!D1807</f>
        <v>34mm</v>
      </c>
      <c r="I1807" s="2">
        <f t="shared" si="257"/>
        <v>34</v>
      </c>
      <c r="J1807" s="2">
        <f>'(Raw) LensesGH'!E1807</f>
        <v>0</v>
      </c>
      <c r="K1807" s="40">
        <f t="shared" si="258"/>
        <v>0</v>
      </c>
      <c r="L1807" t="str">
        <f>'(Raw) LensesGH'!F1807</f>
        <v>Canon EF</v>
      </c>
      <c r="M1807" t="str">
        <f>'(Raw) LensesGH'!G1807</f>
        <v>APS-C/ Kleinbild</v>
      </c>
      <c r="N1807" t="str">
        <f>'(Raw) LensesGH'!H1807</f>
        <v>705g</v>
      </c>
      <c r="O1807" s="5">
        <f t="shared" si="259"/>
        <v>705</v>
      </c>
      <c r="P1807" t="str">
        <f>'(Raw) LensesGH'!I1807</f>
        <v>95 x 120mm</v>
      </c>
      <c r="Q1807" s="39">
        <f t="shared" si="260"/>
        <v>95</v>
      </c>
      <c r="R1807" s="39">
        <f t="shared" si="252"/>
        <v>120</v>
      </c>
    </row>
    <row r="1808" spans="1:18" x14ac:dyDescent="0.25">
      <c r="A1808" t="str">
        <f>'(Raw) LensesGH'!A1808</f>
        <v>Walimex Pro 500mm 6.3 für Canon EF-M weiß</v>
      </c>
      <c r="B1808" t="str">
        <f>'(Raw) LensesGH'!B1808</f>
        <v>500mm</v>
      </c>
      <c r="C1808" s="5">
        <f t="shared" si="253"/>
        <v>500</v>
      </c>
      <c r="D1808" s="5">
        <f t="shared" si="254"/>
        <v>500</v>
      </c>
      <c r="E1808" t="str">
        <f>'(Raw) LensesGH'!C1808</f>
        <v>1:6.3</v>
      </c>
      <c r="F1808" s="9">
        <f t="shared" si="255"/>
        <v>6.3</v>
      </c>
      <c r="G1808" s="9">
        <f t="shared" si="256"/>
        <v>6.3</v>
      </c>
      <c r="H1808" t="str">
        <f>'(Raw) LensesGH'!D1808</f>
        <v>34mm</v>
      </c>
      <c r="I1808" s="2">
        <f t="shared" si="257"/>
        <v>34</v>
      </c>
      <c r="J1808" s="2">
        <f>'(Raw) LensesGH'!E1808</f>
        <v>0</v>
      </c>
      <c r="K1808" s="40">
        <f t="shared" si="258"/>
        <v>0</v>
      </c>
      <c r="L1808" t="str">
        <f>'(Raw) LensesGH'!F1808</f>
        <v>Canon EF-M</v>
      </c>
      <c r="M1808" t="str">
        <f>'(Raw) LensesGH'!G1808</f>
        <v>APS-C/ Kleinbild</v>
      </c>
      <c r="N1808" t="str">
        <f>'(Raw) LensesGH'!H1808</f>
        <v>705g</v>
      </c>
      <c r="O1808" s="5">
        <f t="shared" si="259"/>
        <v>705</v>
      </c>
      <c r="P1808" t="str">
        <f>'(Raw) LensesGH'!I1808</f>
        <v>95 x 120mm</v>
      </c>
      <c r="Q1808" s="39">
        <f t="shared" si="260"/>
        <v>95</v>
      </c>
      <c r="R1808" s="39">
        <f t="shared" si="252"/>
        <v>120</v>
      </c>
    </row>
    <row r="1809" spans="1:18" x14ac:dyDescent="0.25">
      <c r="A1809" t="str">
        <f>'(Raw) LensesGH'!A1809</f>
        <v>Walimex Pro 500mm 6.3 für Nikon F weiß</v>
      </c>
      <c r="B1809" t="str">
        <f>'(Raw) LensesGH'!B1809</f>
        <v>500mm</v>
      </c>
      <c r="C1809" s="5">
        <f t="shared" si="253"/>
        <v>500</v>
      </c>
      <c r="D1809" s="5">
        <f t="shared" si="254"/>
        <v>500</v>
      </c>
      <c r="E1809" t="str">
        <f>'(Raw) LensesGH'!C1809</f>
        <v>1:6.3</v>
      </c>
      <c r="F1809" s="9">
        <f t="shared" si="255"/>
        <v>6.3</v>
      </c>
      <c r="G1809" s="9">
        <f t="shared" si="256"/>
        <v>6.3</v>
      </c>
      <c r="H1809" t="str">
        <f>'(Raw) LensesGH'!D1809</f>
        <v>34mm</v>
      </c>
      <c r="I1809" s="2">
        <f t="shared" si="257"/>
        <v>34</v>
      </c>
      <c r="J1809" s="2">
        <f>'(Raw) LensesGH'!E1809</f>
        <v>0</v>
      </c>
      <c r="K1809" s="40">
        <f t="shared" si="258"/>
        <v>0</v>
      </c>
      <c r="L1809" t="str">
        <f>'(Raw) LensesGH'!F1809</f>
        <v>Nikon F</v>
      </c>
      <c r="M1809" t="str">
        <f>'(Raw) LensesGH'!G1809</f>
        <v>APS-C/ Kleinbild</v>
      </c>
      <c r="N1809" t="str">
        <f>'(Raw) LensesGH'!H1809</f>
        <v>705g</v>
      </c>
      <c r="O1809" s="5">
        <f t="shared" si="259"/>
        <v>705</v>
      </c>
      <c r="P1809" t="str">
        <f>'(Raw) LensesGH'!I1809</f>
        <v>95 x 120mm</v>
      </c>
      <c r="Q1809" s="39">
        <f t="shared" si="260"/>
        <v>95</v>
      </c>
      <c r="R1809" s="39">
        <f t="shared" si="252"/>
        <v>120</v>
      </c>
    </row>
    <row r="1810" spans="1:18" x14ac:dyDescent="0.25">
      <c r="A1810" t="str">
        <f>'(Raw) LensesGH'!A1810</f>
        <v>Walimex Pro 500mm 6.3 für Pentax K weiß</v>
      </c>
      <c r="B1810" t="str">
        <f>'(Raw) LensesGH'!B1810</f>
        <v>500mm</v>
      </c>
      <c r="C1810" s="5">
        <f t="shared" si="253"/>
        <v>500</v>
      </c>
      <c r="D1810" s="5">
        <f t="shared" si="254"/>
        <v>500</v>
      </c>
      <c r="E1810" t="str">
        <f>'(Raw) LensesGH'!C1810</f>
        <v>1:6.3</v>
      </c>
      <c r="F1810" s="9">
        <f t="shared" si="255"/>
        <v>6.3</v>
      </c>
      <c r="G1810" s="9">
        <f t="shared" si="256"/>
        <v>6.3</v>
      </c>
      <c r="H1810" t="str">
        <f>'(Raw) LensesGH'!D1810</f>
        <v>34mm</v>
      </c>
      <c r="I1810" s="2">
        <f t="shared" si="257"/>
        <v>34</v>
      </c>
      <c r="J1810" s="2">
        <f>'(Raw) LensesGH'!E1810</f>
        <v>0</v>
      </c>
      <c r="K1810" s="40">
        <f t="shared" si="258"/>
        <v>0</v>
      </c>
      <c r="L1810" t="str">
        <f>'(Raw) LensesGH'!F1810</f>
        <v>Pentax K</v>
      </c>
      <c r="M1810" t="str">
        <f>'(Raw) LensesGH'!G1810</f>
        <v>APS-C/ Kleinbild</v>
      </c>
      <c r="N1810" t="str">
        <f>'(Raw) LensesGH'!H1810</f>
        <v>705g</v>
      </c>
      <c r="O1810" s="5">
        <f t="shared" si="259"/>
        <v>705</v>
      </c>
      <c r="P1810" t="str">
        <f>'(Raw) LensesGH'!I1810</f>
        <v>95 x 120mm</v>
      </c>
      <c r="Q1810" s="39">
        <f t="shared" si="260"/>
        <v>95</v>
      </c>
      <c r="R1810" s="39">
        <f t="shared" si="252"/>
        <v>120</v>
      </c>
    </row>
    <row r="1811" spans="1:18" x14ac:dyDescent="0.25">
      <c r="A1811" t="str">
        <f>'(Raw) LensesGH'!A1811</f>
        <v>Walimex Pro 500mm 6.3 für Samsung NX weiß</v>
      </c>
      <c r="B1811" t="str">
        <f>'(Raw) LensesGH'!B1811</f>
        <v>500mm</v>
      </c>
      <c r="C1811" s="5">
        <f t="shared" si="253"/>
        <v>500</v>
      </c>
      <c r="D1811" s="5">
        <f t="shared" si="254"/>
        <v>500</v>
      </c>
      <c r="E1811" t="str">
        <f>'(Raw) LensesGH'!C1811</f>
        <v>1:6.3</v>
      </c>
      <c r="F1811" s="9">
        <f t="shared" si="255"/>
        <v>6.3</v>
      </c>
      <c r="G1811" s="9">
        <f t="shared" si="256"/>
        <v>6.3</v>
      </c>
      <c r="H1811" t="str">
        <f>'(Raw) LensesGH'!D1811</f>
        <v>34mm</v>
      </c>
      <c r="I1811" s="2">
        <f t="shared" si="257"/>
        <v>34</v>
      </c>
      <c r="J1811" s="2">
        <f>'(Raw) LensesGH'!E1811</f>
        <v>0</v>
      </c>
      <c r="K1811" s="40">
        <f t="shared" si="258"/>
        <v>0</v>
      </c>
      <c r="L1811" t="str">
        <f>'(Raw) LensesGH'!F1811</f>
        <v>Samsung NX</v>
      </c>
      <c r="M1811" t="str">
        <f>'(Raw) LensesGH'!G1811</f>
        <v>APS-C</v>
      </c>
      <c r="N1811" t="str">
        <f>'(Raw) LensesGH'!H1811</f>
        <v>705g</v>
      </c>
      <c r="O1811" s="5">
        <f t="shared" si="259"/>
        <v>705</v>
      </c>
      <c r="P1811" t="str">
        <f>'(Raw) LensesGH'!I1811</f>
        <v>95 x 120mm</v>
      </c>
      <c r="Q1811" s="39">
        <f t="shared" si="260"/>
        <v>95</v>
      </c>
      <c r="R1811" s="39">
        <f t="shared" si="252"/>
        <v>120</v>
      </c>
    </row>
    <row r="1812" spans="1:18" x14ac:dyDescent="0.25">
      <c r="A1812" t="str">
        <f>'(Raw) LensesGH'!A1812</f>
        <v>Walimex Pro 500mm 6.3 für Sony A weiß</v>
      </c>
      <c r="B1812" t="str">
        <f>'(Raw) LensesGH'!B1812</f>
        <v>500mm</v>
      </c>
      <c r="C1812" s="5">
        <f t="shared" si="253"/>
        <v>500</v>
      </c>
      <c r="D1812" s="5">
        <f t="shared" si="254"/>
        <v>500</v>
      </c>
      <c r="E1812" t="str">
        <f>'(Raw) LensesGH'!C1812</f>
        <v>1:6.3</v>
      </c>
      <c r="F1812" s="9">
        <f t="shared" si="255"/>
        <v>6.3</v>
      </c>
      <c r="G1812" s="9">
        <f t="shared" si="256"/>
        <v>6.3</v>
      </c>
      <c r="H1812" t="str">
        <f>'(Raw) LensesGH'!D1812</f>
        <v>34mm</v>
      </c>
      <c r="I1812" s="2">
        <f t="shared" si="257"/>
        <v>34</v>
      </c>
      <c r="J1812" s="2">
        <f>'(Raw) LensesGH'!E1812</f>
        <v>0</v>
      </c>
      <c r="K1812" s="40">
        <f t="shared" si="258"/>
        <v>0</v>
      </c>
      <c r="L1812" t="str">
        <f>'(Raw) LensesGH'!F1812</f>
        <v>Sony A</v>
      </c>
      <c r="M1812" t="str">
        <f>'(Raw) LensesGH'!G1812</f>
        <v>APS-C</v>
      </c>
      <c r="N1812" t="str">
        <f>'(Raw) LensesGH'!H1812</f>
        <v>705g</v>
      </c>
      <c r="O1812" s="5">
        <f t="shared" si="259"/>
        <v>705</v>
      </c>
      <c r="P1812" t="str">
        <f>'(Raw) LensesGH'!I1812</f>
        <v>95 x 120mm</v>
      </c>
      <c r="Q1812" s="39">
        <f t="shared" si="260"/>
        <v>95</v>
      </c>
      <c r="R1812" s="39">
        <f t="shared" si="252"/>
        <v>120</v>
      </c>
    </row>
    <row r="1813" spans="1:18" x14ac:dyDescent="0.25">
      <c r="A1813" t="str">
        <f>'(Raw) LensesGH'!A1813</f>
        <v>Walimex Pro 500mm 6.3 für Sony E weiß</v>
      </c>
      <c r="B1813" t="str">
        <f>'(Raw) LensesGH'!B1813</f>
        <v>500mm</v>
      </c>
      <c r="C1813" s="5">
        <f t="shared" si="253"/>
        <v>500</v>
      </c>
      <c r="D1813" s="5">
        <f t="shared" si="254"/>
        <v>500</v>
      </c>
      <c r="E1813" t="str">
        <f>'(Raw) LensesGH'!C1813</f>
        <v>1:6.3</v>
      </c>
      <c r="F1813" s="9">
        <f t="shared" si="255"/>
        <v>6.3</v>
      </c>
      <c r="G1813" s="9">
        <f t="shared" si="256"/>
        <v>6.3</v>
      </c>
      <c r="H1813" t="str">
        <f>'(Raw) LensesGH'!D1813</f>
        <v>34mm</v>
      </c>
      <c r="I1813" s="2">
        <f t="shared" si="257"/>
        <v>34</v>
      </c>
      <c r="J1813" s="2">
        <f>'(Raw) LensesGH'!E1813</f>
        <v>0</v>
      </c>
      <c r="K1813" s="40">
        <f t="shared" si="258"/>
        <v>0</v>
      </c>
      <c r="L1813" t="str">
        <f>'(Raw) LensesGH'!F1813</f>
        <v>Sony E</v>
      </c>
      <c r="M1813" t="str">
        <f>'(Raw) LensesGH'!G1813</f>
        <v>APS-C</v>
      </c>
      <c r="N1813" t="str">
        <f>'(Raw) LensesGH'!H1813</f>
        <v>630g</v>
      </c>
      <c r="O1813" s="5">
        <f t="shared" si="259"/>
        <v>630</v>
      </c>
      <c r="P1813" t="str">
        <f>'(Raw) LensesGH'!I1813</f>
        <v>95 x 110mm</v>
      </c>
      <c r="Q1813" s="39">
        <f t="shared" si="260"/>
        <v>95</v>
      </c>
      <c r="R1813" s="39">
        <f t="shared" si="252"/>
        <v>110</v>
      </c>
    </row>
    <row r="1814" spans="1:18" x14ac:dyDescent="0.25">
      <c r="A1814" t="str">
        <f>'(Raw) LensesGH'!A1814</f>
        <v>Walimex Pro 500mm 6.3 weiß</v>
      </c>
      <c r="B1814" t="str">
        <f>'(Raw) LensesGH'!B1814</f>
        <v>500mm</v>
      </c>
      <c r="C1814" s="5">
        <f t="shared" si="253"/>
        <v>500</v>
      </c>
      <c r="D1814" s="5">
        <f t="shared" si="254"/>
        <v>500</v>
      </c>
      <c r="E1814" t="str">
        <f>'(Raw) LensesGH'!C1814</f>
        <v>1:6.3</v>
      </c>
      <c r="F1814" s="9">
        <f t="shared" si="255"/>
        <v>6.3</v>
      </c>
      <c r="G1814" s="9">
        <f t="shared" si="256"/>
        <v>6.3</v>
      </c>
      <c r="H1814" t="str">
        <f>'(Raw) LensesGH'!D1814</f>
        <v>34mm</v>
      </c>
      <c r="I1814" s="2">
        <f t="shared" si="257"/>
        <v>34</v>
      </c>
      <c r="J1814" s="2">
        <f>'(Raw) LensesGH'!E1814</f>
        <v>0</v>
      </c>
      <c r="K1814" s="40">
        <f t="shared" si="258"/>
        <v>0</v>
      </c>
      <c r="L1814">
        <f>'(Raw) LensesGH'!F1814</f>
        <v>0</v>
      </c>
      <c r="M1814" t="str">
        <f>'(Raw) LensesGH'!G1814</f>
        <v>APS-C/ Kleinbild</v>
      </c>
      <c r="N1814" t="str">
        <f>'(Raw) LensesGH'!H1814</f>
        <v>705g</v>
      </c>
      <c r="O1814" s="5">
        <f t="shared" si="259"/>
        <v>705</v>
      </c>
      <c r="P1814" t="str">
        <f>'(Raw) LensesGH'!I1814</f>
        <v>95 x 120mm</v>
      </c>
      <c r="Q1814" s="39">
        <f t="shared" si="260"/>
        <v>95</v>
      </c>
      <c r="R1814" s="39">
        <f t="shared" si="252"/>
        <v>120</v>
      </c>
    </row>
    <row r="1815" spans="1:18" x14ac:dyDescent="0.25">
      <c r="A1815" t="str">
        <f>'(Raw) LensesGH'!A1815</f>
        <v>Walimex Pro 500mm 8.0 schwarz</v>
      </c>
      <c r="B1815" t="str">
        <f>'(Raw) LensesGH'!B1815</f>
        <v>500mm</v>
      </c>
      <c r="C1815" s="5">
        <f t="shared" si="253"/>
        <v>500</v>
      </c>
      <c r="D1815" s="5">
        <f t="shared" si="254"/>
        <v>500</v>
      </c>
      <c r="E1815" t="str">
        <f>'(Raw) LensesGH'!C1815</f>
        <v>1:8.0</v>
      </c>
      <c r="F1815" s="9">
        <f t="shared" si="255"/>
        <v>8</v>
      </c>
      <c r="G1815" s="9">
        <f t="shared" si="256"/>
        <v>8</v>
      </c>
      <c r="H1815" t="str">
        <f>'(Raw) LensesGH'!D1815</f>
        <v>30.5mm</v>
      </c>
      <c r="I1815" s="2">
        <f t="shared" si="257"/>
        <v>30.5</v>
      </c>
      <c r="J1815" s="2">
        <f>'(Raw) LensesGH'!E1815</f>
        <v>0</v>
      </c>
      <c r="K1815" s="40">
        <f t="shared" si="258"/>
        <v>0</v>
      </c>
      <c r="L1815">
        <f>'(Raw) LensesGH'!F1815</f>
        <v>0</v>
      </c>
      <c r="M1815" t="str">
        <f>'(Raw) LensesGH'!G1815</f>
        <v>APS-C/ Kleinbild</v>
      </c>
      <c r="N1815" t="str">
        <f>'(Raw) LensesGH'!H1815</f>
        <v>320g</v>
      </c>
      <c r="O1815" s="5">
        <f t="shared" si="259"/>
        <v>320</v>
      </c>
      <c r="P1815" t="str">
        <f>'(Raw) LensesGH'!I1815</f>
        <v>76 x 86.5mm</v>
      </c>
      <c r="Q1815" s="39">
        <f t="shared" si="260"/>
        <v>76</v>
      </c>
      <c r="R1815" s="39">
        <f t="shared" si="252"/>
        <v>86.5</v>
      </c>
    </row>
    <row r="1816" spans="1:18" x14ac:dyDescent="0.25">
      <c r="A1816" t="str">
        <f>'(Raw) LensesGH'!A1816</f>
        <v>Walimex Pro 50mm 1.2 CSC für Fujifilm X schwarz</v>
      </c>
      <c r="B1816" t="str">
        <f>'(Raw) LensesGH'!B1816</f>
        <v>50mm</v>
      </c>
      <c r="C1816" s="5">
        <f t="shared" si="253"/>
        <v>50</v>
      </c>
      <c r="D1816" s="5">
        <f t="shared" si="254"/>
        <v>50</v>
      </c>
      <c r="E1816" t="str">
        <f>'(Raw) LensesGH'!C1816</f>
        <v>1:1.2</v>
      </c>
      <c r="F1816" s="9">
        <f t="shared" si="255"/>
        <v>1.2</v>
      </c>
      <c r="G1816" s="9">
        <f t="shared" si="256"/>
        <v>1.2</v>
      </c>
      <c r="H1816" t="str">
        <f>'(Raw) LensesGH'!D1816</f>
        <v>62mm</v>
      </c>
      <c r="I1816" s="2">
        <f t="shared" si="257"/>
        <v>62</v>
      </c>
      <c r="J1816" s="2">
        <f>'(Raw) LensesGH'!E1816</f>
        <v>0</v>
      </c>
      <c r="K1816" s="40">
        <f t="shared" si="258"/>
        <v>0</v>
      </c>
      <c r="L1816" t="str">
        <f>'(Raw) LensesGH'!F1816</f>
        <v>Fujifilm X</v>
      </c>
      <c r="M1816" t="str">
        <f>'(Raw) LensesGH'!G1816</f>
        <v>APS-C</v>
      </c>
      <c r="N1816" t="str">
        <f>'(Raw) LensesGH'!H1816</f>
        <v>380g</v>
      </c>
      <c r="O1816" s="5">
        <f t="shared" si="259"/>
        <v>380</v>
      </c>
      <c r="P1816" t="str">
        <f>'(Raw) LensesGH'!I1816</f>
        <v>67.5 x 74mm</v>
      </c>
      <c r="Q1816" s="39">
        <f t="shared" si="260"/>
        <v>67.5</v>
      </c>
      <c r="R1816" s="39">
        <f t="shared" si="252"/>
        <v>74</v>
      </c>
    </row>
    <row r="1817" spans="1:18" x14ac:dyDescent="0.25">
      <c r="A1817" t="str">
        <f>'(Raw) LensesGH'!A1817</f>
        <v>Walimex Pro 50mm 1.2 CSC für Micro-Four-Thirds schwarz</v>
      </c>
      <c r="B1817" t="str">
        <f>'(Raw) LensesGH'!B1817</f>
        <v>50mm</v>
      </c>
      <c r="C1817" s="5">
        <f t="shared" si="253"/>
        <v>50</v>
      </c>
      <c r="D1817" s="5">
        <f t="shared" si="254"/>
        <v>50</v>
      </c>
      <c r="E1817" t="str">
        <f>'(Raw) LensesGH'!C1817</f>
        <v>1:1.2</v>
      </c>
      <c r="F1817" s="9">
        <f t="shared" si="255"/>
        <v>1.2</v>
      </c>
      <c r="G1817" s="9">
        <f t="shared" si="256"/>
        <v>1.2</v>
      </c>
      <c r="H1817" t="str">
        <f>'(Raw) LensesGH'!D1817</f>
        <v>62mm</v>
      </c>
      <c r="I1817" s="2">
        <f t="shared" si="257"/>
        <v>62</v>
      </c>
      <c r="J1817" s="2">
        <f>'(Raw) LensesGH'!E1817</f>
        <v>0</v>
      </c>
      <c r="K1817" s="40">
        <f t="shared" si="258"/>
        <v>0</v>
      </c>
      <c r="L1817" t="str">
        <f>'(Raw) LensesGH'!F1817</f>
        <v>Micro-Four-Thirds</v>
      </c>
      <c r="M1817" t="str">
        <f>'(Raw) LensesGH'!G1817</f>
        <v>Four-Thirds</v>
      </c>
      <c r="N1817" t="str">
        <f>'(Raw) LensesGH'!H1817</f>
        <v>375g</v>
      </c>
      <c r="O1817" s="5">
        <f t="shared" si="259"/>
        <v>375</v>
      </c>
      <c r="P1817" t="str">
        <f>'(Raw) LensesGH'!I1817</f>
        <v>67.5 x 73mm</v>
      </c>
      <c r="Q1817" s="39">
        <f t="shared" si="260"/>
        <v>67.5</v>
      </c>
      <c r="R1817" s="39">
        <f t="shared" si="252"/>
        <v>73</v>
      </c>
    </row>
    <row r="1818" spans="1:18" x14ac:dyDescent="0.25">
      <c r="A1818" t="str">
        <f>'(Raw) LensesGH'!A1818</f>
        <v>Walimex Pro 50mm 1.2 CSC für Sony E schwarz</v>
      </c>
      <c r="B1818" t="str">
        <f>'(Raw) LensesGH'!B1818</f>
        <v>50mm</v>
      </c>
      <c r="C1818" s="5">
        <f t="shared" si="253"/>
        <v>50</v>
      </c>
      <c r="D1818" s="5">
        <f t="shared" si="254"/>
        <v>50</v>
      </c>
      <c r="E1818" t="str">
        <f>'(Raw) LensesGH'!C1818</f>
        <v>1:1.2</v>
      </c>
      <c r="F1818" s="9">
        <f t="shared" si="255"/>
        <v>1.2</v>
      </c>
      <c r="G1818" s="9">
        <f t="shared" si="256"/>
        <v>1.2</v>
      </c>
      <c r="H1818" t="str">
        <f>'(Raw) LensesGH'!D1818</f>
        <v>62mm</v>
      </c>
      <c r="I1818" s="2">
        <f t="shared" si="257"/>
        <v>62</v>
      </c>
      <c r="J1818" s="2">
        <f>'(Raw) LensesGH'!E1818</f>
        <v>0</v>
      </c>
      <c r="K1818" s="40">
        <f t="shared" si="258"/>
        <v>0</v>
      </c>
      <c r="L1818" t="str">
        <f>'(Raw) LensesGH'!F1818</f>
        <v>Sony E</v>
      </c>
      <c r="M1818" t="str">
        <f>'(Raw) LensesGH'!G1818</f>
        <v>APS-C</v>
      </c>
      <c r="N1818" t="str">
        <f>'(Raw) LensesGH'!H1818</f>
        <v>385g</v>
      </c>
      <c r="O1818" s="5">
        <f t="shared" si="259"/>
        <v>385</v>
      </c>
      <c r="P1818" t="str">
        <f>'(Raw) LensesGH'!I1818</f>
        <v>67.5 x 74mm</v>
      </c>
      <c r="Q1818" s="39">
        <f t="shared" si="260"/>
        <v>67.5</v>
      </c>
      <c r="R1818" s="39">
        <f t="shared" si="252"/>
        <v>74</v>
      </c>
    </row>
    <row r="1819" spans="1:18" x14ac:dyDescent="0.25">
      <c r="A1819" t="str">
        <f>'(Raw) LensesGH'!A1819</f>
        <v>Walimex Pro 50mm 1.5 VCSC für Four-Thirds schwarz</v>
      </c>
      <c r="B1819" t="str">
        <f>'(Raw) LensesGH'!B1819</f>
        <v>50mm</v>
      </c>
      <c r="C1819" s="5">
        <f t="shared" si="253"/>
        <v>50</v>
      </c>
      <c r="D1819" s="5">
        <f t="shared" si="254"/>
        <v>50</v>
      </c>
      <c r="E1819" t="str">
        <f>'(Raw) LensesGH'!C1819</f>
        <v>1:1.5</v>
      </c>
      <c r="F1819" s="9">
        <f t="shared" si="255"/>
        <v>1.5</v>
      </c>
      <c r="G1819" s="9">
        <f t="shared" si="256"/>
        <v>1.5</v>
      </c>
      <c r="H1819" t="str">
        <f>'(Raw) LensesGH'!D1819</f>
        <v>77mm</v>
      </c>
      <c r="I1819" s="2">
        <f t="shared" si="257"/>
        <v>77</v>
      </c>
      <c r="J1819" s="2">
        <f>'(Raw) LensesGH'!E1819</f>
        <v>0</v>
      </c>
      <c r="K1819" s="40">
        <f t="shared" si="258"/>
        <v>0</v>
      </c>
      <c r="L1819" t="str">
        <f>'(Raw) LensesGH'!F1819</f>
        <v>Four-Thirds</v>
      </c>
      <c r="M1819" t="str">
        <f>'(Raw) LensesGH'!G1819</f>
        <v>Four-Thirds</v>
      </c>
      <c r="N1819" t="str">
        <f>'(Raw) LensesGH'!H1819</f>
        <v>580g</v>
      </c>
      <c r="O1819" s="5">
        <f t="shared" si="259"/>
        <v>580</v>
      </c>
      <c r="P1819" t="str">
        <f>'(Raw) LensesGH'!I1819</f>
        <v>82 x 80mm</v>
      </c>
      <c r="Q1819" s="39">
        <f t="shared" si="260"/>
        <v>82</v>
      </c>
      <c r="R1819" s="39">
        <f t="shared" si="252"/>
        <v>80</v>
      </c>
    </row>
    <row r="1820" spans="1:18" x14ac:dyDescent="0.25">
      <c r="A1820" t="str">
        <f>'(Raw) LensesGH'!A1820</f>
        <v>Walimex Pro 50mm 1.5 VCSC für Fujifilm X schwarz</v>
      </c>
      <c r="B1820" t="str">
        <f>'(Raw) LensesGH'!B1820</f>
        <v>50mm</v>
      </c>
      <c r="C1820" s="5">
        <f t="shared" si="253"/>
        <v>50</v>
      </c>
      <c r="D1820" s="5">
        <f t="shared" si="254"/>
        <v>50</v>
      </c>
      <c r="E1820" t="str">
        <f>'(Raw) LensesGH'!C1820</f>
        <v>1:1.5</v>
      </c>
      <c r="F1820" s="9">
        <f t="shared" si="255"/>
        <v>1.5</v>
      </c>
      <c r="G1820" s="9">
        <f t="shared" si="256"/>
        <v>1.5</v>
      </c>
      <c r="H1820" t="str">
        <f>'(Raw) LensesGH'!D1820</f>
        <v>77mm</v>
      </c>
      <c r="I1820" s="2">
        <f t="shared" si="257"/>
        <v>77</v>
      </c>
      <c r="J1820" s="2">
        <f>'(Raw) LensesGH'!E1820</f>
        <v>0</v>
      </c>
      <c r="K1820" s="40">
        <f t="shared" si="258"/>
        <v>0</v>
      </c>
      <c r="L1820" t="str">
        <f>'(Raw) LensesGH'!F1820</f>
        <v>Fujifilm X</v>
      </c>
      <c r="M1820" t="str">
        <f>'(Raw) LensesGH'!G1820</f>
        <v>Four-Thirds</v>
      </c>
      <c r="N1820" t="str">
        <f>'(Raw) LensesGH'!H1820</f>
        <v>640g</v>
      </c>
      <c r="O1820" s="5">
        <f t="shared" si="259"/>
        <v>640</v>
      </c>
      <c r="P1820" t="str">
        <f>'(Raw) LensesGH'!I1820</f>
        <v>82 x 101mm</v>
      </c>
      <c r="Q1820" s="39">
        <f t="shared" si="260"/>
        <v>82</v>
      </c>
      <c r="R1820" s="39">
        <f t="shared" si="252"/>
        <v>101</v>
      </c>
    </row>
    <row r="1821" spans="1:18" x14ac:dyDescent="0.25">
      <c r="A1821" t="str">
        <f>'(Raw) LensesGH'!A1821</f>
        <v>Walimex Pro 50mm 1.5 VCSC für Micro-Four-Thirds schwarz</v>
      </c>
      <c r="B1821" t="str">
        <f>'(Raw) LensesGH'!B1821</f>
        <v>50mm</v>
      </c>
      <c r="C1821" s="5">
        <f t="shared" si="253"/>
        <v>50</v>
      </c>
      <c r="D1821" s="5">
        <f t="shared" si="254"/>
        <v>50</v>
      </c>
      <c r="E1821" t="str">
        <f>'(Raw) LensesGH'!C1821</f>
        <v>1:1.5</v>
      </c>
      <c r="F1821" s="9">
        <f t="shared" si="255"/>
        <v>1.5</v>
      </c>
      <c r="G1821" s="9">
        <f t="shared" si="256"/>
        <v>1.5</v>
      </c>
      <c r="H1821" t="str">
        <f>'(Raw) LensesGH'!D1821</f>
        <v>77mm</v>
      </c>
      <c r="I1821" s="2">
        <f t="shared" si="257"/>
        <v>77</v>
      </c>
      <c r="J1821" s="2">
        <f>'(Raw) LensesGH'!E1821</f>
        <v>0</v>
      </c>
      <c r="K1821" s="40">
        <f t="shared" si="258"/>
        <v>0</v>
      </c>
      <c r="L1821" t="str">
        <f>'(Raw) LensesGH'!F1821</f>
        <v>Micro-Four-Thirds</v>
      </c>
      <c r="M1821" t="str">
        <f>'(Raw) LensesGH'!G1821</f>
        <v>Four-Thirds</v>
      </c>
      <c r="N1821" t="str">
        <f>'(Raw) LensesGH'!H1821</f>
        <v>590g</v>
      </c>
      <c r="O1821" s="5">
        <f t="shared" si="259"/>
        <v>590</v>
      </c>
      <c r="P1821" t="str">
        <f>'(Raw) LensesGH'!I1821</f>
        <v>82 x 99.5mm</v>
      </c>
      <c r="Q1821" s="39">
        <f t="shared" si="260"/>
        <v>82</v>
      </c>
      <c r="R1821" s="39">
        <f t="shared" si="252"/>
        <v>99.5</v>
      </c>
    </row>
    <row r="1822" spans="1:18" x14ac:dyDescent="0.25">
      <c r="A1822" t="str">
        <f>'(Raw) LensesGH'!A1822</f>
        <v>Walimex Pro 50mm 1.5 VCSC für Samsung NX schwarz</v>
      </c>
      <c r="B1822" t="str">
        <f>'(Raw) LensesGH'!B1822</f>
        <v>50mm</v>
      </c>
      <c r="C1822" s="5">
        <f t="shared" si="253"/>
        <v>50</v>
      </c>
      <c r="D1822" s="5">
        <f t="shared" si="254"/>
        <v>50</v>
      </c>
      <c r="E1822" t="str">
        <f>'(Raw) LensesGH'!C1822</f>
        <v>1:1.5</v>
      </c>
      <c r="F1822" s="9">
        <f t="shared" si="255"/>
        <v>1.5</v>
      </c>
      <c r="G1822" s="9">
        <f t="shared" si="256"/>
        <v>1.5</v>
      </c>
      <c r="H1822" t="str">
        <f>'(Raw) LensesGH'!D1822</f>
        <v>77mm</v>
      </c>
      <c r="I1822" s="2">
        <f t="shared" si="257"/>
        <v>77</v>
      </c>
      <c r="J1822" s="2">
        <f>'(Raw) LensesGH'!E1822</f>
        <v>0</v>
      </c>
      <c r="K1822" s="40">
        <f t="shared" si="258"/>
        <v>0</v>
      </c>
      <c r="L1822" t="str">
        <f>'(Raw) LensesGH'!F1822</f>
        <v>Samsung NX</v>
      </c>
      <c r="M1822" t="str">
        <f>'(Raw) LensesGH'!G1822</f>
        <v>APS-C</v>
      </c>
      <c r="N1822" t="str">
        <f>'(Raw) LensesGH'!H1822</f>
        <v>590g</v>
      </c>
      <c r="O1822" s="5">
        <f t="shared" si="259"/>
        <v>590</v>
      </c>
      <c r="P1822" t="str">
        <f>'(Raw) LensesGH'!I1822</f>
        <v>82 x 93.2mm</v>
      </c>
      <c r="Q1822" s="39">
        <f t="shared" si="260"/>
        <v>82</v>
      </c>
      <c r="R1822" s="39">
        <f t="shared" si="252"/>
        <v>93.2</v>
      </c>
    </row>
    <row r="1823" spans="1:18" x14ac:dyDescent="0.25">
      <c r="A1823" t="str">
        <f>'(Raw) LensesGH'!A1823</f>
        <v>Walimex Pro 50mm 1.5 VDSLR für Canon EF schwarz</v>
      </c>
      <c r="B1823" t="str">
        <f>'(Raw) LensesGH'!B1823</f>
        <v>50mm</v>
      </c>
      <c r="C1823" s="5">
        <f t="shared" si="253"/>
        <v>50</v>
      </c>
      <c r="D1823" s="5">
        <f t="shared" si="254"/>
        <v>50</v>
      </c>
      <c r="E1823" t="str">
        <f>'(Raw) LensesGH'!C1823</f>
        <v>1:1.5</v>
      </c>
      <c r="F1823" s="9">
        <f t="shared" si="255"/>
        <v>1.5</v>
      </c>
      <c r="G1823" s="9">
        <f t="shared" si="256"/>
        <v>1.5</v>
      </c>
      <c r="H1823" t="str">
        <f>'(Raw) LensesGH'!D1823</f>
        <v>77mm</v>
      </c>
      <c r="I1823" s="2">
        <f t="shared" si="257"/>
        <v>77</v>
      </c>
      <c r="J1823" s="2">
        <f>'(Raw) LensesGH'!E1823</f>
        <v>0</v>
      </c>
      <c r="K1823" s="40">
        <f t="shared" si="258"/>
        <v>0</v>
      </c>
      <c r="L1823" t="str">
        <f>'(Raw) LensesGH'!F1823</f>
        <v>Canon EF</v>
      </c>
      <c r="M1823" t="str">
        <f>'(Raw) LensesGH'!G1823</f>
        <v>APS-C/ Kleinbild</v>
      </c>
      <c r="N1823" t="str">
        <f>'(Raw) LensesGH'!H1823</f>
        <v>550g</v>
      </c>
      <c r="O1823" s="5">
        <f t="shared" si="259"/>
        <v>550</v>
      </c>
      <c r="P1823" t="str">
        <f>'(Raw) LensesGH'!I1823</f>
        <v>82 x 74.7mm</v>
      </c>
      <c r="Q1823" s="39">
        <f t="shared" si="260"/>
        <v>82</v>
      </c>
      <c r="R1823" s="39">
        <f t="shared" si="252"/>
        <v>74.7</v>
      </c>
    </row>
    <row r="1824" spans="1:18" x14ac:dyDescent="0.25">
      <c r="A1824" t="str">
        <f>'(Raw) LensesGH'!A1824</f>
        <v>Walimex Pro 50mm 1.5 VDSLR für Canon EF-M schwarz</v>
      </c>
      <c r="B1824" t="str">
        <f>'(Raw) LensesGH'!B1824</f>
        <v>50mm</v>
      </c>
      <c r="C1824" s="5">
        <f t="shared" si="253"/>
        <v>50</v>
      </c>
      <c r="D1824" s="5">
        <f t="shared" si="254"/>
        <v>50</v>
      </c>
      <c r="E1824" t="str">
        <f>'(Raw) LensesGH'!C1824</f>
        <v>1:1.5</v>
      </c>
      <c r="F1824" s="9">
        <f t="shared" si="255"/>
        <v>1.5</v>
      </c>
      <c r="G1824" s="9">
        <f t="shared" si="256"/>
        <v>1.5</v>
      </c>
      <c r="H1824" t="str">
        <f>'(Raw) LensesGH'!D1824</f>
        <v>77mm</v>
      </c>
      <c r="I1824" s="2">
        <f t="shared" si="257"/>
        <v>77</v>
      </c>
      <c r="J1824" s="2">
        <f>'(Raw) LensesGH'!E1824</f>
        <v>0</v>
      </c>
      <c r="K1824" s="40">
        <f t="shared" si="258"/>
        <v>0</v>
      </c>
      <c r="L1824" t="str">
        <f>'(Raw) LensesGH'!F1824</f>
        <v>Canon EF-M</v>
      </c>
      <c r="M1824">
        <f>'(Raw) LensesGH'!G1824</f>
        <v>0</v>
      </c>
      <c r="N1824" t="str">
        <f>'(Raw) LensesGH'!H1824</f>
        <v>550g</v>
      </c>
      <c r="O1824" s="5">
        <f t="shared" si="259"/>
        <v>550</v>
      </c>
      <c r="P1824" t="str">
        <f>'(Raw) LensesGH'!I1824</f>
        <v>82 x 74.7mm</v>
      </c>
      <c r="Q1824" s="39">
        <f t="shared" si="260"/>
        <v>82</v>
      </c>
      <c r="R1824" s="39">
        <f t="shared" si="252"/>
        <v>74.7</v>
      </c>
    </row>
    <row r="1825" spans="1:18" x14ac:dyDescent="0.25">
      <c r="A1825" t="str">
        <f>'(Raw) LensesGH'!A1825</f>
        <v>Walimex Pro 50mm 1.5 VDSLR für Nikon F schwarz</v>
      </c>
      <c r="B1825" t="str">
        <f>'(Raw) LensesGH'!B1825</f>
        <v>50mm</v>
      </c>
      <c r="C1825" s="5">
        <f t="shared" si="253"/>
        <v>50</v>
      </c>
      <c r="D1825" s="5">
        <f t="shared" si="254"/>
        <v>50</v>
      </c>
      <c r="E1825" t="str">
        <f>'(Raw) LensesGH'!C1825</f>
        <v>1:1.5</v>
      </c>
      <c r="F1825" s="9">
        <f t="shared" si="255"/>
        <v>1.5</v>
      </c>
      <c r="G1825" s="9">
        <f t="shared" si="256"/>
        <v>1.5</v>
      </c>
      <c r="H1825" t="str">
        <f>'(Raw) LensesGH'!D1825</f>
        <v>77mm</v>
      </c>
      <c r="I1825" s="2">
        <f t="shared" si="257"/>
        <v>77</v>
      </c>
      <c r="J1825" s="2">
        <f>'(Raw) LensesGH'!E1825</f>
        <v>0</v>
      </c>
      <c r="K1825" s="40">
        <f t="shared" si="258"/>
        <v>0</v>
      </c>
      <c r="L1825" t="str">
        <f>'(Raw) LensesGH'!F1825</f>
        <v>Nikon F</v>
      </c>
      <c r="M1825" t="str">
        <f>'(Raw) LensesGH'!G1825</f>
        <v>APS-C/ Kleinbild</v>
      </c>
      <c r="N1825" t="str">
        <f>'(Raw) LensesGH'!H1825</f>
        <v>550g</v>
      </c>
      <c r="O1825" s="5">
        <f t="shared" si="259"/>
        <v>550</v>
      </c>
      <c r="P1825" t="str">
        <f>'(Raw) LensesGH'!I1825</f>
        <v>82 x 74.7mm</v>
      </c>
      <c r="Q1825" s="39">
        <f t="shared" si="260"/>
        <v>82</v>
      </c>
      <c r="R1825" s="39">
        <f t="shared" si="252"/>
        <v>74.7</v>
      </c>
    </row>
    <row r="1826" spans="1:18" x14ac:dyDescent="0.25">
      <c r="A1826" t="str">
        <f>'(Raw) LensesGH'!A1826</f>
        <v>Walimex Pro 50mm 1.5 VDSLR für Pentax K schwarz</v>
      </c>
      <c r="B1826" t="str">
        <f>'(Raw) LensesGH'!B1826</f>
        <v>50mm</v>
      </c>
      <c r="C1826" s="5">
        <f t="shared" si="253"/>
        <v>50</v>
      </c>
      <c r="D1826" s="5">
        <f t="shared" si="254"/>
        <v>50</v>
      </c>
      <c r="E1826" t="str">
        <f>'(Raw) LensesGH'!C1826</f>
        <v>1:1.5</v>
      </c>
      <c r="F1826" s="9">
        <f t="shared" si="255"/>
        <v>1.5</v>
      </c>
      <c r="G1826" s="9">
        <f t="shared" si="256"/>
        <v>1.5</v>
      </c>
      <c r="H1826" t="str">
        <f>'(Raw) LensesGH'!D1826</f>
        <v>77mm</v>
      </c>
      <c r="I1826" s="2">
        <f t="shared" si="257"/>
        <v>77</v>
      </c>
      <c r="J1826" s="2">
        <f>'(Raw) LensesGH'!E1826</f>
        <v>0</v>
      </c>
      <c r="K1826" s="40">
        <f t="shared" si="258"/>
        <v>0</v>
      </c>
      <c r="L1826" t="str">
        <f>'(Raw) LensesGH'!F1826</f>
        <v>Pentax K</v>
      </c>
      <c r="M1826" t="str">
        <f>'(Raw) LensesGH'!G1826</f>
        <v>APS-C</v>
      </c>
      <c r="N1826" t="str">
        <f>'(Raw) LensesGH'!H1826</f>
        <v>545g</v>
      </c>
      <c r="O1826" s="5">
        <f t="shared" si="259"/>
        <v>545</v>
      </c>
      <c r="P1826" t="str">
        <f>'(Raw) LensesGH'!I1826</f>
        <v>82 x 73.2mm</v>
      </c>
      <c r="Q1826" s="39">
        <f t="shared" si="260"/>
        <v>82</v>
      </c>
      <c r="R1826" s="39">
        <f t="shared" si="252"/>
        <v>73.2</v>
      </c>
    </row>
    <row r="1827" spans="1:18" x14ac:dyDescent="0.25">
      <c r="A1827" t="str">
        <f>'(Raw) LensesGH'!A1827</f>
        <v>Walimex Pro 50mm 1.5 VDSLR für Sony E schwarz</v>
      </c>
      <c r="B1827" t="str">
        <f>'(Raw) LensesGH'!B1827</f>
        <v>50mm</v>
      </c>
      <c r="C1827" s="5">
        <f t="shared" si="253"/>
        <v>50</v>
      </c>
      <c r="D1827" s="5">
        <f t="shared" si="254"/>
        <v>50</v>
      </c>
      <c r="E1827" t="str">
        <f>'(Raw) LensesGH'!C1827</f>
        <v>1:1.5</v>
      </c>
      <c r="F1827" s="9">
        <f t="shared" si="255"/>
        <v>1.5</v>
      </c>
      <c r="G1827" s="9">
        <f t="shared" si="256"/>
        <v>1.5</v>
      </c>
      <c r="H1827" t="str">
        <f>'(Raw) LensesGH'!D1827</f>
        <v>77mm</v>
      </c>
      <c r="I1827" s="2">
        <f t="shared" si="257"/>
        <v>77</v>
      </c>
      <c r="J1827" s="2">
        <f>'(Raw) LensesGH'!E1827</f>
        <v>0</v>
      </c>
      <c r="K1827" s="40">
        <f t="shared" si="258"/>
        <v>0</v>
      </c>
      <c r="L1827" t="str">
        <f>'(Raw) LensesGH'!F1827</f>
        <v>Sony E</v>
      </c>
      <c r="M1827" t="str">
        <f>'(Raw) LensesGH'!G1827</f>
        <v>APS-C/ Kleinbild</v>
      </c>
      <c r="N1827" t="str">
        <f>'(Raw) LensesGH'!H1827</f>
        <v>600g</v>
      </c>
      <c r="O1827" s="5">
        <f t="shared" si="259"/>
        <v>600</v>
      </c>
      <c r="P1827" t="str">
        <f>'(Raw) LensesGH'!I1827</f>
        <v>82 x 100.7mm</v>
      </c>
      <c r="Q1827" s="39">
        <f t="shared" si="260"/>
        <v>82</v>
      </c>
      <c r="R1827" s="39">
        <f t="shared" si="252"/>
        <v>100.7</v>
      </c>
    </row>
    <row r="1828" spans="1:18" x14ac:dyDescent="0.25">
      <c r="A1828" t="str">
        <f>'(Raw) LensesGH'!A1828</f>
        <v>Walimex Pro 650-1300mm 8.0-16.0 für Canon EF FD weiß</v>
      </c>
      <c r="B1828" t="str">
        <f>'(Raw) LensesGH'!B1828</f>
        <v>650 - 1300mm</v>
      </c>
      <c r="C1828" s="5">
        <f t="shared" si="253"/>
        <v>650</v>
      </c>
      <c r="D1828" s="5">
        <f t="shared" si="254"/>
        <v>1300</v>
      </c>
      <c r="E1828" t="str">
        <f>'(Raw) LensesGH'!C1828</f>
        <v>1:8.0-1:16.0</v>
      </c>
      <c r="F1828" s="9">
        <f t="shared" si="255"/>
        <v>8</v>
      </c>
      <c r="G1828" s="9">
        <f t="shared" si="256"/>
        <v>8</v>
      </c>
      <c r="H1828" t="str">
        <f>'(Raw) LensesGH'!D1828</f>
        <v>95mm</v>
      </c>
      <c r="I1828" s="2">
        <f t="shared" si="257"/>
        <v>95</v>
      </c>
      <c r="J1828" s="2">
        <f>'(Raw) LensesGH'!E1828</f>
        <v>0</v>
      </c>
      <c r="K1828" s="40">
        <f t="shared" si="258"/>
        <v>0</v>
      </c>
      <c r="L1828" t="str">
        <f>'(Raw) LensesGH'!F1828</f>
        <v>Canon EF</v>
      </c>
      <c r="M1828" t="str">
        <f>'(Raw) LensesGH'!G1828</f>
        <v>APS-C</v>
      </c>
      <c r="N1828" t="str">
        <f>'(Raw) LensesGH'!H1828</f>
        <v>2000g</v>
      </c>
      <c r="O1828" s="5">
        <f t="shared" si="259"/>
        <v>2000</v>
      </c>
      <c r="P1828" t="str">
        <f>'(Raw) LensesGH'!I1828</f>
        <v>105 x 463mm</v>
      </c>
      <c r="Q1828" s="39">
        <f t="shared" si="260"/>
        <v>105</v>
      </c>
      <c r="R1828" s="39">
        <f t="shared" si="252"/>
        <v>463</v>
      </c>
    </row>
    <row r="1829" spans="1:18" x14ac:dyDescent="0.25">
      <c r="A1829" t="str">
        <f>'(Raw) LensesGH'!A1829</f>
        <v>Walimex Pro 650-1300mm 8.0-16.0 für Canon EF weiß</v>
      </c>
      <c r="B1829" t="str">
        <f>'(Raw) LensesGH'!B1829</f>
        <v>650 - 1300mm</v>
      </c>
      <c r="C1829" s="5">
        <f t="shared" si="253"/>
        <v>650</v>
      </c>
      <c r="D1829" s="5">
        <f t="shared" si="254"/>
        <v>1300</v>
      </c>
      <c r="E1829" t="str">
        <f>'(Raw) LensesGH'!C1829</f>
        <v>1:8.0-1:16.0</v>
      </c>
      <c r="F1829" s="9">
        <f t="shared" si="255"/>
        <v>8</v>
      </c>
      <c r="G1829" s="9">
        <f t="shared" si="256"/>
        <v>8</v>
      </c>
      <c r="H1829" t="str">
        <f>'(Raw) LensesGH'!D1829</f>
        <v>95mm</v>
      </c>
      <c r="I1829" s="2">
        <f t="shared" si="257"/>
        <v>95</v>
      </c>
      <c r="J1829" s="2">
        <f>'(Raw) LensesGH'!E1829</f>
        <v>0</v>
      </c>
      <c r="K1829" s="40">
        <f t="shared" si="258"/>
        <v>0</v>
      </c>
      <c r="L1829" t="str">
        <f>'(Raw) LensesGH'!F1829</f>
        <v>Canon EF</v>
      </c>
      <c r="M1829" t="str">
        <f>'(Raw) LensesGH'!G1829</f>
        <v>APS-C</v>
      </c>
      <c r="N1829" t="str">
        <f>'(Raw) LensesGH'!H1829</f>
        <v>2000g</v>
      </c>
      <c r="O1829" s="5">
        <f t="shared" si="259"/>
        <v>2000</v>
      </c>
      <c r="P1829" t="str">
        <f>'(Raw) LensesGH'!I1829</f>
        <v>105 x 463mm</v>
      </c>
      <c r="Q1829" s="39">
        <f t="shared" si="260"/>
        <v>105</v>
      </c>
      <c r="R1829" s="39">
        <f t="shared" si="252"/>
        <v>463</v>
      </c>
    </row>
    <row r="1830" spans="1:18" x14ac:dyDescent="0.25">
      <c r="A1830" t="str">
        <f>'(Raw) LensesGH'!A1830</f>
        <v>Walimex Pro 650-1300mm 8.0-16.0 für Canon EF-M weiß</v>
      </c>
      <c r="B1830" t="str">
        <f>'(Raw) LensesGH'!B1830</f>
        <v>650 - 1300mm</v>
      </c>
      <c r="C1830" s="5">
        <f t="shared" si="253"/>
        <v>650</v>
      </c>
      <c r="D1830" s="5">
        <f t="shared" si="254"/>
        <v>1300</v>
      </c>
      <c r="E1830" t="str">
        <f>'(Raw) LensesGH'!C1830</f>
        <v>1:8.0-1:16.0</v>
      </c>
      <c r="F1830" s="9">
        <f t="shared" si="255"/>
        <v>8</v>
      </c>
      <c r="G1830" s="9">
        <f t="shared" si="256"/>
        <v>8</v>
      </c>
      <c r="H1830" t="str">
        <f>'(Raw) LensesGH'!D1830</f>
        <v>95mm</v>
      </c>
      <c r="I1830" s="2">
        <f t="shared" si="257"/>
        <v>95</v>
      </c>
      <c r="J1830" s="2">
        <f>'(Raw) LensesGH'!E1830</f>
        <v>0</v>
      </c>
      <c r="K1830" s="40">
        <f t="shared" si="258"/>
        <v>0</v>
      </c>
      <c r="L1830" t="str">
        <f>'(Raw) LensesGH'!F1830</f>
        <v>Canon EF-M</v>
      </c>
      <c r="M1830" t="str">
        <f>'(Raw) LensesGH'!G1830</f>
        <v>APS-C</v>
      </c>
      <c r="N1830" t="str">
        <f>'(Raw) LensesGH'!H1830</f>
        <v>2000g</v>
      </c>
      <c r="O1830" s="5">
        <f t="shared" si="259"/>
        <v>2000</v>
      </c>
      <c r="P1830" t="str">
        <f>'(Raw) LensesGH'!I1830</f>
        <v>105 x 463mm</v>
      </c>
      <c r="Q1830" s="39">
        <f t="shared" si="260"/>
        <v>105</v>
      </c>
      <c r="R1830" s="39">
        <f t="shared" si="252"/>
        <v>463</v>
      </c>
    </row>
    <row r="1831" spans="1:18" x14ac:dyDescent="0.25">
      <c r="A1831" t="str">
        <f>'(Raw) LensesGH'!A1831</f>
        <v>Walimex Pro 650-1300mm 8.0-16.0 für Konica Minolta MD weiß</v>
      </c>
      <c r="B1831" t="str">
        <f>'(Raw) LensesGH'!B1831</f>
        <v>650 - 1300mm</v>
      </c>
      <c r="C1831" s="5">
        <f t="shared" si="253"/>
        <v>650</v>
      </c>
      <c r="D1831" s="5">
        <f t="shared" si="254"/>
        <v>1300</v>
      </c>
      <c r="E1831" t="str">
        <f>'(Raw) LensesGH'!C1831</f>
        <v>1:8.0-1:16.0</v>
      </c>
      <c r="F1831" s="9">
        <f t="shared" si="255"/>
        <v>8</v>
      </c>
      <c r="G1831" s="9">
        <f t="shared" si="256"/>
        <v>8</v>
      </c>
      <c r="H1831" t="str">
        <f>'(Raw) LensesGH'!D1831</f>
        <v>95mm</v>
      </c>
      <c r="I1831" s="2">
        <f t="shared" si="257"/>
        <v>95</v>
      </c>
      <c r="J1831" s="2">
        <f>'(Raw) LensesGH'!E1831</f>
        <v>0</v>
      </c>
      <c r="K1831" s="40">
        <f t="shared" si="258"/>
        <v>0</v>
      </c>
      <c r="L1831">
        <f>'(Raw) LensesGH'!F1831</f>
        <v>0</v>
      </c>
      <c r="M1831" t="str">
        <f>'(Raw) LensesGH'!G1831</f>
        <v>APS-C</v>
      </c>
      <c r="N1831" t="str">
        <f>'(Raw) LensesGH'!H1831</f>
        <v>2000g</v>
      </c>
      <c r="O1831" s="5">
        <f t="shared" si="259"/>
        <v>2000</v>
      </c>
      <c r="P1831" t="str">
        <f>'(Raw) LensesGH'!I1831</f>
        <v>105 x 463mm</v>
      </c>
      <c r="Q1831" s="39">
        <f t="shared" si="260"/>
        <v>105</v>
      </c>
      <c r="R1831" s="39">
        <f t="shared" si="252"/>
        <v>463</v>
      </c>
    </row>
    <row r="1832" spans="1:18" x14ac:dyDescent="0.25">
      <c r="A1832" t="str">
        <f>'(Raw) LensesGH'!A1832</f>
        <v>Walimex Pro 650-1300mm 8.0-16.0 für Nikon F weiß</v>
      </c>
      <c r="B1832" t="str">
        <f>'(Raw) LensesGH'!B1832</f>
        <v>650 - 1300mm</v>
      </c>
      <c r="C1832" s="5">
        <f t="shared" si="253"/>
        <v>650</v>
      </c>
      <c r="D1832" s="5">
        <f t="shared" si="254"/>
        <v>1300</v>
      </c>
      <c r="E1832" t="str">
        <f>'(Raw) LensesGH'!C1832</f>
        <v>1:8.0-1:16.0</v>
      </c>
      <c r="F1832" s="9">
        <f t="shared" si="255"/>
        <v>8</v>
      </c>
      <c r="G1832" s="9">
        <f t="shared" si="256"/>
        <v>8</v>
      </c>
      <c r="H1832" t="str">
        <f>'(Raw) LensesGH'!D1832</f>
        <v>95mm</v>
      </c>
      <c r="I1832" s="2">
        <f t="shared" si="257"/>
        <v>95</v>
      </c>
      <c r="J1832" s="2">
        <f>'(Raw) LensesGH'!E1832</f>
        <v>0</v>
      </c>
      <c r="K1832" s="40">
        <f t="shared" si="258"/>
        <v>0</v>
      </c>
      <c r="L1832" t="str">
        <f>'(Raw) LensesGH'!F1832</f>
        <v>Nikon F</v>
      </c>
      <c r="M1832" t="str">
        <f>'(Raw) LensesGH'!G1832</f>
        <v>APS-C</v>
      </c>
      <c r="N1832" t="str">
        <f>'(Raw) LensesGH'!H1832</f>
        <v>2000g</v>
      </c>
      <c r="O1832" s="5">
        <f t="shared" si="259"/>
        <v>2000</v>
      </c>
      <c r="P1832" t="str">
        <f>'(Raw) LensesGH'!I1832</f>
        <v>105 x 463mm</v>
      </c>
      <c r="Q1832" s="39">
        <f t="shared" si="260"/>
        <v>105</v>
      </c>
      <c r="R1832" s="39">
        <f t="shared" si="252"/>
        <v>463</v>
      </c>
    </row>
    <row r="1833" spans="1:18" x14ac:dyDescent="0.25">
      <c r="A1833" t="str">
        <f>'(Raw) LensesGH'!A1833</f>
        <v>Walimex Pro 650-1300mm 8.0-16.0 für Sony A weiß</v>
      </c>
      <c r="B1833" t="str">
        <f>'(Raw) LensesGH'!B1833</f>
        <v>650 - 1300mm</v>
      </c>
      <c r="C1833" s="5">
        <f t="shared" si="253"/>
        <v>650</v>
      </c>
      <c r="D1833" s="5">
        <f t="shared" si="254"/>
        <v>1300</v>
      </c>
      <c r="E1833" t="str">
        <f>'(Raw) LensesGH'!C1833</f>
        <v>1:8.0-1:16.0</v>
      </c>
      <c r="F1833" s="9">
        <f t="shared" si="255"/>
        <v>8</v>
      </c>
      <c r="G1833" s="9">
        <f t="shared" si="256"/>
        <v>8</v>
      </c>
      <c r="H1833" t="str">
        <f>'(Raw) LensesGH'!D1833</f>
        <v>95mm</v>
      </c>
      <c r="I1833" s="2">
        <f t="shared" si="257"/>
        <v>95</v>
      </c>
      <c r="J1833" s="2">
        <f>'(Raw) LensesGH'!E1833</f>
        <v>0</v>
      </c>
      <c r="K1833" s="40">
        <f t="shared" si="258"/>
        <v>0</v>
      </c>
      <c r="L1833" t="str">
        <f>'(Raw) LensesGH'!F1833</f>
        <v>Sony A</v>
      </c>
      <c r="M1833" t="str">
        <f>'(Raw) LensesGH'!G1833</f>
        <v>APS-C</v>
      </c>
      <c r="N1833" t="str">
        <f>'(Raw) LensesGH'!H1833</f>
        <v>2000g</v>
      </c>
      <c r="O1833" s="5">
        <f t="shared" si="259"/>
        <v>2000</v>
      </c>
      <c r="P1833" t="str">
        <f>'(Raw) LensesGH'!I1833</f>
        <v>105 x 463mm</v>
      </c>
      <c r="Q1833" s="39">
        <f t="shared" si="260"/>
        <v>105</v>
      </c>
      <c r="R1833" s="39">
        <f t="shared" si="252"/>
        <v>463</v>
      </c>
    </row>
    <row r="1834" spans="1:18" x14ac:dyDescent="0.25">
      <c r="A1834" t="str">
        <f>'(Raw) LensesGH'!A1834</f>
        <v>Walimex Pro 650-1300mm 8.0-16.0 für Sony E weiß</v>
      </c>
      <c r="B1834" t="str">
        <f>'(Raw) LensesGH'!B1834</f>
        <v>650 - 1300mm</v>
      </c>
      <c r="C1834" s="5">
        <f t="shared" si="253"/>
        <v>650</v>
      </c>
      <c r="D1834" s="5">
        <f t="shared" si="254"/>
        <v>1300</v>
      </c>
      <c r="E1834" t="str">
        <f>'(Raw) LensesGH'!C1834</f>
        <v>1:8.0-1:16.0</v>
      </c>
      <c r="F1834" s="9">
        <f t="shared" si="255"/>
        <v>8</v>
      </c>
      <c r="G1834" s="9">
        <f t="shared" si="256"/>
        <v>8</v>
      </c>
      <c r="H1834" t="str">
        <f>'(Raw) LensesGH'!D1834</f>
        <v>95mm</v>
      </c>
      <c r="I1834" s="2">
        <f t="shared" si="257"/>
        <v>95</v>
      </c>
      <c r="J1834" s="2">
        <f>'(Raw) LensesGH'!E1834</f>
        <v>0</v>
      </c>
      <c r="K1834" s="40">
        <f t="shared" si="258"/>
        <v>0</v>
      </c>
      <c r="L1834" t="str">
        <f>'(Raw) LensesGH'!F1834</f>
        <v>Sony E</v>
      </c>
      <c r="M1834" t="str">
        <f>'(Raw) LensesGH'!G1834</f>
        <v>APS-C</v>
      </c>
      <c r="N1834" t="str">
        <f>'(Raw) LensesGH'!H1834</f>
        <v>2000g</v>
      </c>
      <c r="O1834" s="5">
        <f t="shared" si="259"/>
        <v>2000</v>
      </c>
      <c r="P1834" t="str">
        <f>'(Raw) LensesGH'!I1834</f>
        <v>105 x 463mm</v>
      </c>
      <c r="Q1834" s="39">
        <f t="shared" si="260"/>
        <v>105</v>
      </c>
      <c r="R1834" s="39">
        <f t="shared" si="252"/>
        <v>463</v>
      </c>
    </row>
    <row r="1835" spans="1:18" x14ac:dyDescent="0.25">
      <c r="A1835" t="str">
        <f>'(Raw) LensesGH'!A1835</f>
        <v>Walimex Pro 650-1300mm 8.0-16.0 inkl. Stativ für Canon EF weiß</v>
      </c>
      <c r="B1835" t="str">
        <f>'(Raw) LensesGH'!B1835</f>
        <v>650 - 1300mm</v>
      </c>
      <c r="C1835" s="5">
        <f t="shared" si="253"/>
        <v>650</v>
      </c>
      <c r="D1835" s="5">
        <f t="shared" si="254"/>
        <v>1300</v>
      </c>
      <c r="E1835" t="str">
        <f>'(Raw) LensesGH'!C1835</f>
        <v>1:8.0-1:16.0</v>
      </c>
      <c r="F1835" s="9">
        <f t="shared" si="255"/>
        <v>8</v>
      </c>
      <c r="G1835" s="9">
        <f t="shared" si="256"/>
        <v>8</v>
      </c>
      <c r="H1835" t="str">
        <f>'(Raw) LensesGH'!D1835</f>
        <v>95mm</v>
      </c>
      <c r="I1835" s="2">
        <f t="shared" si="257"/>
        <v>95</v>
      </c>
      <c r="J1835" s="2">
        <f>'(Raw) LensesGH'!E1835</f>
        <v>0</v>
      </c>
      <c r="K1835" s="40">
        <f t="shared" si="258"/>
        <v>0</v>
      </c>
      <c r="L1835" t="str">
        <f>'(Raw) LensesGH'!F1835</f>
        <v>Canon EF</v>
      </c>
      <c r="M1835" t="str">
        <f>'(Raw) LensesGH'!G1835</f>
        <v>APS-C</v>
      </c>
      <c r="N1835" t="str">
        <f>'(Raw) LensesGH'!H1835</f>
        <v>2000g</v>
      </c>
      <c r="O1835" s="5">
        <f t="shared" si="259"/>
        <v>2000</v>
      </c>
      <c r="P1835" t="str">
        <f>'(Raw) LensesGH'!I1835</f>
        <v>105 x 463mm</v>
      </c>
      <c r="Q1835" s="39">
        <f t="shared" si="260"/>
        <v>105</v>
      </c>
      <c r="R1835" s="39">
        <f t="shared" si="252"/>
        <v>463</v>
      </c>
    </row>
    <row r="1836" spans="1:18" x14ac:dyDescent="0.25">
      <c r="A1836" t="str">
        <f>'(Raw) LensesGH'!A1836</f>
        <v>Walimex Pro 650-1300mm 8.0-16.0 weiß</v>
      </c>
      <c r="B1836" t="str">
        <f>'(Raw) LensesGH'!B1836</f>
        <v>650 - 1300mm</v>
      </c>
      <c r="C1836" s="5">
        <f t="shared" si="253"/>
        <v>650</v>
      </c>
      <c r="D1836" s="5">
        <f t="shared" si="254"/>
        <v>1300</v>
      </c>
      <c r="E1836" t="str">
        <f>'(Raw) LensesGH'!C1836</f>
        <v>1:8.0-16.0</v>
      </c>
      <c r="F1836" s="9">
        <f t="shared" si="255"/>
        <v>8</v>
      </c>
      <c r="G1836" s="9">
        <f t="shared" si="256"/>
        <v>8</v>
      </c>
      <c r="H1836">
        <f>'(Raw) LensesGH'!D1836</f>
        <v>0</v>
      </c>
      <c r="I1836" s="2">
        <f t="shared" si="257"/>
        <v>0</v>
      </c>
      <c r="J1836" s="2">
        <f>'(Raw) LensesGH'!E1836</f>
        <v>0</v>
      </c>
      <c r="K1836" s="40">
        <f t="shared" si="258"/>
        <v>0</v>
      </c>
      <c r="L1836">
        <f>'(Raw) LensesGH'!F1836</f>
        <v>0</v>
      </c>
      <c r="M1836" t="str">
        <f>'(Raw) LensesGH'!G1836</f>
        <v>APS-C/ Kleinbild</v>
      </c>
      <c r="N1836">
        <f>'(Raw) LensesGH'!H1836</f>
        <v>0</v>
      </c>
      <c r="O1836" s="5">
        <f t="shared" si="259"/>
        <v>0</v>
      </c>
      <c r="P1836">
        <f>'(Raw) LensesGH'!I1836</f>
        <v>0</v>
      </c>
      <c r="Q1836" s="39">
        <f t="shared" si="260"/>
        <v>0</v>
      </c>
      <c r="R1836" s="39">
        <f t="shared" si="252"/>
        <v>0</v>
      </c>
    </row>
    <row r="1837" spans="1:18" x14ac:dyDescent="0.25">
      <c r="A1837" t="str">
        <f>'(Raw) LensesGH'!A1837</f>
        <v>Walimex Pro 7.5mm 3.5 Fisheye für Micro-Four-Thirds schwarz</v>
      </c>
      <c r="B1837" t="str">
        <f>'(Raw) LensesGH'!B1837</f>
        <v>7.5mm</v>
      </c>
      <c r="C1837" s="5">
        <f t="shared" si="253"/>
        <v>7.5</v>
      </c>
      <c r="D1837" s="5">
        <f t="shared" si="254"/>
        <v>7.5</v>
      </c>
      <c r="E1837" t="str">
        <f>'(Raw) LensesGH'!C1837</f>
        <v>1:3.5</v>
      </c>
      <c r="F1837" s="9">
        <f t="shared" si="255"/>
        <v>3.5</v>
      </c>
      <c r="G1837" s="9">
        <f t="shared" si="256"/>
        <v>3.5</v>
      </c>
      <c r="H1837">
        <f>'(Raw) LensesGH'!D1837</f>
        <v>0</v>
      </c>
      <c r="I1837" s="2">
        <f t="shared" si="257"/>
        <v>0</v>
      </c>
      <c r="J1837" s="2">
        <f>'(Raw) LensesGH'!E1837</f>
        <v>0</v>
      </c>
      <c r="K1837" s="40">
        <f t="shared" si="258"/>
        <v>0</v>
      </c>
      <c r="L1837" t="str">
        <f>'(Raw) LensesGH'!F1837</f>
        <v>Micro-Four-Thirds</v>
      </c>
      <c r="M1837" t="str">
        <f>'(Raw) LensesGH'!G1837</f>
        <v>Four-Thirds</v>
      </c>
      <c r="N1837" t="str">
        <f>'(Raw) LensesGH'!H1837</f>
        <v>170g</v>
      </c>
      <c r="O1837" s="5">
        <f t="shared" si="259"/>
        <v>170</v>
      </c>
      <c r="P1837" t="str">
        <f>'(Raw) LensesGH'!I1837</f>
        <v>60 x 50mm</v>
      </c>
      <c r="Q1837" s="39">
        <f t="shared" si="260"/>
        <v>60</v>
      </c>
      <c r="R1837" s="39">
        <f t="shared" si="252"/>
        <v>50</v>
      </c>
    </row>
    <row r="1838" spans="1:18" x14ac:dyDescent="0.25">
      <c r="A1838" t="str">
        <f>'(Raw) LensesGH'!A1838</f>
        <v>Walimex Pro 7.5mm 3.5 Fisheye für Micro-Four-Thirds silber</v>
      </c>
      <c r="B1838" t="str">
        <f>'(Raw) LensesGH'!B1838</f>
        <v>7.5mm</v>
      </c>
      <c r="C1838" s="5">
        <f t="shared" si="253"/>
        <v>7.5</v>
      </c>
      <c r="D1838" s="5">
        <f t="shared" si="254"/>
        <v>7.5</v>
      </c>
      <c r="E1838" t="str">
        <f>'(Raw) LensesGH'!C1838</f>
        <v>1:3.5</v>
      </c>
      <c r="F1838" s="9">
        <f t="shared" si="255"/>
        <v>3.5</v>
      </c>
      <c r="G1838" s="9">
        <f t="shared" si="256"/>
        <v>3.5</v>
      </c>
      <c r="H1838">
        <f>'(Raw) LensesGH'!D1838</f>
        <v>0</v>
      </c>
      <c r="I1838" s="2">
        <f t="shared" si="257"/>
        <v>0</v>
      </c>
      <c r="J1838" s="2">
        <f>'(Raw) LensesGH'!E1838</f>
        <v>0</v>
      </c>
      <c r="K1838" s="40">
        <f t="shared" si="258"/>
        <v>0</v>
      </c>
      <c r="L1838" t="str">
        <f>'(Raw) LensesGH'!F1838</f>
        <v>Micro-Four-Thirds</v>
      </c>
      <c r="M1838" t="str">
        <f>'(Raw) LensesGH'!G1838</f>
        <v>Four-Thirds</v>
      </c>
      <c r="N1838" t="str">
        <f>'(Raw) LensesGH'!H1838</f>
        <v>170g</v>
      </c>
      <c r="O1838" s="5">
        <f t="shared" si="259"/>
        <v>170</v>
      </c>
      <c r="P1838" t="str">
        <f>'(Raw) LensesGH'!I1838</f>
        <v>60 x 50mm</v>
      </c>
      <c r="Q1838" s="39">
        <f t="shared" si="260"/>
        <v>60</v>
      </c>
      <c r="R1838" s="39">
        <f t="shared" si="252"/>
        <v>50</v>
      </c>
    </row>
    <row r="1839" spans="1:18" x14ac:dyDescent="0.25">
      <c r="A1839" t="str">
        <f>'(Raw) LensesGH'!A1839</f>
        <v>Walimex Pro 800mm 8.0 für Canon EF weiß</v>
      </c>
      <c r="B1839" t="str">
        <f>'(Raw) LensesGH'!B1839</f>
        <v>800mm</v>
      </c>
      <c r="C1839" s="5">
        <f t="shared" si="253"/>
        <v>800</v>
      </c>
      <c r="D1839" s="5">
        <f t="shared" si="254"/>
        <v>800</v>
      </c>
      <c r="E1839" t="str">
        <f>'(Raw) LensesGH'!C1839</f>
        <v>1:8.0</v>
      </c>
      <c r="F1839" s="9">
        <f t="shared" si="255"/>
        <v>8</v>
      </c>
      <c r="G1839" s="9">
        <f t="shared" si="256"/>
        <v>8</v>
      </c>
      <c r="H1839" t="str">
        <f>'(Raw) LensesGH'!D1839</f>
        <v>35mm</v>
      </c>
      <c r="I1839" s="2">
        <f t="shared" si="257"/>
        <v>35</v>
      </c>
      <c r="J1839" s="2">
        <f>'(Raw) LensesGH'!E1839</f>
        <v>0</v>
      </c>
      <c r="K1839" s="40">
        <f t="shared" si="258"/>
        <v>0</v>
      </c>
      <c r="L1839" t="str">
        <f>'(Raw) LensesGH'!F1839</f>
        <v>Canon EF</v>
      </c>
      <c r="M1839" t="str">
        <f>'(Raw) LensesGH'!G1839</f>
        <v>APS-C/ Kleinbild</v>
      </c>
      <c r="N1839" t="str">
        <f>'(Raw) LensesGH'!H1839</f>
        <v>946g</v>
      </c>
      <c r="O1839" s="5">
        <f t="shared" si="259"/>
        <v>946</v>
      </c>
      <c r="P1839" t="str">
        <f>'(Raw) LensesGH'!I1839</f>
        <v>111 x 113mm</v>
      </c>
      <c r="Q1839" s="39">
        <f t="shared" si="260"/>
        <v>111</v>
      </c>
      <c r="R1839" s="39">
        <f t="shared" si="252"/>
        <v>113</v>
      </c>
    </row>
    <row r="1840" spans="1:18" x14ac:dyDescent="0.25">
      <c r="A1840" t="str">
        <f>'(Raw) LensesGH'!A1840</f>
        <v>Walimex Pro 800mm 8.0 für Canon EF-M weiß</v>
      </c>
      <c r="B1840" t="str">
        <f>'(Raw) LensesGH'!B1840</f>
        <v>800mm</v>
      </c>
      <c r="C1840" s="5">
        <f t="shared" si="253"/>
        <v>800</v>
      </c>
      <c r="D1840" s="5">
        <f t="shared" si="254"/>
        <v>800</v>
      </c>
      <c r="E1840" t="str">
        <f>'(Raw) LensesGH'!C1840</f>
        <v>1:8.0</v>
      </c>
      <c r="F1840" s="9">
        <f t="shared" si="255"/>
        <v>8</v>
      </c>
      <c r="G1840" s="9">
        <f t="shared" si="256"/>
        <v>8</v>
      </c>
      <c r="H1840" t="str">
        <f>'(Raw) LensesGH'!D1840</f>
        <v>35mm</v>
      </c>
      <c r="I1840" s="2">
        <f t="shared" si="257"/>
        <v>35</v>
      </c>
      <c r="J1840" s="2">
        <f>'(Raw) LensesGH'!E1840</f>
        <v>0</v>
      </c>
      <c r="K1840" s="40">
        <f t="shared" si="258"/>
        <v>0</v>
      </c>
      <c r="L1840" t="str">
        <f>'(Raw) LensesGH'!F1840</f>
        <v>Canon EF-M</v>
      </c>
      <c r="M1840" t="str">
        <f>'(Raw) LensesGH'!G1840</f>
        <v>APS-C</v>
      </c>
      <c r="N1840" t="str">
        <f>'(Raw) LensesGH'!H1840</f>
        <v>877g</v>
      </c>
      <c r="O1840" s="5">
        <f t="shared" si="259"/>
        <v>877</v>
      </c>
      <c r="P1840" t="str">
        <f>'(Raw) LensesGH'!I1840</f>
        <v>111 x 113mm</v>
      </c>
      <c r="Q1840" s="39">
        <f t="shared" si="260"/>
        <v>111</v>
      </c>
      <c r="R1840" s="39">
        <f t="shared" si="252"/>
        <v>113</v>
      </c>
    </row>
    <row r="1841" spans="1:18" x14ac:dyDescent="0.25">
      <c r="A1841" t="str">
        <f>'(Raw) LensesGH'!A1841</f>
        <v>Walimex Pro 800mm 8.0 für Four-Thirds weiß</v>
      </c>
      <c r="B1841" t="str">
        <f>'(Raw) LensesGH'!B1841</f>
        <v>800mm</v>
      </c>
      <c r="C1841" s="5">
        <f t="shared" si="253"/>
        <v>800</v>
      </c>
      <c r="D1841" s="5">
        <f t="shared" si="254"/>
        <v>800</v>
      </c>
      <c r="E1841" t="str">
        <f>'(Raw) LensesGH'!C1841</f>
        <v>1:8.0</v>
      </c>
      <c r="F1841" s="9">
        <f t="shared" si="255"/>
        <v>8</v>
      </c>
      <c r="G1841" s="9">
        <f t="shared" si="256"/>
        <v>8</v>
      </c>
      <c r="H1841" t="str">
        <f>'(Raw) LensesGH'!D1841</f>
        <v>35mm</v>
      </c>
      <c r="I1841" s="2">
        <f t="shared" si="257"/>
        <v>35</v>
      </c>
      <c r="J1841" s="2">
        <f>'(Raw) LensesGH'!E1841</f>
        <v>0</v>
      </c>
      <c r="K1841" s="40">
        <f t="shared" si="258"/>
        <v>0</v>
      </c>
      <c r="L1841" t="str">
        <f>'(Raw) LensesGH'!F1841</f>
        <v>Four-Thirds</v>
      </c>
      <c r="M1841" t="str">
        <f>'(Raw) LensesGH'!G1841</f>
        <v>Four-Thirds</v>
      </c>
      <c r="N1841" t="str">
        <f>'(Raw) LensesGH'!H1841</f>
        <v>946g</v>
      </c>
      <c r="O1841" s="5">
        <f t="shared" si="259"/>
        <v>946</v>
      </c>
      <c r="P1841" t="str">
        <f>'(Raw) LensesGH'!I1841</f>
        <v>111 x 113mm</v>
      </c>
      <c r="Q1841" s="39">
        <f t="shared" si="260"/>
        <v>111</v>
      </c>
      <c r="R1841" s="39">
        <f t="shared" si="252"/>
        <v>113</v>
      </c>
    </row>
    <row r="1842" spans="1:18" x14ac:dyDescent="0.25">
      <c r="A1842" t="str">
        <f>'(Raw) LensesGH'!A1842</f>
        <v>Walimex Pro 800mm 8.0 für Fujifilm X weiß</v>
      </c>
      <c r="B1842" t="str">
        <f>'(Raw) LensesGH'!B1842</f>
        <v>800mm</v>
      </c>
      <c r="C1842" s="5">
        <f t="shared" si="253"/>
        <v>800</v>
      </c>
      <c r="D1842" s="5">
        <f t="shared" si="254"/>
        <v>800</v>
      </c>
      <c r="E1842" t="str">
        <f>'(Raw) LensesGH'!C1842</f>
        <v>1:8.0</v>
      </c>
      <c r="F1842" s="9">
        <f t="shared" si="255"/>
        <v>8</v>
      </c>
      <c r="G1842" s="9">
        <f t="shared" si="256"/>
        <v>8</v>
      </c>
      <c r="H1842" t="str">
        <f>'(Raw) LensesGH'!D1842</f>
        <v>35mm</v>
      </c>
      <c r="I1842" s="2">
        <f t="shared" si="257"/>
        <v>35</v>
      </c>
      <c r="J1842" s="2">
        <f>'(Raw) LensesGH'!E1842</f>
        <v>0</v>
      </c>
      <c r="K1842" s="40">
        <f t="shared" si="258"/>
        <v>0</v>
      </c>
      <c r="L1842" t="str">
        <f>'(Raw) LensesGH'!F1842</f>
        <v>Fujifilm X</v>
      </c>
      <c r="M1842" t="str">
        <f>'(Raw) LensesGH'!G1842</f>
        <v>APS-C/ Kleinbild</v>
      </c>
      <c r="N1842" t="str">
        <f>'(Raw) LensesGH'!H1842</f>
        <v>946g</v>
      </c>
      <c r="O1842" s="5">
        <f t="shared" si="259"/>
        <v>946</v>
      </c>
      <c r="P1842" t="str">
        <f>'(Raw) LensesGH'!I1842</f>
        <v>111 x 113mm</v>
      </c>
      <c r="Q1842" s="39">
        <f t="shared" si="260"/>
        <v>111</v>
      </c>
      <c r="R1842" s="39">
        <f t="shared" si="252"/>
        <v>113</v>
      </c>
    </row>
    <row r="1843" spans="1:18" x14ac:dyDescent="0.25">
      <c r="A1843" t="str">
        <f>'(Raw) LensesGH'!A1843</f>
        <v>Walimex Pro 800mm 8.0 für Micro-Four-Thirds weiß</v>
      </c>
      <c r="B1843" t="str">
        <f>'(Raw) LensesGH'!B1843</f>
        <v>800mm</v>
      </c>
      <c r="C1843" s="5">
        <f t="shared" si="253"/>
        <v>800</v>
      </c>
      <c r="D1843" s="5">
        <f t="shared" si="254"/>
        <v>800</v>
      </c>
      <c r="E1843" t="str">
        <f>'(Raw) LensesGH'!C1843</f>
        <v>1:8.0</v>
      </c>
      <c r="F1843" s="9">
        <f t="shared" si="255"/>
        <v>8</v>
      </c>
      <c r="G1843" s="9">
        <f t="shared" si="256"/>
        <v>8</v>
      </c>
      <c r="H1843" t="str">
        <f>'(Raw) LensesGH'!D1843</f>
        <v>35mm</v>
      </c>
      <c r="I1843" s="2">
        <f t="shared" si="257"/>
        <v>35</v>
      </c>
      <c r="J1843" s="2">
        <f>'(Raw) LensesGH'!E1843</f>
        <v>0</v>
      </c>
      <c r="K1843" s="40">
        <f t="shared" si="258"/>
        <v>0</v>
      </c>
      <c r="L1843" t="str">
        <f>'(Raw) LensesGH'!F1843</f>
        <v>Micro-Four-Thirds</v>
      </c>
      <c r="M1843" t="str">
        <f>'(Raw) LensesGH'!G1843</f>
        <v>Four-Thirds</v>
      </c>
      <c r="N1843" t="str">
        <f>'(Raw) LensesGH'!H1843</f>
        <v>946g</v>
      </c>
      <c r="O1843" s="5">
        <f t="shared" si="259"/>
        <v>946</v>
      </c>
      <c r="P1843" t="str">
        <f>'(Raw) LensesGH'!I1843</f>
        <v>111 x 113mm</v>
      </c>
      <c r="Q1843" s="39">
        <f t="shared" si="260"/>
        <v>111</v>
      </c>
      <c r="R1843" s="39">
        <f t="shared" si="252"/>
        <v>113</v>
      </c>
    </row>
    <row r="1844" spans="1:18" x14ac:dyDescent="0.25">
      <c r="A1844" t="str">
        <f>'(Raw) LensesGH'!A1844</f>
        <v>Walimex Pro 800mm 8.0 für Nikon F weiß</v>
      </c>
      <c r="B1844" t="str">
        <f>'(Raw) LensesGH'!B1844</f>
        <v>800mm</v>
      </c>
      <c r="C1844" s="5">
        <f t="shared" si="253"/>
        <v>800</v>
      </c>
      <c r="D1844" s="5">
        <f t="shared" si="254"/>
        <v>800</v>
      </c>
      <c r="E1844" t="str">
        <f>'(Raw) LensesGH'!C1844</f>
        <v>1:8.0</v>
      </c>
      <c r="F1844" s="9">
        <f t="shared" si="255"/>
        <v>8</v>
      </c>
      <c r="G1844" s="9">
        <f t="shared" si="256"/>
        <v>8</v>
      </c>
      <c r="H1844" t="str">
        <f>'(Raw) LensesGH'!D1844</f>
        <v>35mm</v>
      </c>
      <c r="I1844" s="2">
        <f t="shared" si="257"/>
        <v>35</v>
      </c>
      <c r="J1844" s="2">
        <f>'(Raw) LensesGH'!E1844</f>
        <v>0</v>
      </c>
      <c r="K1844" s="40">
        <f t="shared" si="258"/>
        <v>0</v>
      </c>
      <c r="L1844" t="str">
        <f>'(Raw) LensesGH'!F1844</f>
        <v>Nikon F</v>
      </c>
      <c r="M1844" t="str">
        <f>'(Raw) LensesGH'!G1844</f>
        <v>APS-C/ Kleinbild</v>
      </c>
      <c r="N1844" t="str">
        <f>'(Raw) LensesGH'!H1844</f>
        <v>946g</v>
      </c>
      <c r="O1844" s="5">
        <f t="shared" si="259"/>
        <v>946</v>
      </c>
      <c r="P1844" t="str">
        <f>'(Raw) LensesGH'!I1844</f>
        <v>111 x 113mm</v>
      </c>
      <c r="Q1844" s="39">
        <f t="shared" si="260"/>
        <v>111</v>
      </c>
      <c r="R1844" s="39">
        <f t="shared" si="252"/>
        <v>113</v>
      </c>
    </row>
    <row r="1845" spans="1:18" x14ac:dyDescent="0.25">
      <c r="A1845" t="str">
        <f>'(Raw) LensesGH'!A1845</f>
        <v>Walimex Pro 800mm 8.0 für Pentax K weiß</v>
      </c>
      <c r="B1845" t="str">
        <f>'(Raw) LensesGH'!B1845</f>
        <v>800mm</v>
      </c>
      <c r="C1845" s="5">
        <f t="shared" si="253"/>
        <v>800</v>
      </c>
      <c r="D1845" s="5">
        <f t="shared" si="254"/>
        <v>800</v>
      </c>
      <c r="E1845" t="str">
        <f>'(Raw) LensesGH'!C1845</f>
        <v>1:8.0</v>
      </c>
      <c r="F1845" s="9">
        <f t="shared" si="255"/>
        <v>8</v>
      </c>
      <c r="G1845" s="9">
        <f t="shared" si="256"/>
        <v>8</v>
      </c>
      <c r="H1845" t="str">
        <f>'(Raw) LensesGH'!D1845</f>
        <v>35mm</v>
      </c>
      <c r="I1845" s="2">
        <f t="shared" si="257"/>
        <v>35</v>
      </c>
      <c r="J1845" s="2">
        <f>'(Raw) LensesGH'!E1845</f>
        <v>0</v>
      </c>
      <c r="K1845" s="40">
        <f t="shared" si="258"/>
        <v>0</v>
      </c>
      <c r="L1845" t="str">
        <f>'(Raw) LensesGH'!F1845</f>
        <v>Pentax K</v>
      </c>
      <c r="M1845" t="str">
        <f>'(Raw) LensesGH'!G1845</f>
        <v>APS-C/ Kleinbild</v>
      </c>
      <c r="N1845" t="str">
        <f>'(Raw) LensesGH'!H1845</f>
        <v>946g</v>
      </c>
      <c r="O1845" s="5">
        <f t="shared" si="259"/>
        <v>946</v>
      </c>
      <c r="P1845" t="str">
        <f>'(Raw) LensesGH'!I1845</f>
        <v>111 x 113mm</v>
      </c>
      <c r="Q1845" s="39">
        <f t="shared" si="260"/>
        <v>111</v>
      </c>
      <c r="R1845" s="39">
        <f t="shared" si="252"/>
        <v>113</v>
      </c>
    </row>
    <row r="1846" spans="1:18" x14ac:dyDescent="0.25">
      <c r="A1846" t="str">
        <f>'(Raw) LensesGH'!A1846</f>
        <v>Walimex Pro 800mm 8.0 für Pentax Q weiß</v>
      </c>
      <c r="B1846" t="str">
        <f>'(Raw) LensesGH'!B1846</f>
        <v>800mm</v>
      </c>
      <c r="C1846" s="5">
        <f t="shared" si="253"/>
        <v>800</v>
      </c>
      <c r="D1846" s="5">
        <f t="shared" si="254"/>
        <v>800</v>
      </c>
      <c r="E1846" t="str">
        <f>'(Raw) LensesGH'!C1846</f>
        <v>1:8.0</v>
      </c>
      <c r="F1846" s="9">
        <f t="shared" si="255"/>
        <v>8</v>
      </c>
      <c r="G1846" s="9">
        <f t="shared" si="256"/>
        <v>8</v>
      </c>
      <c r="H1846" t="str">
        <f>'(Raw) LensesGH'!D1846</f>
        <v>35mm</v>
      </c>
      <c r="I1846" s="2">
        <f t="shared" si="257"/>
        <v>35</v>
      </c>
      <c r="J1846" s="2">
        <f>'(Raw) LensesGH'!E1846</f>
        <v>0</v>
      </c>
      <c r="K1846" s="40">
        <f t="shared" si="258"/>
        <v>0</v>
      </c>
      <c r="L1846" t="str">
        <f>'(Raw) LensesGH'!F1846</f>
        <v>Pentax Q</v>
      </c>
      <c r="M1846" t="str">
        <f>'(Raw) LensesGH'!G1846</f>
        <v>Pentax Q</v>
      </c>
      <c r="N1846" t="str">
        <f>'(Raw) LensesGH'!H1846</f>
        <v>946g</v>
      </c>
      <c r="O1846" s="5">
        <f t="shared" si="259"/>
        <v>946</v>
      </c>
      <c r="P1846" t="str">
        <f>'(Raw) LensesGH'!I1846</f>
        <v>111 x 113mm</v>
      </c>
      <c r="Q1846" s="39">
        <f t="shared" si="260"/>
        <v>111</v>
      </c>
      <c r="R1846" s="39">
        <f t="shared" si="252"/>
        <v>113</v>
      </c>
    </row>
    <row r="1847" spans="1:18" x14ac:dyDescent="0.25">
      <c r="A1847" t="str">
        <f>'(Raw) LensesGH'!A1847</f>
        <v>Walimex Pro 800mm 8.0 für Samsung NX weiß</v>
      </c>
      <c r="B1847" t="str">
        <f>'(Raw) LensesGH'!B1847</f>
        <v>800mm</v>
      </c>
      <c r="C1847" s="5">
        <f t="shared" si="253"/>
        <v>800</v>
      </c>
      <c r="D1847" s="5">
        <f t="shared" si="254"/>
        <v>800</v>
      </c>
      <c r="E1847" t="str">
        <f>'(Raw) LensesGH'!C1847</f>
        <v>1:8.0</v>
      </c>
      <c r="F1847" s="9">
        <f t="shared" si="255"/>
        <v>8</v>
      </c>
      <c r="G1847" s="9">
        <f t="shared" si="256"/>
        <v>8</v>
      </c>
      <c r="H1847" t="str">
        <f>'(Raw) LensesGH'!D1847</f>
        <v>35mm</v>
      </c>
      <c r="I1847" s="2">
        <f t="shared" si="257"/>
        <v>35</v>
      </c>
      <c r="J1847" s="2">
        <f>'(Raw) LensesGH'!E1847</f>
        <v>0</v>
      </c>
      <c r="K1847" s="40">
        <f t="shared" si="258"/>
        <v>0</v>
      </c>
      <c r="L1847" t="str">
        <f>'(Raw) LensesGH'!F1847</f>
        <v>Samsung NX</v>
      </c>
      <c r="M1847" t="str">
        <f>'(Raw) LensesGH'!G1847</f>
        <v>APS-C</v>
      </c>
      <c r="N1847" t="str">
        <f>'(Raw) LensesGH'!H1847</f>
        <v>946g</v>
      </c>
      <c r="O1847" s="5">
        <f t="shared" si="259"/>
        <v>946</v>
      </c>
      <c r="P1847" t="str">
        <f>'(Raw) LensesGH'!I1847</f>
        <v>111 x 113mm</v>
      </c>
      <c r="Q1847" s="39">
        <f t="shared" si="260"/>
        <v>111</v>
      </c>
      <c r="R1847" s="39">
        <f t="shared" si="252"/>
        <v>113</v>
      </c>
    </row>
    <row r="1848" spans="1:18" x14ac:dyDescent="0.25">
      <c r="A1848" t="str">
        <f>'(Raw) LensesGH'!A1848</f>
        <v>Walimex Pro 800mm 8.0 für Sony A weiß</v>
      </c>
      <c r="B1848" t="str">
        <f>'(Raw) LensesGH'!B1848</f>
        <v>800mm</v>
      </c>
      <c r="C1848" s="5">
        <f t="shared" si="253"/>
        <v>800</v>
      </c>
      <c r="D1848" s="5">
        <f t="shared" si="254"/>
        <v>800</v>
      </c>
      <c r="E1848" t="str">
        <f>'(Raw) LensesGH'!C1848</f>
        <v>1:8.0</v>
      </c>
      <c r="F1848" s="9">
        <f t="shared" si="255"/>
        <v>8</v>
      </c>
      <c r="G1848" s="9">
        <f t="shared" si="256"/>
        <v>8</v>
      </c>
      <c r="H1848" t="str">
        <f>'(Raw) LensesGH'!D1848</f>
        <v>35mm</v>
      </c>
      <c r="I1848" s="2">
        <f t="shared" si="257"/>
        <v>35</v>
      </c>
      <c r="J1848" s="2">
        <f>'(Raw) LensesGH'!E1848</f>
        <v>0</v>
      </c>
      <c r="K1848" s="40">
        <f t="shared" si="258"/>
        <v>0</v>
      </c>
      <c r="L1848" t="str">
        <f>'(Raw) LensesGH'!F1848</f>
        <v>Sony A</v>
      </c>
      <c r="M1848" t="str">
        <f>'(Raw) LensesGH'!G1848</f>
        <v>APS-C</v>
      </c>
      <c r="N1848" t="str">
        <f>'(Raw) LensesGH'!H1848</f>
        <v>946g</v>
      </c>
      <c r="O1848" s="5">
        <f t="shared" si="259"/>
        <v>946</v>
      </c>
      <c r="P1848" t="str">
        <f>'(Raw) LensesGH'!I1848</f>
        <v>111 x 113mm</v>
      </c>
      <c r="Q1848" s="39">
        <f t="shared" si="260"/>
        <v>111</v>
      </c>
      <c r="R1848" s="39">
        <f t="shared" si="252"/>
        <v>113</v>
      </c>
    </row>
    <row r="1849" spans="1:18" x14ac:dyDescent="0.25">
      <c r="A1849" t="str">
        <f>'(Raw) LensesGH'!A1849</f>
        <v>Walimex Pro 800mm 8.0 für Sony E weiß</v>
      </c>
      <c r="B1849" t="str">
        <f>'(Raw) LensesGH'!B1849</f>
        <v>800mm</v>
      </c>
      <c r="C1849" s="5">
        <f t="shared" si="253"/>
        <v>800</v>
      </c>
      <c r="D1849" s="5">
        <f t="shared" si="254"/>
        <v>800</v>
      </c>
      <c r="E1849" t="str">
        <f>'(Raw) LensesGH'!C1849</f>
        <v>1:8.0</v>
      </c>
      <c r="F1849" s="9">
        <f t="shared" si="255"/>
        <v>8</v>
      </c>
      <c r="G1849" s="9">
        <f t="shared" si="256"/>
        <v>8</v>
      </c>
      <c r="H1849" t="str">
        <f>'(Raw) LensesGH'!D1849</f>
        <v>35mm</v>
      </c>
      <c r="I1849" s="2">
        <f t="shared" si="257"/>
        <v>35</v>
      </c>
      <c r="J1849" s="2">
        <f>'(Raw) LensesGH'!E1849</f>
        <v>0</v>
      </c>
      <c r="K1849" s="40">
        <f t="shared" si="258"/>
        <v>0</v>
      </c>
      <c r="L1849" t="str">
        <f>'(Raw) LensesGH'!F1849</f>
        <v>Sony E</v>
      </c>
      <c r="M1849" t="str">
        <f>'(Raw) LensesGH'!G1849</f>
        <v>APS-C</v>
      </c>
      <c r="N1849" t="str">
        <f>'(Raw) LensesGH'!H1849</f>
        <v>946g</v>
      </c>
      <c r="O1849" s="5">
        <f t="shared" si="259"/>
        <v>946</v>
      </c>
      <c r="P1849" t="str">
        <f>'(Raw) LensesGH'!I1849</f>
        <v>111 x 113mm</v>
      </c>
      <c r="Q1849" s="39">
        <f t="shared" si="260"/>
        <v>111</v>
      </c>
      <c r="R1849" s="39">
        <f t="shared" si="252"/>
        <v>113</v>
      </c>
    </row>
    <row r="1850" spans="1:18" x14ac:dyDescent="0.25">
      <c r="A1850" t="str">
        <f>'(Raw) LensesGH'!A1850</f>
        <v>Walimex Pro 800mm 8.0 schwarz</v>
      </c>
      <c r="B1850" t="str">
        <f>'(Raw) LensesGH'!B1850</f>
        <v>800mm</v>
      </c>
      <c r="C1850" s="5">
        <f t="shared" si="253"/>
        <v>800</v>
      </c>
      <c r="D1850" s="5">
        <f t="shared" si="254"/>
        <v>800</v>
      </c>
      <c r="E1850" t="str">
        <f>'(Raw) LensesGH'!C1850</f>
        <v>1:8.0</v>
      </c>
      <c r="F1850" s="9">
        <f t="shared" si="255"/>
        <v>8</v>
      </c>
      <c r="G1850" s="9">
        <f t="shared" si="256"/>
        <v>8</v>
      </c>
      <c r="H1850" t="str">
        <f>'(Raw) LensesGH'!D1850</f>
        <v>35mm</v>
      </c>
      <c r="I1850" s="2">
        <f t="shared" si="257"/>
        <v>35</v>
      </c>
      <c r="J1850" s="2">
        <f>'(Raw) LensesGH'!E1850</f>
        <v>0</v>
      </c>
      <c r="K1850" s="40">
        <f t="shared" si="258"/>
        <v>0</v>
      </c>
      <c r="L1850">
        <f>'(Raw) LensesGH'!F1850</f>
        <v>0</v>
      </c>
      <c r="M1850" t="str">
        <f>'(Raw) LensesGH'!G1850</f>
        <v>APS-C/ Kleinbild</v>
      </c>
      <c r="N1850" t="str">
        <f>'(Raw) LensesGH'!H1850</f>
        <v>946g</v>
      </c>
      <c r="O1850" s="5">
        <f t="shared" si="259"/>
        <v>946</v>
      </c>
      <c r="P1850" t="str">
        <f>'(Raw) LensesGH'!I1850</f>
        <v>111 x 113mm</v>
      </c>
      <c r="Q1850" s="39">
        <f t="shared" si="260"/>
        <v>111</v>
      </c>
      <c r="R1850" s="39">
        <f t="shared" si="252"/>
        <v>113</v>
      </c>
    </row>
    <row r="1851" spans="1:18" x14ac:dyDescent="0.25">
      <c r="A1851" t="str">
        <f>'(Raw) LensesGH'!A1851</f>
        <v>Walimex Pro 85mm 1.4 CSC für Sony E schwarz</v>
      </c>
      <c r="B1851" t="str">
        <f>'(Raw) LensesGH'!B1851</f>
        <v>85mm</v>
      </c>
      <c r="C1851" s="5">
        <f t="shared" si="253"/>
        <v>85</v>
      </c>
      <c r="D1851" s="5">
        <f t="shared" si="254"/>
        <v>85</v>
      </c>
      <c r="E1851" t="str">
        <f>'(Raw) LensesGH'!C1851</f>
        <v>1:1.4</v>
      </c>
      <c r="F1851" s="9">
        <f t="shared" si="255"/>
        <v>1.4</v>
      </c>
      <c r="G1851" s="9">
        <f t="shared" si="256"/>
        <v>1.4</v>
      </c>
      <c r="H1851" t="str">
        <f>'(Raw) LensesGH'!D1851</f>
        <v>72mm</v>
      </c>
      <c r="I1851" s="2">
        <f t="shared" si="257"/>
        <v>72</v>
      </c>
      <c r="J1851" s="2">
        <f>'(Raw) LensesGH'!E1851</f>
        <v>0</v>
      </c>
      <c r="K1851" s="40">
        <f t="shared" si="258"/>
        <v>0</v>
      </c>
      <c r="L1851" t="str">
        <f>'(Raw) LensesGH'!F1851</f>
        <v>Sony E</v>
      </c>
      <c r="M1851" t="str">
        <f>'(Raw) LensesGH'!G1851</f>
        <v>APS-C/ Kleinbild</v>
      </c>
      <c r="N1851" t="str">
        <f>'(Raw) LensesGH'!H1851</f>
        <v>570g</v>
      </c>
      <c r="O1851" s="5">
        <f t="shared" si="259"/>
        <v>570</v>
      </c>
      <c r="P1851" t="str">
        <f>'(Raw) LensesGH'!I1851</f>
        <v>78 x 100.7mm</v>
      </c>
      <c r="Q1851" s="39">
        <f t="shared" si="260"/>
        <v>78</v>
      </c>
      <c r="R1851" s="39">
        <f t="shared" si="252"/>
        <v>100.7</v>
      </c>
    </row>
    <row r="1852" spans="1:18" x14ac:dyDescent="0.25">
      <c r="A1852" t="str">
        <f>'(Raw) LensesGH'!A1852</f>
        <v>Walimex Pro 85mm 1.4 IF für Canon EF schwarz</v>
      </c>
      <c r="B1852" t="str">
        <f>'(Raw) LensesGH'!B1852</f>
        <v>85mm</v>
      </c>
      <c r="C1852" s="5">
        <f t="shared" si="253"/>
        <v>85</v>
      </c>
      <c r="D1852" s="5">
        <f t="shared" si="254"/>
        <v>85</v>
      </c>
      <c r="E1852" t="str">
        <f>'(Raw) LensesGH'!C1852</f>
        <v>1:1.4</v>
      </c>
      <c r="F1852" s="9">
        <f t="shared" si="255"/>
        <v>1.4</v>
      </c>
      <c r="G1852" s="9">
        <f t="shared" si="256"/>
        <v>1.4</v>
      </c>
      <c r="H1852" t="str">
        <f>'(Raw) LensesGH'!D1852</f>
        <v>72mm</v>
      </c>
      <c r="I1852" s="2">
        <f t="shared" si="257"/>
        <v>72</v>
      </c>
      <c r="J1852" s="2">
        <f>'(Raw) LensesGH'!E1852</f>
        <v>0</v>
      </c>
      <c r="K1852" s="40">
        <f t="shared" si="258"/>
        <v>0</v>
      </c>
      <c r="L1852" t="str">
        <f>'(Raw) LensesGH'!F1852</f>
        <v>Canon EF</v>
      </c>
      <c r="M1852" t="str">
        <f>'(Raw) LensesGH'!G1852</f>
        <v>APS-C/ Kleinbild</v>
      </c>
      <c r="N1852" t="str">
        <f>'(Raw) LensesGH'!H1852</f>
        <v>540g</v>
      </c>
      <c r="O1852" s="5">
        <f t="shared" si="259"/>
        <v>540</v>
      </c>
      <c r="P1852" t="str">
        <f>'(Raw) LensesGH'!I1852</f>
        <v>78 x 74.7mm</v>
      </c>
      <c r="Q1852" s="39">
        <f t="shared" si="260"/>
        <v>78</v>
      </c>
      <c r="R1852" s="39">
        <f t="shared" si="252"/>
        <v>74.7</v>
      </c>
    </row>
    <row r="1853" spans="1:18" x14ac:dyDescent="0.25">
      <c r="A1853" t="str">
        <f>'(Raw) LensesGH'!A1853</f>
        <v>Walimex Pro 85mm 1.4 IF für Four-Thirds schwarz</v>
      </c>
      <c r="B1853" t="str">
        <f>'(Raw) LensesGH'!B1853</f>
        <v>85mm</v>
      </c>
      <c r="C1853" s="5">
        <f t="shared" si="253"/>
        <v>85</v>
      </c>
      <c r="D1853" s="5">
        <f t="shared" si="254"/>
        <v>85</v>
      </c>
      <c r="E1853" t="str">
        <f>'(Raw) LensesGH'!C1853</f>
        <v>1:1.4</v>
      </c>
      <c r="F1853" s="9">
        <f t="shared" si="255"/>
        <v>1.4</v>
      </c>
      <c r="G1853" s="9">
        <f t="shared" si="256"/>
        <v>1.4</v>
      </c>
      <c r="H1853" t="str">
        <f>'(Raw) LensesGH'!D1853</f>
        <v>72mm</v>
      </c>
      <c r="I1853" s="2">
        <f t="shared" si="257"/>
        <v>72</v>
      </c>
      <c r="J1853" s="2">
        <f>'(Raw) LensesGH'!E1853</f>
        <v>0</v>
      </c>
      <c r="K1853" s="40">
        <f t="shared" si="258"/>
        <v>0</v>
      </c>
      <c r="L1853" t="str">
        <f>'(Raw) LensesGH'!F1853</f>
        <v>Four-Thirds</v>
      </c>
      <c r="M1853" t="str">
        <f>'(Raw) LensesGH'!G1853</f>
        <v>Four-Thirds</v>
      </c>
      <c r="N1853" t="str">
        <f>'(Raw) LensesGH'!H1853</f>
        <v>520g</v>
      </c>
      <c r="O1853" s="5">
        <f t="shared" si="259"/>
        <v>520</v>
      </c>
      <c r="P1853" t="str">
        <f>'(Raw) LensesGH'!I1853</f>
        <v>78 x 80mm</v>
      </c>
      <c r="Q1853" s="39">
        <f t="shared" si="260"/>
        <v>78</v>
      </c>
      <c r="R1853" s="39">
        <f t="shared" si="252"/>
        <v>80</v>
      </c>
    </row>
    <row r="1854" spans="1:18" x14ac:dyDescent="0.25">
      <c r="A1854" t="str">
        <f>'(Raw) LensesGH'!A1854</f>
        <v>Walimex Pro 85mm 1.4 IF für Micro-Four-Thirds schwarz</v>
      </c>
      <c r="B1854" t="str">
        <f>'(Raw) LensesGH'!B1854</f>
        <v>85mm</v>
      </c>
      <c r="C1854" s="5">
        <f t="shared" si="253"/>
        <v>85</v>
      </c>
      <c r="D1854" s="5">
        <f t="shared" si="254"/>
        <v>85</v>
      </c>
      <c r="E1854" t="str">
        <f>'(Raw) LensesGH'!C1854</f>
        <v>1:1.4</v>
      </c>
      <c r="F1854" s="9">
        <f t="shared" si="255"/>
        <v>1.4</v>
      </c>
      <c r="G1854" s="9">
        <f t="shared" si="256"/>
        <v>1.4</v>
      </c>
      <c r="H1854" t="str">
        <f>'(Raw) LensesGH'!D1854</f>
        <v>72mm</v>
      </c>
      <c r="I1854" s="2">
        <f t="shared" si="257"/>
        <v>72</v>
      </c>
      <c r="J1854" s="2">
        <f>'(Raw) LensesGH'!E1854</f>
        <v>0</v>
      </c>
      <c r="K1854" s="40">
        <f t="shared" si="258"/>
        <v>0</v>
      </c>
      <c r="L1854" t="str">
        <f>'(Raw) LensesGH'!F1854</f>
        <v>Micro-Four-Thirds</v>
      </c>
      <c r="M1854" t="str">
        <f>'(Raw) LensesGH'!G1854</f>
        <v>Four-Thirds</v>
      </c>
      <c r="N1854" t="str">
        <f>'(Raw) LensesGH'!H1854</f>
        <v>520g</v>
      </c>
      <c r="O1854" s="5">
        <f t="shared" si="259"/>
        <v>520</v>
      </c>
      <c r="P1854" t="str">
        <f>'(Raw) LensesGH'!I1854</f>
        <v>78 x 80mm</v>
      </c>
      <c r="Q1854" s="39">
        <f t="shared" si="260"/>
        <v>78</v>
      </c>
      <c r="R1854" s="39">
        <f t="shared" si="252"/>
        <v>80</v>
      </c>
    </row>
    <row r="1855" spans="1:18" x14ac:dyDescent="0.25">
      <c r="A1855" t="str">
        <f>'(Raw) LensesGH'!A1855</f>
        <v>Walimex Pro 85mm 1.4 IF für Nikon F schwarz</v>
      </c>
      <c r="B1855" t="str">
        <f>'(Raw) LensesGH'!B1855</f>
        <v>85mm</v>
      </c>
      <c r="C1855" s="5">
        <f t="shared" si="253"/>
        <v>85</v>
      </c>
      <c r="D1855" s="5">
        <f t="shared" si="254"/>
        <v>85</v>
      </c>
      <c r="E1855" t="str">
        <f>'(Raw) LensesGH'!C1855</f>
        <v>1:1.4</v>
      </c>
      <c r="F1855" s="9">
        <f t="shared" si="255"/>
        <v>1.4</v>
      </c>
      <c r="G1855" s="9">
        <f t="shared" si="256"/>
        <v>1.4</v>
      </c>
      <c r="H1855" t="str">
        <f>'(Raw) LensesGH'!D1855</f>
        <v>72mm</v>
      </c>
      <c r="I1855" s="2">
        <f t="shared" si="257"/>
        <v>72</v>
      </c>
      <c r="J1855" s="2">
        <f>'(Raw) LensesGH'!E1855</f>
        <v>0</v>
      </c>
      <c r="K1855" s="40">
        <f t="shared" si="258"/>
        <v>0</v>
      </c>
      <c r="L1855" t="str">
        <f>'(Raw) LensesGH'!F1855</f>
        <v>Nikon F</v>
      </c>
      <c r="M1855" t="str">
        <f>'(Raw) LensesGH'!G1855</f>
        <v>APS-C/ Kleinbild</v>
      </c>
      <c r="N1855" t="str">
        <f>'(Raw) LensesGH'!H1855</f>
        <v>510g</v>
      </c>
      <c r="O1855" s="5">
        <f t="shared" si="259"/>
        <v>510</v>
      </c>
      <c r="P1855" t="str">
        <f>'(Raw) LensesGH'!I1855</f>
        <v>78 x 72.2mm</v>
      </c>
      <c r="Q1855" s="39">
        <f t="shared" si="260"/>
        <v>78</v>
      </c>
      <c r="R1855" s="39">
        <f t="shared" si="252"/>
        <v>72.2</v>
      </c>
    </row>
    <row r="1856" spans="1:18" x14ac:dyDescent="0.25">
      <c r="A1856" t="str">
        <f>'(Raw) LensesGH'!A1856</f>
        <v>Walimex Pro 85mm 1.4 IF für Sony A schwarz</v>
      </c>
      <c r="B1856" t="str">
        <f>'(Raw) LensesGH'!B1856</f>
        <v>85mm</v>
      </c>
      <c r="C1856" s="5">
        <f t="shared" si="253"/>
        <v>85</v>
      </c>
      <c r="D1856" s="5">
        <f t="shared" si="254"/>
        <v>85</v>
      </c>
      <c r="E1856" t="str">
        <f>'(Raw) LensesGH'!C1856</f>
        <v>1:1.4</v>
      </c>
      <c r="F1856" s="9">
        <f t="shared" si="255"/>
        <v>1.4</v>
      </c>
      <c r="G1856" s="9">
        <f t="shared" si="256"/>
        <v>1.4</v>
      </c>
      <c r="H1856" t="str">
        <f>'(Raw) LensesGH'!D1856</f>
        <v>72mm</v>
      </c>
      <c r="I1856" s="2">
        <f t="shared" si="257"/>
        <v>72</v>
      </c>
      <c r="J1856" s="2">
        <f>'(Raw) LensesGH'!E1856</f>
        <v>0</v>
      </c>
      <c r="K1856" s="40">
        <f t="shared" si="258"/>
        <v>0</v>
      </c>
      <c r="L1856" t="str">
        <f>'(Raw) LensesGH'!F1856</f>
        <v>Sony A</v>
      </c>
      <c r="M1856" t="str">
        <f>'(Raw) LensesGH'!G1856</f>
        <v>APS-C</v>
      </c>
      <c r="N1856" t="str">
        <f>'(Raw) LensesGH'!H1856</f>
        <v>530g</v>
      </c>
      <c r="O1856" s="5">
        <f t="shared" si="259"/>
        <v>530</v>
      </c>
      <c r="P1856" t="str">
        <f>'(Raw) LensesGH'!I1856</f>
        <v>78 x 74.2mm</v>
      </c>
      <c r="Q1856" s="39">
        <f t="shared" si="260"/>
        <v>78</v>
      </c>
      <c r="R1856" s="39">
        <f t="shared" si="252"/>
        <v>74.2</v>
      </c>
    </row>
    <row r="1857" spans="1:18" x14ac:dyDescent="0.25">
      <c r="A1857" t="str">
        <f>'(Raw) LensesGH'!A1857</f>
        <v>Walimex Pro 85mm 1.5 VCSC für Canon EF-M schwarz</v>
      </c>
      <c r="B1857" t="str">
        <f>'(Raw) LensesGH'!B1857</f>
        <v>85mm</v>
      </c>
      <c r="C1857" s="5">
        <f t="shared" si="253"/>
        <v>85</v>
      </c>
      <c r="D1857" s="5">
        <f t="shared" si="254"/>
        <v>85</v>
      </c>
      <c r="E1857" t="str">
        <f>'(Raw) LensesGH'!C1857</f>
        <v>1:1.5</v>
      </c>
      <c r="F1857" s="9">
        <f t="shared" si="255"/>
        <v>1.5</v>
      </c>
      <c r="G1857" s="9">
        <f t="shared" si="256"/>
        <v>1.5</v>
      </c>
      <c r="H1857" t="str">
        <f>'(Raw) LensesGH'!D1857</f>
        <v>72mm</v>
      </c>
      <c r="I1857" s="2">
        <f t="shared" si="257"/>
        <v>72</v>
      </c>
      <c r="J1857" s="2">
        <f>'(Raw) LensesGH'!E1857</f>
        <v>0</v>
      </c>
      <c r="K1857" s="40">
        <f t="shared" si="258"/>
        <v>0</v>
      </c>
      <c r="L1857" t="str">
        <f>'(Raw) LensesGH'!F1857</f>
        <v>Canon EF-M</v>
      </c>
      <c r="M1857" t="str">
        <f>'(Raw) LensesGH'!G1857</f>
        <v>APS-C/ Kleinbild</v>
      </c>
      <c r="N1857" t="str">
        <f>'(Raw) LensesGH'!H1857</f>
        <v>640g</v>
      </c>
      <c r="O1857" s="5">
        <f t="shared" si="259"/>
        <v>640</v>
      </c>
      <c r="P1857" t="str">
        <f>'(Raw) LensesGH'!I1857</f>
        <v>78 x 100.6mm</v>
      </c>
      <c r="Q1857" s="39">
        <f t="shared" si="260"/>
        <v>78</v>
      </c>
      <c r="R1857" s="39">
        <f t="shared" si="252"/>
        <v>100.6</v>
      </c>
    </row>
    <row r="1858" spans="1:18" x14ac:dyDescent="0.25">
      <c r="A1858" t="str">
        <f>'(Raw) LensesGH'!A1858</f>
        <v>Walimex Pro 85mm 1.5 VCSC für Fujifilm X schwarz</v>
      </c>
      <c r="B1858" t="str">
        <f>'(Raw) LensesGH'!B1858</f>
        <v>85mm</v>
      </c>
      <c r="C1858" s="5">
        <f t="shared" si="253"/>
        <v>85</v>
      </c>
      <c r="D1858" s="5">
        <f t="shared" si="254"/>
        <v>85</v>
      </c>
      <c r="E1858" t="str">
        <f>'(Raw) LensesGH'!C1858</f>
        <v>1:1.5</v>
      </c>
      <c r="F1858" s="9">
        <f t="shared" si="255"/>
        <v>1.5</v>
      </c>
      <c r="G1858" s="9">
        <f t="shared" si="256"/>
        <v>1.5</v>
      </c>
      <c r="H1858" t="str">
        <f>'(Raw) LensesGH'!D1858</f>
        <v>72mm</v>
      </c>
      <c r="I1858" s="2">
        <f t="shared" si="257"/>
        <v>72</v>
      </c>
      <c r="J1858" s="2">
        <f>'(Raw) LensesGH'!E1858</f>
        <v>0</v>
      </c>
      <c r="K1858" s="40">
        <f t="shared" si="258"/>
        <v>0</v>
      </c>
      <c r="L1858" t="str">
        <f>'(Raw) LensesGH'!F1858</f>
        <v>Fujifilm X</v>
      </c>
      <c r="M1858" t="str">
        <f>'(Raw) LensesGH'!G1858</f>
        <v>APS-C/ Kleinbild</v>
      </c>
      <c r="N1858" t="str">
        <f>'(Raw) LensesGH'!H1858</f>
        <v>645g</v>
      </c>
      <c r="O1858" s="5">
        <f t="shared" si="259"/>
        <v>645</v>
      </c>
      <c r="P1858" t="str">
        <f>'(Raw) LensesGH'!I1858</f>
        <v>78 x 101mm</v>
      </c>
      <c r="Q1858" s="39">
        <f t="shared" si="260"/>
        <v>78</v>
      </c>
      <c r="R1858" s="39">
        <f t="shared" ref="R1858:R1921" si="261">getSizeLength(P1858)</f>
        <v>101</v>
      </c>
    </row>
    <row r="1859" spans="1:18" x14ac:dyDescent="0.25">
      <c r="A1859" t="str">
        <f>'(Raw) LensesGH'!A1859</f>
        <v>Walimex Pro 85mm 1.5 VDSLR für Canon EF schwarz</v>
      </c>
      <c r="B1859" t="str">
        <f>'(Raw) LensesGH'!B1859</f>
        <v>85mm</v>
      </c>
      <c r="C1859" s="5">
        <f t="shared" ref="C1859:C1922" si="262">getFocalLengthStart(B1859)</f>
        <v>85</v>
      </c>
      <c r="D1859" s="5">
        <f t="shared" ref="D1859:D1922" si="263">getFocalLengthEnd(B1859)</f>
        <v>85</v>
      </c>
      <c r="E1859" t="str">
        <f>'(Raw) LensesGH'!C1859</f>
        <v>1:1.5</v>
      </c>
      <c r="F1859" s="9">
        <f t="shared" ref="F1859:F1922" si="264">getApertureStart(E1859)</f>
        <v>1.5</v>
      </c>
      <c r="G1859" s="9">
        <f t="shared" ref="G1859:G1922" si="265">getApertureEnd(F1859)</f>
        <v>1.5</v>
      </c>
      <c r="H1859" t="str">
        <f>'(Raw) LensesGH'!D1859</f>
        <v>72mm</v>
      </c>
      <c r="I1859" s="2">
        <f t="shared" ref="I1859:I1922" si="266">getFiltersizeAsDouble(H1859)</f>
        <v>72</v>
      </c>
      <c r="J1859" s="2">
        <f>'(Raw) LensesGH'!E1859</f>
        <v>0</v>
      </c>
      <c r="K1859" s="40">
        <f t="shared" ref="K1859:K1922" si="267">getMagnification(J1859)</f>
        <v>0</v>
      </c>
      <c r="L1859" t="str">
        <f>'(Raw) LensesGH'!F1859</f>
        <v>Canon EF</v>
      </c>
      <c r="M1859" t="str">
        <f>'(Raw) LensesGH'!G1859</f>
        <v>APS-C/ Kleinbild</v>
      </c>
      <c r="N1859" t="str">
        <f>'(Raw) LensesGH'!H1859</f>
        <v>570g</v>
      </c>
      <c r="O1859" s="5">
        <f t="shared" ref="O1859:O1922" si="268">getWeightAsDouble(N1859)</f>
        <v>570</v>
      </c>
      <c r="P1859" t="str">
        <f>'(Raw) LensesGH'!I1859</f>
        <v>78 x 80mm</v>
      </c>
      <c r="Q1859" s="39">
        <f t="shared" ref="Q1859:Q1922" si="269">getSizeDiameter(P1859)</f>
        <v>78</v>
      </c>
      <c r="R1859" s="39">
        <f t="shared" si="261"/>
        <v>80</v>
      </c>
    </row>
    <row r="1860" spans="1:18" x14ac:dyDescent="0.25">
      <c r="A1860" t="str">
        <f>'(Raw) LensesGH'!A1860</f>
        <v>Walimex Pro 85mm 1.5 VDSLR für Four-Thirds schwarz</v>
      </c>
      <c r="B1860" t="str">
        <f>'(Raw) LensesGH'!B1860</f>
        <v>85mm</v>
      </c>
      <c r="C1860" s="5">
        <f t="shared" si="262"/>
        <v>85</v>
      </c>
      <c r="D1860" s="5">
        <f t="shared" si="263"/>
        <v>85</v>
      </c>
      <c r="E1860" t="str">
        <f>'(Raw) LensesGH'!C1860</f>
        <v>1:1.5</v>
      </c>
      <c r="F1860" s="9">
        <f t="shared" si="264"/>
        <v>1.5</v>
      </c>
      <c r="G1860" s="9">
        <f t="shared" si="265"/>
        <v>1.5</v>
      </c>
      <c r="H1860" t="str">
        <f>'(Raw) LensesGH'!D1860</f>
        <v>72mm</v>
      </c>
      <c r="I1860" s="2">
        <f t="shared" si="266"/>
        <v>72</v>
      </c>
      <c r="J1860" s="2">
        <f>'(Raw) LensesGH'!E1860</f>
        <v>0</v>
      </c>
      <c r="K1860" s="40">
        <f t="shared" si="267"/>
        <v>0</v>
      </c>
      <c r="L1860" t="str">
        <f>'(Raw) LensesGH'!F1860</f>
        <v>Four-Thirds</v>
      </c>
      <c r="M1860" t="str">
        <f>'(Raw) LensesGH'!G1860</f>
        <v>Four-Thirds</v>
      </c>
      <c r="N1860" t="str">
        <f>'(Raw) LensesGH'!H1860</f>
        <v>580g</v>
      </c>
      <c r="O1860" s="5">
        <f t="shared" si="268"/>
        <v>580</v>
      </c>
      <c r="P1860" t="str">
        <f>'(Raw) LensesGH'!I1860</f>
        <v>78 x 80mm</v>
      </c>
      <c r="Q1860" s="39">
        <f t="shared" si="269"/>
        <v>78</v>
      </c>
      <c r="R1860" s="39">
        <f t="shared" si="261"/>
        <v>80</v>
      </c>
    </row>
    <row r="1861" spans="1:18" x14ac:dyDescent="0.25">
      <c r="A1861" t="str">
        <f>'(Raw) LensesGH'!A1861</f>
        <v>Walimex Pro 85mm 1.5 VDSLR für Micro-Four-Thirds schwarz</v>
      </c>
      <c r="B1861" t="str">
        <f>'(Raw) LensesGH'!B1861</f>
        <v>85mm</v>
      </c>
      <c r="C1861" s="5">
        <f t="shared" si="262"/>
        <v>85</v>
      </c>
      <c r="D1861" s="5">
        <f t="shared" si="263"/>
        <v>85</v>
      </c>
      <c r="E1861" t="str">
        <f>'(Raw) LensesGH'!C1861</f>
        <v>1:1.5</v>
      </c>
      <c r="F1861" s="9">
        <f t="shared" si="264"/>
        <v>1.5</v>
      </c>
      <c r="G1861" s="9">
        <f t="shared" si="265"/>
        <v>1.5</v>
      </c>
      <c r="H1861" t="str">
        <f>'(Raw) LensesGH'!D1861</f>
        <v>72mm</v>
      </c>
      <c r="I1861" s="2">
        <f t="shared" si="266"/>
        <v>72</v>
      </c>
      <c r="J1861" s="2">
        <f>'(Raw) LensesGH'!E1861</f>
        <v>0</v>
      </c>
      <c r="K1861" s="40">
        <f t="shared" si="267"/>
        <v>0</v>
      </c>
      <c r="L1861" t="str">
        <f>'(Raw) LensesGH'!F1861</f>
        <v>Micro-Four-Thirds</v>
      </c>
      <c r="M1861" t="str">
        <f>'(Raw) LensesGH'!G1861</f>
        <v>Four-Thirds</v>
      </c>
      <c r="N1861" t="str">
        <f>'(Raw) LensesGH'!H1861</f>
        <v>580g</v>
      </c>
      <c r="O1861" s="5">
        <f t="shared" si="268"/>
        <v>580</v>
      </c>
      <c r="P1861" t="str">
        <f>'(Raw) LensesGH'!I1861</f>
        <v>78 x 80mm</v>
      </c>
      <c r="Q1861" s="39">
        <f t="shared" si="269"/>
        <v>78</v>
      </c>
      <c r="R1861" s="39">
        <f t="shared" si="261"/>
        <v>80</v>
      </c>
    </row>
    <row r="1862" spans="1:18" x14ac:dyDescent="0.25">
      <c r="A1862" t="str">
        <f>'(Raw) LensesGH'!A1862</f>
        <v>Walimex Pro 85mm 1.5 VDSLR für Nikon 1 schwarz</v>
      </c>
      <c r="B1862" t="str">
        <f>'(Raw) LensesGH'!B1862</f>
        <v>85mm</v>
      </c>
      <c r="C1862" s="5">
        <f t="shared" si="262"/>
        <v>85</v>
      </c>
      <c r="D1862" s="5">
        <f t="shared" si="263"/>
        <v>85</v>
      </c>
      <c r="E1862" t="str">
        <f>'(Raw) LensesGH'!C1862</f>
        <v>1:1.5</v>
      </c>
      <c r="F1862" s="9">
        <f t="shared" si="264"/>
        <v>1.5</v>
      </c>
      <c r="G1862" s="9">
        <f t="shared" si="265"/>
        <v>1.5</v>
      </c>
      <c r="H1862" t="str">
        <f>'(Raw) LensesGH'!D1862</f>
        <v>72mm</v>
      </c>
      <c r="I1862" s="2">
        <f t="shared" si="266"/>
        <v>72</v>
      </c>
      <c r="J1862" s="2">
        <f>'(Raw) LensesGH'!E1862</f>
        <v>0</v>
      </c>
      <c r="K1862" s="40">
        <f t="shared" si="267"/>
        <v>0</v>
      </c>
      <c r="L1862" t="str">
        <f>'(Raw) LensesGH'!F1862</f>
        <v>Nikon 1</v>
      </c>
      <c r="M1862" t="str">
        <f>'(Raw) LensesGH'!G1862</f>
        <v>APS-C/ Kleinbild</v>
      </c>
      <c r="N1862" t="str">
        <f>'(Raw) LensesGH'!H1862</f>
        <v>550g</v>
      </c>
      <c r="O1862" s="5">
        <f t="shared" si="268"/>
        <v>550</v>
      </c>
      <c r="P1862" t="str">
        <f>'(Raw) LensesGH'!I1862</f>
        <v>78 x 80mm</v>
      </c>
      <c r="Q1862" s="39">
        <f t="shared" si="269"/>
        <v>78</v>
      </c>
      <c r="R1862" s="39">
        <f t="shared" si="261"/>
        <v>80</v>
      </c>
    </row>
    <row r="1863" spans="1:18" x14ac:dyDescent="0.25">
      <c r="A1863" t="str">
        <f>'(Raw) LensesGH'!A1863</f>
        <v>Walimex Pro 85mm 1.5 VDSLR für Nikon F schwarz</v>
      </c>
      <c r="B1863" t="str">
        <f>'(Raw) LensesGH'!B1863</f>
        <v>85mm</v>
      </c>
      <c r="C1863" s="5">
        <f t="shared" si="262"/>
        <v>85</v>
      </c>
      <c r="D1863" s="5">
        <f t="shared" si="263"/>
        <v>85</v>
      </c>
      <c r="E1863" t="str">
        <f>'(Raw) LensesGH'!C1863</f>
        <v>1:1.5</v>
      </c>
      <c r="F1863" s="9">
        <f t="shared" si="264"/>
        <v>1.5</v>
      </c>
      <c r="G1863" s="9">
        <f t="shared" si="265"/>
        <v>1.5</v>
      </c>
      <c r="H1863" t="str">
        <f>'(Raw) LensesGH'!D1863</f>
        <v>72mm</v>
      </c>
      <c r="I1863" s="2">
        <f t="shared" si="266"/>
        <v>72</v>
      </c>
      <c r="J1863" s="2">
        <f>'(Raw) LensesGH'!E1863</f>
        <v>0</v>
      </c>
      <c r="K1863" s="40">
        <f t="shared" si="267"/>
        <v>0</v>
      </c>
      <c r="L1863" t="str">
        <f>'(Raw) LensesGH'!F1863</f>
        <v>Nikon F</v>
      </c>
      <c r="M1863" t="str">
        <f>'(Raw) LensesGH'!G1863</f>
        <v>APS-C/ Kleinbild</v>
      </c>
      <c r="N1863" t="str">
        <f>'(Raw) LensesGH'!H1863</f>
        <v>550g</v>
      </c>
      <c r="O1863" s="5">
        <f t="shared" si="268"/>
        <v>550</v>
      </c>
      <c r="P1863" t="str">
        <f>'(Raw) LensesGH'!I1863</f>
        <v>78 x 80mm</v>
      </c>
      <c r="Q1863" s="39">
        <f t="shared" si="269"/>
        <v>78</v>
      </c>
      <c r="R1863" s="39">
        <f t="shared" si="261"/>
        <v>80</v>
      </c>
    </row>
    <row r="1864" spans="1:18" x14ac:dyDescent="0.25">
      <c r="A1864" t="str">
        <f>'(Raw) LensesGH'!A1864</f>
        <v>Walimex Pro 85mm 1.5 VDSLR für Samsung NX schwarz</v>
      </c>
      <c r="B1864" t="str">
        <f>'(Raw) LensesGH'!B1864</f>
        <v>85mm</v>
      </c>
      <c r="C1864" s="5">
        <f t="shared" si="262"/>
        <v>85</v>
      </c>
      <c r="D1864" s="5">
        <f t="shared" si="263"/>
        <v>85</v>
      </c>
      <c r="E1864" t="str">
        <f>'(Raw) LensesGH'!C1864</f>
        <v>1:1.5</v>
      </c>
      <c r="F1864" s="9">
        <f t="shared" si="264"/>
        <v>1.5</v>
      </c>
      <c r="G1864" s="9">
        <f t="shared" si="265"/>
        <v>1.5</v>
      </c>
      <c r="H1864" t="str">
        <f>'(Raw) LensesGH'!D1864</f>
        <v>72mm</v>
      </c>
      <c r="I1864" s="2">
        <f t="shared" si="266"/>
        <v>72</v>
      </c>
      <c r="J1864" s="2">
        <f>'(Raw) LensesGH'!E1864</f>
        <v>0</v>
      </c>
      <c r="K1864" s="40">
        <f t="shared" si="267"/>
        <v>0</v>
      </c>
      <c r="L1864" t="str">
        <f>'(Raw) LensesGH'!F1864</f>
        <v>Samsung NX</v>
      </c>
      <c r="M1864" t="str">
        <f>'(Raw) LensesGH'!G1864</f>
        <v>APS-C</v>
      </c>
      <c r="N1864" t="str">
        <f>'(Raw) LensesGH'!H1864</f>
        <v>590g</v>
      </c>
      <c r="O1864" s="5">
        <f t="shared" si="268"/>
        <v>590</v>
      </c>
      <c r="P1864" t="str">
        <f>'(Raw) LensesGH'!I1864</f>
        <v>78 x 80mm</v>
      </c>
      <c r="Q1864" s="39">
        <f t="shared" si="269"/>
        <v>78</v>
      </c>
      <c r="R1864" s="39">
        <f t="shared" si="261"/>
        <v>80</v>
      </c>
    </row>
    <row r="1865" spans="1:18" x14ac:dyDescent="0.25">
      <c r="A1865" t="str">
        <f>'(Raw) LensesGH'!A1865</f>
        <v>Walimex Pro 85mm 1.5 VDSLR für Sony A schwarz</v>
      </c>
      <c r="B1865" t="str">
        <f>'(Raw) LensesGH'!B1865</f>
        <v>85mm</v>
      </c>
      <c r="C1865" s="5">
        <f t="shared" si="262"/>
        <v>85</v>
      </c>
      <c r="D1865" s="5">
        <f t="shared" si="263"/>
        <v>85</v>
      </c>
      <c r="E1865" t="str">
        <f>'(Raw) LensesGH'!C1865</f>
        <v>1:1.5</v>
      </c>
      <c r="F1865" s="9">
        <f t="shared" si="264"/>
        <v>1.5</v>
      </c>
      <c r="G1865" s="9">
        <f t="shared" si="265"/>
        <v>1.5</v>
      </c>
      <c r="H1865" t="str">
        <f>'(Raw) LensesGH'!D1865</f>
        <v>72mm</v>
      </c>
      <c r="I1865" s="2">
        <f t="shared" si="266"/>
        <v>72</v>
      </c>
      <c r="J1865" s="2">
        <f>'(Raw) LensesGH'!E1865</f>
        <v>0</v>
      </c>
      <c r="K1865" s="40">
        <f t="shared" si="267"/>
        <v>0</v>
      </c>
      <c r="L1865" t="str">
        <f>'(Raw) LensesGH'!F1865</f>
        <v>Sony A</v>
      </c>
      <c r="M1865" t="str">
        <f>'(Raw) LensesGH'!G1865</f>
        <v>APS-C</v>
      </c>
      <c r="N1865" t="str">
        <f>'(Raw) LensesGH'!H1865</f>
        <v>600g</v>
      </c>
      <c r="O1865" s="5">
        <f t="shared" si="268"/>
        <v>600</v>
      </c>
      <c r="P1865" t="str">
        <f>'(Raw) LensesGH'!I1865</f>
        <v>78 x 80mm</v>
      </c>
      <c r="Q1865" s="39">
        <f t="shared" si="269"/>
        <v>78</v>
      </c>
      <c r="R1865" s="39">
        <f t="shared" si="261"/>
        <v>80</v>
      </c>
    </row>
    <row r="1866" spans="1:18" x14ac:dyDescent="0.25">
      <c r="A1866" t="str">
        <f>'(Raw) LensesGH'!A1866</f>
        <v>Walimex Pro 85mm 1.5 VDSLR für Sony E schwarz</v>
      </c>
      <c r="B1866" t="str">
        <f>'(Raw) LensesGH'!B1866</f>
        <v>85mm</v>
      </c>
      <c r="C1866" s="5">
        <f t="shared" si="262"/>
        <v>85</v>
      </c>
      <c r="D1866" s="5">
        <f t="shared" si="263"/>
        <v>85</v>
      </c>
      <c r="E1866" t="str">
        <f>'(Raw) LensesGH'!C1866</f>
        <v>1:1.5</v>
      </c>
      <c r="F1866" s="9">
        <f t="shared" si="264"/>
        <v>1.5</v>
      </c>
      <c r="G1866" s="9">
        <f t="shared" si="265"/>
        <v>1.5</v>
      </c>
      <c r="H1866" t="str">
        <f>'(Raw) LensesGH'!D1866</f>
        <v>72mm</v>
      </c>
      <c r="I1866" s="2">
        <f t="shared" si="266"/>
        <v>72</v>
      </c>
      <c r="J1866" s="2">
        <f>'(Raw) LensesGH'!E1866</f>
        <v>0</v>
      </c>
      <c r="K1866" s="40">
        <f t="shared" si="267"/>
        <v>0</v>
      </c>
      <c r="L1866" t="str">
        <f>'(Raw) LensesGH'!F1866</f>
        <v>Sony E</v>
      </c>
      <c r="M1866" t="str">
        <f>'(Raw) LensesGH'!G1866</f>
        <v>APS-C</v>
      </c>
      <c r="N1866" t="str">
        <f>'(Raw) LensesGH'!H1866</f>
        <v>600g</v>
      </c>
      <c r="O1866" s="5">
        <f t="shared" si="268"/>
        <v>600</v>
      </c>
      <c r="P1866" t="str">
        <f>'(Raw) LensesGH'!I1866</f>
        <v>78 x 80mm</v>
      </c>
      <c r="Q1866" s="39">
        <f t="shared" si="269"/>
        <v>78</v>
      </c>
      <c r="R1866" s="39">
        <f t="shared" si="261"/>
        <v>80</v>
      </c>
    </row>
    <row r="1867" spans="1:18" x14ac:dyDescent="0.25">
      <c r="A1867" t="str">
        <f>'(Raw) LensesGH'!A1867</f>
        <v>Walimex Pro 8mm 2.8 Fisheye für Fujifilm X schwarz</v>
      </c>
      <c r="B1867" t="str">
        <f>'(Raw) LensesGH'!B1867</f>
        <v>8mm</v>
      </c>
      <c r="C1867" s="5">
        <f t="shared" si="262"/>
        <v>8</v>
      </c>
      <c r="D1867" s="5">
        <f t="shared" si="263"/>
        <v>8</v>
      </c>
      <c r="E1867" t="str">
        <f>'(Raw) LensesGH'!C1867</f>
        <v>1:2.8</v>
      </c>
      <c r="F1867" s="9">
        <f t="shared" si="264"/>
        <v>2.8</v>
      </c>
      <c r="G1867" s="9">
        <f t="shared" si="265"/>
        <v>2.8</v>
      </c>
      <c r="H1867">
        <f>'(Raw) LensesGH'!D1867</f>
        <v>0</v>
      </c>
      <c r="I1867" s="2">
        <f t="shared" si="266"/>
        <v>0</v>
      </c>
      <c r="J1867" s="2">
        <f>'(Raw) LensesGH'!E1867</f>
        <v>0</v>
      </c>
      <c r="K1867" s="40">
        <f t="shared" si="267"/>
        <v>0</v>
      </c>
      <c r="L1867" t="str">
        <f>'(Raw) LensesGH'!F1867</f>
        <v>Fujifilm X</v>
      </c>
      <c r="M1867" t="str">
        <f>'(Raw) LensesGH'!G1867</f>
        <v>APS-C</v>
      </c>
      <c r="N1867" t="str">
        <f>'(Raw) LensesGH'!H1867</f>
        <v>260g</v>
      </c>
      <c r="O1867" s="5">
        <f t="shared" si="268"/>
        <v>260</v>
      </c>
      <c r="P1867" t="str">
        <f>'(Raw) LensesGH'!I1867</f>
        <v>60 x 56.1mm</v>
      </c>
      <c r="Q1867" s="39">
        <f t="shared" si="269"/>
        <v>60</v>
      </c>
      <c r="R1867" s="39">
        <f t="shared" si="261"/>
        <v>56.1</v>
      </c>
    </row>
    <row r="1868" spans="1:18" x14ac:dyDescent="0.25">
      <c r="A1868" t="str">
        <f>'(Raw) LensesGH'!A1868</f>
        <v>Walimex Pro 8mm 2.8 Fisheye für Sony E schwarz</v>
      </c>
      <c r="B1868" t="str">
        <f>'(Raw) LensesGH'!B1868</f>
        <v>8mm</v>
      </c>
      <c r="C1868" s="5">
        <f t="shared" si="262"/>
        <v>8</v>
      </c>
      <c r="D1868" s="5">
        <f t="shared" si="263"/>
        <v>8</v>
      </c>
      <c r="E1868" t="str">
        <f>'(Raw) LensesGH'!C1868</f>
        <v>1:2.8</v>
      </c>
      <c r="F1868" s="9">
        <f t="shared" si="264"/>
        <v>2.8</v>
      </c>
      <c r="G1868" s="9">
        <f t="shared" si="265"/>
        <v>2.8</v>
      </c>
      <c r="H1868">
        <f>'(Raw) LensesGH'!D1868</f>
        <v>0</v>
      </c>
      <c r="I1868" s="2">
        <f t="shared" si="266"/>
        <v>0</v>
      </c>
      <c r="J1868" s="2">
        <f>'(Raw) LensesGH'!E1868</f>
        <v>0</v>
      </c>
      <c r="K1868" s="40">
        <f t="shared" si="267"/>
        <v>0</v>
      </c>
      <c r="L1868" t="str">
        <f>'(Raw) LensesGH'!F1868</f>
        <v>Sony E</v>
      </c>
      <c r="M1868" t="str">
        <f>'(Raw) LensesGH'!G1868</f>
        <v>APS-C</v>
      </c>
      <c r="N1868" t="str">
        <f>'(Raw) LensesGH'!H1868</f>
        <v>215g</v>
      </c>
      <c r="O1868" s="5">
        <f t="shared" si="268"/>
        <v>215</v>
      </c>
      <c r="P1868" t="str">
        <f>'(Raw) LensesGH'!I1868</f>
        <v>60 x 55.8mm</v>
      </c>
      <c r="Q1868" s="39">
        <f t="shared" si="269"/>
        <v>60</v>
      </c>
      <c r="R1868" s="39">
        <f t="shared" si="261"/>
        <v>55.8</v>
      </c>
    </row>
    <row r="1869" spans="1:18" x14ac:dyDescent="0.25">
      <c r="A1869" t="str">
        <f>'(Raw) LensesGH'!A1869</f>
        <v>Walimex Pro 8mm 2.8 Fisheye für Sony E silber</v>
      </c>
      <c r="B1869" t="str">
        <f>'(Raw) LensesGH'!B1869</f>
        <v>8mm</v>
      </c>
      <c r="C1869" s="5">
        <f t="shared" si="262"/>
        <v>8</v>
      </c>
      <c r="D1869" s="5">
        <f t="shared" si="263"/>
        <v>8</v>
      </c>
      <c r="E1869" t="str">
        <f>'(Raw) LensesGH'!C1869</f>
        <v>1:2.8</v>
      </c>
      <c r="F1869" s="9">
        <f t="shared" si="264"/>
        <v>2.8</v>
      </c>
      <c r="G1869" s="9">
        <f t="shared" si="265"/>
        <v>2.8</v>
      </c>
      <c r="H1869">
        <f>'(Raw) LensesGH'!D1869</f>
        <v>0</v>
      </c>
      <c r="I1869" s="2">
        <f t="shared" si="266"/>
        <v>0</v>
      </c>
      <c r="J1869" s="2">
        <f>'(Raw) LensesGH'!E1869</f>
        <v>0</v>
      </c>
      <c r="K1869" s="40">
        <f t="shared" si="267"/>
        <v>0</v>
      </c>
      <c r="L1869" t="str">
        <f>'(Raw) LensesGH'!F1869</f>
        <v>Sony E</v>
      </c>
      <c r="M1869" t="str">
        <f>'(Raw) LensesGH'!G1869</f>
        <v>APS-C</v>
      </c>
      <c r="N1869" t="str">
        <f>'(Raw) LensesGH'!H1869</f>
        <v>215g</v>
      </c>
      <c r="O1869" s="5">
        <f t="shared" si="268"/>
        <v>215</v>
      </c>
      <c r="P1869" t="str">
        <f>'(Raw) LensesGH'!I1869</f>
        <v>60 x 55.8mm</v>
      </c>
      <c r="Q1869" s="39">
        <f t="shared" si="269"/>
        <v>60</v>
      </c>
      <c r="R1869" s="39">
        <f t="shared" si="261"/>
        <v>55.8</v>
      </c>
    </row>
    <row r="1870" spans="1:18" x14ac:dyDescent="0.25">
      <c r="A1870" t="str">
        <f>'(Raw) LensesGH'!A1870</f>
        <v>Walimex Pro 8mm 2.8 Fisheye I CSC für Samsung NX silber</v>
      </c>
      <c r="B1870" t="str">
        <f>'(Raw) LensesGH'!B1870</f>
        <v>8mm</v>
      </c>
      <c r="C1870" s="5">
        <f t="shared" si="262"/>
        <v>8</v>
      </c>
      <c r="D1870" s="5">
        <f t="shared" si="263"/>
        <v>8</v>
      </c>
      <c r="E1870" t="str">
        <f>'(Raw) LensesGH'!C1870</f>
        <v>1:2.8</v>
      </c>
      <c r="F1870" s="9">
        <f t="shared" si="264"/>
        <v>2.8</v>
      </c>
      <c r="G1870" s="9">
        <f t="shared" si="265"/>
        <v>2.8</v>
      </c>
      <c r="H1870">
        <f>'(Raw) LensesGH'!D1870</f>
        <v>0</v>
      </c>
      <c r="I1870" s="2">
        <f t="shared" si="266"/>
        <v>0</v>
      </c>
      <c r="J1870" s="2">
        <f>'(Raw) LensesGH'!E1870</f>
        <v>0</v>
      </c>
      <c r="K1870" s="40">
        <f t="shared" si="267"/>
        <v>0</v>
      </c>
      <c r="L1870" t="str">
        <f>'(Raw) LensesGH'!F1870</f>
        <v>Samsung NX</v>
      </c>
      <c r="M1870" t="str">
        <f>'(Raw) LensesGH'!G1870</f>
        <v>APS-C</v>
      </c>
      <c r="N1870" t="str">
        <f>'(Raw) LensesGH'!H1870</f>
        <v>210g</v>
      </c>
      <c r="O1870" s="5">
        <f t="shared" si="268"/>
        <v>210</v>
      </c>
      <c r="P1870" t="str">
        <f>'(Raw) LensesGH'!I1870</f>
        <v>60 x 48.3mm</v>
      </c>
      <c r="Q1870" s="39">
        <f t="shared" si="269"/>
        <v>60</v>
      </c>
      <c r="R1870" s="39">
        <f t="shared" si="261"/>
        <v>48.3</v>
      </c>
    </row>
    <row r="1871" spans="1:18" x14ac:dyDescent="0.25">
      <c r="A1871" t="str">
        <f>'(Raw) LensesGH'!A1871</f>
        <v>Walimex Pro 8mm 2.8 Fisheye II für Canon EF-M silber</v>
      </c>
      <c r="B1871" t="str">
        <f>'(Raw) LensesGH'!B1871</f>
        <v>8mm</v>
      </c>
      <c r="C1871" s="5">
        <f t="shared" si="262"/>
        <v>8</v>
      </c>
      <c r="D1871" s="5">
        <f t="shared" si="263"/>
        <v>8</v>
      </c>
      <c r="E1871" t="str">
        <f>'(Raw) LensesGH'!C1871</f>
        <v>1:2.8</v>
      </c>
      <c r="F1871" s="9">
        <f t="shared" si="264"/>
        <v>2.8</v>
      </c>
      <c r="G1871" s="9">
        <f t="shared" si="265"/>
        <v>2.8</v>
      </c>
      <c r="H1871">
        <f>'(Raw) LensesGH'!D1871</f>
        <v>0</v>
      </c>
      <c r="I1871" s="2">
        <f t="shared" si="266"/>
        <v>0</v>
      </c>
      <c r="J1871" s="2">
        <f>'(Raw) LensesGH'!E1871</f>
        <v>0</v>
      </c>
      <c r="K1871" s="40">
        <f t="shared" si="267"/>
        <v>0</v>
      </c>
      <c r="L1871" t="str">
        <f>'(Raw) LensesGH'!F1871</f>
        <v>Canon EF-M</v>
      </c>
      <c r="M1871" t="str">
        <f>'(Raw) LensesGH'!G1871</f>
        <v>APS-C</v>
      </c>
      <c r="N1871" t="str">
        <f>'(Raw) LensesGH'!H1871</f>
        <v>290g</v>
      </c>
      <c r="O1871" s="5">
        <f t="shared" si="268"/>
        <v>290</v>
      </c>
      <c r="P1871" t="str">
        <f>'(Raw) LensesGH'!I1871</f>
        <v>60 x 65mm</v>
      </c>
      <c r="Q1871" s="39">
        <f t="shared" si="269"/>
        <v>60</v>
      </c>
      <c r="R1871" s="39">
        <f t="shared" si="261"/>
        <v>65</v>
      </c>
    </row>
    <row r="1872" spans="1:18" x14ac:dyDescent="0.25">
      <c r="A1872" t="str">
        <f>'(Raw) LensesGH'!A1872</f>
        <v>Walimex Pro 8mm 2.8 Fisheye II für Fujifilm X schwarz</v>
      </c>
      <c r="B1872" t="str">
        <f>'(Raw) LensesGH'!B1872</f>
        <v>8mm</v>
      </c>
      <c r="C1872" s="5">
        <f t="shared" si="262"/>
        <v>8</v>
      </c>
      <c r="D1872" s="5">
        <f t="shared" si="263"/>
        <v>8</v>
      </c>
      <c r="E1872" t="str">
        <f>'(Raw) LensesGH'!C1872</f>
        <v>1:2.8</v>
      </c>
      <c r="F1872" s="9">
        <f t="shared" si="264"/>
        <v>2.8</v>
      </c>
      <c r="G1872" s="9">
        <f t="shared" si="265"/>
        <v>2.8</v>
      </c>
      <c r="H1872">
        <f>'(Raw) LensesGH'!D1872</f>
        <v>0</v>
      </c>
      <c r="I1872" s="2">
        <f t="shared" si="266"/>
        <v>0</v>
      </c>
      <c r="J1872" s="2">
        <f>'(Raw) LensesGH'!E1872</f>
        <v>0</v>
      </c>
      <c r="K1872" s="40">
        <f t="shared" si="267"/>
        <v>0</v>
      </c>
      <c r="L1872" t="str">
        <f>'(Raw) LensesGH'!F1872</f>
        <v>Fujifilm X</v>
      </c>
      <c r="M1872" t="str">
        <f>'(Raw) LensesGH'!G1872</f>
        <v>APS-C</v>
      </c>
      <c r="N1872" t="str">
        <f>'(Raw) LensesGH'!H1872</f>
        <v>290g</v>
      </c>
      <c r="O1872" s="5">
        <f t="shared" si="268"/>
        <v>290</v>
      </c>
      <c r="P1872" t="str">
        <f>'(Raw) LensesGH'!I1872</f>
        <v>60 x 65mm</v>
      </c>
      <c r="Q1872" s="39">
        <f t="shared" si="269"/>
        <v>60</v>
      </c>
      <c r="R1872" s="39">
        <f t="shared" si="261"/>
        <v>65</v>
      </c>
    </row>
    <row r="1873" spans="1:18" x14ac:dyDescent="0.25">
      <c r="A1873" t="str">
        <f>'(Raw) LensesGH'!A1873</f>
        <v>Walimex Pro 8mm 2.8 Fisheye II für Samsung NX schwarz</v>
      </c>
      <c r="B1873" t="str">
        <f>'(Raw) LensesGH'!B1873</f>
        <v>8mm</v>
      </c>
      <c r="C1873" s="5">
        <f t="shared" si="262"/>
        <v>8</v>
      </c>
      <c r="D1873" s="5">
        <f t="shared" si="263"/>
        <v>8</v>
      </c>
      <c r="E1873" t="str">
        <f>'(Raw) LensesGH'!C1873</f>
        <v>1:2.8</v>
      </c>
      <c r="F1873" s="9">
        <f t="shared" si="264"/>
        <v>2.8</v>
      </c>
      <c r="G1873" s="9">
        <f t="shared" si="265"/>
        <v>2.8</v>
      </c>
      <c r="H1873">
        <f>'(Raw) LensesGH'!D1873</f>
        <v>0</v>
      </c>
      <c r="I1873" s="2">
        <f t="shared" si="266"/>
        <v>0</v>
      </c>
      <c r="J1873" s="2">
        <f>'(Raw) LensesGH'!E1873</f>
        <v>0</v>
      </c>
      <c r="K1873" s="40">
        <f t="shared" si="267"/>
        <v>0</v>
      </c>
      <c r="L1873" t="str">
        <f>'(Raw) LensesGH'!F1873</f>
        <v>Samsung NX</v>
      </c>
      <c r="M1873" t="str">
        <f>'(Raw) LensesGH'!G1873</f>
        <v>APS-C</v>
      </c>
      <c r="N1873" t="str">
        <f>'(Raw) LensesGH'!H1873</f>
        <v>290g</v>
      </c>
      <c r="O1873" s="5">
        <f t="shared" si="268"/>
        <v>290</v>
      </c>
      <c r="P1873" t="str">
        <f>'(Raw) LensesGH'!I1873</f>
        <v>60 x 65mm</v>
      </c>
      <c r="Q1873" s="39">
        <f t="shared" si="269"/>
        <v>60</v>
      </c>
      <c r="R1873" s="39">
        <f t="shared" si="261"/>
        <v>65</v>
      </c>
    </row>
    <row r="1874" spans="1:18" x14ac:dyDescent="0.25">
      <c r="A1874" t="str">
        <f>'(Raw) LensesGH'!A1874</f>
        <v>Walimex Pro 8mm 2.8 Fisheye II für Sony E schwarz</v>
      </c>
      <c r="B1874" t="str">
        <f>'(Raw) LensesGH'!B1874</f>
        <v>8mm</v>
      </c>
      <c r="C1874" s="5">
        <f t="shared" si="262"/>
        <v>8</v>
      </c>
      <c r="D1874" s="5">
        <f t="shared" si="263"/>
        <v>8</v>
      </c>
      <c r="E1874" t="str">
        <f>'(Raw) LensesGH'!C1874</f>
        <v>1:2.8</v>
      </c>
      <c r="F1874" s="9">
        <f t="shared" si="264"/>
        <v>2.8</v>
      </c>
      <c r="G1874" s="9">
        <f t="shared" si="265"/>
        <v>2.8</v>
      </c>
      <c r="H1874">
        <f>'(Raw) LensesGH'!D1874</f>
        <v>0</v>
      </c>
      <c r="I1874" s="2">
        <f t="shared" si="266"/>
        <v>0</v>
      </c>
      <c r="J1874" s="2">
        <f>'(Raw) LensesGH'!E1874</f>
        <v>0</v>
      </c>
      <c r="K1874" s="40">
        <f t="shared" si="267"/>
        <v>0</v>
      </c>
      <c r="L1874" t="str">
        <f>'(Raw) LensesGH'!F1874</f>
        <v>Sony E</v>
      </c>
      <c r="M1874" t="str">
        <f>'(Raw) LensesGH'!G1874</f>
        <v>APS-C</v>
      </c>
      <c r="N1874" t="str">
        <f>'(Raw) LensesGH'!H1874</f>
        <v>290g</v>
      </c>
      <c r="O1874" s="5">
        <f t="shared" si="268"/>
        <v>290</v>
      </c>
      <c r="P1874" t="str">
        <f>'(Raw) LensesGH'!I1874</f>
        <v>60 x 65mm</v>
      </c>
      <c r="Q1874" s="39">
        <f t="shared" si="269"/>
        <v>60</v>
      </c>
      <c r="R1874" s="39">
        <f t="shared" si="261"/>
        <v>65</v>
      </c>
    </row>
    <row r="1875" spans="1:18" x14ac:dyDescent="0.25">
      <c r="A1875" t="str">
        <f>'(Raw) LensesGH'!A1875</f>
        <v>Walimex Pro 8mm 2.8 Fisheye II für Sony E silber</v>
      </c>
      <c r="B1875" t="str">
        <f>'(Raw) LensesGH'!B1875</f>
        <v>8mm</v>
      </c>
      <c r="C1875" s="5">
        <f t="shared" si="262"/>
        <v>8</v>
      </c>
      <c r="D1875" s="5">
        <f t="shared" si="263"/>
        <v>8</v>
      </c>
      <c r="E1875" t="str">
        <f>'(Raw) LensesGH'!C1875</f>
        <v>1:2.8</v>
      </c>
      <c r="F1875" s="9">
        <f t="shared" si="264"/>
        <v>2.8</v>
      </c>
      <c r="G1875" s="9">
        <f t="shared" si="265"/>
        <v>2.8</v>
      </c>
      <c r="H1875">
        <f>'(Raw) LensesGH'!D1875</f>
        <v>0</v>
      </c>
      <c r="I1875" s="2">
        <f t="shared" si="266"/>
        <v>0</v>
      </c>
      <c r="J1875" s="2">
        <f>'(Raw) LensesGH'!E1875</f>
        <v>0</v>
      </c>
      <c r="K1875" s="40">
        <f t="shared" si="267"/>
        <v>0</v>
      </c>
      <c r="L1875" t="str">
        <f>'(Raw) LensesGH'!F1875</f>
        <v>Sony E</v>
      </c>
      <c r="M1875" t="str">
        <f>'(Raw) LensesGH'!G1875</f>
        <v>APS-C</v>
      </c>
      <c r="N1875" t="str">
        <f>'(Raw) LensesGH'!H1875</f>
        <v>290g</v>
      </c>
      <c r="O1875" s="5">
        <f t="shared" si="268"/>
        <v>290</v>
      </c>
      <c r="P1875" t="str">
        <f>'(Raw) LensesGH'!I1875</f>
        <v>60 x 65mm</v>
      </c>
      <c r="Q1875" s="39">
        <f t="shared" si="269"/>
        <v>60</v>
      </c>
      <c r="R1875" s="39">
        <f t="shared" si="261"/>
        <v>65</v>
      </c>
    </row>
    <row r="1876" spans="1:18" x14ac:dyDescent="0.25">
      <c r="A1876" t="str">
        <f>'(Raw) LensesGH'!A1876</f>
        <v>Walimex Pro 8mm 3.1 Fisheye II VCSC für Canon EF-M schwarz</v>
      </c>
      <c r="B1876" t="str">
        <f>'(Raw) LensesGH'!B1876</f>
        <v>8mm</v>
      </c>
      <c r="C1876" s="5">
        <f t="shared" si="262"/>
        <v>8</v>
      </c>
      <c r="D1876" s="5">
        <f t="shared" si="263"/>
        <v>8</v>
      </c>
      <c r="E1876" t="str">
        <f>'(Raw) LensesGH'!C1876</f>
        <v>1:3.1</v>
      </c>
      <c r="F1876" s="9">
        <f t="shared" si="264"/>
        <v>3.1</v>
      </c>
      <c r="G1876" s="9">
        <f t="shared" si="265"/>
        <v>3.1</v>
      </c>
      <c r="H1876">
        <f>'(Raw) LensesGH'!D1876</f>
        <v>0</v>
      </c>
      <c r="I1876" s="2">
        <f t="shared" si="266"/>
        <v>0</v>
      </c>
      <c r="J1876" s="2">
        <f>'(Raw) LensesGH'!E1876</f>
        <v>0</v>
      </c>
      <c r="K1876" s="40">
        <f t="shared" si="267"/>
        <v>0</v>
      </c>
      <c r="L1876" t="str">
        <f>'(Raw) LensesGH'!F1876</f>
        <v>Canon EF-M</v>
      </c>
      <c r="M1876" t="str">
        <f>'(Raw) LensesGH'!G1876</f>
        <v>APS-C</v>
      </c>
      <c r="N1876" t="str">
        <f>'(Raw) LensesGH'!H1876</f>
        <v>265g</v>
      </c>
      <c r="O1876" s="5">
        <f t="shared" si="268"/>
        <v>265</v>
      </c>
      <c r="P1876" t="str">
        <f>'(Raw) LensesGH'!I1876</f>
        <v>73.6 x 64.4mm</v>
      </c>
      <c r="Q1876" s="39">
        <f t="shared" si="269"/>
        <v>73.599999999999994</v>
      </c>
      <c r="R1876" s="39">
        <f t="shared" si="261"/>
        <v>64.400000000000006</v>
      </c>
    </row>
    <row r="1877" spans="1:18" x14ac:dyDescent="0.25">
      <c r="A1877" t="str">
        <f>'(Raw) LensesGH'!A1877</f>
        <v>Walimex Pro 8mm 3.1 Fisheye II VCSC für Fujifilm X schwarz</v>
      </c>
      <c r="B1877" t="str">
        <f>'(Raw) LensesGH'!B1877</f>
        <v>8mm</v>
      </c>
      <c r="C1877" s="5">
        <f t="shared" si="262"/>
        <v>8</v>
      </c>
      <c r="D1877" s="5">
        <f t="shared" si="263"/>
        <v>8</v>
      </c>
      <c r="E1877" t="str">
        <f>'(Raw) LensesGH'!C1877</f>
        <v>1:3.1</v>
      </c>
      <c r="F1877" s="9">
        <f t="shared" si="264"/>
        <v>3.1</v>
      </c>
      <c r="G1877" s="9">
        <f t="shared" si="265"/>
        <v>3.1</v>
      </c>
      <c r="H1877">
        <f>'(Raw) LensesGH'!D1877</f>
        <v>0</v>
      </c>
      <c r="I1877" s="2">
        <f t="shared" si="266"/>
        <v>0</v>
      </c>
      <c r="J1877" s="2">
        <f>'(Raw) LensesGH'!E1877</f>
        <v>0</v>
      </c>
      <c r="K1877" s="40">
        <f t="shared" si="267"/>
        <v>0</v>
      </c>
      <c r="L1877" t="str">
        <f>'(Raw) LensesGH'!F1877</f>
        <v>Fujifilm X</v>
      </c>
      <c r="M1877" t="str">
        <f>'(Raw) LensesGH'!G1877</f>
        <v>APS-C</v>
      </c>
      <c r="N1877" t="str">
        <f>'(Raw) LensesGH'!H1877</f>
        <v>265g</v>
      </c>
      <c r="O1877" s="5">
        <f t="shared" si="268"/>
        <v>265</v>
      </c>
      <c r="P1877" t="str">
        <f>'(Raw) LensesGH'!I1877</f>
        <v>73.6 x 64.4mm</v>
      </c>
      <c r="Q1877" s="39">
        <f t="shared" si="269"/>
        <v>73.599999999999994</v>
      </c>
      <c r="R1877" s="39">
        <f t="shared" si="261"/>
        <v>64.400000000000006</v>
      </c>
    </row>
    <row r="1878" spans="1:18" x14ac:dyDescent="0.25">
      <c r="A1878" t="str">
        <f>'(Raw) LensesGH'!A1878</f>
        <v>Walimex Pro 8mm 3.1 Fisheye II VCSC für Samsung NX schwarz</v>
      </c>
      <c r="B1878" t="str">
        <f>'(Raw) LensesGH'!B1878</f>
        <v>8mm</v>
      </c>
      <c r="C1878" s="5">
        <f t="shared" si="262"/>
        <v>8</v>
      </c>
      <c r="D1878" s="5">
        <f t="shared" si="263"/>
        <v>8</v>
      </c>
      <c r="E1878" t="str">
        <f>'(Raw) LensesGH'!C1878</f>
        <v>1:3.1</v>
      </c>
      <c r="F1878" s="9">
        <f t="shared" si="264"/>
        <v>3.1</v>
      </c>
      <c r="G1878" s="9">
        <f t="shared" si="265"/>
        <v>3.1</v>
      </c>
      <c r="H1878">
        <f>'(Raw) LensesGH'!D1878</f>
        <v>0</v>
      </c>
      <c r="I1878" s="2">
        <f t="shared" si="266"/>
        <v>0</v>
      </c>
      <c r="J1878" s="2">
        <f>'(Raw) LensesGH'!E1878</f>
        <v>0</v>
      </c>
      <c r="K1878" s="40">
        <f t="shared" si="267"/>
        <v>0</v>
      </c>
      <c r="L1878" t="str">
        <f>'(Raw) LensesGH'!F1878</f>
        <v>Samsung NX</v>
      </c>
      <c r="M1878" t="str">
        <f>'(Raw) LensesGH'!G1878</f>
        <v>APS-C</v>
      </c>
      <c r="N1878" t="str">
        <f>'(Raw) LensesGH'!H1878</f>
        <v>265g</v>
      </c>
      <c r="O1878" s="5">
        <f t="shared" si="268"/>
        <v>265</v>
      </c>
      <c r="P1878" t="str">
        <f>'(Raw) LensesGH'!I1878</f>
        <v>73.6 x 64.4mm</v>
      </c>
      <c r="Q1878" s="39">
        <f t="shared" si="269"/>
        <v>73.599999999999994</v>
      </c>
      <c r="R1878" s="39">
        <f t="shared" si="261"/>
        <v>64.400000000000006</v>
      </c>
    </row>
    <row r="1879" spans="1:18" x14ac:dyDescent="0.25">
      <c r="A1879" t="str">
        <f>'(Raw) LensesGH'!A1879</f>
        <v>Walimex Pro 8mm 3.1 Fisheye II VCSC für Sony E schwarz</v>
      </c>
      <c r="B1879" t="str">
        <f>'(Raw) LensesGH'!B1879</f>
        <v>8mm</v>
      </c>
      <c r="C1879" s="5">
        <f t="shared" si="262"/>
        <v>8</v>
      </c>
      <c r="D1879" s="5">
        <f t="shared" si="263"/>
        <v>8</v>
      </c>
      <c r="E1879" t="str">
        <f>'(Raw) LensesGH'!C1879</f>
        <v>1:3.1</v>
      </c>
      <c r="F1879" s="9">
        <f t="shared" si="264"/>
        <v>3.1</v>
      </c>
      <c r="G1879" s="9">
        <f t="shared" si="265"/>
        <v>3.1</v>
      </c>
      <c r="H1879">
        <f>'(Raw) LensesGH'!D1879</f>
        <v>0</v>
      </c>
      <c r="I1879" s="2">
        <f t="shared" si="266"/>
        <v>0</v>
      </c>
      <c r="J1879" s="2">
        <f>'(Raw) LensesGH'!E1879</f>
        <v>0</v>
      </c>
      <c r="K1879" s="40">
        <f t="shared" si="267"/>
        <v>0</v>
      </c>
      <c r="L1879" t="str">
        <f>'(Raw) LensesGH'!F1879</f>
        <v>Sony E</v>
      </c>
      <c r="M1879" t="str">
        <f>'(Raw) LensesGH'!G1879</f>
        <v>APS-C</v>
      </c>
      <c r="N1879" t="str">
        <f>'(Raw) LensesGH'!H1879</f>
        <v>265g</v>
      </c>
      <c r="O1879" s="5">
        <f t="shared" si="268"/>
        <v>265</v>
      </c>
      <c r="P1879" t="str">
        <f>'(Raw) LensesGH'!I1879</f>
        <v>73.6 x 64.4mm</v>
      </c>
      <c r="Q1879" s="39">
        <f t="shared" si="269"/>
        <v>73.599999999999994</v>
      </c>
      <c r="R1879" s="39">
        <f t="shared" si="261"/>
        <v>64.400000000000006</v>
      </c>
    </row>
    <row r="1880" spans="1:18" x14ac:dyDescent="0.25">
      <c r="A1880" t="str">
        <f>'(Raw) LensesGH'!A1880</f>
        <v>Walimex Pro 8mm 3.5 Fisheye für Canon EF schwarz</v>
      </c>
      <c r="B1880" t="str">
        <f>'(Raw) LensesGH'!B1880</f>
        <v>8mm</v>
      </c>
      <c r="C1880" s="5">
        <f t="shared" si="262"/>
        <v>8</v>
      </c>
      <c r="D1880" s="5">
        <f t="shared" si="263"/>
        <v>8</v>
      </c>
      <c r="E1880" t="str">
        <f>'(Raw) LensesGH'!C1880</f>
        <v>1:3.5</v>
      </c>
      <c r="F1880" s="9">
        <f t="shared" si="264"/>
        <v>3.5</v>
      </c>
      <c r="G1880" s="9">
        <f t="shared" si="265"/>
        <v>3.5</v>
      </c>
      <c r="H1880">
        <f>'(Raw) LensesGH'!D1880</f>
        <v>0</v>
      </c>
      <c r="I1880" s="2">
        <f t="shared" si="266"/>
        <v>0</v>
      </c>
      <c r="J1880" s="2">
        <f>'(Raw) LensesGH'!E1880</f>
        <v>0</v>
      </c>
      <c r="K1880" s="40">
        <f t="shared" si="267"/>
        <v>0</v>
      </c>
      <c r="L1880" t="str">
        <f>'(Raw) LensesGH'!F1880</f>
        <v>Canon EF</v>
      </c>
      <c r="M1880" t="str">
        <f>'(Raw) LensesGH'!G1880</f>
        <v>APS-C</v>
      </c>
      <c r="N1880" t="str">
        <f>'(Raw) LensesGH'!H1880</f>
        <v>440g</v>
      </c>
      <c r="O1880" s="5">
        <f t="shared" si="268"/>
        <v>440</v>
      </c>
      <c r="P1880" t="str">
        <f>'(Raw) LensesGH'!I1880</f>
        <v>75 x 77.3mm</v>
      </c>
      <c r="Q1880" s="39">
        <f t="shared" si="269"/>
        <v>75</v>
      </c>
      <c r="R1880" s="39">
        <f t="shared" si="261"/>
        <v>77.3</v>
      </c>
    </row>
    <row r="1881" spans="1:18" x14ac:dyDescent="0.25">
      <c r="A1881" t="str">
        <f>'(Raw) LensesGH'!A1881</f>
        <v>Walimex Pro 8mm 3.5 Fisheye für Micro-Four-Thirds schwarz</v>
      </c>
      <c r="B1881" t="str">
        <f>'(Raw) LensesGH'!B1881</f>
        <v>8mm</v>
      </c>
      <c r="C1881" s="5">
        <f t="shared" si="262"/>
        <v>8</v>
      </c>
      <c r="D1881" s="5">
        <f t="shared" si="263"/>
        <v>8</v>
      </c>
      <c r="E1881" t="str">
        <f>'(Raw) LensesGH'!C1881</f>
        <v>1:3.5</v>
      </c>
      <c r="F1881" s="9">
        <f t="shared" si="264"/>
        <v>3.5</v>
      </c>
      <c r="G1881" s="9">
        <f t="shared" si="265"/>
        <v>3.5</v>
      </c>
      <c r="H1881">
        <f>'(Raw) LensesGH'!D1881</f>
        <v>0</v>
      </c>
      <c r="I1881" s="2">
        <f t="shared" si="266"/>
        <v>0</v>
      </c>
      <c r="J1881" s="2">
        <f>'(Raw) LensesGH'!E1881</f>
        <v>0</v>
      </c>
      <c r="K1881" s="40">
        <f t="shared" si="267"/>
        <v>0</v>
      </c>
      <c r="L1881" t="str">
        <f>'(Raw) LensesGH'!F1881</f>
        <v>Micro-Four-Thirds</v>
      </c>
      <c r="M1881" t="str">
        <f>'(Raw) LensesGH'!G1881</f>
        <v>Four-Thirds</v>
      </c>
      <c r="N1881" t="str">
        <f>'(Raw) LensesGH'!H1881</f>
        <v>400g</v>
      </c>
      <c r="O1881" s="5">
        <f t="shared" si="268"/>
        <v>400</v>
      </c>
      <c r="P1881" t="str">
        <f>'(Raw) LensesGH'!I1881</f>
        <v>75 x 100mm</v>
      </c>
      <c r="Q1881" s="39">
        <f t="shared" si="269"/>
        <v>75</v>
      </c>
      <c r="R1881" s="39">
        <f t="shared" si="261"/>
        <v>100</v>
      </c>
    </row>
    <row r="1882" spans="1:18" x14ac:dyDescent="0.25">
      <c r="A1882" t="str">
        <f>'(Raw) LensesGH'!A1882</f>
        <v>Walimex Pro 8mm 3.5 Fisheye für Nikon F schwarz</v>
      </c>
      <c r="B1882" t="str">
        <f>'(Raw) LensesGH'!B1882</f>
        <v>8mm</v>
      </c>
      <c r="C1882" s="5">
        <f t="shared" si="262"/>
        <v>8</v>
      </c>
      <c r="D1882" s="5">
        <f t="shared" si="263"/>
        <v>8</v>
      </c>
      <c r="E1882" t="str">
        <f>'(Raw) LensesGH'!C1882</f>
        <v>1:3.5</v>
      </c>
      <c r="F1882" s="9">
        <f t="shared" si="264"/>
        <v>3.5</v>
      </c>
      <c r="G1882" s="9">
        <f t="shared" si="265"/>
        <v>3.5</v>
      </c>
      <c r="H1882">
        <f>'(Raw) LensesGH'!D1882</f>
        <v>0</v>
      </c>
      <c r="I1882" s="2">
        <f t="shared" si="266"/>
        <v>0</v>
      </c>
      <c r="J1882" s="2">
        <f>'(Raw) LensesGH'!E1882</f>
        <v>0</v>
      </c>
      <c r="K1882" s="40">
        <f t="shared" si="267"/>
        <v>0</v>
      </c>
      <c r="L1882" t="str">
        <f>'(Raw) LensesGH'!F1882</f>
        <v>Nikon F</v>
      </c>
      <c r="M1882" t="str">
        <f>'(Raw) LensesGH'!G1882</f>
        <v>APS-C</v>
      </c>
      <c r="N1882" t="str">
        <f>'(Raw) LensesGH'!H1882</f>
        <v>400g</v>
      </c>
      <c r="O1882" s="5">
        <f t="shared" si="268"/>
        <v>400</v>
      </c>
      <c r="P1882" t="str">
        <f>'(Raw) LensesGH'!I1882</f>
        <v>75 x 100mm</v>
      </c>
      <c r="Q1882" s="39">
        <f t="shared" si="269"/>
        <v>75</v>
      </c>
      <c r="R1882" s="39">
        <f t="shared" si="261"/>
        <v>100</v>
      </c>
    </row>
    <row r="1883" spans="1:18" x14ac:dyDescent="0.25">
      <c r="A1883" t="str">
        <f>'(Raw) LensesGH'!A1883</f>
        <v>Walimex Pro 8mm 3.5 Fisheye für Pentax K schwarz</v>
      </c>
      <c r="B1883" t="str">
        <f>'(Raw) LensesGH'!B1883</f>
        <v>8mm</v>
      </c>
      <c r="C1883" s="5">
        <f t="shared" si="262"/>
        <v>8</v>
      </c>
      <c r="D1883" s="5">
        <f t="shared" si="263"/>
        <v>8</v>
      </c>
      <c r="E1883" t="str">
        <f>'(Raw) LensesGH'!C1883</f>
        <v>1:3.5</v>
      </c>
      <c r="F1883" s="9">
        <f t="shared" si="264"/>
        <v>3.5</v>
      </c>
      <c r="G1883" s="9">
        <f t="shared" si="265"/>
        <v>3.5</v>
      </c>
      <c r="H1883">
        <f>'(Raw) LensesGH'!D1883</f>
        <v>0</v>
      </c>
      <c r="I1883" s="2">
        <f t="shared" si="266"/>
        <v>0</v>
      </c>
      <c r="J1883" s="2">
        <f>'(Raw) LensesGH'!E1883</f>
        <v>0</v>
      </c>
      <c r="K1883" s="40">
        <f t="shared" si="267"/>
        <v>0</v>
      </c>
      <c r="L1883" t="str">
        <f>'(Raw) LensesGH'!F1883</f>
        <v>Pentax K</v>
      </c>
      <c r="M1883" t="str">
        <f>'(Raw) LensesGH'!G1883</f>
        <v>APS-C</v>
      </c>
      <c r="N1883" t="str">
        <f>'(Raw) LensesGH'!H1883</f>
        <v>400g</v>
      </c>
      <c r="O1883" s="5">
        <f t="shared" si="268"/>
        <v>400</v>
      </c>
      <c r="P1883" t="str">
        <f>'(Raw) LensesGH'!I1883</f>
        <v>75 x 100mm</v>
      </c>
      <c r="Q1883" s="39">
        <f t="shared" si="269"/>
        <v>75</v>
      </c>
      <c r="R1883" s="39">
        <f t="shared" si="261"/>
        <v>100</v>
      </c>
    </row>
    <row r="1884" spans="1:18" x14ac:dyDescent="0.25">
      <c r="A1884" t="str">
        <f>'(Raw) LensesGH'!A1884</f>
        <v>Walimex Pro 8mm 3.5 Fisheye für Sony E schwarz</v>
      </c>
      <c r="B1884" t="str">
        <f>'(Raw) LensesGH'!B1884</f>
        <v>8mm</v>
      </c>
      <c r="C1884" s="5">
        <f t="shared" si="262"/>
        <v>8</v>
      </c>
      <c r="D1884" s="5">
        <f t="shared" si="263"/>
        <v>8</v>
      </c>
      <c r="E1884" t="str">
        <f>'(Raw) LensesGH'!C1884</f>
        <v>1:3.5</v>
      </c>
      <c r="F1884" s="9">
        <f t="shared" si="264"/>
        <v>3.5</v>
      </c>
      <c r="G1884" s="9">
        <f t="shared" si="265"/>
        <v>3.5</v>
      </c>
      <c r="H1884">
        <f>'(Raw) LensesGH'!D1884</f>
        <v>0</v>
      </c>
      <c r="I1884" s="2">
        <f t="shared" si="266"/>
        <v>0</v>
      </c>
      <c r="J1884" s="2">
        <f>'(Raw) LensesGH'!E1884</f>
        <v>0</v>
      </c>
      <c r="K1884" s="40">
        <f t="shared" si="267"/>
        <v>0</v>
      </c>
      <c r="L1884" t="str">
        <f>'(Raw) LensesGH'!F1884</f>
        <v>Sony E</v>
      </c>
      <c r="M1884" t="str">
        <f>'(Raw) LensesGH'!G1884</f>
        <v>APS-C</v>
      </c>
      <c r="N1884" t="str">
        <f>'(Raw) LensesGH'!H1884</f>
        <v>400g</v>
      </c>
      <c r="O1884" s="5">
        <f t="shared" si="268"/>
        <v>400</v>
      </c>
      <c r="P1884" t="str">
        <f>'(Raw) LensesGH'!I1884</f>
        <v>75 x 100mm</v>
      </c>
      <c r="Q1884" s="39">
        <f t="shared" si="269"/>
        <v>75</v>
      </c>
      <c r="R1884" s="39">
        <f t="shared" si="261"/>
        <v>100</v>
      </c>
    </row>
    <row r="1885" spans="1:18" x14ac:dyDescent="0.25">
      <c r="A1885" t="str">
        <f>'(Raw) LensesGH'!A1885</f>
        <v>Walimex Pro 8mm 3.5 Fisheye II für Canon EF schwarz</v>
      </c>
      <c r="B1885" t="str">
        <f>'(Raw) LensesGH'!B1885</f>
        <v>8mm</v>
      </c>
      <c r="C1885" s="5">
        <f t="shared" si="262"/>
        <v>8</v>
      </c>
      <c r="D1885" s="5">
        <f t="shared" si="263"/>
        <v>8</v>
      </c>
      <c r="E1885" t="str">
        <f>'(Raw) LensesGH'!C1885</f>
        <v>1:3.5</v>
      </c>
      <c r="F1885" s="9">
        <f t="shared" si="264"/>
        <v>3.5</v>
      </c>
      <c r="G1885" s="9">
        <f t="shared" si="265"/>
        <v>3.5</v>
      </c>
      <c r="H1885">
        <f>'(Raw) LensesGH'!D1885</f>
        <v>0</v>
      </c>
      <c r="I1885" s="2">
        <f t="shared" si="266"/>
        <v>0</v>
      </c>
      <c r="J1885" s="2">
        <f>'(Raw) LensesGH'!E1885</f>
        <v>0</v>
      </c>
      <c r="K1885" s="40">
        <f t="shared" si="267"/>
        <v>0</v>
      </c>
      <c r="L1885" t="str">
        <f>'(Raw) LensesGH'!F1885</f>
        <v>Canon EF</v>
      </c>
      <c r="M1885" t="str">
        <f>'(Raw) LensesGH'!G1885</f>
        <v>APS-C</v>
      </c>
      <c r="N1885" t="str">
        <f>'(Raw) LensesGH'!H1885</f>
        <v>440g</v>
      </c>
      <c r="O1885" s="5">
        <f t="shared" si="268"/>
        <v>440</v>
      </c>
      <c r="P1885" t="str">
        <f>'(Raw) LensesGH'!I1885</f>
        <v>75 x 77.3mm</v>
      </c>
      <c r="Q1885" s="39">
        <f t="shared" si="269"/>
        <v>75</v>
      </c>
      <c r="R1885" s="39">
        <f t="shared" si="261"/>
        <v>77.3</v>
      </c>
    </row>
    <row r="1886" spans="1:18" x14ac:dyDescent="0.25">
      <c r="A1886" t="str">
        <f>'(Raw) LensesGH'!A1886</f>
        <v>Walimex Pro 8mm 3.5 Fisheye II für Canon EF-M schwarz (20129)</v>
      </c>
      <c r="B1886" t="str">
        <f>'(Raw) LensesGH'!B1886</f>
        <v>8mm</v>
      </c>
      <c r="C1886" s="5">
        <f t="shared" si="262"/>
        <v>8</v>
      </c>
      <c r="D1886" s="5">
        <f t="shared" si="263"/>
        <v>8</v>
      </c>
      <c r="E1886" t="str">
        <f>'(Raw) LensesGH'!C1886</f>
        <v>1:3.5</v>
      </c>
      <c r="F1886" s="9">
        <f t="shared" si="264"/>
        <v>3.5</v>
      </c>
      <c r="G1886" s="9">
        <f t="shared" si="265"/>
        <v>3.5</v>
      </c>
      <c r="H1886">
        <f>'(Raw) LensesGH'!D1886</f>
        <v>0</v>
      </c>
      <c r="I1886" s="2">
        <f t="shared" si="266"/>
        <v>0</v>
      </c>
      <c r="J1886" s="2">
        <f>'(Raw) LensesGH'!E1886</f>
        <v>0</v>
      </c>
      <c r="K1886" s="40">
        <f t="shared" si="267"/>
        <v>0</v>
      </c>
      <c r="L1886" t="str">
        <f>'(Raw) LensesGH'!F1886</f>
        <v>Canon EF-M</v>
      </c>
      <c r="M1886">
        <f>'(Raw) LensesGH'!G1886</f>
        <v>0</v>
      </c>
      <c r="N1886" t="str">
        <f>'(Raw) LensesGH'!H1886</f>
        <v>440g</v>
      </c>
      <c r="O1886" s="5">
        <f t="shared" si="268"/>
        <v>440</v>
      </c>
      <c r="P1886" t="str">
        <f>'(Raw) LensesGH'!I1886</f>
        <v>75 x 77.3mm</v>
      </c>
      <c r="Q1886" s="39">
        <f t="shared" si="269"/>
        <v>75</v>
      </c>
      <c r="R1886" s="39">
        <f t="shared" si="261"/>
        <v>77.3</v>
      </c>
    </row>
    <row r="1887" spans="1:18" x14ac:dyDescent="0.25">
      <c r="A1887" t="str">
        <f>'(Raw) LensesGH'!A1887</f>
        <v>Walimex Pro 8mm 3.5 Fisheye II für Four-Thirds schwarz</v>
      </c>
      <c r="B1887" t="str">
        <f>'(Raw) LensesGH'!B1887</f>
        <v>8mm</v>
      </c>
      <c r="C1887" s="5">
        <f t="shared" si="262"/>
        <v>8</v>
      </c>
      <c r="D1887" s="5">
        <f t="shared" si="263"/>
        <v>8</v>
      </c>
      <c r="E1887" t="str">
        <f>'(Raw) LensesGH'!C1887</f>
        <v>1:3.5</v>
      </c>
      <c r="F1887" s="9">
        <f t="shared" si="264"/>
        <v>3.5</v>
      </c>
      <c r="G1887" s="9">
        <f t="shared" si="265"/>
        <v>3.5</v>
      </c>
      <c r="H1887">
        <f>'(Raw) LensesGH'!D1887</f>
        <v>0</v>
      </c>
      <c r="I1887" s="2">
        <f t="shared" si="266"/>
        <v>0</v>
      </c>
      <c r="J1887" s="2">
        <f>'(Raw) LensesGH'!E1887</f>
        <v>0</v>
      </c>
      <c r="K1887" s="40">
        <f t="shared" si="267"/>
        <v>0</v>
      </c>
      <c r="L1887" t="str">
        <f>'(Raw) LensesGH'!F1887</f>
        <v>Four-Thirds</v>
      </c>
      <c r="M1887" t="str">
        <f>'(Raw) LensesGH'!G1887</f>
        <v>APS-C</v>
      </c>
      <c r="N1887" t="str">
        <f>'(Raw) LensesGH'!H1887</f>
        <v>430g</v>
      </c>
      <c r="O1887" s="5">
        <f t="shared" si="268"/>
        <v>430</v>
      </c>
      <c r="P1887" t="str">
        <f>'(Raw) LensesGH'!I1887</f>
        <v>75 x 80mm</v>
      </c>
      <c r="Q1887" s="39">
        <f t="shared" si="269"/>
        <v>75</v>
      </c>
      <c r="R1887" s="39">
        <f t="shared" si="261"/>
        <v>80</v>
      </c>
    </row>
    <row r="1888" spans="1:18" x14ac:dyDescent="0.25">
      <c r="A1888" t="str">
        <f>'(Raw) LensesGH'!A1888</f>
        <v>Walimex Pro 8mm 3.5 Fisheye II für Fujifilm X schwarz</v>
      </c>
      <c r="B1888" t="str">
        <f>'(Raw) LensesGH'!B1888</f>
        <v>8mm</v>
      </c>
      <c r="C1888" s="5">
        <f t="shared" si="262"/>
        <v>8</v>
      </c>
      <c r="D1888" s="5">
        <f t="shared" si="263"/>
        <v>8</v>
      </c>
      <c r="E1888" t="str">
        <f>'(Raw) LensesGH'!C1888</f>
        <v>1:3.5</v>
      </c>
      <c r="F1888" s="9">
        <f t="shared" si="264"/>
        <v>3.5</v>
      </c>
      <c r="G1888" s="9">
        <f t="shared" si="265"/>
        <v>3.5</v>
      </c>
      <c r="H1888">
        <f>'(Raw) LensesGH'!D1888</f>
        <v>0</v>
      </c>
      <c r="I1888" s="2">
        <f t="shared" si="266"/>
        <v>0</v>
      </c>
      <c r="J1888" s="2">
        <f>'(Raw) LensesGH'!E1888</f>
        <v>0</v>
      </c>
      <c r="K1888" s="40">
        <f t="shared" si="267"/>
        <v>0</v>
      </c>
      <c r="L1888" t="str">
        <f>'(Raw) LensesGH'!F1888</f>
        <v>Fujifilm X</v>
      </c>
      <c r="M1888" t="str">
        <f>'(Raw) LensesGH'!G1888</f>
        <v>APS-C</v>
      </c>
      <c r="N1888" t="str">
        <f>'(Raw) LensesGH'!H1888</f>
        <v>440g</v>
      </c>
      <c r="O1888" s="5">
        <f t="shared" si="268"/>
        <v>440</v>
      </c>
      <c r="P1888" t="str">
        <f>'(Raw) LensesGH'!I1888</f>
        <v>75 x 77.3mm</v>
      </c>
      <c r="Q1888" s="39">
        <f t="shared" si="269"/>
        <v>75</v>
      </c>
      <c r="R1888" s="39">
        <f t="shared" si="261"/>
        <v>77.3</v>
      </c>
    </row>
    <row r="1889" spans="1:18" x14ac:dyDescent="0.25">
      <c r="A1889" t="str">
        <f>'(Raw) LensesGH'!A1889</f>
        <v>Walimex Pro 8mm 3.5 Fisheye II für Nikon 1 schwarz</v>
      </c>
      <c r="B1889" t="str">
        <f>'(Raw) LensesGH'!B1889</f>
        <v>8mm</v>
      </c>
      <c r="C1889" s="5">
        <f t="shared" si="262"/>
        <v>8</v>
      </c>
      <c r="D1889" s="5">
        <f t="shared" si="263"/>
        <v>8</v>
      </c>
      <c r="E1889" t="str">
        <f>'(Raw) LensesGH'!C1889</f>
        <v>1:3.5</v>
      </c>
      <c r="F1889" s="9">
        <f t="shared" si="264"/>
        <v>3.5</v>
      </c>
      <c r="G1889" s="9">
        <f t="shared" si="265"/>
        <v>3.5</v>
      </c>
      <c r="H1889">
        <f>'(Raw) LensesGH'!D1889</f>
        <v>0</v>
      </c>
      <c r="I1889" s="2">
        <f t="shared" si="266"/>
        <v>0</v>
      </c>
      <c r="J1889" s="2">
        <f>'(Raw) LensesGH'!E1889</f>
        <v>0</v>
      </c>
      <c r="K1889" s="40">
        <f t="shared" si="267"/>
        <v>0</v>
      </c>
      <c r="L1889" t="str">
        <f>'(Raw) LensesGH'!F1889</f>
        <v>Nikon 1</v>
      </c>
      <c r="M1889" t="str">
        <f>'(Raw) LensesGH'!G1889</f>
        <v>APS-C</v>
      </c>
      <c r="N1889" t="str">
        <f>'(Raw) LensesGH'!H1889</f>
        <v>400g</v>
      </c>
      <c r="O1889" s="5">
        <f t="shared" si="268"/>
        <v>400</v>
      </c>
      <c r="P1889" t="str">
        <f>'(Raw) LensesGH'!I1889</f>
        <v>75 x 100mm</v>
      </c>
      <c r="Q1889" s="39">
        <f t="shared" si="269"/>
        <v>75</v>
      </c>
      <c r="R1889" s="39">
        <f t="shared" si="261"/>
        <v>100</v>
      </c>
    </row>
    <row r="1890" spans="1:18" x14ac:dyDescent="0.25">
      <c r="A1890" t="str">
        <f>'(Raw) LensesGH'!A1890</f>
        <v>Walimex Pro 8mm 3.5 Fisheye II für Nikon F schwarz</v>
      </c>
      <c r="B1890" t="str">
        <f>'(Raw) LensesGH'!B1890</f>
        <v>8mm</v>
      </c>
      <c r="C1890" s="5">
        <f t="shared" si="262"/>
        <v>8</v>
      </c>
      <c r="D1890" s="5">
        <f t="shared" si="263"/>
        <v>8</v>
      </c>
      <c r="E1890" t="str">
        <f>'(Raw) LensesGH'!C1890</f>
        <v>1:3.5</v>
      </c>
      <c r="F1890" s="9">
        <f t="shared" si="264"/>
        <v>3.5</v>
      </c>
      <c r="G1890" s="9">
        <f t="shared" si="265"/>
        <v>3.5</v>
      </c>
      <c r="H1890">
        <f>'(Raw) LensesGH'!D1890</f>
        <v>0</v>
      </c>
      <c r="I1890" s="2">
        <f t="shared" si="266"/>
        <v>0</v>
      </c>
      <c r="J1890" s="2">
        <f>'(Raw) LensesGH'!E1890</f>
        <v>0</v>
      </c>
      <c r="K1890" s="40">
        <f t="shared" si="267"/>
        <v>0</v>
      </c>
      <c r="L1890" t="str">
        <f>'(Raw) LensesGH'!F1890</f>
        <v>Nikon F</v>
      </c>
      <c r="M1890" t="str">
        <f>'(Raw) LensesGH'!G1890</f>
        <v>APS-C</v>
      </c>
      <c r="N1890" t="str">
        <f>'(Raw) LensesGH'!H1890</f>
        <v>400g</v>
      </c>
      <c r="O1890" s="5">
        <f t="shared" si="268"/>
        <v>400</v>
      </c>
      <c r="P1890" t="str">
        <f>'(Raw) LensesGH'!I1890</f>
        <v>75 x 100mm</v>
      </c>
      <c r="Q1890" s="39">
        <f t="shared" si="269"/>
        <v>75</v>
      </c>
      <c r="R1890" s="39">
        <f t="shared" si="261"/>
        <v>100</v>
      </c>
    </row>
    <row r="1891" spans="1:18" x14ac:dyDescent="0.25">
      <c r="A1891" t="str">
        <f>'(Raw) LensesGH'!A1891</f>
        <v>Walimex Pro 8mm 3.5 Fisheye II für Pentax K schwarz</v>
      </c>
      <c r="B1891" t="str">
        <f>'(Raw) LensesGH'!B1891</f>
        <v>8mm</v>
      </c>
      <c r="C1891" s="5">
        <f t="shared" si="262"/>
        <v>8</v>
      </c>
      <c r="D1891" s="5">
        <f t="shared" si="263"/>
        <v>8</v>
      </c>
      <c r="E1891" t="str">
        <f>'(Raw) LensesGH'!C1891</f>
        <v>1:3.5</v>
      </c>
      <c r="F1891" s="9">
        <f t="shared" si="264"/>
        <v>3.5</v>
      </c>
      <c r="G1891" s="9">
        <f t="shared" si="265"/>
        <v>3.5</v>
      </c>
      <c r="H1891">
        <f>'(Raw) LensesGH'!D1891</f>
        <v>0</v>
      </c>
      <c r="I1891" s="2">
        <f t="shared" si="266"/>
        <v>0</v>
      </c>
      <c r="J1891" s="2">
        <f>'(Raw) LensesGH'!E1891</f>
        <v>0</v>
      </c>
      <c r="K1891" s="40">
        <f t="shared" si="267"/>
        <v>0</v>
      </c>
      <c r="L1891" t="str">
        <f>'(Raw) LensesGH'!F1891</f>
        <v>Pentax K</v>
      </c>
      <c r="M1891" t="str">
        <f>'(Raw) LensesGH'!G1891</f>
        <v>APS-C</v>
      </c>
      <c r="N1891" t="str">
        <f>'(Raw) LensesGH'!H1891</f>
        <v>410g</v>
      </c>
      <c r="O1891" s="5">
        <f t="shared" si="268"/>
        <v>410</v>
      </c>
      <c r="P1891" t="str">
        <f>'(Raw) LensesGH'!I1891</f>
        <v>75 x 75.8mm</v>
      </c>
      <c r="Q1891" s="39">
        <f t="shared" si="269"/>
        <v>75</v>
      </c>
      <c r="R1891" s="39">
        <f t="shared" si="261"/>
        <v>75.8</v>
      </c>
    </row>
    <row r="1892" spans="1:18" x14ac:dyDescent="0.25">
      <c r="A1892" t="str">
        <f>'(Raw) LensesGH'!A1892</f>
        <v>Walimex Pro 8mm 3.5 Fisheye II für Samsung NX schwarz</v>
      </c>
      <c r="B1892" t="str">
        <f>'(Raw) LensesGH'!B1892</f>
        <v>8mm</v>
      </c>
      <c r="C1892" s="5">
        <f t="shared" si="262"/>
        <v>8</v>
      </c>
      <c r="D1892" s="5">
        <f t="shared" si="263"/>
        <v>8</v>
      </c>
      <c r="E1892" t="str">
        <f>'(Raw) LensesGH'!C1892</f>
        <v>1:3.5</v>
      </c>
      <c r="F1892" s="9">
        <f t="shared" si="264"/>
        <v>3.5</v>
      </c>
      <c r="G1892" s="9">
        <f t="shared" si="265"/>
        <v>3.5</v>
      </c>
      <c r="H1892">
        <f>'(Raw) LensesGH'!D1892</f>
        <v>0</v>
      </c>
      <c r="I1892" s="2">
        <f t="shared" si="266"/>
        <v>0</v>
      </c>
      <c r="J1892" s="2">
        <f>'(Raw) LensesGH'!E1892</f>
        <v>0</v>
      </c>
      <c r="K1892" s="40">
        <f t="shared" si="267"/>
        <v>0</v>
      </c>
      <c r="L1892" t="str">
        <f>'(Raw) LensesGH'!F1892</f>
        <v>Samsung NX</v>
      </c>
      <c r="M1892" t="str">
        <f>'(Raw) LensesGH'!G1892</f>
        <v>APS-C</v>
      </c>
      <c r="N1892" t="str">
        <f>'(Raw) LensesGH'!H1892</f>
        <v>460g</v>
      </c>
      <c r="O1892" s="5">
        <f t="shared" si="268"/>
        <v>460</v>
      </c>
      <c r="P1892" t="str">
        <f>'(Raw) LensesGH'!I1892</f>
        <v>75 x 98.3mm</v>
      </c>
      <c r="Q1892" s="39">
        <f t="shared" si="269"/>
        <v>75</v>
      </c>
      <c r="R1892" s="39">
        <f t="shared" si="261"/>
        <v>98.3</v>
      </c>
    </row>
    <row r="1893" spans="1:18" x14ac:dyDescent="0.25">
      <c r="A1893" t="str">
        <f>'(Raw) LensesGH'!A1893</f>
        <v>Walimex Pro 8mm 3.5 Fisheye II für Sony A schwarz</v>
      </c>
      <c r="B1893" t="str">
        <f>'(Raw) LensesGH'!B1893</f>
        <v>8mm</v>
      </c>
      <c r="C1893" s="5">
        <f t="shared" si="262"/>
        <v>8</v>
      </c>
      <c r="D1893" s="5">
        <f t="shared" si="263"/>
        <v>8</v>
      </c>
      <c r="E1893" t="str">
        <f>'(Raw) LensesGH'!C1893</f>
        <v>1:3.5</v>
      </c>
      <c r="F1893" s="9">
        <f t="shared" si="264"/>
        <v>3.5</v>
      </c>
      <c r="G1893" s="9">
        <f t="shared" si="265"/>
        <v>3.5</v>
      </c>
      <c r="H1893">
        <f>'(Raw) LensesGH'!D1893</f>
        <v>0</v>
      </c>
      <c r="I1893" s="2">
        <f t="shared" si="266"/>
        <v>0</v>
      </c>
      <c r="J1893" s="2">
        <f>'(Raw) LensesGH'!E1893</f>
        <v>0</v>
      </c>
      <c r="K1893" s="40">
        <f t="shared" si="267"/>
        <v>0</v>
      </c>
      <c r="L1893" t="str">
        <f>'(Raw) LensesGH'!F1893</f>
        <v>Sony A</v>
      </c>
      <c r="M1893" t="str">
        <f>'(Raw) LensesGH'!G1893</f>
        <v>APS-C</v>
      </c>
      <c r="N1893" t="str">
        <f>'(Raw) LensesGH'!H1893</f>
        <v>420g</v>
      </c>
      <c r="O1893" s="5">
        <f t="shared" si="268"/>
        <v>420</v>
      </c>
      <c r="P1893" t="str">
        <f>'(Raw) LensesGH'!I1893</f>
        <v>75 x 76.8mm</v>
      </c>
      <c r="Q1893" s="39">
        <f t="shared" si="269"/>
        <v>75</v>
      </c>
      <c r="R1893" s="39">
        <f t="shared" si="261"/>
        <v>76.8</v>
      </c>
    </row>
    <row r="1894" spans="1:18" x14ac:dyDescent="0.25">
      <c r="A1894" t="str">
        <f>'(Raw) LensesGH'!A1894</f>
        <v>Walimex Pro 8mm 3.5 Fisheye II für Sony E schwarz</v>
      </c>
      <c r="B1894" t="str">
        <f>'(Raw) LensesGH'!B1894</f>
        <v>8mm</v>
      </c>
      <c r="C1894" s="5">
        <f t="shared" si="262"/>
        <v>8</v>
      </c>
      <c r="D1894" s="5">
        <f t="shared" si="263"/>
        <v>8</v>
      </c>
      <c r="E1894" t="str">
        <f>'(Raw) LensesGH'!C1894</f>
        <v>1:3.5</v>
      </c>
      <c r="F1894" s="9">
        <f t="shared" si="264"/>
        <v>3.5</v>
      </c>
      <c r="G1894" s="9">
        <f t="shared" si="265"/>
        <v>3.5</v>
      </c>
      <c r="H1894">
        <f>'(Raw) LensesGH'!D1894</f>
        <v>0</v>
      </c>
      <c r="I1894" s="2">
        <f t="shared" si="266"/>
        <v>0</v>
      </c>
      <c r="J1894" s="2">
        <f>'(Raw) LensesGH'!E1894</f>
        <v>0</v>
      </c>
      <c r="K1894" s="40">
        <f t="shared" si="267"/>
        <v>0</v>
      </c>
      <c r="L1894" t="str">
        <f>'(Raw) LensesGH'!F1894</f>
        <v>Sony E</v>
      </c>
      <c r="M1894" t="str">
        <f>'(Raw) LensesGH'!G1894</f>
        <v>APS-C</v>
      </c>
      <c r="N1894" t="str">
        <f>'(Raw) LensesGH'!H1894</f>
        <v>420g</v>
      </c>
      <c r="O1894" s="5">
        <f t="shared" si="268"/>
        <v>420</v>
      </c>
      <c r="P1894" t="str">
        <f>'(Raw) LensesGH'!I1894</f>
        <v>75 x 76.8mm</v>
      </c>
      <c r="Q1894" s="39">
        <f t="shared" si="269"/>
        <v>75</v>
      </c>
      <c r="R1894" s="39">
        <f t="shared" si="261"/>
        <v>76.8</v>
      </c>
    </row>
    <row r="1895" spans="1:18" x14ac:dyDescent="0.25">
      <c r="A1895" t="str">
        <f>'(Raw) LensesGH'!A1895</f>
        <v>Walimex Pro 8mm 3.8 Fisheye II VDSLR für Canon EF schwarz</v>
      </c>
      <c r="B1895" t="str">
        <f>'(Raw) LensesGH'!B1895</f>
        <v>8mm</v>
      </c>
      <c r="C1895" s="5">
        <f t="shared" si="262"/>
        <v>8</v>
      </c>
      <c r="D1895" s="5">
        <f t="shared" si="263"/>
        <v>8</v>
      </c>
      <c r="E1895" t="str">
        <f>'(Raw) LensesGH'!C1895</f>
        <v>1:3.8</v>
      </c>
      <c r="F1895" s="9">
        <f t="shared" si="264"/>
        <v>3.8</v>
      </c>
      <c r="G1895" s="9">
        <f t="shared" si="265"/>
        <v>3.8</v>
      </c>
      <c r="H1895">
        <f>'(Raw) LensesGH'!D1895</f>
        <v>0</v>
      </c>
      <c r="I1895" s="2">
        <f t="shared" si="266"/>
        <v>0</v>
      </c>
      <c r="J1895" s="2">
        <f>'(Raw) LensesGH'!E1895</f>
        <v>0</v>
      </c>
      <c r="K1895" s="40">
        <f t="shared" si="267"/>
        <v>0</v>
      </c>
      <c r="L1895" t="str">
        <f>'(Raw) LensesGH'!F1895</f>
        <v>Canon EF</v>
      </c>
      <c r="M1895" t="str">
        <f>'(Raw) LensesGH'!G1895</f>
        <v>APS-C</v>
      </c>
      <c r="N1895" t="str">
        <f>'(Raw) LensesGH'!H1895</f>
        <v>420g</v>
      </c>
      <c r="O1895" s="5">
        <f t="shared" si="268"/>
        <v>420</v>
      </c>
      <c r="P1895" t="str">
        <f>'(Raw) LensesGH'!I1895</f>
        <v>75 x 77.3mm</v>
      </c>
      <c r="Q1895" s="39">
        <f t="shared" si="269"/>
        <v>75</v>
      </c>
      <c r="R1895" s="39">
        <f t="shared" si="261"/>
        <v>77.3</v>
      </c>
    </row>
    <row r="1896" spans="1:18" x14ac:dyDescent="0.25">
      <c r="A1896" t="str">
        <f>'(Raw) LensesGH'!A1896</f>
        <v>Walimex Pro 8mm 3.8 Fisheye II VDSLR für Canon EF-M schwarz</v>
      </c>
      <c r="B1896" t="str">
        <f>'(Raw) LensesGH'!B1896</f>
        <v>8mm</v>
      </c>
      <c r="C1896" s="5">
        <f t="shared" si="262"/>
        <v>8</v>
      </c>
      <c r="D1896" s="5">
        <f t="shared" si="263"/>
        <v>8</v>
      </c>
      <c r="E1896" t="str">
        <f>'(Raw) LensesGH'!C1896</f>
        <v>1:3.8</v>
      </c>
      <c r="F1896" s="9">
        <f t="shared" si="264"/>
        <v>3.8</v>
      </c>
      <c r="G1896" s="9">
        <f t="shared" si="265"/>
        <v>3.8</v>
      </c>
      <c r="H1896">
        <f>'(Raw) LensesGH'!D1896</f>
        <v>0</v>
      </c>
      <c r="I1896" s="2">
        <f t="shared" si="266"/>
        <v>0</v>
      </c>
      <c r="J1896" s="2">
        <f>'(Raw) LensesGH'!E1896</f>
        <v>0</v>
      </c>
      <c r="K1896" s="40">
        <f t="shared" si="267"/>
        <v>0</v>
      </c>
      <c r="L1896" t="str">
        <f>'(Raw) LensesGH'!F1896</f>
        <v>Canon EF-M</v>
      </c>
      <c r="M1896" t="str">
        <f>'(Raw) LensesGH'!G1896</f>
        <v>APS-C</v>
      </c>
      <c r="N1896" t="str">
        <f>'(Raw) LensesGH'!H1896</f>
        <v>420g</v>
      </c>
      <c r="O1896" s="5">
        <f t="shared" si="268"/>
        <v>420</v>
      </c>
      <c r="P1896" t="str">
        <f>'(Raw) LensesGH'!I1896</f>
        <v>75 x 77.3mm</v>
      </c>
      <c r="Q1896" s="39">
        <f t="shared" si="269"/>
        <v>75</v>
      </c>
      <c r="R1896" s="39">
        <f t="shared" si="261"/>
        <v>77.3</v>
      </c>
    </row>
    <row r="1897" spans="1:18" x14ac:dyDescent="0.25">
      <c r="A1897" t="str">
        <f>'(Raw) LensesGH'!A1897</f>
        <v>Walimex Pro 8mm 3.8 Fisheye II VDSLR für Four-Thirds schwarz</v>
      </c>
      <c r="B1897" t="str">
        <f>'(Raw) LensesGH'!B1897</f>
        <v>8mm</v>
      </c>
      <c r="C1897" s="5">
        <f t="shared" si="262"/>
        <v>8</v>
      </c>
      <c r="D1897" s="5">
        <f t="shared" si="263"/>
        <v>8</v>
      </c>
      <c r="E1897" t="str">
        <f>'(Raw) LensesGH'!C1897</f>
        <v>1:3.8</v>
      </c>
      <c r="F1897" s="9">
        <f t="shared" si="264"/>
        <v>3.8</v>
      </c>
      <c r="G1897" s="9">
        <f t="shared" si="265"/>
        <v>3.8</v>
      </c>
      <c r="H1897">
        <f>'(Raw) LensesGH'!D1897</f>
        <v>0</v>
      </c>
      <c r="I1897" s="2">
        <f t="shared" si="266"/>
        <v>0</v>
      </c>
      <c r="J1897" s="2">
        <f>'(Raw) LensesGH'!E1897</f>
        <v>0</v>
      </c>
      <c r="K1897" s="40">
        <f t="shared" si="267"/>
        <v>0</v>
      </c>
      <c r="L1897" t="str">
        <f>'(Raw) LensesGH'!F1897</f>
        <v>Four-Thirds</v>
      </c>
      <c r="M1897" t="str">
        <f>'(Raw) LensesGH'!G1897</f>
        <v>APS-C</v>
      </c>
      <c r="N1897" t="str">
        <f>'(Raw) LensesGH'!H1897</f>
        <v>430g</v>
      </c>
      <c r="O1897" s="5">
        <f t="shared" si="268"/>
        <v>430</v>
      </c>
      <c r="P1897" t="str">
        <f>'(Raw) LensesGH'!I1897</f>
        <v>75 x 80mm</v>
      </c>
      <c r="Q1897" s="39">
        <f t="shared" si="269"/>
        <v>75</v>
      </c>
      <c r="R1897" s="39">
        <f t="shared" si="261"/>
        <v>80</v>
      </c>
    </row>
    <row r="1898" spans="1:18" x14ac:dyDescent="0.25">
      <c r="A1898" t="str">
        <f>'(Raw) LensesGH'!A1898</f>
        <v>Walimex Pro 8mm 3.8 Fisheye II VDSLR für Micro-Four-Thirds schwarz</v>
      </c>
      <c r="B1898" t="str">
        <f>'(Raw) LensesGH'!B1898</f>
        <v>8mm</v>
      </c>
      <c r="C1898" s="5">
        <f t="shared" si="262"/>
        <v>8</v>
      </c>
      <c r="D1898" s="5">
        <f t="shared" si="263"/>
        <v>8</v>
      </c>
      <c r="E1898" t="str">
        <f>'(Raw) LensesGH'!C1898</f>
        <v>1:3.8</v>
      </c>
      <c r="F1898" s="9">
        <f t="shared" si="264"/>
        <v>3.8</v>
      </c>
      <c r="G1898" s="9">
        <f t="shared" si="265"/>
        <v>3.8</v>
      </c>
      <c r="H1898">
        <f>'(Raw) LensesGH'!D1898</f>
        <v>0</v>
      </c>
      <c r="I1898" s="2">
        <f t="shared" si="266"/>
        <v>0</v>
      </c>
      <c r="J1898" s="2">
        <f>'(Raw) LensesGH'!E1898</f>
        <v>0</v>
      </c>
      <c r="K1898" s="40">
        <f t="shared" si="267"/>
        <v>0</v>
      </c>
      <c r="L1898" t="str">
        <f>'(Raw) LensesGH'!F1898</f>
        <v>Micro-Four-Thirds</v>
      </c>
      <c r="M1898" t="str">
        <f>'(Raw) LensesGH'!G1898</f>
        <v>Four-Thirds</v>
      </c>
      <c r="N1898" t="str">
        <f>'(Raw) LensesGH'!H1898</f>
        <v>430g</v>
      </c>
      <c r="O1898" s="5">
        <f t="shared" si="268"/>
        <v>430</v>
      </c>
      <c r="P1898" t="str">
        <f>'(Raw) LensesGH'!I1898</f>
        <v>75 x 80mm</v>
      </c>
      <c r="Q1898" s="39">
        <f t="shared" si="269"/>
        <v>75</v>
      </c>
      <c r="R1898" s="39">
        <f t="shared" si="261"/>
        <v>80</v>
      </c>
    </row>
    <row r="1899" spans="1:18" x14ac:dyDescent="0.25">
      <c r="A1899" t="str">
        <f>'(Raw) LensesGH'!A1899</f>
        <v>Walimex Pro 8mm 3.8 Fisheye II VDSLR für Nikon 1 schwarz</v>
      </c>
      <c r="B1899" t="str">
        <f>'(Raw) LensesGH'!B1899</f>
        <v>8mm</v>
      </c>
      <c r="C1899" s="5">
        <f t="shared" si="262"/>
        <v>8</v>
      </c>
      <c r="D1899" s="5">
        <f t="shared" si="263"/>
        <v>8</v>
      </c>
      <c r="E1899" t="str">
        <f>'(Raw) LensesGH'!C1899</f>
        <v>1:3.8</v>
      </c>
      <c r="F1899" s="9">
        <f t="shared" si="264"/>
        <v>3.8</v>
      </c>
      <c r="G1899" s="9">
        <f t="shared" si="265"/>
        <v>3.8</v>
      </c>
      <c r="H1899">
        <f>'(Raw) LensesGH'!D1899</f>
        <v>0</v>
      </c>
      <c r="I1899" s="2">
        <f t="shared" si="266"/>
        <v>0</v>
      </c>
      <c r="J1899" s="2">
        <f>'(Raw) LensesGH'!E1899</f>
        <v>0</v>
      </c>
      <c r="K1899" s="40">
        <f t="shared" si="267"/>
        <v>0</v>
      </c>
      <c r="L1899" t="str">
        <f>'(Raw) LensesGH'!F1899</f>
        <v>Nikon 1</v>
      </c>
      <c r="M1899" t="str">
        <f>'(Raw) LensesGH'!G1899</f>
        <v>APS-C</v>
      </c>
      <c r="N1899" t="str">
        <f>'(Raw) LensesGH'!H1899</f>
        <v>395g</v>
      </c>
      <c r="O1899" s="5">
        <f t="shared" si="268"/>
        <v>395</v>
      </c>
      <c r="P1899" t="str">
        <f>'(Raw) LensesGH'!I1899</f>
        <v>75 x 74.8mm</v>
      </c>
      <c r="Q1899" s="39">
        <f t="shared" si="269"/>
        <v>75</v>
      </c>
      <c r="R1899" s="39">
        <f t="shared" si="261"/>
        <v>74.8</v>
      </c>
    </row>
    <row r="1900" spans="1:18" x14ac:dyDescent="0.25">
      <c r="A1900" t="str">
        <f>'(Raw) LensesGH'!A1900</f>
        <v>Walimex Pro 8mm 3.8 Fisheye II VDSLR für Nikon F schwarz</v>
      </c>
      <c r="B1900" t="str">
        <f>'(Raw) LensesGH'!B1900</f>
        <v>8mm</v>
      </c>
      <c r="C1900" s="5">
        <f t="shared" si="262"/>
        <v>8</v>
      </c>
      <c r="D1900" s="5">
        <f t="shared" si="263"/>
        <v>8</v>
      </c>
      <c r="E1900" t="str">
        <f>'(Raw) LensesGH'!C1900</f>
        <v>1:3.8</v>
      </c>
      <c r="F1900" s="9">
        <f t="shared" si="264"/>
        <v>3.8</v>
      </c>
      <c r="G1900" s="9">
        <f t="shared" si="265"/>
        <v>3.8</v>
      </c>
      <c r="H1900">
        <f>'(Raw) LensesGH'!D1900</f>
        <v>0</v>
      </c>
      <c r="I1900" s="2">
        <f t="shared" si="266"/>
        <v>0</v>
      </c>
      <c r="J1900" s="2">
        <f>'(Raw) LensesGH'!E1900</f>
        <v>0</v>
      </c>
      <c r="K1900" s="40">
        <f t="shared" si="267"/>
        <v>0</v>
      </c>
      <c r="L1900" t="str">
        <f>'(Raw) LensesGH'!F1900</f>
        <v>Nikon F</v>
      </c>
      <c r="M1900" t="str">
        <f>'(Raw) LensesGH'!G1900</f>
        <v>APS-C</v>
      </c>
      <c r="N1900" t="str">
        <f>'(Raw) LensesGH'!H1900</f>
        <v>395g</v>
      </c>
      <c r="O1900" s="5">
        <f t="shared" si="268"/>
        <v>395</v>
      </c>
      <c r="P1900" t="str">
        <f>'(Raw) LensesGH'!I1900</f>
        <v>75 x 74.8mm</v>
      </c>
      <c r="Q1900" s="39">
        <f t="shared" si="269"/>
        <v>75</v>
      </c>
      <c r="R1900" s="39">
        <f t="shared" si="261"/>
        <v>74.8</v>
      </c>
    </row>
    <row r="1901" spans="1:18" x14ac:dyDescent="0.25">
      <c r="A1901" t="str">
        <f>'(Raw) LensesGH'!A1901</f>
        <v>Walimex Pro 8mm 3.8 Fisheye II VDSLR für Samsung NX schwarz</v>
      </c>
      <c r="B1901" t="str">
        <f>'(Raw) LensesGH'!B1901</f>
        <v>8mm</v>
      </c>
      <c r="C1901" s="5">
        <f t="shared" si="262"/>
        <v>8</v>
      </c>
      <c r="D1901" s="5">
        <f t="shared" si="263"/>
        <v>8</v>
      </c>
      <c r="E1901" t="str">
        <f>'(Raw) LensesGH'!C1901</f>
        <v>1:3.8</v>
      </c>
      <c r="F1901" s="9">
        <f t="shared" si="264"/>
        <v>3.8</v>
      </c>
      <c r="G1901" s="9">
        <f t="shared" si="265"/>
        <v>3.8</v>
      </c>
      <c r="H1901">
        <f>'(Raw) LensesGH'!D1901</f>
        <v>0</v>
      </c>
      <c r="I1901" s="2">
        <f t="shared" si="266"/>
        <v>0</v>
      </c>
      <c r="J1901" s="2">
        <f>'(Raw) LensesGH'!E1901</f>
        <v>0</v>
      </c>
      <c r="K1901" s="40">
        <f t="shared" si="267"/>
        <v>0</v>
      </c>
      <c r="L1901" t="str">
        <f>'(Raw) LensesGH'!F1901</f>
        <v>Samsung NX</v>
      </c>
      <c r="M1901" t="str">
        <f>'(Raw) LensesGH'!G1901</f>
        <v>APS-C</v>
      </c>
      <c r="N1901" t="str">
        <f>'(Raw) LensesGH'!H1901</f>
        <v>440g</v>
      </c>
      <c r="O1901" s="5">
        <f t="shared" si="268"/>
        <v>440</v>
      </c>
      <c r="P1901" t="str">
        <f>'(Raw) LensesGH'!I1901</f>
        <v>75 x 98.3mm</v>
      </c>
      <c r="Q1901" s="39">
        <f t="shared" si="269"/>
        <v>75</v>
      </c>
      <c r="R1901" s="39">
        <f t="shared" si="261"/>
        <v>98.3</v>
      </c>
    </row>
    <row r="1902" spans="1:18" x14ac:dyDescent="0.25">
      <c r="A1902" t="str">
        <f>'(Raw) LensesGH'!A1902</f>
        <v>Walimex Pro 8mm 3.8 Fisheye II VDSLR für Sony A schwarz</v>
      </c>
      <c r="B1902" t="str">
        <f>'(Raw) LensesGH'!B1902</f>
        <v>8mm</v>
      </c>
      <c r="C1902" s="5">
        <f t="shared" si="262"/>
        <v>8</v>
      </c>
      <c r="D1902" s="5">
        <f t="shared" si="263"/>
        <v>8</v>
      </c>
      <c r="E1902" t="str">
        <f>'(Raw) LensesGH'!C1902</f>
        <v>1:3.8</v>
      </c>
      <c r="F1902" s="9">
        <f t="shared" si="264"/>
        <v>3.8</v>
      </c>
      <c r="G1902" s="9">
        <f t="shared" si="265"/>
        <v>3.8</v>
      </c>
      <c r="H1902">
        <f>'(Raw) LensesGH'!D1902</f>
        <v>0</v>
      </c>
      <c r="I1902" s="2">
        <f t="shared" si="266"/>
        <v>0</v>
      </c>
      <c r="J1902" s="2">
        <f>'(Raw) LensesGH'!E1902</f>
        <v>0</v>
      </c>
      <c r="K1902" s="40">
        <f t="shared" si="267"/>
        <v>0</v>
      </c>
      <c r="L1902" t="str">
        <f>'(Raw) LensesGH'!F1902</f>
        <v>Sony A</v>
      </c>
      <c r="M1902" t="str">
        <f>'(Raw) LensesGH'!G1902</f>
        <v>APS-C</v>
      </c>
      <c r="N1902" t="str">
        <f>'(Raw) LensesGH'!H1902</f>
        <v>410g</v>
      </c>
      <c r="O1902" s="5">
        <f t="shared" si="268"/>
        <v>410</v>
      </c>
      <c r="P1902" t="str">
        <f>'(Raw) LensesGH'!I1902</f>
        <v>75 x 76.8mm</v>
      </c>
      <c r="Q1902" s="39">
        <f t="shared" si="269"/>
        <v>75</v>
      </c>
      <c r="R1902" s="39">
        <f t="shared" si="261"/>
        <v>76.8</v>
      </c>
    </row>
    <row r="1903" spans="1:18" x14ac:dyDescent="0.25">
      <c r="A1903" t="str">
        <f>'(Raw) LensesGH'!A1903</f>
        <v>Walimex Pro 8mm 3.8 Fisheye VDSLR für Canon EF schwarz</v>
      </c>
      <c r="B1903" t="str">
        <f>'(Raw) LensesGH'!B1903</f>
        <v>8mm</v>
      </c>
      <c r="C1903" s="5">
        <f t="shared" si="262"/>
        <v>8</v>
      </c>
      <c r="D1903" s="5">
        <f t="shared" si="263"/>
        <v>8</v>
      </c>
      <c r="E1903" t="str">
        <f>'(Raw) LensesGH'!C1903</f>
        <v>1:3.8</v>
      </c>
      <c r="F1903" s="9">
        <f t="shared" si="264"/>
        <v>3.8</v>
      </c>
      <c r="G1903" s="9">
        <f t="shared" si="265"/>
        <v>3.8</v>
      </c>
      <c r="H1903">
        <f>'(Raw) LensesGH'!D1903</f>
        <v>0</v>
      </c>
      <c r="I1903" s="2">
        <f t="shared" si="266"/>
        <v>0</v>
      </c>
      <c r="J1903" s="2">
        <f>'(Raw) LensesGH'!E1903</f>
        <v>0</v>
      </c>
      <c r="K1903" s="40">
        <f t="shared" si="267"/>
        <v>0</v>
      </c>
      <c r="L1903" t="str">
        <f>'(Raw) LensesGH'!F1903</f>
        <v>Canon EF</v>
      </c>
      <c r="M1903" t="str">
        <f>'(Raw) LensesGH'!G1903</f>
        <v>APS-C</v>
      </c>
      <c r="N1903" t="str">
        <f>'(Raw) LensesGH'!H1903</f>
        <v>420g</v>
      </c>
      <c r="O1903" s="5">
        <f t="shared" si="268"/>
        <v>420</v>
      </c>
      <c r="P1903" t="str">
        <f>'(Raw) LensesGH'!I1903</f>
        <v>75 x 77.3mm</v>
      </c>
      <c r="Q1903" s="39">
        <f t="shared" si="269"/>
        <v>75</v>
      </c>
      <c r="R1903" s="39">
        <f t="shared" si="261"/>
        <v>77.3</v>
      </c>
    </row>
    <row r="1904" spans="1:18" x14ac:dyDescent="0.25">
      <c r="A1904" t="str">
        <f>'(Raw) LensesGH'!A1904</f>
        <v>Walimex Pro 8mm 3.8 Fisheye VDSLR für Four-Thirds schwarz</v>
      </c>
      <c r="B1904" t="str">
        <f>'(Raw) LensesGH'!B1904</f>
        <v>8mm</v>
      </c>
      <c r="C1904" s="5">
        <f t="shared" si="262"/>
        <v>8</v>
      </c>
      <c r="D1904" s="5">
        <f t="shared" si="263"/>
        <v>8</v>
      </c>
      <c r="E1904" t="str">
        <f>'(Raw) LensesGH'!C1904</f>
        <v>1:3.8</v>
      </c>
      <c r="F1904" s="9">
        <f t="shared" si="264"/>
        <v>3.8</v>
      </c>
      <c r="G1904" s="9">
        <f t="shared" si="265"/>
        <v>3.8</v>
      </c>
      <c r="H1904">
        <f>'(Raw) LensesGH'!D1904</f>
        <v>0</v>
      </c>
      <c r="I1904" s="2">
        <f t="shared" si="266"/>
        <v>0</v>
      </c>
      <c r="J1904" s="2">
        <f>'(Raw) LensesGH'!E1904</f>
        <v>0</v>
      </c>
      <c r="K1904" s="40">
        <f t="shared" si="267"/>
        <v>0</v>
      </c>
      <c r="L1904" t="str">
        <f>'(Raw) LensesGH'!F1904</f>
        <v>Four-Thirds</v>
      </c>
      <c r="M1904" t="str">
        <f>'(Raw) LensesGH'!G1904</f>
        <v>APS-C</v>
      </c>
      <c r="N1904" t="str">
        <f>'(Raw) LensesGH'!H1904</f>
        <v>430g</v>
      </c>
      <c r="O1904" s="5">
        <f t="shared" si="268"/>
        <v>430</v>
      </c>
      <c r="P1904" t="str">
        <f>'(Raw) LensesGH'!I1904</f>
        <v>75 x 80mm</v>
      </c>
      <c r="Q1904" s="39">
        <f t="shared" si="269"/>
        <v>75</v>
      </c>
      <c r="R1904" s="39">
        <f t="shared" si="261"/>
        <v>80</v>
      </c>
    </row>
    <row r="1905" spans="1:18" x14ac:dyDescent="0.25">
      <c r="A1905" t="str">
        <f>'(Raw) LensesGH'!A1905</f>
        <v>Walimex Pro 8mm 3.8 Fisheye VDSLR für Nikon F schwarz</v>
      </c>
      <c r="B1905" t="str">
        <f>'(Raw) LensesGH'!B1905</f>
        <v>8mm</v>
      </c>
      <c r="C1905" s="5">
        <f t="shared" si="262"/>
        <v>8</v>
      </c>
      <c r="D1905" s="5">
        <f t="shared" si="263"/>
        <v>8</v>
      </c>
      <c r="E1905" t="str">
        <f>'(Raw) LensesGH'!C1905</f>
        <v>1:3.8</v>
      </c>
      <c r="F1905" s="9">
        <f t="shared" si="264"/>
        <v>3.8</v>
      </c>
      <c r="G1905" s="9">
        <f t="shared" si="265"/>
        <v>3.8</v>
      </c>
      <c r="H1905">
        <f>'(Raw) LensesGH'!D1905</f>
        <v>0</v>
      </c>
      <c r="I1905" s="2">
        <f t="shared" si="266"/>
        <v>0</v>
      </c>
      <c r="J1905" s="2">
        <f>'(Raw) LensesGH'!E1905</f>
        <v>0</v>
      </c>
      <c r="K1905" s="40">
        <f t="shared" si="267"/>
        <v>0</v>
      </c>
      <c r="L1905" t="str">
        <f>'(Raw) LensesGH'!F1905</f>
        <v>Nikon F</v>
      </c>
      <c r="M1905" t="str">
        <f>'(Raw) LensesGH'!G1905</f>
        <v>APS-C</v>
      </c>
      <c r="N1905" t="str">
        <f>'(Raw) LensesGH'!H1905</f>
        <v>395g</v>
      </c>
      <c r="O1905" s="5">
        <f t="shared" si="268"/>
        <v>395</v>
      </c>
      <c r="P1905" t="str">
        <f>'(Raw) LensesGH'!I1905</f>
        <v>75 x 74.8mm</v>
      </c>
      <c r="Q1905" s="39">
        <f t="shared" si="269"/>
        <v>75</v>
      </c>
      <c r="R1905" s="39">
        <f t="shared" si="261"/>
        <v>74.8</v>
      </c>
    </row>
    <row r="1906" spans="1:18" x14ac:dyDescent="0.25">
      <c r="A1906" t="str">
        <f>'(Raw) LensesGH'!A1906</f>
        <v>Walimex Pro 8mm 3.8 Fisheye VDSLR für Sony A schwarz</v>
      </c>
      <c r="B1906" t="str">
        <f>'(Raw) LensesGH'!B1906</f>
        <v>8mm</v>
      </c>
      <c r="C1906" s="5">
        <f t="shared" si="262"/>
        <v>8</v>
      </c>
      <c r="D1906" s="5">
        <f t="shared" si="263"/>
        <v>8</v>
      </c>
      <c r="E1906" t="str">
        <f>'(Raw) LensesGH'!C1906</f>
        <v>1:3.8</v>
      </c>
      <c r="F1906" s="9">
        <f t="shared" si="264"/>
        <v>3.8</v>
      </c>
      <c r="G1906" s="9">
        <f t="shared" si="265"/>
        <v>3.8</v>
      </c>
      <c r="H1906">
        <f>'(Raw) LensesGH'!D1906</f>
        <v>0</v>
      </c>
      <c r="I1906" s="2">
        <f t="shared" si="266"/>
        <v>0</v>
      </c>
      <c r="J1906" s="2">
        <f>'(Raw) LensesGH'!E1906</f>
        <v>0</v>
      </c>
      <c r="K1906" s="40">
        <f t="shared" si="267"/>
        <v>0</v>
      </c>
      <c r="L1906" t="str">
        <f>'(Raw) LensesGH'!F1906</f>
        <v>Sony A</v>
      </c>
      <c r="M1906" t="str">
        <f>'(Raw) LensesGH'!G1906</f>
        <v>APS-C</v>
      </c>
      <c r="N1906" t="str">
        <f>'(Raw) LensesGH'!H1906</f>
        <v>410g</v>
      </c>
      <c r="O1906" s="5">
        <f t="shared" si="268"/>
        <v>410</v>
      </c>
      <c r="P1906" t="str">
        <f>'(Raw) LensesGH'!I1906</f>
        <v>75 x 76.8mm</v>
      </c>
      <c r="Q1906" s="39">
        <f t="shared" si="269"/>
        <v>75</v>
      </c>
      <c r="R1906" s="39">
        <f t="shared" si="261"/>
        <v>76.8</v>
      </c>
    </row>
    <row r="1907" spans="1:18" x14ac:dyDescent="0.25">
      <c r="A1907" t="str">
        <f>'(Raw) LensesGH'!A1907</f>
        <v>Walimex Pro Set All Star für Canon EF schwarz</v>
      </c>
      <c r="B1907">
        <f>'(Raw) LensesGH'!B1907</f>
        <v>0</v>
      </c>
      <c r="C1907" s="5">
        <f t="shared" si="262"/>
        <v>0</v>
      </c>
      <c r="D1907" s="5">
        <f t="shared" si="263"/>
        <v>0</v>
      </c>
      <c r="E1907">
        <f>'(Raw) LensesGH'!C1907</f>
        <v>0</v>
      </c>
      <c r="F1907" s="9">
        <f t="shared" si="264"/>
        <v>0</v>
      </c>
      <c r="G1907" s="9">
        <f t="shared" si="265"/>
        <v>0</v>
      </c>
      <c r="H1907">
        <f>'(Raw) LensesGH'!D1907</f>
        <v>0</v>
      </c>
      <c r="I1907" s="2">
        <f t="shared" si="266"/>
        <v>0</v>
      </c>
      <c r="J1907" s="2">
        <f>'(Raw) LensesGH'!E1907</f>
        <v>0</v>
      </c>
      <c r="K1907" s="40">
        <f t="shared" si="267"/>
        <v>0</v>
      </c>
      <c r="L1907" t="str">
        <f>'(Raw) LensesGH'!F1907</f>
        <v>Canon EF</v>
      </c>
      <c r="M1907">
        <f>'(Raw) LensesGH'!G1907</f>
        <v>0</v>
      </c>
      <c r="N1907">
        <f>'(Raw) LensesGH'!H1907</f>
        <v>0</v>
      </c>
      <c r="O1907" s="5">
        <f t="shared" si="268"/>
        <v>0</v>
      </c>
      <c r="P1907">
        <f>'(Raw) LensesGH'!I1907</f>
        <v>0</v>
      </c>
      <c r="Q1907" s="39">
        <f t="shared" si="269"/>
        <v>0</v>
      </c>
      <c r="R1907" s="39">
        <f t="shared" si="261"/>
        <v>0</v>
      </c>
    </row>
    <row r="1908" spans="1:18" x14ac:dyDescent="0.25">
      <c r="A1908" t="str">
        <f>'(Raw) LensesGH'!A1908</f>
        <v>Walimex Pro Set All Star für Nikon F schwarz</v>
      </c>
      <c r="B1908">
        <f>'(Raw) LensesGH'!B1908</f>
        <v>0</v>
      </c>
      <c r="C1908" s="5">
        <f t="shared" si="262"/>
        <v>0</v>
      </c>
      <c r="D1908" s="5">
        <f t="shared" si="263"/>
        <v>0</v>
      </c>
      <c r="E1908">
        <f>'(Raw) LensesGH'!C1908</f>
        <v>0</v>
      </c>
      <c r="F1908" s="9">
        <f t="shared" si="264"/>
        <v>0</v>
      </c>
      <c r="G1908" s="9">
        <f t="shared" si="265"/>
        <v>0</v>
      </c>
      <c r="H1908">
        <f>'(Raw) LensesGH'!D1908</f>
        <v>0</v>
      </c>
      <c r="I1908" s="2">
        <f t="shared" si="266"/>
        <v>0</v>
      </c>
      <c r="J1908" s="2">
        <f>'(Raw) LensesGH'!E1908</f>
        <v>0</v>
      </c>
      <c r="K1908" s="40">
        <f t="shared" si="267"/>
        <v>0</v>
      </c>
      <c r="L1908" t="str">
        <f>'(Raw) LensesGH'!F1908</f>
        <v>Nikon F</v>
      </c>
      <c r="M1908">
        <f>'(Raw) LensesGH'!G1908</f>
        <v>0</v>
      </c>
      <c r="N1908">
        <f>'(Raw) LensesGH'!H1908</f>
        <v>0</v>
      </c>
      <c r="O1908" s="5">
        <f t="shared" si="268"/>
        <v>0</v>
      </c>
      <c r="P1908">
        <f>'(Raw) LensesGH'!I1908</f>
        <v>0</v>
      </c>
      <c r="Q1908" s="39">
        <f t="shared" si="269"/>
        <v>0</v>
      </c>
      <c r="R1908" s="39">
        <f t="shared" si="261"/>
        <v>0</v>
      </c>
    </row>
    <row r="1909" spans="1:18" x14ac:dyDescent="0.25">
      <c r="A1909" t="str">
        <f>'(Raw) LensesGH'!A1909</f>
        <v>Walimex Pro Set All Star II für Nikon F schwarz (18846)</v>
      </c>
      <c r="B1909">
        <f>'(Raw) LensesGH'!B1909</f>
        <v>0</v>
      </c>
      <c r="C1909" s="5">
        <f t="shared" si="262"/>
        <v>0</v>
      </c>
      <c r="D1909" s="5">
        <f t="shared" si="263"/>
        <v>0</v>
      </c>
      <c r="E1909">
        <f>'(Raw) LensesGH'!C1909</f>
        <v>0</v>
      </c>
      <c r="F1909" s="9">
        <f t="shared" si="264"/>
        <v>0</v>
      </c>
      <c r="G1909" s="9">
        <f t="shared" si="265"/>
        <v>0</v>
      </c>
      <c r="H1909">
        <f>'(Raw) LensesGH'!D1909</f>
        <v>0</v>
      </c>
      <c r="I1909" s="2">
        <f t="shared" si="266"/>
        <v>0</v>
      </c>
      <c r="J1909" s="2">
        <f>'(Raw) LensesGH'!E1909</f>
        <v>0</v>
      </c>
      <c r="K1909" s="40">
        <f t="shared" si="267"/>
        <v>0</v>
      </c>
      <c r="L1909" t="str">
        <f>'(Raw) LensesGH'!F1909</f>
        <v>Nikon F</v>
      </c>
      <c r="M1909">
        <f>'(Raw) LensesGH'!G1909</f>
        <v>0</v>
      </c>
      <c r="N1909">
        <f>'(Raw) LensesGH'!H1909</f>
        <v>0</v>
      </c>
      <c r="O1909" s="5">
        <f t="shared" si="268"/>
        <v>0</v>
      </c>
      <c r="P1909">
        <f>'(Raw) LensesGH'!I1909</f>
        <v>0</v>
      </c>
      <c r="Q1909" s="39">
        <f t="shared" si="269"/>
        <v>0</v>
      </c>
      <c r="R1909" s="39">
        <f t="shared" si="261"/>
        <v>0</v>
      </c>
    </row>
    <row r="1910" spans="1:18" x14ac:dyDescent="0.25">
      <c r="A1910" t="str">
        <f>'(Raw) LensesGH'!A1910</f>
        <v>Walimex Pro Set All Star II für Nikon F schwarz (19912)</v>
      </c>
      <c r="B1910">
        <f>'(Raw) LensesGH'!B1910</f>
        <v>0</v>
      </c>
      <c r="C1910" s="5">
        <f t="shared" si="262"/>
        <v>0</v>
      </c>
      <c r="D1910" s="5">
        <f t="shared" si="263"/>
        <v>0</v>
      </c>
      <c r="E1910">
        <f>'(Raw) LensesGH'!C1910</f>
        <v>0</v>
      </c>
      <c r="F1910" s="9">
        <f t="shared" si="264"/>
        <v>0</v>
      </c>
      <c r="G1910" s="9">
        <f t="shared" si="265"/>
        <v>0</v>
      </c>
      <c r="H1910">
        <f>'(Raw) LensesGH'!D1910</f>
        <v>0</v>
      </c>
      <c r="I1910" s="2">
        <f t="shared" si="266"/>
        <v>0</v>
      </c>
      <c r="J1910" s="2">
        <f>'(Raw) LensesGH'!E1910</f>
        <v>0</v>
      </c>
      <c r="K1910" s="40">
        <f t="shared" si="267"/>
        <v>0</v>
      </c>
      <c r="L1910" t="str">
        <f>'(Raw) LensesGH'!F1910</f>
        <v>Nikon F</v>
      </c>
      <c r="M1910">
        <f>'(Raw) LensesGH'!G1910</f>
        <v>0</v>
      </c>
      <c r="N1910">
        <f>'(Raw) LensesGH'!H1910</f>
        <v>0</v>
      </c>
      <c r="O1910" s="5">
        <f t="shared" si="268"/>
        <v>0</v>
      </c>
      <c r="P1910">
        <f>'(Raw) LensesGH'!I1910</f>
        <v>0</v>
      </c>
      <c r="Q1910" s="39">
        <f t="shared" si="269"/>
        <v>0</v>
      </c>
      <c r="R1910" s="39">
        <f t="shared" si="261"/>
        <v>0</v>
      </c>
    </row>
    <row r="1911" spans="1:18" x14ac:dyDescent="0.25">
      <c r="A1911" t="str">
        <f>'(Raw) LensesGH'!A1911</f>
        <v>Walimex Pro Set für Canon EF schwarz</v>
      </c>
      <c r="B1911">
        <f>'(Raw) LensesGH'!B1911</f>
        <v>0</v>
      </c>
      <c r="C1911" s="5">
        <f t="shared" si="262"/>
        <v>0</v>
      </c>
      <c r="D1911" s="5">
        <f t="shared" si="263"/>
        <v>0</v>
      </c>
      <c r="E1911">
        <f>'(Raw) LensesGH'!C1911</f>
        <v>0</v>
      </c>
      <c r="F1911" s="9">
        <f t="shared" si="264"/>
        <v>0</v>
      </c>
      <c r="G1911" s="9">
        <f t="shared" si="265"/>
        <v>0</v>
      </c>
      <c r="H1911">
        <f>'(Raw) LensesGH'!D1911</f>
        <v>0</v>
      </c>
      <c r="I1911" s="2">
        <f t="shared" si="266"/>
        <v>0</v>
      </c>
      <c r="J1911" s="2">
        <f>'(Raw) LensesGH'!E1911</f>
        <v>0</v>
      </c>
      <c r="K1911" s="40">
        <f t="shared" si="267"/>
        <v>0</v>
      </c>
      <c r="L1911" t="str">
        <f>'(Raw) LensesGH'!F1911</f>
        <v>Canon EF</v>
      </c>
      <c r="M1911">
        <f>'(Raw) LensesGH'!G1911</f>
        <v>0</v>
      </c>
      <c r="N1911">
        <f>'(Raw) LensesGH'!H1911</f>
        <v>0</v>
      </c>
      <c r="O1911" s="5">
        <f t="shared" si="268"/>
        <v>0</v>
      </c>
      <c r="P1911">
        <f>'(Raw) LensesGH'!I1911</f>
        <v>0</v>
      </c>
      <c r="Q1911" s="39">
        <f t="shared" si="269"/>
        <v>0</v>
      </c>
      <c r="R1911" s="39">
        <f t="shared" si="261"/>
        <v>0</v>
      </c>
    </row>
    <row r="1912" spans="1:18" x14ac:dyDescent="0.25">
      <c r="A1912" t="str">
        <f>'(Raw) LensesGH'!A1912</f>
        <v>Walimex Pro Set für Nikon F schwarz (18261)</v>
      </c>
      <c r="B1912">
        <f>'(Raw) LensesGH'!B1912</f>
        <v>0</v>
      </c>
      <c r="C1912" s="5">
        <f t="shared" si="262"/>
        <v>0</v>
      </c>
      <c r="D1912" s="5">
        <f t="shared" si="263"/>
        <v>0</v>
      </c>
      <c r="E1912">
        <f>'(Raw) LensesGH'!C1912</f>
        <v>0</v>
      </c>
      <c r="F1912" s="9">
        <f t="shared" si="264"/>
        <v>0</v>
      </c>
      <c r="G1912" s="9">
        <f t="shared" si="265"/>
        <v>0</v>
      </c>
      <c r="H1912">
        <f>'(Raw) LensesGH'!D1912</f>
        <v>0</v>
      </c>
      <c r="I1912" s="2">
        <f t="shared" si="266"/>
        <v>0</v>
      </c>
      <c r="J1912" s="2">
        <f>'(Raw) LensesGH'!E1912</f>
        <v>0</v>
      </c>
      <c r="K1912" s="40">
        <f t="shared" si="267"/>
        <v>0</v>
      </c>
      <c r="L1912" t="str">
        <f>'(Raw) LensesGH'!F1912</f>
        <v>Nikon F</v>
      </c>
      <c r="M1912">
        <f>'(Raw) LensesGH'!G1912</f>
        <v>0</v>
      </c>
      <c r="N1912">
        <f>'(Raw) LensesGH'!H1912</f>
        <v>0</v>
      </c>
      <c r="O1912" s="5">
        <f t="shared" si="268"/>
        <v>0</v>
      </c>
      <c r="P1912">
        <f>'(Raw) LensesGH'!I1912</f>
        <v>0</v>
      </c>
      <c r="Q1912" s="39">
        <f t="shared" si="269"/>
        <v>0</v>
      </c>
      <c r="R1912" s="39">
        <f t="shared" si="261"/>
        <v>0</v>
      </c>
    </row>
    <row r="1913" spans="1:18" x14ac:dyDescent="0.25">
      <c r="A1913" t="str">
        <f>'(Raw) LensesGH'!A1913</f>
        <v>Walimex Pro Set für Nikon F schwarz (19908)</v>
      </c>
      <c r="B1913">
        <f>'(Raw) LensesGH'!B1913</f>
        <v>0</v>
      </c>
      <c r="C1913" s="5">
        <f t="shared" si="262"/>
        <v>0</v>
      </c>
      <c r="D1913" s="5">
        <f t="shared" si="263"/>
        <v>0</v>
      </c>
      <c r="E1913">
        <f>'(Raw) LensesGH'!C1913</f>
        <v>0</v>
      </c>
      <c r="F1913" s="9">
        <f t="shared" si="264"/>
        <v>0</v>
      </c>
      <c r="G1913" s="9">
        <f t="shared" si="265"/>
        <v>0</v>
      </c>
      <c r="H1913">
        <f>'(Raw) LensesGH'!D1913</f>
        <v>0</v>
      </c>
      <c r="I1913" s="2">
        <f t="shared" si="266"/>
        <v>0</v>
      </c>
      <c r="J1913" s="2">
        <f>'(Raw) LensesGH'!E1913</f>
        <v>0</v>
      </c>
      <c r="K1913" s="40">
        <f t="shared" si="267"/>
        <v>0</v>
      </c>
      <c r="L1913" t="str">
        <f>'(Raw) LensesGH'!F1913</f>
        <v>Nikon F</v>
      </c>
      <c r="M1913">
        <f>'(Raw) LensesGH'!G1913</f>
        <v>0</v>
      </c>
      <c r="N1913">
        <f>'(Raw) LensesGH'!H1913</f>
        <v>0</v>
      </c>
      <c r="O1913" s="5">
        <f t="shared" si="268"/>
        <v>0</v>
      </c>
      <c r="P1913">
        <f>'(Raw) LensesGH'!I1913</f>
        <v>0</v>
      </c>
      <c r="Q1913" s="39">
        <f t="shared" si="269"/>
        <v>0</v>
      </c>
      <c r="R1913" s="39">
        <f t="shared" si="261"/>
        <v>0</v>
      </c>
    </row>
    <row r="1914" spans="1:18" x14ac:dyDescent="0.25">
      <c r="A1914" t="str">
        <f>'(Raw) LensesGH'!A1914</f>
        <v>Walimex Pro Set VDSLR All Star für Canon EF schwarz</v>
      </c>
      <c r="B1914">
        <f>'(Raw) LensesGH'!B1914</f>
        <v>0</v>
      </c>
      <c r="C1914" s="5">
        <f t="shared" si="262"/>
        <v>0</v>
      </c>
      <c r="D1914" s="5">
        <f t="shared" si="263"/>
        <v>0</v>
      </c>
      <c r="E1914">
        <f>'(Raw) LensesGH'!C1914</f>
        <v>0</v>
      </c>
      <c r="F1914" s="9">
        <f t="shared" si="264"/>
        <v>0</v>
      </c>
      <c r="G1914" s="9">
        <f t="shared" si="265"/>
        <v>0</v>
      </c>
      <c r="H1914">
        <f>'(Raw) LensesGH'!D1914</f>
        <v>0</v>
      </c>
      <c r="I1914" s="2">
        <f t="shared" si="266"/>
        <v>0</v>
      </c>
      <c r="J1914" s="2">
        <f>'(Raw) LensesGH'!E1914</f>
        <v>0</v>
      </c>
      <c r="K1914" s="40">
        <f t="shared" si="267"/>
        <v>0</v>
      </c>
      <c r="L1914" t="str">
        <f>'(Raw) LensesGH'!F1914</f>
        <v>Canon EF</v>
      </c>
      <c r="M1914">
        <f>'(Raw) LensesGH'!G1914</f>
        <v>0</v>
      </c>
      <c r="N1914">
        <f>'(Raw) LensesGH'!H1914</f>
        <v>0</v>
      </c>
      <c r="O1914" s="5">
        <f t="shared" si="268"/>
        <v>0</v>
      </c>
      <c r="P1914">
        <f>'(Raw) LensesGH'!I1914</f>
        <v>0</v>
      </c>
      <c r="Q1914" s="39">
        <f t="shared" si="269"/>
        <v>0</v>
      </c>
      <c r="R1914" s="39">
        <f t="shared" si="261"/>
        <v>0</v>
      </c>
    </row>
    <row r="1915" spans="1:18" x14ac:dyDescent="0.25">
      <c r="A1915" t="str">
        <f>'(Raw) LensesGH'!A1915</f>
        <v>Walimex Pro Set VDSLR All Star für Nikon F schwarz</v>
      </c>
      <c r="B1915">
        <f>'(Raw) LensesGH'!B1915</f>
        <v>0</v>
      </c>
      <c r="C1915" s="5">
        <f t="shared" si="262"/>
        <v>0</v>
      </c>
      <c r="D1915" s="5">
        <f t="shared" si="263"/>
        <v>0</v>
      </c>
      <c r="E1915">
        <f>'(Raw) LensesGH'!C1915</f>
        <v>0</v>
      </c>
      <c r="F1915" s="9">
        <f t="shared" si="264"/>
        <v>0</v>
      </c>
      <c r="G1915" s="9">
        <f t="shared" si="265"/>
        <v>0</v>
      </c>
      <c r="H1915">
        <f>'(Raw) LensesGH'!D1915</f>
        <v>0</v>
      </c>
      <c r="I1915" s="2">
        <f t="shared" si="266"/>
        <v>0</v>
      </c>
      <c r="J1915" s="2">
        <f>'(Raw) LensesGH'!E1915</f>
        <v>0</v>
      </c>
      <c r="K1915" s="40">
        <f t="shared" si="267"/>
        <v>0</v>
      </c>
      <c r="L1915" t="str">
        <f>'(Raw) LensesGH'!F1915</f>
        <v>Nikon F</v>
      </c>
      <c r="M1915">
        <f>'(Raw) LensesGH'!G1915</f>
        <v>0</v>
      </c>
      <c r="N1915">
        <f>'(Raw) LensesGH'!H1915</f>
        <v>0</v>
      </c>
      <c r="O1915" s="5">
        <f t="shared" si="268"/>
        <v>0</v>
      </c>
      <c r="P1915">
        <f>'(Raw) LensesGH'!I1915</f>
        <v>0</v>
      </c>
      <c r="Q1915" s="39">
        <f t="shared" si="269"/>
        <v>0</v>
      </c>
      <c r="R1915" s="39">
        <f t="shared" si="261"/>
        <v>0</v>
      </c>
    </row>
    <row r="1916" spans="1:18" x14ac:dyDescent="0.25">
      <c r="A1916" t="str">
        <f>'(Raw) LensesGH'!A1916</f>
        <v>Walimex Pro Set VDSLR All Star für Sony A schwarz</v>
      </c>
      <c r="B1916">
        <f>'(Raw) LensesGH'!B1916</f>
        <v>0</v>
      </c>
      <c r="C1916" s="5">
        <f t="shared" si="262"/>
        <v>0</v>
      </c>
      <c r="D1916" s="5">
        <f t="shared" si="263"/>
        <v>0</v>
      </c>
      <c r="E1916">
        <f>'(Raw) LensesGH'!C1916</f>
        <v>0</v>
      </c>
      <c r="F1916" s="9">
        <f t="shared" si="264"/>
        <v>0</v>
      </c>
      <c r="G1916" s="9">
        <f t="shared" si="265"/>
        <v>0</v>
      </c>
      <c r="H1916">
        <f>'(Raw) LensesGH'!D1916</f>
        <v>0</v>
      </c>
      <c r="I1916" s="2">
        <f t="shared" si="266"/>
        <v>0</v>
      </c>
      <c r="J1916" s="2">
        <f>'(Raw) LensesGH'!E1916</f>
        <v>0</v>
      </c>
      <c r="K1916" s="40">
        <f t="shared" si="267"/>
        <v>0</v>
      </c>
      <c r="L1916" t="str">
        <f>'(Raw) LensesGH'!F1916</f>
        <v>Sony A</v>
      </c>
      <c r="M1916">
        <f>'(Raw) LensesGH'!G1916</f>
        <v>0</v>
      </c>
      <c r="N1916">
        <f>'(Raw) LensesGH'!H1916</f>
        <v>0</v>
      </c>
      <c r="O1916" s="5">
        <f t="shared" si="268"/>
        <v>0</v>
      </c>
      <c r="P1916">
        <f>'(Raw) LensesGH'!I1916</f>
        <v>0</v>
      </c>
      <c r="Q1916" s="39">
        <f t="shared" si="269"/>
        <v>0</v>
      </c>
      <c r="R1916" s="39">
        <f t="shared" si="261"/>
        <v>0</v>
      </c>
    </row>
    <row r="1917" spans="1:18" x14ac:dyDescent="0.25">
      <c r="A1917" t="str">
        <f>'(Raw) LensesGH'!A1917</f>
        <v>Walimex Pro Set VDSLR All Star für Sony E schwarz</v>
      </c>
      <c r="B1917">
        <f>'(Raw) LensesGH'!B1917</f>
        <v>0</v>
      </c>
      <c r="C1917" s="5">
        <f t="shared" si="262"/>
        <v>0</v>
      </c>
      <c r="D1917" s="5">
        <f t="shared" si="263"/>
        <v>0</v>
      </c>
      <c r="E1917">
        <f>'(Raw) LensesGH'!C1917</f>
        <v>0</v>
      </c>
      <c r="F1917" s="9">
        <f t="shared" si="264"/>
        <v>0</v>
      </c>
      <c r="G1917" s="9">
        <f t="shared" si="265"/>
        <v>0</v>
      </c>
      <c r="H1917">
        <f>'(Raw) LensesGH'!D1917</f>
        <v>0</v>
      </c>
      <c r="I1917" s="2">
        <f t="shared" si="266"/>
        <v>0</v>
      </c>
      <c r="J1917" s="2">
        <f>'(Raw) LensesGH'!E1917</f>
        <v>0</v>
      </c>
      <c r="K1917" s="40">
        <f t="shared" si="267"/>
        <v>0</v>
      </c>
      <c r="L1917" t="str">
        <f>'(Raw) LensesGH'!F1917</f>
        <v>Sony E</v>
      </c>
      <c r="M1917">
        <f>'(Raw) LensesGH'!G1917</f>
        <v>0</v>
      </c>
      <c r="N1917">
        <f>'(Raw) LensesGH'!H1917</f>
        <v>0</v>
      </c>
      <c r="O1917" s="5">
        <f t="shared" si="268"/>
        <v>0</v>
      </c>
      <c r="P1917">
        <f>'(Raw) LensesGH'!I1917</f>
        <v>0</v>
      </c>
      <c r="Q1917" s="39">
        <f t="shared" si="269"/>
        <v>0</v>
      </c>
      <c r="R1917" s="39">
        <f t="shared" si="261"/>
        <v>0</v>
      </c>
    </row>
    <row r="1918" spans="1:18" x14ac:dyDescent="0.25">
      <c r="A1918" t="str">
        <f>'(Raw) LensesGH'!A1918</f>
        <v>Walimex Pro T-S 24mm 3.5 CSC für Canon EF-M schwarz</v>
      </c>
      <c r="B1918" t="str">
        <f>'(Raw) LensesGH'!B1918</f>
        <v>24mm</v>
      </c>
      <c r="C1918" s="5">
        <f t="shared" si="262"/>
        <v>24</v>
      </c>
      <c r="D1918" s="5">
        <f t="shared" si="263"/>
        <v>24</v>
      </c>
      <c r="E1918" t="str">
        <f>'(Raw) LensesGH'!C1918</f>
        <v>1:3.5</v>
      </c>
      <c r="F1918" s="9">
        <f t="shared" si="264"/>
        <v>3.5</v>
      </c>
      <c r="G1918" s="9">
        <f t="shared" si="265"/>
        <v>3.5</v>
      </c>
      <c r="H1918" t="str">
        <f>'(Raw) LensesGH'!D1918</f>
        <v>82mm</v>
      </c>
      <c r="I1918" s="2">
        <f t="shared" si="266"/>
        <v>82</v>
      </c>
      <c r="J1918" s="2">
        <f>'(Raw) LensesGH'!E1918</f>
        <v>0</v>
      </c>
      <c r="K1918" s="40">
        <f t="shared" si="267"/>
        <v>0</v>
      </c>
      <c r="L1918" t="str">
        <f>'(Raw) LensesGH'!F1918</f>
        <v>Canon EF-M</v>
      </c>
      <c r="M1918" t="str">
        <f>'(Raw) LensesGH'!G1918</f>
        <v>APS-C</v>
      </c>
      <c r="N1918" t="str">
        <f>'(Raw) LensesGH'!H1918</f>
        <v>737g</v>
      </c>
      <c r="O1918" s="5">
        <f t="shared" si="268"/>
        <v>737</v>
      </c>
      <c r="P1918" t="str">
        <f>'(Raw) LensesGH'!I1918</f>
        <v>86 x 136mm</v>
      </c>
      <c r="Q1918" s="39">
        <f t="shared" si="269"/>
        <v>86</v>
      </c>
      <c r="R1918" s="39">
        <f t="shared" si="261"/>
        <v>136</v>
      </c>
    </row>
    <row r="1919" spans="1:18" x14ac:dyDescent="0.25">
      <c r="A1919" t="str">
        <f>'(Raw) LensesGH'!A1919</f>
        <v>Walimex Pro T-S 24mm 3.5 CSC für Fujifilm X schwarz</v>
      </c>
      <c r="B1919" t="str">
        <f>'(Raw) LensesGH'!B1919</f>
        <v>24mm</v>
      </c>
      <c r="C1919" s="5">
        <f t="shared" si="262"/>
        <v>24</v>
      </c>
      <c r="D1919" s="5">
        <f t="shared" si="263"/>
        <v>24</v>
      </c>
      <c r="E1919" t="str">
        <f>'(Raw) LensesGH'!C1919</f>
        <v>1:3.5</v>
      </c>
      <c r="F1919" s="9">
        <f t="shared" si="264"/>
        <v>3.5</v>
      </c>
      <c r="G1919" s="9">
        <f t="shared" si="265"/>
        <v>3.5</v>
      </c>
      <c r="H1919" t="str">
        <f>'(Raw) LensesGH'!D1919</f>
        <v>82mm</v>
      </c>
      <c r="I1919" s="2">
        <f t="shared" si="266"/>
        <v>82</v>
      </c>
      <c r="J1919" s="2">
        <f>'(Raw) LensesGH'!E1919</f>
        <v>0</v>
      </c>
      <c r="K1919" s="40">
        <f t="shared" si="267"/>
        <v>0</v>
      </c>
      <c r="L1919" t="str">
        <f>'(Raw) LensesGH'!F1919</f>
        <v>Fujifilm X</v>
      </c>
      <c r="M1919" t="str">
        <f>'(Raw) LensesGH'!G1919</f>
        <v>APS-C</v>
      </c>
      <c r="N1919" t="str">
        <f>'(Raw) LensesGH'!H1919</f>
        <v>745g</v>
      </c>
      <c r="O1919" s="5">
        <f t="shared" si="268"/>
        <v>745</v>
      </c>
      <c r="P1919" t="str">
        <f>'(Raw) LensesGH'!I1919</f>
        <v>86 x 136mm</v>
      </c>
      <c r="Q1919" s="39">
        <f t="shared" si="269"/>
        <v>86</v>
      </c>
      <c r="R1919" s="39">
        <f t="shared" si="261"/>
        <v>136</v>
      </c>
    </row>
    <row r="1920" spans="1:18" x14ac:dyDescent="0.25">
      <c r="A1920" t="str">
        <f>'(Raw) LensesGH'!A1920</f>
        <v>Walimex Pro T-S 24mm 3.5 CSC für Micro-Four-Thirds schwarz</v>
      </c>
      <c r="B1920" t="str">
        <f>'(Raw) LensesGH'!B1920</f>
        <v>24mm</v>
      </c>
      <c r="C1920" s="5">
        <f t="shared" si="262"/>
        <v>24</v>
      </c>
      <c r="D1920" s="5">
        <f t="shared" si="263"/>
        <v>24</v>
      </c>
      <c r="E1920" t="str">
        <f>'(Raw) LensesGH'!C1920</f>
        <v>1:3.5</v>
      </c>
      <c r="F1920" s="9">
        <f t="shared" si="264"/>
        <v>3.5</v>
      </c>
      <c r="G1920" s="9">
        <f t="shared" si="265"/>
        <v>3.5</v>
      </c>
      <c r="H1920" t="str">
        <f>'(Raw) LensesGH'!D1920</f>
        <v>82mm</v>
      </c>
      <c r="I1920" s="2">
        <f t="shared" si="266"/>
        <v>82</v>
      </c>
      <c r="J1920" s="2">
        <f>'(Raw) LensesGH'!E1920</f>
        <v>0</v>
      </c>
      <c r="K1920" s="40">
        <f t="shared" si="267"/>
        <v>0</v>
      </c>
      <c r="L1920" t="str">
        <f>'(Raw) LensesGH'!F1920</f>
        <v>Micro-Four-Thirds</v>
      </c>
      <c r="M1920" t="str">
        <f>'(Raw) LensesGH'!G1920</f>
        <v>APS-C</v>
      </c>
      <c r="N1920" t="str">
        <f>'(Raw) LensesGH'!H1920</f>
        <v>730g</v>
      </c>
      <c r="O1920" s="5">
        <f t="shared" si="268"/>
        <v>730</v>
      </c>
      <c r="P1920" t="str">
        <f>'(Raw) LensesGH'!I1920</f>
        <v>86 x 134mm</v>
      </c>
      <c r="Q1920" s="39">
        <f t="shared" si="269"/>
        <v>86</v>
      </c>
      <c r="R1920" s="39">
        <f t="shared" si="261"/>
        <v>134</v>
      </c>
    </row>
    <row r="1921" spans="1:18" x14ac:dyDescent="0.25">
      <c r="A1921" t="str">
        <f>'(Raw) LensesGH'!A1921</f>
        <v>Walimex Pro T-S 24mm 3.5 für Canon EF schwarz</v>
      </c>
      <c r="B1921" t="str">
        <f>'(Raw) LensesGH'!B1921</f>
        <v>24mm</v>
      </c>
      <c r="C1921" s="5">
        <f t="shared" si="262"/>
        <v>24</v>
      </c>
      <c r="D1921" s="5">
        <f t="shared" si="263"/>
        <v>24</v>
      </c>
      <c r="E1921" t="str">
        <f>'(Raw) LensesGH'!C1921</f>
        <v>1:3.5</v>
      </c>
      <c r="F1921" s="9">
        <f t="shared" si="264"/>
        <v>3.5</v>
      </c>
      <c r="G1921" s="9">
        <f t="shared" si="265"/>
        <v>3.5</v>
      </c>
      <c r="H1921" t="str">
        <f>'(Raw) LensesGH'!D1921</f>
        <v>82mm</v>
      </c>
      <c r="I1921" s="2">
        <f t="shared" si="266"/>
        <v>82</v>
      </c>
      <c r="J1921" s="2">
        <f>'(Raw) LensesGH'!E1921</f>
        <v>0</v>
      </c>
      <c r="K1921" s="40">
        <f t="shared" si="267"/>
        <v>0</v>
      </c>
      <c r="L1921" t="str">
        <f>'(Raw) LensesGH'!F1921</f>
        <v>Canon EF</v>
      </c>
      <c r="M1921" t="str">
        <f>'(Raw) LensesGH'!G1921</f>
        <v>APS-C/ Kleinbild</v>
      </c>
      <c r="N1921" t="str">
        <f>'(Raw) LensesGH'!H1921</f>
        <v>670g</v>
      </c>
      <c r="O1921" s="5">
        <f t="shared" si="268"/>
        <v>670</v>
      </c>
      <c r="P1921" t="str">
        <f>'(Raw) LensesGH'!I1921</f>
        <v>86 x 113mm</v>
      </c>
      <c r="Q1921" s="39">
        <f t="shared" si="269"/>
        <v>86</v>
      </c>
      <c r="R1921" s="39">
        <f t="shared" si="261"/>
        <v>113</v>
      </c>
    </row>
    <row r="1922" spans="1:18" x14ac:dyDescent="0.25">
      <c r="A1922" t="str">
        <f>'(Raw) LensesGH'!A1922</f>
        <v>Walimex Pro T-S 24mm 3.5 für Four-Thirds schwarz</v>
      </c>
      <c r="B1922" t="str">
        <f>'(Raw) LensesGH'!B1922</f>
        <v>24mm</v>
      </c>
      <c r="C1922" s="5">
        <f t="shared" si="262"/>
        <v>24</v>
      </c>
      <c r="D1922" s="5">
        <f t="shared" si="263"/>
        <v>24</v>
      </c>
      <c r="E1922" t="str">
        <f>'(Raw) LensesGH'!C1922</f>
        <v>1:3.5</v>
      </c>
      <c r="F1922" s="9">
        <f t="shared" si="264"/>
        <v>3.5</v>
      </c>
      <c r="G1922" s="9">
        <f t="shared" si="265"/>
        <v>3.5</v>
      </c>
      <c r="H1922" t="str">
        <f>'(Raw) LensesGH'!D1922</f>
        <v>82mm</v>
      </c>
      <c r="I1922" s="2">
        <f t="shared" si="266"/>
        <v>82</v>
      </c>
      <c r="J1922" s="2">
        <f>'(Raw) LensesGH'!E1922</f>
        <v>0</v>
      </c>
      <c r="K1922" s="40">
        <f t="shared" si="267"/>
        <v>0</v>
      </c>
      <c r="L1922" t="str">
        <f>'(Raw) LensesGH'!F1922</f>
        <v>Four-Thirds</v>
      </c>
      <c r="M1922" t="str">
        <f>'(Raw) LensesGH'!G1922</f>
        <v>APS-C</v>
      </c>
      <c r="N1922" t="str">
        <f>'(Raw) LensesGH'!H1922</f>
        <v>720g</v>
      </c>
      <c r="O1922" s="5">
        <f t="shared" si="268"/>
        <v>720</v>
      </c>
      <c r="P1922" t="str">
        <f>'(Raw) LensesGH'!I1922</f>
        <v>86 x 115mm</v>
      </c>
      <c r="Q1922" s="39">
        <f t="shared" si="269"/>
        <v>86</v>
      </c>
      <c r="R1922" s="39">
        <f t="shared" ref="R1922:R1985" si="270">getSizeLength(P1922)</f>
        <v>115</v>
      </c>
    </row>
    <row r="1923" spans="1:18" x14ac:dyDescent="0.25">
      <c r="A1923" t="str">
        <f>'(Raw) LensesGH'!A1923</f>
        <v>Walimex Pro T-S 24mm 3.5 für Nikon F schwarz</v>
      </c>
      <c r="B1923" t="str">
        <f>'(Raw) LensesGH'!B1923</f>
        <v>24mm</v>
      </c>
      <c r="C1923" s="5">
        <f t="shared" ref="C1923:C1986" si="271">getFocalLengthStart(B1923)</f>
        <v>24</v>
      </c>
      <c r="D1923" s="5">
        <f t="shared" ref="D1923:D1986" si="272">getFocalLengthEnd(B1923)</f>
        <v>24</v>
      </c>
      <c r="E1923" t="str">
        <f>'(Raw) LensesGH'!C1923</f>
        <v>1:3.5</v>
      </c>
      <c r="F1923" s="9">
        <f t="shared" ref="F1923:F1986" si="273">getApertureStart(E1923)</f>
        <v>3.5</v>
      </c>
      <c r="G1923" s="9">
        <f t="shared" ref="G1923:G1986" si="274">getApertureEnd(F1923)</f>
        <v>3.5</v>
      </c>
      <c r="H1923" t="str">
        <f>'(Raw) LensesGH'!D1923</f>
        <v>82mm</v>
      </c>
      <c r="I1923" s="2">
        <f t="shared" ref="I1923:I1986" si="275">getFiltersizeAsDouble(H1923)</f>
        <v>82</v>
      </c>
      <c r="J1923" s="2">
        <f>'(Raw) LensesGH'!E1923</f>
        <v>0</v>
      </c>
      <c r="K1923" s="40">
        <f t="shared" ref="K1923:K1986" si="276">getMagnification(J1923)</f>
        <v>0</v>
      </c>
      <c r="L1923" t="str">
        <f>'(Raw) LensesGH'!F1923</f>
        <v>Nikon F</v>
      </c>
      <c r="M1923" t="str">
        <f>'(Raw) LensesGH'!G1923</f>
        <v>APS-C/ Kleinbild</v>
      </c>
      <c r="N1923" t="str">
        <f>'(Raw) LensesGH'!H1923</f>
        <v>670g</v>
      </c>
      <c r="O1923" s="5">
        <f t="shared" ref="O1923:O1986" si="277">getWeightAsDouble(N1923)</f>
        <v>670</v>
      </c>
      <c r="P1923" t="str">
        <f>'(Raw) LensesGH'!I1923</f>
        <v>86 x 111mm</v>
      </c>
      <c r="Q1923" s="39">
        <f t="shared" ref="Q1923:Q1986" si="278">getSizeDiameter(P1923)</f>
        <v>86</v>
      </c>
      <c r="R1923" s="39">
        <f t="shared" si="270"/>
        <v>111</v>
      </c>
    </row>
    <row r="1924" spans="1:18" x14ac:dyDescent="0.25">
      <c r="A1924" t="str">
        <f>'(Raw) LensesGH'!A1924</f>
        <v>Walimex Pro T-S 24mm 3.5 für Pentax K schwarz</v>
      </c>
      <c r="B1924" t="str">
        <f>'(Raw) LensesGH'!B1924</f>
        <v>24mm</v>
      </c>
      <c r="C1924" s="5">
        <f t="shared" si="271"/>
        <v>24</v>
      </c>
      <c r="D1924" s="5">
        <f t="shared" si="272"/>
        <v>24</v>
      </c>
      <c r="E1924" t="str">
        <f>'(Raw) LensesGH'!C1924</f>
        <v>1:3.5</v>
      </c>
      <c r="F1924" s="9">
        <f t="shared" si="273"/>
        <v>3.5</v>
      </c>
      <c r="G1924" s="9">
        <f t="shared" si="274"/>
        <v>3.5</v>
      </c>
      <c r="H1924" t="str">
        <f>'(Raw) LensesGH'!D1924</f>
        <v>82mm</v>
      </c>
      <c r="I1924" s="2">
        <f t="shared" si="275"/>
        <v>82</v>
      </c>
      <c r="J1924" s="2">
        <f>'(Raw) LensesGH'!E1924</f>
        <v>0</v>
      </c>
      <c r="K1924" s="40">
        <f t="shared" si="276"/>
        <v>0</v>
      </c>
      <c r="L1924" t="str">
        <f>'(Raw) LensesGH'!F1924</f>
        <v>Pentax K</v>
      </c>
      <c r="M1924" t="str">
        <f>'(Raw) LensesGH'!G1924</f>
        <v>APS-C/ Kleinbild</v>
      </c>
      <c r="N1924" t="str">
        <f>'(Raw) LensesGH'!H1924</f>
        <v>670g</v>
      </c>
      <c r="O1924" s="5">
        <f t="shared" si="277"/>
        <v>670</v>
      </c>
      <c r="P1924" t="str">
        <f>'(Raw) LensesGH'!I1924</f>
        <v>86 x 111mm</v>
      </c>
      <c r="Q1924" s="39">
        <f t="shared" si="278"/>
        <v>86</v>
      </c>
      <c r="R1924" s="39">
        <f t="shared" si="270"/>
        <v>111</v>
      </c>
    </row>
    <row r="1925" spans="1:18" x14ac:dyDescent="0.25">
      <c r="A1925" t="str">
        <f>'(Raw) LensesGH'!A1925</f>
        <v>Walimex Pro T-S 24mm 3.5 für Sony A schwarz</v>
      </c>
      <c r="B1925" t="str">
        <f>'(Raw) LensesGH'!B1925</f>
        <v>24mm</v>
      </c>
      <c r="C1925" s="5">
        <f t="shared" si="271"/>
        <v>24</v>
      </c>
      <c r="D1925" s="5">
        <f t="shared" si="272"/>
        <v>24</v>
      </c>
      <c r="E1925" t="str">
        <f>'(Raw) LensesGH'!C1925</f>
        <v>1:3.5</v>
      </c>
      <c r="F1925" s="9">
        <f t="shared" si="273"/>
        <v>3.5</v>
      </c>
      <c r="G1925" s="9">
        <f t="shared" si="274"/>
        <v>3.5</v>
      </c>
      <c r="H1925" t="str">
        <f>'(Raw) LensesGH'!D1925</f>
        <v>82mm</v>
      </c>
      <c r="I1925" s="2">
        <f t="shared" si="275"/>
        <v>82</v>
      </c>
      <c r="J1925" s="2">
        <f>'(Raw) LensesGH'!E1925</f>
        <v>0</v>
      </c>
      <c r="K1925" s="40">
        <f t="shared" si="276"/>
        <v>0</v>
      </c>
      <c r="L1925" t="str">
        <f>'(Raw) LensesGH'!F1925</f>
        <v>Sony A</v>
      </c>
      <c r="M1925" t="str">
        <f>'(Raw) LensesGH'!G1925</f>
        <v>APS-C</v>
      </c>
      <c r="N1925" t="str">
        <f>'(Raw) LensesGH'!H1925</f>
        <v>670g</v>
      </c>
      <c r="O1925" s="5">
        <f t="shared" si="277"/>
        <v>670</v>
      </c>
      <c r="P1925" t="str">
        <f>'(Raw) LensesGH'!I1925</f>
        <v>86 x 111mm</v>
      </c>
      <c r="Q1925" s="39">
        <f t="shared" si="278"/>
        <v>86</v>
      </c>
      <c r="R1925" s="39">
        <f t="shared" si="270"/>
        <v>111</v>
      </c>
    </row>
    <row r="1926" spans="1:18" x14ac:dyDescent="0.25">
      <c r="A1926" t="str">
        <f>'(Raw) LensesGH'!A1926</f>
        <v>Walimex Pro T-S 24mm 3.5 für Sony E schwarz</v>
      </c>
      <c r="B1926" t="str">
        <f>'(Raw) LensesGH'!B1926</f>
        <v>24mm</v>
      </c>
      <c r="C1926" s="5">
        <f t="shared" si="271"/>
        <v>24</v>
      </c>
      <c r="D1926" s="5">
        <f t="shared" si="272"/>
        <v>24</v>
      </c>
      <c r="E1926" t="str">
        <f>'(Raw) LensesGH'!C1926</f>
        <v>1:3.5</v>
      </c>
      <c r="F1926" s="9">
        <f t="shared" si="273"/>
        <v>3.5</v>
      </c>
      <c r="G1926" s="9">
        <f t="shared" si="274"/>
        <v>3.5</v>
      </c>
      <c r="H1926" t="str">
        <f>'(Raw) LensesGH'!D1926</f>
        <v>82mm</v>
      </c>
      <c r="I1926" s="2">
        <f t="shared" si="275"/>
        <v>82</v>
      </c>
      <c r="J1926" s="2">
        <f>'(Raw) LensesGH'!E1926</f>
        <v>0</v>
      </c>
      <c r="K1926" s="40">
        <f t="shared" si="276"/>
        <v>0</v>
      </c>
      <c r="L1926" t="str">
        <f>'(Raw) LensesGH'!F1926</f>
        <v>Sony E</v>
      </c>
      <c r="M1926" t="str">
        <f>'(Raw) LensesGH'!G1926</f>
        <v>APS-C/ Kleinbild</v>
      </c>
      <c r="N1926" t="str">
        <f>'(Raw) LensesGH'!H1926</f>
        <v>734g</v>
      </c>
      <c r="O1926" s="5">
        <f t="shared" si="277"/>
        <v>734</v>
      </c>
      <c r="P1926" t="str">
        <f>'(Raw) LensesGH'!I1926</f>
        <v>86 x 139mm</v>
      </c>
      <c r="Q1926" s="39">
        <f t="shared" si="278"/>
        <v>86</v>
      </c>
      <c r="R1926" s="39">
        <f t="shared" si="270"/>
        <v>139</v>
      </c>
    </row>
    <row r="1927" spans="1:18" x14ac:dyDescent="0.25">
      <c r="A1927" t="str">
        <f>'(Raw) LensesGH'!A1927</f>
        <v>Yongnuo 100mm 2.0 für Canon EF schwarz</v>
      </c>
      <c r="B1927" t="str">
        <f>'(Raw) LensesGH'!B1927</f>
        <v>100mm</v>
      </c>
      <c r="C1927" s="5">
        <f t="shared" si="271"/>
        <v>100</v>
      </c>
      <c r="D1927" s="5">
        <f t="shared" si="272"/>
        <v>100</v>
      </c>
      <c r="E1927" t="str">
        <f>'(Raw) LensesGH'!C1927</f>
        <v>1:2.0</v>
      </c>
      <c r="F1927" s="9">
        <f t="shared" si="273"/>
        <v>2</v>
      </c>
      <c r="G1927" s="9">
        <f t="shared" si="274"/>
        <v>2</v>
      </c>
      <c r="H1927" t="str">
        <f>'(Raw) LensesGH'!D1927</f>
        <v>58mm</v>
      </c>
      <c r="I1927" s="2">
        <f t="shared" si="275"/>
        <v>58</v>
      </c>
      <c r="J1927" s="2" t="str">
        <f>'(Raw) LensesGH'!E1927</f>
        <v>1:7.14</v>
      </c>
      <c r="K1927" s="40">
        <f t="shared" si="276"/>
        <v>7.14</v>
      </c>
      <c r="L1927" t="str">
        <f>'(Raw) LensesGH'!F1927</f>
        <v>Canon EF</v>
      </c>
      <c r="M1927" t="str">
        <f>'(Raw) LensesGH'!G1927</f>
        <v>APS-C/ Kleinbild</v>
      </c>
      <c r="N1927" t="str">
        <f>'(Raw) LensesGH'!H1927</f>
        <v>387g</v>
      </c>
      <c r="O1927" s="5">
        <f t="shared" si="277"/>
        <v>387</v>
      </c>
      <c r="P1927" t="str">
        <f>'(Raw) LensesGH'!I1927</f>
        <v>76 x 83mm</v>
      </c>
      <c r="Q1927" s="39">
        <f t="shared" si="278"/>
        <v>76</v>
      </c>
      <c r="R1927" s="39">
        <f t="shared" si="270"/>
        <v>83</v>
      </c>
    </row>
    <row r="1928" spans="1:18" x14ac:dyDescent="0.25">
      <c r="A1928" t="str">
        <f>'(Raw) LensesGH'!A1928</f>
        <v>Yongnuo 35mm 2.0 für Canon EF schwarz</v>
      </c>
      <c r="B1928" t="str">
        <f>'(Raw) LensesGH'!B1928</f>
        <v>35mm</v>
      </c>
      <c r="C1928" s="5">
        <f t="shared" si="271"/>
        <v>35</v>
      </c>
      <c r="D1928" s="5">
        <f t="shared" si="272"/>
        <v>35</v>
      </c>
      <c r="E1928" t="str">
        <f>'(Raw) LensesGH'!C1928</f>
        <v>1:2.0</v>
      </c>
      <c r="F1928" s="9">
        <f t="shared" si="273"/>
        <v>2</v>
      </c>
      <c r="G1928" s="9">
        <f t="shared" si="274"/>
        <v>2</v>
      </c>
      <c r="H1928" t="str">
        <f>'(Raw) LensesGH'!D1928</f>
        <v>52mm</v>
      </c>
      <c r="I1928" s="2">
        <f t="shared" si="275"/>
        <v>52</v>
      </c>
      <c r="J1928" s="2" t="str">
        <f>'(Raw) LensesGH'!E1928</f>
        <v>1:4.35</v>
      </c>
      <c r="K1928" s="40">
        <f t="shared" si="276"/>
        <v>4.3499999999999996</v>
      </c>
      <c r="L1928" t="str">
        <f>'(Raw) LensesGH'!F1928</f>
        <v>Canon EF</v>
      </c>
      <c r="M1928" t="str">
        <f>'(Raw) LensesGH'!G1928</f>
        <v>APS-C</v>
      </c>
      <c r="N1928" t="str">
        <f>'(Raw) LensesGH'!H1928</f>
        <v>155g</v>
      </c>
      <c r="O1928" s="5">
        <f t="shared" si="277"/>
        <v>155</v>
      </c>
      <c r="P1928" t="str">
        <f>'(Raw) LensesGH'!I1928</f>
        <v>73 x 59mm</v>
      </c>
      <c r="Q1928" s="39">
        <f t="shared" si="278"/>
        <v>73</v>
      </c>
      <c r="R1928" s="39">
        <f t="shared" si="270"/>
        <v>59</v>
      </c>
    </row>
    <row r="1929" spans="1:18" x14ac:dyDescent="0.25">
      <c r="A1929" t="str">
        <f>'(Raw) LensesGH'!A1929</f>
        <v>Yongnuo 50mm 1.8 für Canon EF schwarz</v>
      </c>
      <c r="B1929" t="str">
        <f>'(Raw) LensesGH'!B1929</f>
        <v>50mm</v>
      </c>
      <c r="C1929" s="5">
        <f t="shared" si="271"/>
        <v>50</v>
      </c>
      <c r="D1929" s="5">
        <f t="shared" si="272"/>
        <v>50</v>
      </c>
      <c r="E1929" t="str">
        <f>'(Raw) LensesGH'!C1929</f>
        <v>1:1.8</v>
      </c>
      <c r="F1929" s="9">
        <f t="shared" si="273"/>
        <v>1.8</v>
      </c>
      <c r="G1929" s="9">
        <f t="shared" si="274"/>
        <v>1.8</v>
      </c>
      <c r="H1929" t="str">
        <f>'(Raw) LensesGH'!D1929</f>
        <v>52mm</v>
      </c>
      <c r="I1929" s="2">
        <f t="shared" si="275"/>
        <v>52</v>
      </c>
      <c r="J1929" s="2" t="str">
        <f>'(Raw) LensesGH'!E1929</f>
        <v>1:6.67</v>
      </c>
      <c r="K1929" s="40">
        <f t="shared" si="276"/>
        <v>6.67</v>
      </c>
      <c r="L1929" t="str">
        <f>'(Raw) LensesGH'!F1929</f>
        <v>Canon EF</v>
      </c>
      <c r="M1929" t="str">
        <f>'(Raw) LensesGH'!G1929</f>
        <v>APS-C</v>
      </c>
      <c r="N1929" t="str">
        <f>'(Raw) LensesGH'!H1929</f>
        <v>120g</v>
      </c>
      <c r="O1929" s="5">
        <f t="shared" si="277"/>
        <v>120</v>
      </c>
      <c r="P1929" t="str">
        <f>'(Raw) LensesGH'!I1929</f>
        <v>74 x 60mm</v>
      </c>
      <c r="Q1929" s="39">
        <f t="shared" si="278"/>
        <v>74</v>
      </c>
      <c r="R1929" s="39">
        <f t="shared" si="270"/>
        <v>60</v>
      </c>
    </row>
    <row r="1930" spans="1:18" x14ac:dyDescent="0.25">
      <c r="A1930" t="str">
        <f>'(Raw) LensesGH'!A1930</f>
        <v>Yongnuo 85mm 1.8 für Canon EF schwarz</v>
      </c>
      <c r="B1930" t="str">
        <f>'(Raw) LensesGH'!B1930</f>
        <v>85mm</v>
      </c>
      <c r="C1930" s="5">
        <f t="shared" si="271"/>
        <v>85</v>
      </c>
      <c r="D1930" s="5">
        <f t="shared" si="272"/>
        <v>85</v>
      </c>
      <c r="E1930" t="str">
        <f>'(Raw) LensesGH'!C1930</f>
        <v>1:1.8</v>
      </c>
      <c r="F1930" s="9">
        <f t="shared" si="273"/>
        <v>1.8</v>
      </c>
      <c r="G1930" s="9">
        <f t="shared" si="274"/>
        <v>1.8</v>
      </c>
      <c r="H1930" t="str">
        <f>'(Raw) LensesGH'!D1930</f>
        <v>58mm</v>
      </c>
      <c r="I1930" s="2">
        <f t="shared" si="275"/>
        <v>58</v>
      </c>
      <c r="J1930" s="2" t="str">
        <f>'(Raw) LensesGH'!E1930</f>
        <v>1:7.69</v>
      </c>
      <c r="K1930" s="40">
        <f t="shared" si="276"/>
        <v>7.69</v>
      </c>
      <c r="L1930" t="str">
        <f>'(Raw) LensesGH'!F1930</f>
        <v>Canon EF</v>
      </c>
      <c r="M1930" t="str">
        <f>'(Raw) LensesGH'!G1930</f>
        <v>APS-C/ Kleinbild</v>
      </c>
      <c r="N1930" t="str">
        <f>'(Raw) LensesGH'!H1930</f>
        <v>460g</v>
      </c>
      <c r="O1930" s="5">
        <f t="shared" si="277"/>
        <v>460</v>
      </c>
      <c r="P1930" t="str">
        <f>'(Raw) LensesGH'!I1930</f>
        <v>81 x 79.5mm</v>
      </c>
      <c r="Q1930" s="39">
        <f t="shared" si="278"/>
        <v>81</v>
      </c>
      <c r="R1930" s="39">
        <f t="shared" si="270"/>
        <v>79.5</v>
      </c>
    </row>
    <row r="1931" spans="1:18" x14ac:dyDescent="0.25">
      <c r="A1931" t="str">
        <f>'(Raw) LensesGH'!A1931</f>
        <v>Zeiss Batis 135mm 2.8 für Sony E schwarz</v>
      </c>
      <c r="B1931" t="str">
        <f>'(Raw) LensesGH'!B1931</f>
        <v>135mm</v>
      </c>
      <c r="C1931" s="5">
        <f t="shared" si="271"/>
        <v>135</v>
      </c>
      <c r="D1931" s="5">
        <f t="shared" si="272"/>
        <v>135</v>
      </c>
      <c r="E1931" t="str">
        <f>'(Raw) LensesGH'!C1931</f>
        <v>1:2.8</v>
      </c>
      <c r="F1931" s="9">
        <f t="shared" si="273"/>
        <v>2.8</v>
      </c>
      <c r="G1931" s="9">
        <f t="shared" si="274"/>
        <v>2.8</v>
      </c>
      <c r="H1931" t="str">
        <f>'(Raw) LensesGH'!D1931</f>
        <v>67mm</v>
      </c>
      <c r="I1931" s="2">
        <f t="shared" si="275"/>
        <v>67</v>
      </c>
      <c r="J1931" s="2" t="str">
        <f>'(Raw) LensesGH'!E1931</f>
        <v>1:5.30</v>
      </c>
      <c r="K1931" s="40">
        <f t="shared" si="276"/>
        <v>5.3</v>
      </c>
      <c r="L1931" t="str">
        <f>'(Raw) LensesGH'!F1931</f>
        <v>Sony E</v>
      </c>
      <c r="M1931" t="str">
        <f>'(Raw) LensesGH'!G1931</f>
        <v>APS-C/ Kleinbild</v>
      </c>
      <c r="N1931" t="str">
        <f>'(Raw) LensesGH'!H1931</f>
        <v>614g</v>
      </c>
      <c r="O1931" s="5">
        <f t="shared" si="277"/>
        <v>614</v>
      </c>
      <c r="P1931" t="str">
        <f>'(Raw) LensesGH'!I1931</f>
        <v>98 x 120mm</v>
      </c>
      <c r="Q1931" s="39">
        <f t="shared" si="278"/>
        <v>98</v>
      </c>
      <c r="R1931" s="39">
        <f t="shared" si="270"/>
        <v>120</v>
      </c>
    </row>
    <row r="1932" spans="1:18" x14ac:dyDescent="0.25">
      <c r="A1932" t="str">
        <f>'(Raw) LensesGH'!A1932</f>
        <v>Zeiss Batis 18mm 2.8 für Sony E schwarz</v>
      </c>
      <c r="B1932" t="str">
        <f>'(Raw) LensesGH'!B1932</f>
        <v>18mm</v>
      </c>
      <c r="C1932" s="5">
        <f t="shared" si="271"/>
        <v>18</v>
      </c>
      <c r="D1932" s="5">
        <f t="shared" si="272"/>
        <v>18</v>
      </c>
      <c r="E1932" t="str">
        <f>'(Raw) LensesGH'!C1932</f>
        <v>1:2.8</v>
      </c>
      <c r="F1932" s="9">
        <f t="shared" si="273"/>
        <v>2.8</v>
      </c>
      <c r="G1932" s="9">
        <f t="shared" si="274"/>
        <v>2.8</v>
      </c>
      <c r="H1932" t="str">
        <f>'(Raw) LensesGH'!D1932</f>
        <v>77mm</v>
      </c>
      <c r="I1932" s="2">
        <f t="shared" si="275"/>
        <v>77</v>
      </c>
      <c r="J1932" s="2" t="str">
        <f>'(Raw) LensesGH'!E1932</f>
        <v>1:9.50</v>
      </c>
      <c r="K1932" s="40">
        <f t="shared" si="276"/>
        <v>9.5</v>
      </c>
      <c r="L1932" t="str">
        <f>'(Raw) LensesGH'!F1932</f>
        <v>Sony E</v>
      </c>
      <c r="M1932" t="str">
        <f>'(Raw) LensesGH'!G1932</f>
        <v>APS-C/ Kleinbild</v>
      </c>
      <c r="N1932" t="str">
        <f>'(Raw) LensesGH'!H1932</f>
        <v>330g</v>
      </c>
      <c r="O1932" s="5">
        <f t="shared" si="277"/>
        <v>330</v>
      </c>
      <c r="P1932" t="str">
        <f>'(Raw) LensesGH'!I1932</f>
        <v>100 x 80mm</v>
      </c>
      <c r="Q1932" s="39">
        <f t="shared" si="278"/>
        <v>100</v>
      </c>
      <c r="R1932" s="39">
        <f t="shared" si="270"/>
        <v>80</v>
      </c>
    </row>
    <row r="1933" spans="1:18" x14ac:dyDescent="0.25">
      <c r="A1933" t="str">
        <f>'(Raw) LensesGH'!A1933</f>
        <v>Zeiss Batis 25mm 2.0 für Sony E schwarz</v>
      </c>
      <c r="B1933" t="str">
        <f>'(Raw) LensesGH'!B1933</f>
        <v>25mm</v>
      </c>
      <c r="C1933" s="5">
        <f t="shared" si="271"/>
        <v>25</v>
      </c>
      <c r="D1933" s="5">
        <f t="shared" si="272"/>
        <v>25</v>
      </c>
      <c r="E1933" t="str">
        <f>'(Raw) LensesGH'!C1933</f>
        <v>1:2.0</v>
      </c>
      <c r="F1933" s="9">
        <f t="shared" si="273"/>
        <v>2</v>
      </c>
      <c r="G1933" s="9">
        <f t="shared" si="274"/>
        <v>2</v>
      </c>
      <c r="H1933" t="str">
        <f>'(Raw) LensesGH'!D1933</f>
        <v>67mm</v>
      </c>
      <c r="I1933" s="2">
        <f t="shared" si="275"/>
        <v>67</v>
      </c>
      <c r="J1933" s="2" t="str">
        <f>'(Raw) LensesGH'!E1933</f>
        <v>1:5.20</v>
      </c>
      <c r="K1933" s="40">
        <f t="shared" si="276"/>
        <v>5.2</v>
      </c>
      <c r="L1933" t="str">
        <f>'(Raw) LensesGH'!F1933</f>
        <v>Sony E</v>
      </c>
      <c r="M1933" t="str">
        <f>'(Raw) LensesGH'!G1933</f>
        <v>APS-C/ Kleinbild</v>
      </c>
      <c r="N1933" t="str">
        <f>'(Raw) LensesGH'!H1933</f>
        <v>335g</v>
      </c>
      <c r="O1933" s="5">
        <f t="shared" si="277"/>
        <v>335</v>
      </c>
      <c r="P1933" t="str">
        <f>'(Raw) LensesGH'!I1933</f>
        <v>78 x 78mm</v>
      </c>
      <c r="Q1933" s="39">
        <f t="shared" si="278"/>
        <v>78</v>
      </c>
      <c r="R1933" s="39">
        <f t="shared" si="270"/>
        <v>78</v>
      </c>
    </row>
    <row r="1934" spans="1:18" x14ac:dyDescent="0.25">
      <c r="A1934" t="str">
        <f>'(Raw) LensesGH'!A1934</f>
        <v>Zeiss Batis 85mm 1.8 für Sony E schwarz</v>
      </c>
      <c r="B1934" t="str">
        <f>'(Raw) LensesGH'!B1934</f>
        <v>85mm</v>
      </c>
      <c r="C1934" s="5">
        <f t="shared" si="271"/>
        <v>85</v>
      </c>
      <c r="D1934" s="5">
        <f t="shared" si="272"/>
        <v>85</v>
      </c>
      <c r="E1934" t="str">
        <f>'(Raw) LensesGH'!C1934</f>
        <v>1:1.8</v>
      </c>
      <c r="F1934" s="9">
        <f t="shared" si="273"/>
        <v>1.8</v>
      </c>
      <c r="G1934" s="9">
        <f t="shared" si="274"/>
        <v>1.8</v>
      </c>
      <c r="H1934" t="str">
        <f>'(Raw) LensesGH'!D1934</f>
        <v>67mm</v>
      </c>
      <c r="I1934" s="2">
        <f t="shared" si="275"/>
        <v>67</v>
      </c>
      <c r="J1934" s="2" t="str">
        <f>'(Raw) LensesGH'!E1934</f>
        <v>1:7.90</v>
      </c>
      <c r="K1934" s="40">
        <f t="shared" si="276"/>
        <v>7.9</v>
      </c>
      <c r="L1934" t="str">
        <f>'(Raw) LensesGH'!F1934</f>
        <v>Sony E</v>
      </c>
      <c r="M1934" t="str">
        <f>'(Raw) LensesGH'!G1934</f>
        <v>APS-C/ Kleinbild</v>
      </c>
      <c r="N1934" t="str">
        <f>'(Raw) LensesGH'!H1934</f>
        <v>475g</v>
      </c>
      <c r="O1934" s="5">
        <f t="shared" si="277"/>
        <v>475</v>
      </c>
      <c r="P1934" t="str">
        <f>'(Raw) LensesGH'!I1934</f>
        <v>78 x 92mm</v>
      </c>
      <c r="Q1934" s="39">
        <f t="shared" si="278"/>
        <v>78</v>
      </c>
      <c r="R1934" s="39">
        <f t="shared" si="270"/>
        <v>92</v>
      </c>
    </row>
    <row r="1935" spans="1:18" x14ac:dyDescent="0.25">
      <c r="A1935" t="str">
        <f>'(Raw) LensesGH'!A1935</f>
        <v>Zeiss Loxia 21mm 2.8 für Sony E schwarz</v>
      </c>
      <c r="B1935" t="str">
        <f>'(Raw) LensesGH'!B1935</f>
        <v>21mm</v>
      </c>
      <c r="C1935" s="5">
        <f t="shared" si="271"/>
        <v>21</v>
      </c>
      <c r="D1935" s="5">
        <f t="shared" si="272"/>
        <v>21</v>
      </c>
      <c r="E1935" t="str">
        <f>'(Raw) LensesGH'!C1935</f>
        <v>1:2.8</v>
      </c>
      <c r="F1935" s="9">
        <f t="shared" si="273"/>
        <v>2.8</v>
      </c>
      <c r="G1935" s="9">
        <f t="shared" si="274"/>
        <v>2.8</v>
      </c>
      <c r="H1935" t="str">
        <f>'(Raw) LensesGH'!D1935</f>
        <v>52mm</v>
      </c>
      <c r="I1935" s="2">
        <f t="shared" si="275"/>
        <v>52</v>
      </c>
      <c r="J1935" s="2" t="str">
        <f>'(Raw) LensesGH'!E1935</f>
        <v>1:7.81</v>
      </c>
      <c r="K1935" s="40">
        <f t="shared" si="276"/>
        <v>7.81</v>
      </c>
      <c r="L1935" t="str">
        <f>'(Raw) LensesGH'!F1935</f>
        <v>Sony E</v>
      </c>
      <c r="M1935" t="str">
        <f>'(Raw) LensesGH'!G1935</f>
        <v>APS-C/ Kleinbild</v>
      </c>
      <c r="N1935" t="str">
        <f>'(Raw) LensesGH'!H1935</f>
        <v>394g</v>
      </c>
      <c r="O1935" s="5">
        <f t="shared" si="277"/>
        <v>394</v>
      </c>
      <c r="P1935" t="str">
        <f>'(Raw) LensesGH'!I1935</f>
        <v>62.1 x 72mm</v>
      </c>
      <c r="Q1935" s="39">
        <f t="shared" si="278"/>
        <v>62.1</v>
      </c>
      <c r="R1935" s="39">
        <f t="shared" si="270"/>
        <v>72</v>
      </c>
    </row>
    <row r="1936" spans="1:18" x14ac:dyDescent="0.25">
      <c r="A1936" t="str">
        <f>'(Raw) LensesGH'!A1936</f>
        <v>Zeiss Loxia 35mm 2.0 für Sony E schwarz</v>
      </c>
      <c r="B1936" t="str">
        <f>'(Raw) LensesGH'!B1936</f>
        <v>35mm</v>
      </c>
      <c r="C1936" s="5">
        <f t="shared" si="271"/>
        <v>35</v>
      </c>
      <c r="D1936" s="5">
        <f t="shared" si="272"/>
        <v>35</v>
      </c>
      <c r="E1936" t="str">
        <f>'(Raw) LensesGH'!C1936</f>
        <v>1:2.0</v>
      </c>
      <c r="F1936" s="9">
        <f t="shared" si="273"/>
        <v>2</v>
      </c>
      <c r="G1936" s="9">
        <f t="shared" si="274"/>
        <v>2</v>
      </c>
      <c r="H1936" t="str">
        <f>'(Raw) LensesGH'!D1936</f>
        <v>52mm</v>
      </c>
      <c r="I1936" s="2">
        <f t="shared" si="275"/>
        <v>52</v>
      </c>
      <c r="J1936" s="2" t="str">
        <f>'(Raw) LensesGH'!E1936</f>
        <v>1:5.80</v>
      </c>
      <c r="K1936" s="40">
        <f t="shared" si="276"/>
        <v>5.8</v>
      </c>
      <c r="L1936" t="str">
        <f>'(Raw) LensesGH'!F1936</f>
        <v>Sony E</v>
      </c>
      <c r="M1936" t="str">
        <f>'(Raw) LensesGH'!G1936</f>
        <v>APS-C/ Kleinbild</v>
      </c>
      <c r="N1936" t="str">
        <f>'(Raw) LensesGH'!H1936</f>
        <v>340g</v>
      </c>
      <c r="O1936" s="5">
        <f t="shared" si="277"/>
        <v>340</v>
      </c>
      <c r="P1936" t="str">
        <f>'(Raw) LensesGH'!I1936</f>
        <v>62 x 59mm</v>
      </c>
      <c r="Q1936" s="39">
        <f t="shared" si="278"/>
        <v>62</v>
      </c>
      <c r="R1936" s="39">
        <f t="shared" si="270"/>
        <v>59</v>
      </c>
    </row>
    <row r="1937" spans="1:18" x14ac:dyDescent="0.25">
      <c r="A1937" t="str">
        <f>'(Raw) LensesGH'!A1937</f>
        <v>Zeiss Loxia 50mm 2.0 für Sony E schwarz</v>
      </c>
      <c r="B1937" t="str">
        <f>'(Raw) LensesGH'!B1937</f>
        <v>50mm</v>
      </c>
      <c r="C1937" s="5">
        <f t="shared" si="271"/>
        <v>50</v>
      </c>
      <c r="D1937" s="5">
        <f t="shared" si="272"/>
        <v>50</v>
      </c>
      <c r="E1937" t="str">
        <f>'(Raw) LensesGH'!C1937</f>
        <v>1:2.0</v>
      </c>
      <c r="F1937" s="9">
        <f t="shared" si="273"/>
        <v>2</v>
      </c>
      <c r="G1937" s="9">
        <f t="shared" si="274"/>
        <v>2</v>
      </c>
      <c r="H1937" t="str">
        <f>'(Raw) LensesGH'!D1937</f>
        <v>52mm</v>
      </c>
      <c r="I1937" s="2">
        <f t="shared" si="275"/>
        <v>52</v>
      </c>
      <c r="J1937" s="2" t="str">
        <f>'(Raw) LensesGH'!E1937</f>
        <v>1:6.90</v>
      </c>
      <c r="K1937" s="40">
        <f t="shared" si="276"/>
        <v>6.9</v>
      </c>
      <c r="L1937" t="str">
        <f>'(Raw) LensesGH'!F1937</f>
        <v>Sony E</v>
      </c>
      <c r="M1937" t="str">
        <f>'(Raw) LensesGH'!G1937</f>
        <v>APS-C/ Kleinbild</v>
      </c>
      <c r="N1937" t="str">
        <f>'(Raw) LensesGH'!H1937</f>
        <v>320g</v>
      </c>
      <c r="O1937" s="5">
        <f t="shared" si="277"/>
        <v>320</v>
      </c>
      <c r="P1937" t="str">
        <f>'(Raw) LensesGH'!I1937</f>
        <v>62 x 59mm</v>
      </c>
      <c r="Q1937" s="39">
        <f t="shared" si="278"/>
        <v>62</v>
      </c>
      <c r="R1937" s="39">
        <f t="shared" si="270"/>
        <v>59</v>
      </c>
    </row>
    <row r="1938" spans="1:18" x14ac:dyDescent="0.25">
      <c r="A1938" t="str">
        <f>'(Raw) LensesGH'!A1938</f>
        <v>Zeiss Loxia 85mm 2.4 für Sony E schwarz</v>
      </c>
      <c r="B1938" t="str">
        <f>'(Raw) LensesGH'!B1938</f>
        <v>85mm</v>
      </c>
      <c r="C1938" s="5">
        <f t="shared" si="271"/>
        <v>85</v>
      </c>
      <c r="D1938" s="5">
        <f t="shared" si="272"/>
        <v>85</v>
      </c>
      <c r="E1938" t="str">
        <f>'(Raw) LensesGH'!C1938</f>
        <v>1:2.4</v>
      </c>
      <c r="F1938" s="9">
        <f t="shared" si="273"/>
        <v>2.4</v>
      </c>
      <c r="G1938" s="9">
        <f t="shared" si="274"/>
        <v>2.4</v>
      </c>
      <c r="H1938" t="str">
        <f>'(Raw) LensesGH'!D1938</f>
        <v>52mm</v>
      </c>
      <c r="I1938" s="2">
        <f t="shared" si="275"/>
        <v>52</v>
      </c>
      <c r="J1938" s="2" t="str">
        <f>'(Raw) LensesGH'!E1938</f>
        <v>1:7.20</v>
      </c>
      <c r="K1938" s="40">
        <f t="shared" si="276"/>
        <v>7.2</v>
      </c>
      <c r="L1938" t="str">
        <f>'(Raw) LensesGH'!F1938</f>
        <v>Sony E</v>
      </c>
      <c r="M1938" t="str">
        <f>'(Raw) LensesGH'!G1938</f>
        <v>APS-C/ Kleinbild</v>
      </c>
      <c r="N1938" t="str">
        <f>'(Raw) LensesGH'!H1938</f>
        <v>594g</v>
      </c>
      <c r="O1938" s="5">
        <f t="shared" si="277"/>
        <v>594</v>
      </c>
      <c r="P1938" t="str">
        <f>'(Raw) LensesGH'!I1938</f>
        <v>62.5 x 94.8mm</v>
      </c>
      <c r="Q1938" s="39">
        <f t="shared" si="278"/>
        <v>62.5</v>
      </c>
      <c r="R1938" s="39">
        <f t="shared" si="270"/>
        <v>94.8</v>
      </c>
    </row>
    <row r="1939" spans="1:18" x14ac:dyDescent="0.25">
      <c r="A1939" t="str">
        <f>'(Raw) LensesGH'!A1939</f>
        <v>Zeiss Touit 12mm 2.8 für Fujifilm X schwarz</v>
      </c>
      <c r="B1939" t="str">
        <f>'(Raw) LensesGH'!B1939</f>
        <v>12mm</v>
      </c>
      <c r="C1939" s="5">
        <f t="shared" si="271"/>
        <v>12</v>
      </c>
      <c r="D1939" s="5">
        <f t="shared" si="272"/>
        <v>12</v>
      </c>
      <c r="E1939" t="str">
        <f>'(Raw) LensesGH'!C1939</f>
        <v>1:2.8</v>
      </c>
      <c r="F1939" s="9">
        <f t="shared" si="273"/>
        <v>2.8</v>
      </c>
      <c r="G1939" s="9">
        <f t="shared" si="274"/>
        <v>2.8</v>
      </c>
      <c r="H1939" t="str">
        <f>'(Raw) LensesGH'!D1939</f>
        <v>67mm</v>
      </c>
      <c r="I1939" s="2">
        <f t="shared" si="275"/>
        <v>67</v>
      </c>
      <c r="J1939" s="2" t="str">
        <f>'(Raw) LensesGH'!E1939</f>
        <v>1:9.00</v>
      </c>
      <c r="K1939" s="40">
        <f t="shared" si="276"/>
        <v>9</v>
      </c>
      <c r="L1939" t="str">
        <f>'(Raw) LensesGH'!F1939</f>
        <v>Fujifilm X</v>
      </c>
      <c r="M1939" t="str">
        <f>'(Raw) LensesGH'!G1939</f>
        <v>APS-C</v>
      </c>
      <c r="N1939" t="str">
        <f>'(Raw) LensesGH'!H1939</f>
        <v>270g</v>
      </c>
      <c r="O1939" s="5">
        <f t="shared" si="277"/>
        <v>270</v>
      </c>
      <c r="P1939" t="str">
        <f>'(Raw) LensesGH'!I1939</f>
        <v>88 x 68mm</v>
      </c>
      <c r="Q1939" s="39">
        <f t="shared" si="278"/>
        <v>88</v>
      </c>
      <c r="R1939" s="39">
        <f t="shared" si="270"/>
        <v>68</v>
      </c>
    </row>
    <row r="1940" spans="1:18" x14ac:dyDescent="0.25">
      <c r="A1940" t="str">
        <f>'(Raw) LensesGH'!A1940</f>
        <v>Zeiss Touit 12mm 2.8 für Sony E schwarz</v>
      </c>
      <c r="B1940" t="str">
        <f>'(Raw) LensesGH'!B1940</f>
        <v>12mm</v>
      </c>
      <c r="C1940" s="5">
        <f t="shared" si="271"/>
        <v>12</v>
      </c>
      <c r="D1940" s="5">
        <f t="shared" si="272"/>
        <v>12</v>
      </c>
      <c r="E1940" t="str">
        <f>'(Raw) LensesGH'!C1940</f>
        <v>1:2.8</v>
      </c>
      <c r="F1940" s="9">
        <f t="shared" si="273"/>
        <v>2.8</v>
      </c>
      <c r="G1940" s="9">
        <f t="shared" si="274"/>
        <v>2.8</v>
      </c>
      <c r="H1940" t="str">
        <f>'(Raw) LensesGH'!D1940</f>
        <v>67mm</v>
      </c>
      <c r="I1940" s="2">
        <f t="shared" si="275"/>
        <v>67</v>
      </c>
      <c r="J1940" s="2" t="str">
        <f>'(Raw) LensesGH'!E1940</f>
        <v>1:9.00</v>
      </c>
      <c r="K1940" s="40">
        <f t="shared" si="276"/>
        <v>9</v>
      </c>
      <c r="L1940" t="str">
        <f>'(Raw) LensesGH'!F1940</f>
        <v>Sony E</v>
      </c>
      <c r="M1940" t="str">
        <f>'(Raw) LensesGH'!G1940</f>
        <v>APS-C</v>
      </c>
      <c r="N1940" t="str">
        <f>'(Raw) LensesGH'!H1940</f>
        <v>260g</v>
      </c>
      <c r="O1940" s="5">
        <f t="shared" si="277"/>
        <v>260</v>
      </c>
      <c r="P1940" t="str">
        <f>'(Raw) LensesGH'!I1940</f>
        <v>88 x 68mm</v>
      </c>
      <c r="Q1940" s="39">
        <f t="shared" si="278"/>
        <v>88</v>
      </c>
      <c r="R1940" s="39">
        <f t="shared" si="270"/>
        <v>68</v>
      </c>
    </row>
    <row r="1941" spans="1:18" x14ac:dyDescent="0.25">
      <c r="A1941" t="str">
        <f>'(Raw) LensesGH'!A1941</f>
        <v>Zeiss Touit 32mm 1.8 für Fujifilm X schwarz</v>
      </c>
      <c r="B1941" t="str">
        <f>'(Raw) LensesGH'!B1941</f>
        <v>32mm</v>
      </c>
      <c r="C1941" s="5">
        <f t="shared" si="271"/>
        <v>32</v>
      </c>
      <c r="D1941" s="5">
        <f t="shared" si="272"/>
        <v>32</v>
      </c>
      <c r="E1941" t="str">
        <f>'(Raw) LensesGH'!C1941</f>
        <v>1:1.8</v>
      </c>
      <c r="F1941" s="9">
        <f t="shared" si="273"/>
        <v>1.8</v>
      </c>
      <c r="G1941" s="9">
        <f t="shared" si="274"/>
        <v>1.8</v>
      </c>
      <c r="H1941" t="str">
        <f>'(Raw) LensesGH'!D1941</f>
        <v>52mm</v>
      </c>
      <c r="I1941" s="2">
        <f t="shared" si="275"/>
        <v>52</v>
      </c>
      <c r="J1941" s="2" t="str">
        <f>'(Raw) LensesGH'!E1941</f>
        <v>1:9.00</v>
      </c>
      <c r="K1941" s="40">
        <f t="shared" si="276"/>
        <v>9</v>
      </c>
      <c r="L1941" t="str">
        <f>'(Raw) LensesGH'!F1941</f>
        <v>Fujifilm X</v>
      </c>
      <c r="M1941" t="str">
        <f>'(Raw) LensesGH'!G1941</f>
        <v>APS-C</v>
      </c>
      <c r="N1941" t="str">
        <f>'(Raw) LensesGH'!H1941</f>
        <v>210g</v>
      </c>
      <c r="O1941" s="5">
        <f t="shared" si="277"/>
        <v>210</v>
      </c>
      <c r="P1941" t="str">
        <f>'(Raw) LensesGH'!I1941</f>
        <v>65 x 58mm</v>
      </c>
      <c r="Q1941" s="39">
        <f t="shared" si="278"/>
        <v>65</v>
      </c>
      <c r="R1941" s="39">
        <f t="shared" si="270"/>
        <v>58</v>
      </c>
    </row>
    <row r="1942" spans="1:18" x14ac:dyDescent="0.25">
      <c r="A1942" t="str">
        <f>'(Raw) LensesGH'!A1942</f>
        <v>Zeiss Touit 32mm 1.8 für Sony E schwarz</v>
      </c>
      <c r="B1942" t="str">
        <f>'(Raw) LensesGH'!B1942</f>
        <v>32mm</v>
      </c>
      <c r="C1942" s="5">
        <f t="shared" si="271"/>
        <v>32</v>
      </c>
      <c r="D1942" s="5">
        <f t="shared" si="272"/>
        <v>32</v>
      </c>
      <c r="E1942" t="str">
        <f>'(Raw) LensesGH'!C1942</f>
        <v>1:1.8</v>
      </c>
      <c r="F1942" s="9">
        <f t="shared" si="273"/>
        <v>1.8</v>
      </c>
      <c r="G1942" s="9">
        <f t="shared" si="274"/>
        <v>1.8</v>
      </c>
      <c r="H1942" t="str">
        <f>'(Raw) LensesGH'!D1942</f>
        <v>52mm</v>
      </c>
      <c r="I1942" s="2">
        <f t="shared" si="275"/>
        <v>52</v>
      </c>
      <c r="J1942" s="2" t="str">
        <f>'(Raw) LensesGH'!E1942</f>
        <v>1:9.00</v>
      </c>
      <c r="K1942" s="40">
        <f t="shared" si="276"/>
        <v>9</v>
      </c>
      <c r="L1942" t="str">
        <f>'(Raw) LensesGH'!F1942</f>
        <v>Sony E</v>
      </c>
      <c r="M1942" t="str">
        <f>'(Raw) LensesGH'!G1942</f>
        <v>APS-C</v>
      </c>
      <c r="N1942" t="str">
        <f>'(Raw) LensesGH'!H1942</f>
        <v>200g</v>
      </c>
      <c r="O1942" s="5">
        <f t="shared" si="277"/>
        <v>200</v>
      </c>
      <c r="P1942" t="str">
        <f>'(Raw) LensesGH'!I1942</f>
        <v>65 x 60mm</v>
      </c>
      <c r="Q1942" s="39">
        <f t="shared" si="278"/>
        <v>65</v>
      </c>
      <c r="R1942" s="39">
        <f t="shared" si="270"/>
        <v>60</v>
      </c>
    </row>
    <row r="1943" spans="1:18" x14ac:dyDescent="0.25">
      <c r="A1943" t="str">
        <f>'(Raw) LensesGH'!A1943</f>
        <v>Zeiss Touit 50mm 2.8 für Fujifilm X schwarz</v>
      </c>
      <c r="B1943" t="str">
        <f>'(Raw) LensesGH'!B1943</f>
        <v>50mm</v>
      </c>
      <c r="C1943" s="5">
        <f t="shared" si="271"/>
        <v>50</v>
      </c>
      <c r="D1943" s="5">
        <f t="shared" si="272"/>
        <v>50</v>
      </c>
      <c r="E1943" t="str">
        <f>'(Raw) LensesGH'!C1943</f>
        <v>1:2.8</v>
      </c>
      <c r="F1943" s="9">
        <f t="shared" si="273"/>
        <v>2.8</v>
      </c>
      <c r="G1943" s="9">
        <f t="shared" si="274"/>
        <v>2.8</v>
      </c>
      <c r="H1943" t="str">
        <f>'(Raw) LensesGH'!D1943</f>
        <v>52mm</v>
      </c>
      <c r="I1943" s="2">
        <f t="shared" si="275"/>
        <v>52</v>
      </c>
      <c r="J1943" s="2" t="str">
        <f>'(Raw) LensesGH'!E1943</f>
        <v>1:1.00</v>
      </c>
      <c r="K1943" s="40">
        <f t="shared" si="276"/>
        <v>1</v>
      </c>
      <c r="L1943" t="str">
        <f>'(Raw) LensesGH'!F1943</f>
        <v>Fujifilm X</v>
      </c>
      <c r="M1943" t="str">
        <f>'(Raw) LensesGH'!G1943</f>
        <v>APS-C</v>
      </c>
      <c r="N1943" t="str">
        <f>'(Raw) LensesGH'!H1943</f>
        <v>290g</v>
      </c>
      <c r="O1943" s="5">
        <f t="shared" si="277"/>
        <v>290</v>
      </c>
      <c r="P1943" t="str">
        <f>'(Raw) LensesGH'!I1943</f>
        <v>65 x 91mm</v>
      </c>
      <c r="Q1943" s="39">
        <f t="shared" si="278"/>
        <v>65</v>
      </c>
      <c r="R1943" s="39">
        <f t="shared" si="270"/>
        <v>91</v>
      </c>
    </row>
    <row r="1944" spans="1:18" x14ac:dyDescent="0.25">
      <c r="A1944" t="str">
        <f>'(Raw) LensesGH'!A1944</f>
        <v>Zeiss Touit 50mm 2.8 für Sony E schwarz</v>
      </c>
      <c r="B1944" t="str">
        <f>'(Raw) LensesGH'!B1944</f>
        <v>50mm</v>
      </c>
      <c r="C1944" s="5">
        <f t="shared" si="271"/>
        <v>50</v>
      </c>
      <c r="D1944" s="5">
        <f t="shared" si="272"/>
        <v>50</v>
      </c>
      <c r="E1944" t="str">
        <f>'(Raw) LensesGH'!C1944</f>
        <v>1:2.8</v>
      </c>
      <c r="F1944" s="9">
        <f t="shared" si="273"/>
        <v>2.8</v>
      </c>
      <c r="G1944" s="9">
        <f t="shared" si="274"/>
        <v>2.8</v>
      </c>
      <c r="H1944" t="str">
        <f>'(Raw) LensesGH'!D1944</f>
        <v>52mm</v>
      </c>
      <c r="I1944" s="2">
        <f t="shared" si="275"/>
        <v>52</v>
      </c>
      <c r="J1944" s="2" t="str">
        <f>'(Raw) LensesGH'!E1944</f>
        <v>1:1.00</v>
      </c>
      <c r="K1944" s="40">
        <f t="shared" si="276"/>
        <v>1</v>
      </c>
      <c r="L1944" t="str">
        <f>'(Raw) LensesGH'!F1944</f>
        <v>Sony E</v>
      </c>
      <c r="M1944" t="str">
        <f>'(Raw) LensesGH'!G1944</f>
        <v>APS-C</v>
      </c>
      <c r="N1944" t="str">
        <f>'(Raw) LensesGH'!H1944</f>
        <v>290g</v>
      </c>
      <c r="O1944" s="5">
        <f t="shared" si="277"/>
        <v>290</v>
      </c>
      <c r="P1944" t="str">
        <f>'(Raw) LensesGH'!I1944</f>
        <v>65 x 91mm</v>
      </c>
      <c r="Q1944" s="39">
        <f t="shared" si="278"/>
        <v>65</v>
      </c>
      <c r="R1944" s="39">
        <f t="shared" si="270"/>
        <v>91</v>
      </c>
    </row>
    <row r="1945" spans="1:18" x14ac:dyDescent="0.25">
      <c r="A1945" t="str">
        <f>'(Raw) LensesGH'!A1945</f>
        <v>Zeiss ZE Apo Sonnar T* 135mm 2.0 für Canon EF schwarz</v>
      </c>
      <c r="B1945" t="str">
        <f>'(Raw) LensesGH'!B1945</f>
        <v>135mm</v>
      </c>
      <c r="C1945" s="5">
        <f t="shared" si="271"/>
        <v>135</v>
      </c>
      <c r="D1945" s="5">
        <f t="shared" si="272"/>
        <v>135</v>
      </c>
      <c r="E1945" t="str">
        <f>'(Raw) LensesGH'!C1945</f>
        <v>1:2.0</v>
      </c>
      <c r="F1945" s="9">
        <f t="shared" si="273"/>
        <v>2</v>
      </c>
      <c r="G1945" s="9">
        <f t="shared" si="274"/>
        <v>2</v>
      </c>
      <c r="H1945" t="str">
        <f>'(Raw) LensesGH'!D1945</f>
        <v>77mm</v>
      </c>
      <c r="I1945" s="2">
        <f t="shared" si="275"/>
        <v>77</v>
      </c>
      <c r="J1945" s="2" t="str">
        <f>'(Raw) LensesGH'!E1945</f>
        <v>1:4.00</v>
      </c>
      <c r="K1945" s="40">
        <f t="shared" si="276"/>
        <v>4</v>
      </c>
      <c r="L1945" t="str">
        <f>'(Raw) LensesGH'!F1945</f>
        <v>Canon EF</v>
      </c>
      <c r="M1945" t="str">
        <f>'(Raw) LensesGH'!G1945</f>
        <v>APS-C/ Kleinbild</v>
      </c>
      <c r="N1945" t="str">
        <f>'(Raw) LensesGH'!H1945</f>
        <v>930g</v>
      </c>
      <c r="O1945" s="5">
        <f t="shared" si="277"/>
        <v>930</v>
      </c>
      <c r="P1945" t="str">
        <f>'(Raw) LensesGH'!I1945</f>
        <v>84 x 108mm</v>
      </c>
      <c r="Q1945" s="39">
        <f t="shared" si="278"/>
        <v>84</v>
      </c>
      <c r="R1945" s="39">
        <f t="shared" si="270"/>
        <v>108</v>
      </c>
    </row>
    <row r="1946" spans="1:18" x14ac:dyDescent="0.25">
      <c r="A1946" t="str">
        <f>'(Raw) LensesGH'!A1946</f>
        <v>Zeiss ZE Distagon T* 15mm 2.8 für Canon EF schwarz</v>
      </c>
      <c r="B1946" t="str">
        <f>'(Raw) LensesGH'!B1946</f>
        <v>15mm</v>
      </c>
      <c r="C1946" s="5">
        <f t="shared" si="271"/>
        <v>15</v>
      </c>
      <c r="D1946" s="5">
        <f t="shared" si="272"/>
        <v>15</v>
      </c>
      <c r="E1946" t="str">
        <f>'(Raw) LensesGH'!C1946</f>
        <v>1:2.8</v>
      </c>
      <c r="F1946" s="9">
        <f t="shared" si="273"/>
        <v>2.8</v>
      </c>
      <c r="G1946" s="9">
        <f t="shared" si="274"/>
        <v>2.8</v>
      </c>
      <c r="H1946" t="str">
        <f>'(Raw) LensesGH'!D1946</f>
        <v>95mm</v>
      </c>
      <c r="I1946" s="2">
        <f t="shared" si="275"/>
        <v>95</v>
      </c>
      <c r="J1946" s="2" t="str">
        <f>'(Raw) LensesGH'!E1946</f>
        <v>1:18.18</v>
      </c>
      <c r="K1946" s="40">
        <f t="shared" si="276"/>
        <v>18.18</v>
      </c>
      <c r="L1946" t="str">
        <f>'(Raw) LensesGH'!F1946</f>
        <v>Canon EF</v>
      </c>
      <c r="M1946" t="str">
        <f>'(Raw) LensesGH'!G1946</f>
        <v>APS-C/ Kleinbild</v>
      </c>
      <c r="N1946" t="str">
        <f>'(Raw) LensesGH'!H1946</f>
        <v>820g</v>
      </c>
      <c r="O1946" s="5">
        <f t="shared" si="277"/>
        <v>820</v>
      </c>
      <c r="P1946" t="str">
        <f>'(Raw) LensesGH'!I1946</f>
        <v>103 x 135mm</v>
      </c>
      <c r="Q1946" s="39">
        <f t="shared" si="278"/>
        <v>103</v>
      </c>
      <c r="R1946" s="39">
        <f t="shared" si="270"/>
        <v>135</v>
      </c>
    </row>
    <row r="1947" spans="1:18" x14ac:dyDescent="0.25">
      <c r="A1947" t="str">
        <f>'(Raw) LensesGH'!A1947</f>
        <v>Zeiss ZE Distagon T* 18mm 3.5 für Canon EF schwarz</v>
      </c>
      <c r="B1947" t="str">
        <f>'(Raw) LensesGH'!B1947</f>
        <v>18mm</v>
      </c>
      <c r="C1947" s="5">
        <f t="shared" si="271"/>
        <v>18</v>
      </c>
      <c r="D1947" s="5">
        <f t="shared" si="272"/>
        <v>18</v>
      </c>
      <c r="E1947" t="str">
        <f>'(Raw) LensesGH'!C1947</f>
        <v>1:3.5</v>
      </c>
      <c r="F1947" s="9">
        <f t="shared" si="273"/>
        <v>3.5</v>
      </c>
      <c r="G1947" s="9">
        <f t="shared" si="274"/>
        <v>3.5</v>
      </c>
      <c r="H1947" t="str">
        <f>'(Raw) LensesGH'!D1947</f>
        <v>82mm</v>
      </c>
      <c r="I1947" s="2">
        <f t="shared" si="275"/>
        <v>82</v>
      </c>
      <c r="J1947" s="2" t="str">
        <f>'(Raw) LensesGH'!E1947</f>
        <v>1:12.05</v>
      </c>
      <c r="K1947" s="40">
        <f t="shared" si="276"/>
        <v>12.05</v>
      </c>
      <c r="L1947" t="str">
        <f>'(Raw) LensesGH'!F1947</f>
        <v>Canon EF</v>
      </c>
      <c r="M1947" t="str">
        <f>'(Raw) LensesGH'!G1947</f>
        <v>APS-C/ Kleinbild</v>
      </c>
      <c r="N1947" t="str">
        <f>'(Raw) LensesGH'!H1947</f>
        <v>470g</v>
      </c>
      <c r="O1947" s="5">
        <f t="shared" si="277"/>
        <v>470</v>
      </c>
      <c r="P1947" t="str">
        <f>'(Raw) LensesGH'!I1947</f>
        <v>87 x 84mm</v>
      </c>
      <c r="Q1947" s="39">
        <f t="shared" si="278"/>
        <v>87</v>
      </c>
      <c r="R1947" s="39">
        <f t="shared" si="270"/>
        <v>84</v>
      </c>
    </row>
    <row r="1948" spans="1:18" x14ac:dyDescent="0.25">
      <c r="A1948" t="str">
        <f>'(Raw) LensesGH'!A1948</f>
        <v>Zeiss ZE Distagon T* 21mm 2.8 für Canon EF schwarz</v>
      </c>
      <c r="B1948" t="str">
        <f>'(Raw) LensesGH'!B1948</f>
        <v>21mm</v>
      </c>
      <c r="C1948" s="5">
        <f t="shared" si="271"/>
        <v>21</v>
      </c>
      <c r="D1948" s="5">
        <f t="shared" si="272"/>
        <v>21</v>
      </c>
      <c r="E1948" t="str">
        <f>'(Raw) LensesGH'!C1948</f>
        <v>1:2.8</v>
      </c>
      <c r="F1948" s="9">
        <f t="shared" si="273"/>
        <v>2.8</v>
      </c>
      <c r="G1948" s="9">
        <f t="shared" si="274"/>
        <v>2.8</v>
      </c>
      <c r="H1948" t="str">
        <f>'(Raw) LensesGH'!D1948</f>
        <v>82mm</v>
      </c>
      <c r="I1948" s="2">
        <f t="shared" si="275"/>
        <v>82</v>
      </c>
      <c r="J1948" s="2">
        <f>'(Raw) LensesGH'!E1948</f>
        <v>0</v>
      </c>
      <c r="K1948" s="40">
        <f t="shared" si="276"/>
        <v>0</v>
      </c>
      <c r="L1948" t="str">
        <f>'(Raw) LensesGH'!F1948</f>
        <v>Canon EF</v>
      </c>
      <c r="M1948" t="str">
        <f>'(Raw) LensesGH'!G1948</f>
        <v>APS-C/ Kleinbild</v>
      </c>
      <c r="N1948" t="str">
        <f>'(Raw) LensesGH'!H1948</f>
        <v>600g</v>
      </c>
      <c r="O1948" s="5">
        <f t="shared" si="277"/>
        <v>600</v>
      </c>
      <c r="P1948" t="str">
        <f>'(Raw) LensesGH'!I1948</f>
        <v>87 x 109mm</v>
      </c>
      <c r="Q1948" s="39">
        <f t="shared" si="278"/>
        <v>87</v>
      </c>
      <c r="R1948" s="39">
        <f t="shared" si="270"/>
        <v>109</v>
      </c>
    </row>
    <row r="1949" spans="1:18" x14ac:dyDescent="0.25">
      <c r="A1949" t="str">
        <f>'(Raw) LensesGH'!A1949</f>
        <v>Zeiss ZE Distagon T* 25mm 2.0 für Canon EF schwarz</v>
      </c>
      <c r="B1949" t="str">
        <f>'(Raw) LensesGH'!B1949</f>
        <v>25mm</v>
      </c>
      <c r="C1949" s="5">
        <f t="shared" si="271"/>
        <v>25</v>
      </c>
      <c r="D1949" s="5">
        <f t="shared" si="272"/>
        <v>25</v>
      </c>
      <c r="E1949" t="str">
        <f>'(Raw) LensesGH'!C1949</f>
        <v>1:2.0</v>
      </c>
      <c r="F1949" s="9">
        <f t="shared" si="273"/>
        <v>2</v>
      </c>
      <c r="G1949" s="9">
        <f t="shared" si="274"/>
        <v>2</v>
      </c>
      <c r="H1949" t="str">
        <f>'(Raw) LensesGH'!D1949</f>
        <v>67mm</v>
      </c>
      <c r="I1949" s="2">
        <f t="shared" si="275"/>
        <v>67</v>
      </c>
      <c r="J1949" s="2" t="str">
        <f>'(Raw) LensesGH'!E1949</f>
        <v>1:5.88</v>
      </c>
      <c r="K1949" s="40">
        <f t="shared" si="276"/>
        <v>5.88</v>
      </c>
      <c r="L1949" t="str">
        <f>'(Raw) LensesGH'!F1949</f>
        <v>Canon EF</v>
      </c>
      <c r="M1949" t="str">
        <f>'(Raw) LensesGH'!G1949</f>
        <v>APS-C/ Kleinbild</v>
      </c>
      <c r="N1949" t="str">
        <f>'(Raw) LensesGH'!H1949</f>
        <v>600g</v>
      </c>
      <c r="O1949" s="5">
        <f t="shared" si="277"/>
        <v>600</v>
      </c>
      <c r="P1949" t="str">
        <f>'(Raw) LensesGH'!I1949</f>
        <v>73 x 98mm</v>
      </c>
      <c r="Q1949" s="39">
        <f t="shared" si="278"/>
        <v>73</v>
      </c>
      <c r="R1949" s="39">
        <f t="shared" si="270"/>
        <v>98</v>
      </c>
    </row>
    <row r="1950" spans="1:18" x14ac:dyDescent="0.25">
      <c r="A1950" t="str">
        <f>'(Raw) LensesGH'!A1950</f>
        <v>Zeiss ZE Distagon T* 28mm 2.0 für Canon EF schwarz</v>
      </c>
      <c r="B1950" t="str">
        <f>'(Raw) LensesGH'!B1950</f>
        <v>28mm</v>
      </c>
      <c r="C1950" s="5">
        <f t="shared" si="271"/>
        <v>28</v>
      </c>
      <c r="D1950" s="5">
        <f t="shared" si="272"/>
        <v>28</v>
      </c>
      <c r="E1950" t="str">
        <f>'(Raw) LensesGH'!C1950</f>
        <v>1:2.0</v>
      </c>
      <c r="F1950" s="9">
        <f t="shared" si="273"/>
        <v>2</v>
      </c>
      <c r="G1950" s="9">
        <f t="shared" si="274"/>
        <v>2</v>
      </c>
      <c r="H1950">
        <f>'(Raw) LensesGH'!D1950</f>
        <v>0</v>
      </c>
      <c r="I1950" s="2">
        <f t="shared" si="275"/>
        <v>0</v>
      </c>
      <c r="J1950" s="2" t="str">
        <f>'(Raw) LensesGH'!E1950</f>
        <v>1:4.00</v>
      </c>
      <c r="K1950" s="40">
        <f t="shared" si="276"/>
        <v>4</v>
      </c>
      <c r="L1950" t="str">
        <f>'(Raw) LensesGH'!F1950</f>
        <v>Canon EF</v>
      </c>
      <c r="M1950" t="str">
        <f>'(Raw) LensesGH'!G1950</f>
        <v>APS-C/ Kleinbild</v>
      </c>
      <c r="N1950" t="str">
        <f>'(Raw) LensesGH'!H1950</f>
        <v>530g</v>
      </c>
      <c r="O1950" s="5">
        <f t="shared" si="277"/>
        <v>530</v>
      </c>
      <c r="P1950" t="str">
        <f>'(Raw) LensesGH'!I1950</f>
        <v>65 x 94mm</v>
      </c>
      <c r="Q1950" s="39">
        <f t="shared" si="278"/>
        <v>65</v>
      </c>
      <c r="R1950" s="39">
        <f t="shared" si="270"/>
        <v>94</v>
      </c>
    </row>
    <row r="1951" spans="1:18" x14ac:dyDescent="0.25">
      <c r="A1951" t="str">
        <f>'(Raw) LensesGH'!A1951</f>
        <v>Zeiss ZE Distagon T* 35mm 1.4 für Canon EF schwarz</v>
      </c>
      <c r="B1951" t="str">
        <f>'(Raw) LensesGH'!B1951</f>
        <v>35mm</v>
      </c>
      <c r="C1951" s="5">
        <f t="shared" si="271"/>
        <v>35</v>
      </c>
      <c r="D1951" s="5">
        <f t="shared" si="272"/>
        <v>35</v>
      </c>
      <c r="E1951" t="str">
        <f>'(Raw) LensesGH'!C1951</f>
        <v>1:1.4</v>
      </c>
      <c r="F1951" s="9">
        <f t="shared" si="273"/>
        <v>1.4</v>
      </c>
      <c r="G1951" s="9">
        <f t="shared" si="274"/>
        <v>1.4</v>
      </c>
      <c r="H1951" t="str">
        <f>'(Raw) LensesGH'!D1951</f>
        <v>72mm</v>
      </c>
      <c r="I1951" s="2">
        <f t="shared" si="275"/>
        <v>72</v>
      </c>
      <c r="J1951" s="2" t="str">
        <f>'(Raw) LensesGH'!E1951</f>
        <v>1:5.00</v>
      </c>
      <c r="K1951" s="40">
        <f t="shared" si="276"/>
        <v>5</v>
      </c>
      <c r="L1951" t="str">
        <f>'(Raw) LensesGH'!F1951</f>
        <v>Canon EF</v>
      </c>
      <c r="M1951" t="str">
        <f>'(Raw) LensesGH'!G1951</f>
        <v>APS-C/ Kleinbild</v>
      </c>
      <c r="N1951" t="str">
        <f>'(Raw) LensesGH'!H1951</f>
        <v>900g</v>
      </c>
      <c r="O1951" s="5">
        <f t="shared" si="277"/>
        <v>900</v>
      </c>
      <c r="P1951" t="str">
        <f>'(Raw) LensesGH'!I1951</f>
        <v>78 x 120mm</v>
      </c>
      <c r="Q1951" s="39">
        <f t="shared" si="278"/>
        <v>78</v>
      </c>
      <c r="R1951" s="39">
        <f t="shared" si="270"/>
        <v>120</v>
      </c>
    </row>
    <row r="1952" spans="1:18" x14ac:dyDescent="0.25">
      <c r="A1952" t="str">
        <f>'(Raw) LensesGH'!A1952</f>
        <v>Zeiss ZE Distagon T* 35mm 2.0 für Canon EF schwarz</v>
      </c>
      <c r="B1952" t="str">
        <f>'(Raw) LensesGH'!B1952</f>
        <v>35mm</v>
      </c>
      <c r="C1952" s="5">
        <f t="shared" si="271"/>
        <v>35</v>
      </c>
      <c r="D1952" s="5">
        <f t="shared" si="272"/>
        <v>35</v>
      </c>
      <c r="E1952" t="str">
        <f>'(Raw) LensesGH'!C1952</f>
        <v>1:2.0</v>
      </c>
      <c r="F1952" s="9">
        <f t="shared" si="273"/>
        <v>2</v>
      </c>
      <c r="G1952" s="9">
        <f t="shared" si="274"/>
        <v>2</v>
      </c>
      <c r="H1952" t="str">
        <f>'(Raw) LensesGH'!D1952</f>
        <v>58mm</v>
      </c>
      <c r="I1952" s="2">
        <f t="shared" si="275"/>
        <v>58</v>
      </c>
      <c r="J1952" s="2">
        <f>'(Raw) LensesGH'!E1952</f>
        <v>0</v>
      </c>
      <c r="K1952" s="40">
        <f t="shared" si="276"/>
        <v>0</v>
      </c>
      <c r="L1952" t="str">
        <f>'(Raw) LensesGH'!F1952</f>
        <v>Canon EF</v>
      </c>
      <c r="M1952" t="str">
        <f>'(Raw) LensesGH'!G1952</f>
        <v>APS-C/ Kleinbild</v>
      </c>
      <c r="N1952" t="str">
        <f>'(Raw) LensesGH'!H1952</f>
        <v>530g</v>
      </c>
      <c r="O1952" s="5">
        <f t="shared" si="277"/>
        <v>530</v>
      </c>
      <c r="P1952" t="str">
        <f>'(Raw) LensesGH'!I1952</f>
        <v>65 x 73mm</v>
      </c>
      <c r="Q1952" s="39">
        <f t="shared" si="278"/>
        <v>65</v>
      </c>
      <c r="R1952" s="39">
        <f t="shared" si="270"/>
        <v>73</v>
      </c>
    </row>
    <row r="1953" spans="1:18" x14ac:dyDescent="0.25">
      <c r="A1953" t="str">
        <f>'(Raw) LensesGH'!A1953</f>
        <v>Zeiss ZE Makro-Planar T* 100mm 2.0 für Canon EF schwarz</v>
      </c>
      <c r="B1953" t="str">
        <f>'(Raw) LensesGH'!B1953</f>
        <v>100mm</v>
      </c>
      <c r="C1953" s="5">
        <f t="shared" si="271"/>
        <v>100</v>
      </c>
      <c r="D1953" s="5">
        <f t="shared" si="272"/>
        <v>100</v>
      </c>
      <c r="E1953" t="str">
        <f>'(Raw) LensesGH'!C1953</f>
        <v>1:2.0</v>
      </c>
      <c r="F1953" s="9">
        <f t="shared" si="273"/>
        <v>2</v>
      </c>
      <c r="G1953" s="9">
        <f t="shared" si="274"/>
        <v>2</v>
      </c>
      <c r="H1953" t="str">
        <f>'(Raw) LensesGH'!D1953</f>
        <v>67mm</v>
      </c>
      <c r="I1953" s="2">
        <f t="shared" si="275"/>
        <v>67</v>
      </c>
      <c r="J1953" s="2" t="str">
        <f>'(Raw) LensesGH'!E1953</f>
        <v>1:2.00</v>
      </c>
      <c r="K1953" s="40">
        <f t="shared" si="276"/>
        <v>2</v>
      </c>
      <c r="L1953" t="str">
        <f>'(Raw) LensesGH'!F1953</f>
        <v>Canon EF</v>
      </c>
      <c r="M1953" t="str">
        <f>'(Raw) LensesGH'!G1953</f>
        <v>APS-C/ Kleinbild</v>
      </c>
      <c r="N1953" t="str">
        <f>'(Raw) LensesGH'!H1953</f>
        <v>680g</v>
      </c>
      <c r="O1953" s="5">
        <f t="shared" si="277"/>
        <v>680</v>
      </c>
      <c r="P1953" t="str">
        <f>'(Raw) LensesGH'!I1953</f>
        <v>76 x 89mm</v>
      </c>
      <c r="Q1953" s="39">
        <f t="shared" si="278"/>
        <v>76</v>
      </c>
      <c r="R1953" s="39">
        <f t="shared" si="270"/>
        <v>89</v>
      </c>
    </row>
    <row r="1954" spans="1:18" x14ac:dyDescent="0.25">
      <c r="A1954" t="str">
        <f>'(Raw) LensesGH'!A1954</f>
        <v>Zeiss ZE Makro-Planar T* 50mm 2.0 für Canon EF schwarz</v>
      </c>
      <c r="B1954" t="str">
        <f>'(Raw) LensesGH'!B1954</f>
        <v>50mm</v>
      </c>
      <c r="C1954" s="5">
        <f t="shared" si="271"/>
        <v>50</v>
      </c>
      <c r="D1954" s="5">
        <f t="shared" si="272"/>
        <v>50</v>
      </c>
      <c r="E1954" t="str">
        <f>'(Raw) LensesGH'!C1954</f>
        <v>1:2.0</v>
      </c>
      <c r="F1954" s="9">
        <f t="shared" si="273"/>
        <v>2</v>
      </c>
      <c r="G1954" s="9">
        <f t="shared" si="274"/>
        <v>2</v>
      </c>
      <c r="H1954" t="str">
        <f>'(Raw) LensesGH'!D1954</f>
        <v>67mm</v>
      </c>
      <c r="I1954" s="2">
        <f t="shared" si="275"/>
        <v>67</v>
      </c>
      <c r="J1954" s="2">
        <f>'(Raw) LensesGH'!E1954</f>
        <v>0</v>
      </c>
      <c r="K1954" s="40">
        <f t="shared" si="276"/>
        <v>0</v>
      </c>
      <c r="L1954" t="str">
        <f>'(Raw) LensesGH'!F1954</f>
        <v>Canon EF</v>
      </c>
      <c r="M1954" t="str">
        <f>'(Raw) LensesGH'!G1954</f>
        <v>APS-C/ Kleinbild</v>
      </c>
      <c r="N1954" t="str">
        <f>'(Raw) LensesGH'!H1954</f>
        <v>530g</v>
      </c>
      <c r="O1954" s="5">
        <f t="shared" si="277"/>
        <v>530</v>
      </c>
      <c r="P1954" t="str">
        <f>'(Raw) LensesGH'!I1954</f>
        <v>72 x 65mm</v>
      </c>
      <c r="Q1954" s="39">
        <f t="shared" si="278"/>
        <v>72</v>
      </c>
      <c r="R1954" s="39">
        <f t="shared" si="270"/>
        <v>65</v>
      </c>
    </row>
    <row r="1955" spans="1:18" x14ac:dyDescent="0.25">
      <c r="A1955" t="str">
        <f>'(Raw) LensesGH'!A1955</f>
        <v>Zeiss ZE Milvus 100mm 2.0 Makro für Canon EF schwarz</v>
      </c>
      <c r="B1955" t="str">
        <f>'(Raw) LensesGH'!B1955</f>
        <v>100mm</v>
      </c>
      <c r="C1955" s="5">
        <f t="shared" si="271"/>
        <v>100</v>
      </c>
      <c r="D1955" s="5">
        <f t="shared" si="272"/>
        <v>100</v>
      </c>
      <c r="E1955" t="str">
        <f>'(Raw) LensesGH'!C1955</f>
        <v>1:2.0</v>
      </c>
      <c r="F1955" s="9">
        <f t="shared" si="273"/>
        <v>2</v>
      </c>
      <c r="G1955" s="9">
        <f t="shared" si="274"/>
        <v>2</v>
      </c>
      <c r="H1955" t="str">
        <f>'(Raw) LensesGH'!D1955</f>
        <v>67mm</v>
      </c>
      <c r="I1955" s="2">
        <f t="shared" si="275"/>
        <v>67</v>
      </c>
      <c r="J1955" s="2" t="str">
        <f>'(Raw) LensesGH'!E1955</f>
        <v>1:2.00</v>
      </c>
      <c r="K1955" s="40">
        <f t="shared" si="276"/>
        <v>2</v>
      </c>
      <c r="L1955" t="str">
        <f>'(Raw) LensesGH'!F1955</f>
        <v>Canon EF</v>
      </c>
      <c r="M1955" t="str">
        <f>'(Raw) LensesGH'!G1955</f>
        <v>APS-C/ Kleinbild</v>
      </c>
      <c r="N1955" t="str">
        <f>'(Raw) LensesGH'!H1955</f>
        <v>843g</v>
      </c>
      <c r="O1955" s="5">
        <f t="shared" si="277"/>
        <v>843</v>
      </c>
      <c r="P1955" t="str">
        <f>'(Raw) LensesGH'!I1955</f>
        <v>80.5 x 104mm</v>
      </c>
      <c r="Q1955" s="39">
        <f t="shared" si="278"/>
        <v>80.5</v>
      </c>
      <c r="R1955" s="39">
        <f t="shared" si="270"/>
        <v>104</v>
      </c>
    </row>
    <row r="1956" spans="1:18" x14ac:dyDescent="0.25">
      <c r="A1956" t="str">
        <f>'(Raw) LensesGH'!A1956</f>
        <v>Zeiss ZE Milvus 135mm 2.0 für Canon EF schwarz</v>
      </c>
      <c r="B1956" t="str">
        <f>'(Raw) LensesGH'!B1956</f>
        <v>135mm</v>
      </c>
      <c r="C1956" s="5">
        <f t="shared" si="271"/>
        <v>135</v>
      </c>
      <c r="D1956" s="5">
        <f t="shared" si="272"/>
        <v>135</v>
      </c>
      <c r="E1956" t="str">
        <f>'(Raw) LensesGH'!C1956</f>
        <v>1:2.0</v>
      </c>
      <c r="F1956" s="9">
        <f t="shared" si="273"/>
        <v>2</v>
      </c>
      <c r="G1956" s="9">
        <f t="shared" si="274"/>
        <v>2</v>
      </c>
      <c r="H1956" t="str">
        <f>'(Raw) LensesGH'!D1956</f>
        <v>77mm</v>
      </c>
      <c r="I1956" s="2">
        <f t="shared" si="275"/>
        <v>77</v>
      </c>
      <c r="J1956" s="2" t="str">
        <f>'(Raw) LensesGH'!E1956</f>
        <v>1:4.00</v>
      </c>
      <c r="K1956" s="40">
        <f t="shared" si="276"/>
        <v>4</v>
      </c>
      <c r="L1956" t="str">
        <f>'(Raw) LensesGH'!F1956</f>
        <v>Canon EF</v>
      </c>
      <c r="M1956" t="str">
        <f>'(Raw) LensesGH'!G1956</f>
        <v>APS-C/ Kleinbild</v>
      </c>
      <c r="N1956" t="str">
        <f>'(Raw) LensesGH'!H1956</f>
        <v>1120g</v>
      </c>
      <c r="O1956" s="5">
        <f t="shared" si="277"/>
        <v>1120</v>
      </c>
      <c r="P1956" t="str">
        <f>'(Raw) LensesGH'!I1956</f>
        <v>89.7 x 115mm</v>
      </c>
      <c r="Q1956" s="39">
        <f t="shared" si="278"/>
        <v>89.7</v>
      </c>
      <c r="R1956" s="39">
        <f t="shared" si="270"/>
        <v>115</v>
      </c>
    </row>
    <row r="1957" spans="1:18" x14ac:dyDescent="0.25">
      <c r="A1957" t="str">
        <f>'(Raw) LensesGH'!A1957</f>
        <v>Zeiss ZE Milvus 15mm 2.8 für Canon EF schwarz</v>
      </c>
      <c r="B1957" t="str">
        <f>'(Raw) LensesGH'!B1957</f>
        <v>15mm</v>
      </c>
      <c r="C1957" s="5">
        <f t="shared" si="271"/>
        <v>15</v>
      </c>
      <c r="D1957" s="5">
        <f t="shared" si="272"/>
        <v>15</v>
      </c>
      <c r="E1957" t="str">
        <f>'(Raw) LensesGH'!C1957</f>
        <v>1:2.8</v>
      </c>
      <c r="F1957" s="9">
        <f t="shared" si="273"/>
        <v>2.8</v>
      </c>
      <c r="G1957" s="9">
        <f t="shared" si="274"/>
        <v>2.8</v>
      </c>
      <c r="H1957" t="str">
        <f>'(Raw) LensesGH'!D1957</f>
        <v>95mm</v>
      </c>
      <c r="I1957" s="2">
        <f t="shared" si="275"/>
        <v>95</v>
      </c>
      <c r="J1957" s="2" t="str">
        <f>'(Raw) LensesGH'!E1957</f>
        <v>1:9.00</v>
      </c>
      <c r="K1957" s="40">
        <f t="shared" si="276"/>
        <v>9</v>
      </c>
      <c r="L1957" t="str">
        <f>'(Raw) LensesGH'!F1957</f>
        <v>Canon EF</v>
      </c>
      <c r="M1957" t="str">
        <f>'(Raw) LensesGH'!G1957</f>
        <v>APS-C/ Kleinbild</v>
      </c>
      <c r="N1957" t="str">
        <f>'(Raw) LensesGH'!H1957</f>
        <v>947g</v>
      </c>
      <c r="O1957" s="5">
        <f t="shared" si="277"/>
        <v>947</v>
      </c>
      <c r="P1957" t="str">
        <f>'(Raw) LensesGH'!I1957</f>
        <v>102.3 x 100.2mm</v>
      </c>
      <c r="Q1957" s="39">
        <f t="shared" si="278"/>
        <v>102.3</v>
      </c>
      <c r="R1957" s="39">
        <f t="shared" si="270"/>
        <v>100.2</v>
      </c>
    </row>
    <row r="1958" spans="1:18" x14ac:dyDescent="0.25">
      <c r="A1958" t="str">
        <f>'(Raw) LensesGH'!A1958</f>
        <v>Zeiss ZE Milvus 18mm 2.8 für Canon EF schwarz</v>
      </c>
      <c r="B1958" t="str">
        <f>'(Raw) LensesGH'!B1958</f>
        <v>18mm</v>
      </c>
      <c r="C1958" s="5">
        <f t="shared" si="271"/>
        <v>18</v>
      </c>
      <c r="D1958" s="5">
        <f t="shared" si="272"/>
        <v>18</v>
      </c>
      <c r="E1958" t="str">
        <f>'(Raw) LensesGH'!C1958</f>
        <v>1:2.8</v>
      </c>
      <c r="F1958" s="9">
        <f t="shared" si="273"/>
        <v>2.8</v>
      </c>
      <c r="G1958" s="9">
        <f t="shared" si="274"/>
        <v>2.8</v>
      </c>
      <c r="H1958" t="str">
        <f>'(Raw) LensesGH'!D1958</f>
        <v>77mm</v>
      </c>
      <c r="I1958" s="2">
        <f t="shared" si="275"/>
        <v>77</v>
      </c>
      <c r="J1958" s="2" t="str">
        <f>'(Raw) LensesGH'!E1958</f>
        <v>1:7.40</v>
      </c>
      <c r="K1958" s="40">
        <f t="shared" si="276"/>
        <v>7.4</v>
      </c>
      <c r="L1958" t="str">
        <f>'(Raw) LensesGH'!F1958</f>
        <v>Canon EF</v>
      </c>
      <c r="M1958" t="str">
        <f>'(Raw) LensesGH'!G1958</f>
        <v>APS-C/ Kleinbild</v>
      </c>
      <c r="N1958" t="str">
        <f>'(Raw) LensesGH'!H1958</f>
        <v>721g</v>
      </c>
      <c r="O1958" s="5">
        <f t="shared" si="277"/>
        <v>721</v>
      </c>
      <c r="P1958" t="str">
        <f>'(Raw) LensesGH'!I1958</f>
        <v>90 x 93mm</v>
      </c>
      <c r="Q1958" s="39">
        <f t="shared" si="278"/>
        <v>90</v>
      </c>
      <c r="R1958" s="39">
        <f t="shared" si="270"/>
        <v>93</v>
      </c>
    </row>
    <row r="1959" spans="1:18" x14ac:dyDescent="0.25">
      <c r="A1959" t="str">
        <f>'(Raw) LensesGH'!A1959</f>
        <v>Zeiss ZE Milvus 21mm 2.8 für Canon EF schwarz</v>
      </c>
      <c r="B1959" t="str">
        <f>'(Raw) LensesGH'!B1959</f>
        <v>21mm</v>
      </c>
      <c r="C1959" s="5">
        <f t="shared" si="271"/>
        <v>21</v>
      </c>
      <c r="D1959" s="5">
        <f t="shared" si="272"/>
        <v>21</v>
      </c>
      <c r="E1959" t="str">
        <f>'(Raw) LensesGH'!C1959</f>
        <v>1:2.8</v>
      </c>
      <c r="F1959" s="9">
        <f t="shared" si="273"/>
        <v>2.8</v>
      </c>
      <c r="G1959" s="9">
        <f t="shared" si="274"/>
        <v>2.8</v>
      </c>
      <c r="H1959" t="str">
        <f>'(Raw) LensesGH'!D1959</f>
        <v>82mm</v>
      </c>
      <c r="I1959" s="2">
        <f t="shared" si="275"/>
        <v>82</v>
      </c>
      <c r="J1959" s="2" t="str">
        <f>'(Raw) LensesGH'!E1959</f>
        <v>1:5.00</v>
      </c>
      <c r="K1959" s="40">
        <f t="shared" si="276"/>
        <v>5</v>
      </c>
      <c r="L1959" t="str">
        <f>'(Raw) LensesGH'!F1959</f>
        <v>Canon EF</v>
      </c>
      <c r="M1959" t="str">
        <f>'(Raw) LensesGH'!G1959</f>
        <v>APS-C/ Kleinbild</v>
      </c>
      <c r="N1959" t="str">
        <f>'(Raw) LensesGH'!H1959</f>
        <v>851g</v>
      </c>
      <c r="O1959" s="5">
        <f t="shared" si="277"/>
        <v>851</v>
      </c>
      <c r="P1959" t="str">
        <f>'(Raw) LensesGH'!I1959</f>
        <v>95.5 x 95mm</v>
      </c>
      <c r="Q1959" s="39">
        <f t="shared" si="278"/>
        <v>95.5</v>
      </c>
      <c r="R1959" s="39">
        <f t="shared" si="270"/>
        <v>95</v>
      </c>
    </row>
    <row r="1960" spans="1:18" x14ac:dyDescent="0.25">
      <c r="A1960" t="str">
        <f>'(Raw) LensesGH'!A1960</f>
        <v>Zeiss ZE Milvus 25mm 1.4 für Canon EF schwarz</v>
      </c>
      <c r="B1960" t="str">
        <f>'(Raw) LensesGH'!B1960</f>
        <v>25mm</v>
      </c>
      <c r="C1960" s="5">
        <f t="shared" si="271"/>
        <v>25</v>
      </c>
      <c r="D1960" s="5">
        <f t="shared" si="272"/>
        <v>25</v>
      </c>
      <c r="E1960" t="str">
        <f>'(Raw) LensesGH'!C1960</f>
        <v>1:1.4</v>
      </c>
      <c r="F1960" s="9">
        <f t="shared" si="273"/>
        <v>1.4</v>
      </c>
      <c r="G1960" s="9">
        <f t="shared" si="274"/>
        <v>1.4</v>
      </c>
      <c r="H1960" t="str">
        <f>'(Raw) LensesGH'!D1960</f>
        <v>82mm</v>
      </c>
      <c r="I1960" s="2">
        <f t="shared" si="275"/>
        <v>82</v>
      </c>
      <c r="J1960" s="2" t="str">
        <f>'(Raw) LensesGH'!E1960</f>
        <v>1:4.60</v>
      </c>
      <c r="K1960" s="40">
        <f t="shared" si="276"/>
        <v>4.5999999999999996</v>
      </c>
      <c r="L1960" t="str">
        <f>'(Raw) LensesGH'!F1960</f>
        <v>Canon EF</v>
      </c>
      <c r="M1960" t="str">
        <f>'(Raw) LensesGH'!G1960</f>
        <v>APS-C/ Kleinbild</v>
      </c>
      <c r="N1960" t="str">
        <f>'(Raw) LensesGH'!H1960</f>
        <v>1230g</v>
      </c>
      <c r="O1960" s="5">
        <f t="shared" si="277"/>
        <v>1230</v>
      </c>
      <c r="P1960" t="str">
        <f>'(Raw) LensesGH'!I1960</f>
        <v>95.2 x 122.5mm</v>
      </c>
      <c r="Q1960" s="39">
        <f t="shared" si="278"/>
        <v>95.2</v>
      </c>
      <c r="R1960" s="39">
        <f t="shared" si="270"/>
        <v>122.5</v>
      </c>
    </row>
    <row r="1961" spans="1:18" x14ac:dyDescent="0.25">
      <c r="A1961" t="str">
        <f>'(Raw) LensesGH'!A1961</f>
        <v>Zeiss ZE Milvus 35mm 1.4 für Canon EF schwarz</v>
      </c>
      <c r="B1961" t="str">
        <f>'(Raw) LensesGH'!B1961</f>
        <v>35mm</v>
      </c>
      <c r="C1961" s="5">
        <f t="shared" si="271"/>
        <v>35</v>
      </c>
      <c r="D1961" s="5">
        <f t="shared" si="272"/>
        <v>35</v>
      </c>
      <c r="E1961" t="str">
        <f>'(Raw) LensesGH'!C1961</f>
        <v>1:1.4</v>
      </c>
      <c r="F1961" s="9">
        <f t="shared" si="273"/>
        <v>1.4</v>
      </c>
      <c r="G1961" s="9">
        <f t="shared" si="274"/>
        <v>1.4</v>
      </c>
      <c r="H1961" t="str">
        <f>'(Raw) LensesGH'!D1961</f>
        <v>72mm</v>
      </c>
      <c r="I1961" s="2">
        <f t="shared" si="275"/>
        <v>72</v>
      </c>
      <c r="J1961" s="2" t="str">
        <f>'(Raw) LensesGH'!E1961</f>
        <v>1:4.60</v>
      </c>
      <c r="K1961" s="40">
        <f t="shared" si="276"/>
        <v>4.5999999999999996</v>
      </c>
      <c r="L1961" t="str">
        <f>'(Raw) LensesGH'!F1961</f>
        <v>Canon EF</v>
      </c>
      <c r="M1961" t="str">
        <f>'(Raw) LensesGH'!G1961</f>
        <v>APS-C/ Kleinbild</v>
      </c>
      <c r="N1961" t="str">
        <f>'(Raw) LensesGH'!H1961</f>
        <v>1170g</v>
      </c>
      <c r="O1961" s="5">
        <f t="shared" si="277"/>
        <v>1170</v>
      </c>
      <c r="P1961" t="str">
        <f>'(Raw) LensesGH'!I1961</f>
        <v>84.8 x 125.6mm</v>
      </c>
      <c r="Q1961" s="39">
        <f t="shared" si="278"/>
        <v>84.8</v>
      </c>
      <c r="R1961" s="39">
        <f t="shared" si="270"/>
        <v>125.6</v>
      </c>
    </row>
    <row r="1962" spans="1:18" x14ac:dyDescent="0.25">
      <c r="A1962" t="str">
        <f>'(Raw) LensesGH'!A1962</f>
        <v>Zeiss ZE Milvus 35mm 2.0 für Canon EF schwarz</v>
      </c>
      <c r="B1962" t="str">
        <f>'(Raw) LensesGH'!B1962</f>
        <v>35mm</v>
      </c>
      <c r="C1962" s="5">
        <f t="shared" si="271"/>
        <v>35</v>
      </c>
      <c r="D1962" s="5">
        <f t="shared" si="272"/>
        <v>35</v>
      </c>
      <c r="E1962" t="str">
        <f>'(Raw) LensesGH'!C1962</f>
        <v>1:2.0</v>
      </c>
      <c r="F1962" s="9">
        <f t="shared" si="273"/>
        <v>2</v>
      </c>
      <c r="G1962" s="9">
        <f t="shared" si="274"/>
        <v>2</v>
      </c>
      <c r="H1962" t="str">
        <f>'(Raw) LensesGH'!D1962</f>
        <v>58mm</v>
      </c>
      <c r="I1962" s="2">
        <f t="shared" si="275"/>
        <v>58</v>
      </c>
      <c r="J1962" s="2" t="str">
        <f>'(Raw) LensesGH'!E1962</f>
        <v>1:5.30</v>
      </c>
      <c r="K1962" s="40">
        <f t="shared" si="276"/>
        <v>5.3</v>
      </c>
      <c r="L1962" t="str">
        <f>'(Raw) LensesGH'!F1962</f>
        <v>Canon EF</v>
      </c>
      <c r="M1962" t="str">
        <f>'(Raw) LensesGH'!G1962</f>
        <v>APS-C/ Kleinbild</v>
      </c>
      <c r="N1962" t="str">
        <f>'(Raw) LensesGH'!H1962</f>
        <v>702g</v>
      </c>
      <c r="O1962" s="5">
        <f t="shared" si="277"/>
        <v>702</v>
      </c>
      <c r="P1962" t="str">
        <f>'(Raw) LensesGH'!I1962</f>
        <v>77 x 83mm</v>
      </c>
      <c r="Q1962" s="39">
        <f t="shared" si="278"/>
        <v>77</v>
      </c>
      <c r="R1962" s="39">
        <f t="shared" si="270"/>
        <v>83</v>
      </c>
    </row>
    <row r="1963" spans="1:18" x14ac:dyDescent="0.25">
      <c r="A1963" t="str">
        <f>'(Raw) LensesGH'!A1963</f>
        <v>Zeiss ZE Milvus 50mm 1.4 für Canon EF schwarz</v>
      </c>
      <c r="B1963" t="str">
        <f>'(Raw) LensesGH'!B1963</f>
        <v>50mm</v>
      </c>
      <c r="C1963" s="5">
        <f t="shared" si="271"/>
        <v>50</v>
      </c>
      <c r="D1963" s="5">
        <f t="shared" si="272"/>
        <v>50</v>
      </c>
      <c r="E1963" t="str">
        <f>'(Raw) LensesGH'!C1963</f>
        <v>1:1.4</v>
      </c>
      <c r="F1963" s="9">
        <f t="shared" si="273"/>
        <v>1.4</v>
      </c>
      <c r="G1963" s="9">
        <f t="shared" si="274"/>
        <v>1.4</v>
      </c>
      <c r="H1963" t="str">
        <f>'(Raw) LensesGH'!D1963</f>
        <v>67mm</v>
      </c>
      <c r="I1963" s="2">
        <f t="shared" si="275"/>
        <v>67</v>
      </c>
      <c r="J1963" s="2" t="str">
        <f>'(Raw) LensesGH'!E1963</f>
        <v>1:6.70</v>
      </c>
      <c r="K1963" s="40">
        <f t="shared" si="276"/>
        <v>6.7</v>
      </c>
      <c r="L1963" t="str">
        <f>'(Raw) LensesGH'!F1963</f>
        <v>Canon EF</v>
      </c>
      <c r="M1963" t="str">
        <f>'(Raw) LensesGH'!G1963</f>
        <v>APS-C/ Kleinbild</v>
      </c>
      <c r="N1963" t="str">
        <f>'(Raw) LensesGH'!H1963</f>
        <v>922g</v>
      </c>
      <c r="O1963" s="5">
        <f t="shared" si="277"/>
        <v>922</v>
      </c>
      <c r="P1963" t="str">
        <f>'(Raw) LensesGH'!I1963</f>
        <v>82.5 x 97.5mm</v>
      </c>
      <c r="Q1963" s="39">
        <f t="shared" si="278"/>
        <v>82.5</v>
      </c>
      <c r="R1963" s="39">
        <f t="shared" si="270"/>
        <v>97.5</v>
      </c>
    </row>
    <row r="1964" spans="1:18" x14ac:dyDescent="0.25">
      <c r="A1964" t="str">
        <f>'(Raw) LensesGH'!A1964</f>
        <v>Zeiss ZE Milvus 50mm 2.0 Makro für Canon EF schwarz</v>
      </c>
      <c r="B1964" t="str">
        <f>'(Raw) LensesGH'!B1964</f>
        <v>50mm</v>
      </c>
      <c r="C1964" s="5">
        <f t="shared" si="271"/>
        <v>50</v>
      </c>
      <c r="D1964" s="5">
        <f t="shared" si="272"/>
        <v>50</v>
      </c>
      <c r="E1964" t="str">
        <f>'(Raw) LensesGH'!C1964</f>
        <v>1:2.0</v>
      </c>
      <c r="F1964" s="9">
        <f t="shared" si="273"/>
        <v>2</v>
      </c>
      <c r="G1964" s="9">
        <f t="shared" si="274"/>
        <v>2</v>
      </c>
      <c r="H1964" t="str">
        <f>'(Raw) LensesGH'!D1964</f>
        <v>67mm</v>
      </c>
      <c r="I1964" s="2">
        <f t="shared" si="275"/>
        <v>67</v>
      </c>
      <c r="J1964" s="2" t="str">
        <f>'(Raw) LensesGH'!E1964</f>
        <v>1:2.00</v>
      </c>
      <c r="K1964" s="40">
        <f t="shared" si="276"/>
        <v>2</v>
      </c>
      <c r="L1964" t="str">
        <f>'(Raw) LensesGH'!F1964</f>
        <v>Canon EF</v>
      </c>
      <c r="M1964" t="str">
        <f>'(Raw) LensesGH'!G1964</f>
        <v>APS-C/ Kleinbild</v>
      </c>
      <c r="N1964" t="str">
        <f>'(Raw) LensesGH'!H1964</f>
        <v>730g</v>
      </c>
      <c r="O1964" s="5">
        <f t="shared" si="277"/>
        <v>730</v>
      </c>
      <c r="P1964" t="str">
        <f>'(Raw) LensesGH'!I1964</f>
        <v>81 x 75.3mm</v>
      </c>
      <c r="Q1964" s="39">
        <f t="shared" si="278"/>
        <v>81</v>
      </c>
      <c r="R1964" s="39">
        <f t="shared" si="270"/>
        <v>75.3</v>
      </c>
    </row>
    <row r="1965" spans="1:18" x14ac:dyDescent="0.25">
      <c r="A1965" t="str">
        <f>'(Raw) LensesGH'!A1965</f>
        <v>Zeiss ZE Milvus 85mm 1.4 für Canon EF schwarz</v>
      </c>
      <c r="B1965" t="str">
        <f>'(Raw) LensesGH'!B1965</f>
        <v>85mm</v>
      </c>
      <c r="C1965" s="5">
        <f t="shared" si="271"/>
        <v>85</v>
      </c>
      <c r="D1965" s="5">
        <f t="shared" si="272"/>
        <v>85</v>
      </c>
      <c r="E1965" t="str">
        <f>'(Raw) LensesGH'!C1965</f>
        <v>1:1.4</v>
      </c>
      <c r="F1965" s="9">
        <f t="shared" si="273"/>
        <v>1.4</v>
      </c>
      <c r="G1965" s="9">
        <f t="shared" si="274"/>
        <v>1.4</v>
      </c>
      <c r="H1965" t="str">
        <f>'(Raw) LensesGH'!D1965</f>
        <v>77mm</v>
      </c>
      <c r="I1965" s="2">
        <f t="shared" si="275"/>
        <v>77</v>
      </c>
      <c r="J1965" s="2" t="str">
        <f>'(Raw) LensesGH'!E1965</f>
        <v>1:8.30</v>
      </c>
      <c r="K1965" s="40">
        <f t="shared" si="276"/>
        <v>8.3000000000000007</v>
      </c>
      <c r="L1965" t="str">
        <f>'(Raw) LensesGH'!F1965</f>
        <v>Canon EF</v>
      </c>
      <c r="M1965" t="str">
        <f>'(Raw) LensesGH'!G1965</f>
        <v>APS-C/ Kleinbild</v>
      </c>
      <c r="N1965" t="str">
        <f>'(Raw) LensesGH'!H1965</f>
        <v>1280g</v>
      </c>
      <c r="O1965" s="5">
        <f t="shared" si="277"/>
        <v>1280</v>
      </c>
      <c r="P1965" t="str">
        <f>'(Raw) LensesGH'!I1965</f>
        <v>90 x 113mm</v>
      </c>
      <c r="Q1965" s="39">
        <f t="shared" si="278"/>
        <v>90</v>
      </c>
      <c r="R1965" s="39">
        <f t="shared" si="270"/>
        <v>113</v>
      </c>
    </row>
    <row r="1966" spans="1:18" x14ac:dyDescent="0.25">
      <c r="A1966" t="str">
        <f>'(Raw) LensesGH'!A1966</f>
        <v>Zeiss ZE Otus 28mm 1.4 für Canon EF schwarz</v>
      </c>
      <c r="B1966" t="str">
        <f>'(Raw) LensesGH'!B1966</f>
        <v>28mm</v>
      </c>
      <c r="C1966" s="5">
        <f t="shared" si="271"/>
        <v>28</v>
      </c>
      <c r="D1966" s="5">
        <f t="shared" si="272"/>
        <v>28</v>
      </c>
      <c r="E1966" t="str">
        <f>'(Raw) LensesGH'!C1966</f>
        <v>1:1.4</v>
      </c>
      <c r="F1966" s="9">
        <f t="shared" si="273"/>
        <v>1.4</v>
      </c>
      <c r="G1966" s="9">
        <f t="shared" si="274"/>
        <v>1.4</v>
      </c>
      <c r="H1966" t="str">
        <f>'(Raw) LensesGH'!D1966</f>
        <v>95mm</v>
      </c>
      <c r="I1966" s="2">
        <f t="shared" si="275"/>
        <v>95</v>
      </c>
      <c r="J1966" s="2" t="str">
        <f>'(Raw) LensesGH'!E1966</f>
        <v>1:6.25</v>
      </c>
      <c r="K1966" s="40">
        <f t="shared" si="276"/>
        <v>6.25</v>
      </c>
      <c r="L1966" t="str">
        <f>'(Raw) LensesGH'!F1966</f>
        <v>Canon EF</v>
      </c>
      <c r="M1966" t="str">
        <f>'(Raw) LensesGH'!G1966</f>
        <v>APS-C/ Kleinbild</v>
      </c>
      <c r="N1966" t="str">
        <f>'(Raw) LensesGH'!H1966</f>
        <v>1390g</v>
      </c>
      <c r="O1966" s="5">
        <f t="shared" si="277"/>
        <v>1390</v>
      </c>
      <c r="P1966" t="str">
        <f>'(Raw) LensesGH'!I1966</f>
        <v>108.9 x 129.5mm</v>
      </c>
      <c r="Q1966" s="39">
        <f t="shared" si="278"/>
        <v>108.9</v>
      </c>
      <c r="R1966" s="39">
        <f t="shared" si="270"/>
        <v>129.5</v>
      </c>
    </row>
    <row r="1967" spans="1:18" x14ac:dyDescent="0.25">
      <c r="A1967" t="str">
        <f>'(Raw) LensesGH'!A1967</f>
        <v>Zeiss ZE Otus 55mm 1.4 für Canon EF schwarz</v>
      </c>
      <c r="B1967" t="str">
        <f>'(Raw) LensesGH'!B1967</f>
        <v>55mm</v>
      </c>
      <c r="C1967" s="5">
        <f t="shared" si="271"/>
        <v>55</v>
      </c>
      <c r="D1967" s="5">
        <f t="shared" si="272"/>
        <v>55</v>
      </c>
      <c r="E1967" t="str">
        <f>'(Raw) LensesGH'!C1967</f>
        <v>1:1.4</v>
      </c>
      <c r="F1967" s="9">
        <f t="shared" si="273"/>
        <v>1.4</v>
      </c>
      <c r="G1967" s="9">
        <f t="shared" si="274"/>
        <v>1.4</v>
      </c>
      <c r="H1967" t="str">
        <f>'(Raw) LensesGH'!D1967</f>
        <v>77mm</v>
      </c>
      <c r="I1967" s="2">
        <f t="shared" si="275"/>
        <v>77</v>
      </c>
      <c r="J1967" s="2" t="str">
        <f>'(Raw) LensesGH'!E1967</f>
        <v>1:6.80</v>
      </c>
      <c r="K1967" s="40">
        <f t="shared" si="276"/>
        <v>6.8</v>
      </c>
      <c r="L1967" t="str">
        <f>'(Raw) LensesGH'!F1967</f>
        <v>Canon EF</v>
      </c>
      <c r="M1967" t="str">
        <f>'(Raw) LensesGH'!G1967</f>
        <v>APS-C/ Kleinbild</v>
      </c>
      <c r="N1967" t="str">
        <f>'(Raw) LensesGH'!H1967</f>
        <v>1030g</v>
      </c>
      <c r="O1967" s="5">
        <f t="shared" si="277"/>
        <v>1030</v>
      </c>
      <c r="P1967" t="str">
        <f>'(Raw) LensesGH'!I1967</f>
        <v>83 x 120mm</v>
      </c>
      <c r="Q1967" s="39">
        <f t="shared" si="278"/>
        <v>83</v>
      </c>
      <c r="R1967" s="39">
        <f t="shared" si="270"/>
        <v>120</v>
      </c>
    </row>
    <row r="1968" spans="1:18" x14ac:dyDescent="0.25">
      <c r="A1968" t="str">
        <f>'(Raw) LensesGH'!A1968</f>
        <v>Zeiss ZE Otus 85mm 1.4 für Canon EF schwarz</v>
      </c>
      <c r="B1968" t="str">
        <f>'(Raw) LensesGH'!B1968</f>
        <v>85mm</v>
      </c>
      <c r="C1968" s="5">
        <f t="shared" si="271"/>
        <v>85</v>
      </c>
      <c r="D1968" s="5">
        <f t="shared" si="272"/>
        <v>85</v>
      </c>
      <c r="E1968" t="str">
        <f>'(Raw) LensesGH'!C1968</f>
        <v>1:1.4</v>
      </c>
      <c r="F1968" s="9">
        <f t="shared" si="273"/>
        <v>1.4</v>
      </c>
      <c r="G1968" s="9">
        <f t="shared" si="274"/>
        <v>1.4</v>
      </c>
      <c r="H1968" t="str">
        <f>'(Raw) LensesGH'!D1968</f>
        <v>86mm</v>
      </c>
      <c r="I1968" s="2">
        <f t="shared" si="275"/>
        <v>86</v>
      </c>
      <c r="J1968" s="2" t="str">
        <f>'(Raw) LensesGH'!E1968</f>
        <v>1:7.70</v>
      </c>
      <c r="K1968" s="40">
        <f t="shared" si="276"/>
        <v>7.7</v>
      </c>
      <c r="L1968" t="str">
        <f>'(Raw) LensesGH'!F1968</f>
        <v>Canon EF</v>
      </c>
      <c r="M1968" t="str">
        <f>'(Raw) LensesGH'!G1968</f>
        <v>APS-C/ Kleinbild</v>
      </c>
      <c r="N1968" t="str">
        <f>'(Raw) LensesGH'!H1968</f>
        <v>1200g</v>
      </c>
      <c r="O1968" s="5">
        <f t="shared" si="277"/>
        <v>1200</v>
      </c>
      <c r="P1968" t="str">
        <f>'(Raw) LensesGH'!I1968</f>
        <v>101 x 116mm</v>
      </c>
      <c r="Q1968" s="39">
        <f t="shared" si="278"/>
        <v>101</v>
      </c>
      <c r="R1968" s="39">
        <f t="shared" si="270"/>
        <v>116</v>
      </c>
    </row>
    <row r="1969" spans="1:18" x14ac:dyDescent="0.25">
      <c r="A1969" t="str">
        <f>'(Raw) LensesGH'!A1969</f>
        <v>Zeiss ZE Planar T* 50mm 1.4 für Canon EF schwarz</v>
      </c>
      <c r="B1969" t="str">
        <f>'(Raw) LensesGH'!B1969</f>
        <v>50mm</v>
      </c>
      <c r="C1969" s="5">
        <f t="shared" si="271"/>
        <v>50</v>
      </c>
      <c r="D1969" s="5">
        <f t="shared" si="272"/>
        <v>50</v>
      </c>
      <c r="E1969" t="str">
        <f>'(Raw) LensesGH'!C1969</f>
        <v>1:1.4</v>
      </c>
      <c r="F1969" s="9">
        <f t="shared" si="273"/>
        <v>1.4</v>
      </c>
      <c r="G1969" s="9">
        <f t="shared" si="274"/>
        <v>1.4</v>
      </c>
      <c r="H1969" t="str">
        <f>'(Raw) LensesGH'!D1969</f>
        <v>58mm</v>
      </c>
      <c r="I1969" s="2">
        <f t="shared" si="275"/>
        <v>58</v>
      </c>
      <c r="J1969" s="2">
        <f>'(Raw) LensesGH'!E1969</f>
        <v>0</v>
      </c>
      <c r="K1969" s="40">
        <f t="shared" si="276"/>
        <v>0</v>
      </c>
      <c r="L1969" t="str">
        <f>'(Raw) LensesGH'!F1969</f>
        <v>Canon EF</v>
      </c>
      <c r="M1969" t="str">
        <f>'(Raw) LensesGH'!G1969</f>
        <v>APS-C/ Kleinbild</v>
      </c>
      <c r="N1969" t="str">
        <f>'(Raw) LensesGH'!H1969</f>
        <v>330g</v>
      </c>
      <c r="O1969" s="5">
        <f t="shared" si="277"/>
        <v>330</v>
      </c>
      <c r="P1969" t="str">
        <f>'(Raw) LensesGH'!I1969</f>
        <v>66 x 45mm</v>
      </c>
      <c r="Q1969" s="39">
        <f t="shared" si="278"/>
        <v>66</v>
      </c>
      <c r="R1969" s="39">
        <f t="shared" si="270"/>
        <v>45</v>
      </c>
    </row>
    <row r="1970" spans="1:18" x14ac:dyDescent="0.25">
      <c r="A1970" t="str">
        <f>'(Raw) LensesGH'!A1970</f>
        <v>Zeiss ZE Planar T* 85mm 1.4 für Canon EF schwarz</v>
      </c>
      <c r="B1970" t="str">
        <f>'(Raw) LensesGH'!B1970</f>
        <v>85mm</v>
      </c>
      <c r="C1970" s="5">
        <f t="shared" si="271"/>
        <v>85</v>
      </c>
      <c r="D1970" s="5">
        <f t="shared" si="272"/>
        <v>85</v>
      </c>
      <c r="E1970" t="str">
        <f>'(Raw) LensesGH'!C1970</f>
        <v>1:1.4</v>
      </c>
      <c r="F1970" s="9">
        <f t="shared" si="273"/>
        <v>1.4</v>
      </c>
      <c r="G1970" s="9">
        <f t="shared" si="274"/>
        <v>1.4</v>
      </c>
      <c r="H1970" t="str">
        <f>'(Raw) LensesGH'!D1970</f>
        <v>72mm</v>
      </c>
      <c r="I1970" s="2">
        <f t="shared" si="275"/>
        <v>72</v>
      </c>
      <c r="J1970" s="2">
        <f>'(Raw) LensesGH'!E1970</f>
        <v>0</v>
      </c>
      <c r="K1970" s="40">
        <f t="shared" si="276"/>
        <v>0</v>
      </c>
      <c r="L1970" t="str">
        <f>'(Raw) LensesGH'!F1970</f>
        <v>Canon EF</v>
      </c>
      <c r="M1970" t="str">
        <f>'(Raw) LensesGH'!G1970</f>
        <v>APS-C/ Kleinbild</v>
      </c>
      <c r="N1970" t="str">
        <f>'(Raw) LensesGH'!H1970</f>
        <v>570g</v>
      </c>
      <c r="O1970" s="5">
        <f t="shared" si="277"/>
        <v>570</v>
      </c>
      <c r="P1970" t="str">
        <f>'(Raw) LensesGH'!I1970</f>
        <v>77 x 62mm</v>
      </c>
      <c r="Q1970" s="39">
        <f t="shared" si="278"/>
        <v>77</v>
      </c>
      <c r="R1970" s="39">
        <f t="shared" si="270"/>
        <v>62</v>
      </c>
    </row>
    <row r="1971" spans="1:18" x14ac:dyDescent="0.25">
      <c r="A1971" t="str">
        <f>'(Raw) LensesGH'!A1971</f>
        <v>Zeiss ZF Distagon T* 15mm 2.8 für Nikon F schwarz</v>
      </c>
      <c r="B1971" t="str">
        <f>'(Raw) LensesGH'!B1971</f>
        <v>15mm</v>
      </c>
      <c r="C1971" s="5">
        <f t="shared" si="271"/>
        <v>15</v>
      </c>
      <c r="D1971" s="5">
        <f t="shared" si="272"/>
        <v>15</v>
      </c>
      <c r="E1971" t="str">
        <f>'(Raw) LensesGH'!C1971</f>
        <v>1:2.8</v>
      </c>
      <c r="F1971" s="9">
        <f t="shared" si="273"/>
        <v>2.8</v>
      </c>
      <c r="G1971" s="9">
        <f t="shared" si="274"/>
        <v>2.8</v>
      </c>
      <c r="H1971" t="str">
        <f>'(Raw) LensesGH'!D1971</f>
        <v>95mm</v>
      </c>
      <c r="I1971" s="2">
        <f t="shared" si="275"/>
        <v>95</v>
      </c>
      <c r="J1971" s="2" t="str">
        <f>'(Raw) LensesGH'!E1971</f>
        <v>1:18.18</v>
      </c>
      <c r="K1971" s="40">
        <f t="shared" si="276"/>
        <v>18.18</v>
      </c>
      <c r="L1971" t="str">
        <f>'(Raw) LensesGH'!F1971</f>
        <v>Nikon F</v>
      </c>
      <c r="M1971" t="str">
        <f>'(Raw) LensesGH'!G1971</f>
        <v>APS-C/ Kleinbild</v>
      </c>
      <c r="N1971" t="str">
        <f>'(Raw) LensesGH'!H1971</f>
        <v>730g</v>
      </c>
      <c r="O1971" s="5">
        <f t="shared" si="277"/>
        <v>730</v>
      </c>
      <c r="P1971" t="str">
        <f>'(Raw) LensesGH'!I1971</f>
        <v>103 x 132mm</v>
      </c>
      <c r="Q1971" s="39">
        <f t="shared" si="278"/>
        <v>103</v>
      </c>
      <c r="R1971" s="39">
        <f t="shared" si="270"/>
        <v>132</v>
      </c>
    </row>
    <row r="1972" spans="1:18" x14ac:dyDescent="0.25">
      <c r="A1972" t="str">
        <f>'(Raw) LensesGH'!A1972</f>
        <v>Zeiss ZF Makro-Planar T* 50mm 2.0 für Nikon F schwarz</v>
      </c>
      <c r="B1972" t="str">
        <f>'(Raw) LensesGH'!B1972</f>
        <v>50mm</v>
      </c>
      <c r="C1972" s="5">
        <f t="shared" si="271"/>
        <v>50</v>
      </c>
      <c r="D1972" s="5">
        <f t="shared" si="272"/>
        <v>50</v>
      </c>
      <c r="E1972" t="str">
        <f>'(Raw) LensesGH'!C1972</f>
        <v>1:2.0</v>
      </c>
      <c r="F1972" s="9">
        <f t="shared" si="273"/>
        <v>2</v>
      </c>
      <c r="G1972" s="9">
        <f t="shared" si="274"/>
        <v>2</v>
      </c>
      <c r="H1972" t="str">
        <f>'(Raw) LensesGH'!D1972</f>
        <v>67mm</v>
      </c>
      <c r="I1972" s="2">
        <f t="shared" si="275"/>
        <v>67</v>
      </c>
      <c r="J1972" s="2">
        <f>'(Raw) LensesGH'!E1972</f>
        <v>0</v>
      </c>
      <c r="K1972" s="40">
        <f t="shared" si="276"/>
        <v>0</v>
      </c>
      <c r="L1972" t="str">
        <f>'(Raw) LensesGH'!F1972</f>
        <v>Nikon F</v>
      </c>
      <c r="M1972" t="str">
        <f>'(Raw) LensesGH'!G1972</f>
        <v>APS-C/ Kleinbild</v>
      </c>
      <c r="N1972" t="str">
        <f>'(Raw) LensesGH'!H1972</f>
        <v>530g</v>
      </c>
      <c r="O1972" s="5">
        <f t="shared" si="277"/>
        <v>530</v>
      </c>
      <c r="P1972" t="str">
        <f>'(Raw) LensesGH'!I1972</f>
        <v>72 x 65mm</v>
      </c>
      <c r="Q1972" s="39">
        <f t="shared" si="278"/>
        <v>72</v>
      </c>
      <c r="R1972" s="39">
        <f t="shared" si="270"/>
        <v>65</v>
      </c>
    </row>
    <row r="1973" spans="1:18" x14ac:dyDescent="0.25">
      <c r="A1973" t="str">
        <f>'(Raw) LensesGH'!A1973</f>
        <v>Zeiss ZF Planar T* 85mm 1.4 für Nikon F schwarz</v>
      </c>
      <c r="B1973" t="str">
        <f>'(Raw) LensesGH'!B1973</f>
        <v>85mm</v>
      </c>
      <c r="C1973" s="5">
        <f t="shared" si="271"/>
        <v>85</v>
      </c>
      <c r="D1973" s="5">
        <f t="shared" si="272"/>
        <v>85</v>
      </c>
      <c r="E1973" t="str">
        <f>'(Raw) LensesGH'!C1973</f>
        <v>1:1.4</v>
      </c>
      <c r="F1973" s="9">
        <f t="shared" si="273"/>
        <v>1.4</v>
      </c>
      <c r="G1973" s="9">
        <f t="shared" si="274"/>
        <v>1.4</v>
      </c>
      <c r="H1973" t="str">
        <f>'(Raw) LensesGH'!D1973</f>
        <v>72mm</v>
      </c>
      <c r="I1973" s="2">
        <f t="shared" si="275"/>
        <v>72</v>
      </c>
      <c r="J1973" s="2">
        <f>'(Raw) LensesGH'!E1973</f>
        <v>0</v>
      </c>
      <c r="K1973" s="40">
        <f t="shared" si="276"/>
        <v>0</v>
      </c>
      <c r="L1973" t="str">
        <f>'(Raw) LensesGH'!F1973</f>
        <v>Nikon F</v>
      </c>
      <c r="M1973" t="str">
        <f>'(Raw) LensesGH'!G1973</f>
        <v>APS-C/ Kleinbild</v>
      </c>
      <c r="N1973" t="str">
        <f>'(Raw) LensesGH'!H1973</f>
        <v>570g</v>
      </c>
      <c r="O1973" s="5">
        <f t="shared" si="277"/>
        <v>570</v>
      </c>
      <c r="P1973" t="str">
        <f>'(Raw) LensesGH'!I1973</f>
        <v>77 x 62mm</v>
      </c>
      <c r="Q1973" s="39">
        <f t="shared" si="278"/>
        <v>77</v>
      </c>
      <c r="R1973" s="39">
        <f t="shared" si="270"/>
        <v>62</v>
      </c>
    </row>
    <row r="1974" spans="1:18" x14ac:dyDescent="0.25">
      <c r="A1974" t="str">
        <f>'(Raw) LensesGH'!A1974</f>
        <v>Zeiss ZF.2 Apo Sonnar T* 135mm 2.0 für Nikon F schwarz</v>
      </c>
      <c r="B1974" t="str">
        <f>'(Raw) LensesGH'!B1974</f>
        <v>135mm</v>
      </c>
      <c r="C1974" s="5">
        <f t="shared" si="271"/>
        <v>135</v>
      </c>
      <c r="D1974" s="5">
        <f t="shared" si="272"/>
        <v>135</v>
      </c>
      <c r="E1974" t="str">
        <f>'(Raw) LensesGH'!C1974</f>
        <v>1:2.0</v>
      </c>
      <c r="F1974" s="9">
        <f t="shared" si="273"/>
        <v>2</v>
      </c>
      <c r="G1974" s="9">
        <f t="shared" si="274"/>
        <v>2</v>
      </c>
      <c r="H1974" t="str">
        <f>'(Raw) LensesGH'!D1974</f>
        <v>77mm</v>
      </c>
      <c r="I1974" s="2">
        <f t="shared" si="275"/>
        <v>77</v>
      </c>
      <c r="J1974" s="2" t="str">
        <f>'(Raw) LensesGH'!E1974</f>
        <v>1:4.00</v>
      </c>
      <c r="K1974" s="40">
        <f t="shared" si="276"/>
        <v>4</v>
      </c>
      <c r="L1974" t="str">
        <f>'(Raw) LensesGH'!F1974</f>
        <v>Nikon F</v>
      </c>
      <c r="M1974" t="str">
        <f>'(Raw) LensesGH'!G1974</f>
        <v>APS-C/ Kleinbild</v>
      </c>
      <c r="N1974" t="str">
        <f>'(Raw) LensesGH'!H1974</f>
        <v>920g</v>
      </c>
      <c r="O1974" s="5">
        <f t="shared" si="277"/>
        <v>920</v>
      </c>
      <c r="P1974" t="str">
        <f>'(Raw) LensesGH'!I1974</f>
        <v>84 x 105mm</v>
      </c>
      <c r="Q1974" s="39">
        <f t="shared" si="278"/>
        <v>84</v>
      </c>
      <c r="R1974" s="39">
        <f t="shared" si="270"/>
        <v>105</v>
      </c>
    </row>
    <row r="1975" spans="1:18" x14ac:dyDescent="0.25">
      <c r="A1975" t="str">
        <f>'(Raw) LensesGH'!A1975</f>
        <v>Zeiss ZF.2 Distagon T* 18mm 3.5 für Nikon F schwarz</v>
      </c>
      <c r="B1975" t="str">
        <f>'(Raw) LensesGH'!B1975</f>
        <v>18mm</v>
      </c>
      <c r="C1975" s="5">
        <f t="shared" si="271"/>
        <v>18</v>
      </c>
      <c r="D1975" s="5">
        <f t="shared" si="272"/>
        <v>18</v>
      </c>
      <c r="E1975" t="str">
        <f>'(Raw) LensesGH'!C1975</f>
        <v>1:3.5</v>
      </c>
      <c r="F1975" s="9">
        <f t="shared" si="273"/>
        <v>3.5</v>
      </c>
      <c r="G1975" s="9">
        <f t="shared" si="274"/>
        <v>3.5</v>
      </c>
      <c r="H1975" t="str">
        <f>'(Raw) LensesGH'!D1975</f>
        <v>82mm</v>
      </c>
      <c r="I1975" s="2">
        <f t="shared" si="275"/>
        <v>82</v>
      </c>
      <c r="J1975" s="2" t="str">
        <f>'(Raw) LensesGH'!E1975</f>
        <v>1:12.05</v>
      </c>
      <c r="K1975" s="40">
        <f t="shared" si="276"/>
        <v>12.05</v>
      </c>
      <c r="L1975" t="str">
        <f>'(Raw) LensesGH'!F1975</f>
        <v>Nikon F</v>
      </c>
      <c r="M1975" t="str">
        <f>'(Raw) LensesGH'!G1975</f>
        <v>APS-C/ Kleinbild</v>
      </c>
      <c r="N1975" t="str">
        <f>'(Raw) LensesGH'!H1975</f>
        <v>470g</v>
      </c>
      <c r="O1975" s="5">
        <f t="shared" si="277"/>
        <v>470</v>
      </c>
      <c r="P1975" t="str">
        <f>'(Raw) LensesGH'!I1975</f>
        <v>87 x 84mm</v>
      </c>
      <c r="Q1975" s="39">
        <f t="shared" si="278"/>
        <v>87</v>
      </c>
      <c r="R1975" s="39">
        <f t="shared" si="270"/>
        <v>84</v>
      </c>
    </row>
    <row r="1976" spans="1:18" x14ac:dyDescent="0.25">
      <c r="A1976" t="str">
        <f>'(Raw) LensesGH'!A1976</f>
        <v>Zeiss ZF.2 Distagon T* 21mm 2.8 für Nikon F schwarz</v>
      </c>
      <c r="B1976" t="str">
        <f>'(Raw) LensesGH'!B1976</f>
        <v>21mm</v>
      </c>
      <c r="C1976" s="5">
        <f t="shared" si="271"/>
        <v>21</v>
      </c>
      <c r="D1976" s="5">
        <f t="shared" si="272"/>
        <v>21</v>
      </c>
      <c r="E1976" t="str">
        <f>'(Raw) LensesGH'!C1976</f>
        <v>1:2.8</v>
      </c>
      <c r="F1976" s="9">
        <f t="shared" si="273"/>
        <v>2.8</v>
      </c>
      <c r="G1976" s="9">
        <f t="shared" si="274"/>
        <v>2.8</v>
      </c>
      <c r="H1976" t="str">
        <f>'(Raw) LensesGH'!D1976</f>
        <v>82mm</v>
      </c>
      <c r="I1976" s="2">
        <f t="shared" si="275"/>
        <v>82</v>
      </c>
      <c r="J1976" s="2">
        <f>'(Raw) LensesGH'!E1976</f>
        <v>0</v>
      </c>
      <c r="K1976" s="40">
        <f t="shared" si="276"/>
        <v>0</v>
      </c>
      <c r="L1976" t="str">
        <f>'(Raw) LensesGH'!F1976</f>
        <v>Nikon F</v>
      </c>
      <c r="M1976" t="str">
        <f>'(Raw) LensesGH'!G1976</f>
        <v>APS-C/ Kleinbild</v>
      </c>
      <c r="N1976" t="str">
        <f>'(Raw) LensesGH'!H1976</f>
        <v>600g</v>
      </c>
      <c r="O1976" s="5">
        <f t="shared" si="277"/>
        <v>600</v>
      </c>
      <c r="P1976" t="str">
        <f>'(Raw) LensesGH'!I1976</f>
        <v>87 x 109mm</v>
      </c>
      <c r="Q1976" s="39">
        <f t="shared" si="278"/>
        <v>87</v>
      </c>
      <c r="R1976" s="39">
        <f t="shared" si="270"/>
        <v>109</v>
      </c>
    </row>
    <row r="1977" spans="1:18" x14ac:dyDescent="0.25">
      <c r="A1977" t="str">
        <f>'(Raw) LensesGH'!A1977</f>
        <v>Zeiss ZF.2 Distagon T* 25mm 2.0 für Nikon F schwarz</v>
      </c>
      <c r="B1977" t="str">
        <f>'(Raw) LensesGH'!B1977</f>
        <v>25mm</v>
      </c>
      <c r="C1977" s="5">
        <f t="shared" si="271"/>
        <v>25</v>
      </c>
      <c r="D1977" s="5">
        <f t="shared" si="272"/>
        <v>25</v>
      </c>
      <c r="E1977" t="str">
        <f>'(Raw) LensesGH'!C1977</f>
        <v>1:2.0</v>
      </c>
      <c r="F1977" s="9">
        <f t="shared" si="273"/>
        <v>2</v>
      </c>
      <c r="G1977" s="9">
        <f t="shared" si="274"/>
        <v>2</v>
      </c>
      <c r="H1977" t="str">
        <f>'(Raw) LensesGH'!D1977</f>
        <v>67mm</v>
      </c>
      <c r="I1977" s="2">
        <f t="shared" si="275"/>
        <v>67</v>
      </c>
      <c r="J1977" s="2" t="str">
        <f>'(Raw) LensesGH'!E1977</f>
        <v>1:5.88</v>
      </c>
      <c r="K1977" s="40">
        <f t="shared" si="276"/>
        <v>5.88</v>
      </c>
      <c r="L1977" t="str">
        <f>'(Raw) LensesGH'!F1977</f>
        <v>Nikon F</v>
      </c>
      <c r="M1977" t="str">
        <f>'(Raw) LensesGH'!G1977</f>
        <v>APS-C/ Kleinbild</v>
      </c>
      <c r="N1977" t="str">
        <f>'(Raw) LensesGH'!H1977</f>
        <v>570g</v>
      </c>
      <c r="O1977" s="5">
        <f t="shared" si="277"/>
        <v>570</v>
      </c>
      <c r="P1977" t="str">
        <f>'(Raw) LensesGH'!I1977</f>
        <v>71 x 95mm</v>
      </c>
      <c r="Q1977" s="39">
        <f t="shared" si="278"/>
        <v>71</v>
      </c>
      <c r="R1977" s="39">
        <f t="shared" si="270"/>
        <v>95</v>
      </c>
    </row>
    <row r="1978" spans="1:18" x14ac:dyDescent="0.25">
      <c r="A1978" t="str">
        <f>'(Raw) LensesGH'!A1978</f>
        <v>Zeiss ZF.2 Distagon T* 25mm 2.8 für Nikon F schwarz</v>
      </c>
      <c r="B1978" t="str">
        <f>'(Raw) LensesGH'!B1978</f>
        <v>25mm</v>
      </c>
      <c r="C1978" s="5">
        <f t="shared" si="271"/>
        <v>25</v>
      </c>
      <c r="D1978" s="5">
        <f t="shared" si="272"/>
        <v>25</v>
      </c>
      <c r="E1978" t="str">
        <f>'(Raw) LensesGH'!C1978</f>
        <v>1:2.8</v>
      </c>
      <c r="F1978" s="9">
        <f t="shared" si="273"/>
        <v>2.8</v>
      </c>
      <c r="G1978" s="9">
        <f t="shared" si="274"/>
        <v>2.8</v>
      </c>
      <c r="H1978" t="str">
        <f>'(Raw) LensesGH'!D1978</f>
        <v>58mm</v>
      </c>
      <c r="I1978" s="2">
        <f t="shared" si="275"/>
        <v>58</v>
      </c>
      <c r="J1978" s="2">
        <f>'(Raw) LensesGH'!E1978</f>
        <v>0</v>
      </c>
      <c r="K1978" s="40">
        <f t="shared" si="276"/>
        <v>0</v>
      </c>
      <c r="L1978" t="str">
        <f>'(Raw) LensesGH'!F1978</f>
        <v>Nikon F</v>
      </c>
      <c r="M1978" t="str">
        <f>'(Raw) LensesGH'!G1978</f>
        <v>APS-C/ Kleinbild</v>
      </c>
      <c r="N1978" t="str">
        <f>'(Raw) LensesGH'!H1978</f>
        <v>480g</v>
      </c>
      <c r="O1978" s="5">
        <f t="shared" si="277"/>
        <v>480</v>
      </c>
      <c r="P1978" t="str">
        <f>'(Raw) LensesGH'!I1978</f>
        <v>65 x 66mm</v>
      </c>
      <c r="Q1978" s="39">
        <f t="shared" si="278"/>
        <v>65</v>
      </c>
      <c r="R1978" s="39">
        <f t="shared" si="270"/>
        <v>66</v>
      </c>
    </row>
    <row r="1979" spans="1:18" x14ac:dyDescent="0.25">
      <c r="A1979" t="str">
        <f>'(Raw) LensesGH'!A1979</f>
        <v>Zeiss ZF.2 Distagon T* 28mm 2.0 für Nikon F schwarz</v>
      </c>
      <c r="B1979" t="str">
        <f>'(Raw) LensesGH'!B1979</f>
        <v>28mm</v>
      </c>
      <c r="C1979" s="5">
        <f t="shared" si="271"/>
        <v>28</v>
      </c>
      <c r="D1979" s="5">
        <f t="shared" si="272"/>
        <v>28</v>
      </c>
      <c r="E1979" t="str">
        <f>'(Raw) LensesGH'!C1979</f>
        <v>1:2.0</v>
      </c>
      <c r="F1979" s="9">
        <f t="shared" si="273"/>
        <v>2</v>
      </c>
      <c r="G1979" s="9">
        <f t="shared" si="274"/>
        <v>2</v>
      </c>
      <c r="H1979">
        <f>'(Raw) LensesGH'!D1979</f>
        <v>0</v>
      </c>
      <c r="I1979" s="2">
        <f t="shared" si="275"/>
        <v>0</v>
      </c>
      <c r="J1979" s="2" t="str">
        <f>'(Raw) LensesGH'!E1979</f>
        <v>1:4.00</v>
      </c>
      <c r="K1979" s="40">
        <f t="shared" si="276"/>
        <v>4</v>
      </c>
      <c r="L1979" t="str">
        <f>'(Raw) LensesGH'!F1979</f>
        <v>Nikon F</v>
      </c>
      <c r="M1979" t="str">
        <f>'(Raw) LensesGH'!G1979</f>
        <v>APS-C/ Kleinbild</v>
      </c>
      <c r="N1979" t="str">
        <f>'(Raw) LensesGH'!H1979</f>
        <v>530g</v>
      </c>
      <c r="O1979" s="5">
        <f t="shared" si="277"/>
        <v>530</v>
      </c>
      <c r="P1979" t="str">
        <f>'(Raw) LensesGH'!I1979</f>
        <v>65 x 94mm</v>
      </c>
      <c r="Q1979" s="39">
        <f t="shared" si="278"/>
        <v>65</v>
      </c>
      <c r="R1979" s="39">
        <f t="shared" si="270"/>
        <v>94</v>
      </c>
    </row>
    <row r="1980" spans="1:18" x14ac:dyDescent="0.25">
      <c r="A1980" t="str">
        <f>'(Raw) LensesGH'!A1980</f>
        <v>Zeiss ZF.2 Distagon T* 35mm 1.4 für Nikon F schwarz</v>
      </c>
      <c r="B1980" t="str">
        <f>'(Raw) LensesGH'!B1980</f>
        <v>35mm</v>
      </c>
      <c r="C1980" s="5">
        <f t="shared" si="271"/>
        <v>35</v>
      </c>
      <c r="D1980" s="5">
        <f t="shared" si="272"/>
        <v>35</v>
      </c>
      <c r="E1980" t="str">
        <f>'(Raw) LensesGH'!C1980</f>
        <v>1:1.4</v>
      </c>
      <c r="F1980" s="9">
        <f t="shared" si="273"/>
        <v>1.4</v>
      </c>
      <c r="G1980" s="9">
        <f t="shared" si="274"/>
        <v>1.4</v>
      </c>
      <c r="H1980" t="str">
        <f>'(Raw) LensesGH'!D1980</f>
        <v>72mm</v>
      </c>
      <c r="I1980" s="2">
        <f t="shared" si="275"/>
        <v>72</v>
      </c>
      <c r="J1980" s="2" t="str">
        <f>'(Raw) LensesGH'!E1980</f>
        <v>1:5.00</v>
      </c>
      <c r="K1980" s="40">
        <f t="shared" si="276"/>
        <v>5</v>
      </c>
      <c r="L1980" t="str">
        <f>'(Raw) LensesGH'!F1980</f>
        <v>Nikon F</v>
      </c>
      <c r="M1980" t="str">
        <f>'(Raw) LensesGH'!G1980</f>
        <v>APS-C/ Kleinbild</v>
      </c>
      <c r="N1980" t="str">
        <f>'(Raw) LensesGH'!H1980</f>
        <v>830g</v>
      </c>
      <c r="O1980" s="5">
        <f t="shared" si="277"/>
        <v>830</v>
      </c>
      <c r="P1980" t="str">
        <f>'(Raw) LensesGH'!I1980</f>
        <v>72.7 x 120mm</v>
      </c>
      <c r="Q1980" s="39">
        <f t="shared" si="278"/>
        <v>72.7</v>
      </c>
      <c r="R1980" s="39">
        <f t="shared" si="270"/>
        <v>120</v>
      </c>
    </row>
    <row r="1981" spans="1:18" x14ac:dyDescent="0.25">
      <c r="A1981" t="str">
        <f>'(Raw) LensesGH'!A1981</f>
        <v>Zeiss ZF.2 Distagon T* 35mm 2.0 für Nikon F schwarz</v>
      </c>
      <c r="B1981" t="str">
        <f>'(Raw) LensesGH'!B1981</f>
        <v>35mm</v>
      </c>
      <c r="C1981" s="5">
        <f t="shared" si="271"/>
        <v>35</v>
      </c>
      <c r="D1981" s="5">
        <f t="shared" si="272"/>
        <v>35</v>
      </c>
      <c r="E1981" t="str">
        <f>'(Raw) LensesGH'!C1981</f>
        <v>1:2.0</v>
      </c>
      <c r="F1981" s="9">
        <f t="shared" si="273"/>
        <v>2</v>
      </c>
      <c r="G1981" s="9">
        <f t="shared" si="274"/>
        <v>2</v>
      </c>
      <c r="H1981" t="str">
        <f>'(Raw) LensesGH'!D1981</f>
        <v>58mm</v>
      </c>
      <c r="I1981" s="2">
        <f t="shared" si="275"/>
        <v>58</v>
      </c>
      <c r="J1981" s="2">
        <f>'(Raw) LensesGH'!E1981</f>
        <v>0</v>
      </c>
      <c r="K1981" s="40">
        <f t="shared" si="276"/>
        <v>0</v>
      </c>
      <c r="L1981" t="str">
        <f>'(Raw) LensesGH'!F1981</f>
        <v>Nikon F</v>
      </c>
      <c r="M1981" t="str">
        <f>'(Raw) LensesGH'!G1981</f>
        <v>APS-C/ Kleinbild</v>
      </c>
      <c r="N1981" t="str">
        <f>'(Raw) LensesGH'!H1981</f>
        <v>530g</v>
      </c>
      <c r="O1981" s="5">
        <f t="shared" si="277"/>
        <v>530</v>
      </c>
      <c r="P1981" t="str">
        <f>'(Raw) LensesGH'!I1981</f>
        <v>65 x 73mm</v>
      </c>
      <c r="Q1981" s="39">
        <f t="shared" si="278"/>
        <v>65</v>
      </c>
      <c r="R1981" s="39">
        <f t="shared" si="270"/>
        <v>73</v>
      </c>
    </row>
    <row r="1982" spans="1:18" x14ac:dyDescent="0.25">
      <c r="A1982" t="str">
        <f>'(Raw) LensesGH'!A1982</f>
        <v>Zeiss ZF.2 Makro-Planar T* 100mm 2.0 für Nikon F schwarz</v>
      </c>
      <c r="B1982" t="str">
        <f>'(Raw) LensesGH'!B1982</f>
        <v>100mm</v>
      </c>
      <c r="C1982" s="5">
        <f t="shared" si="271"/>
        <v>100</v>
      </c>
      <c r="D1982" s="5">
        <f t="shared" si="272"/>
        <v>100</v>
      </c>
      <c r="E1982" t="str">
        <f>'(Raw) LensesGH'!C1982</f>
        <v>1:2.0</v>
      </c>
      <c r="F1982" s="9">
        <f t="shared" si="273"/>
        <v>2</v>
      </c>
      <c r="G1982" s="9">
        <f t="shared" si="274"/>
        <v>2</v>
      </c>
      <c r="H1982" t="str">
        <f>'(Raw) LensesGH'!D1982</f>
        <v>67mm</v>
      </c>
      <c r="I1982" s="2">
        <f t="shared" si="275"/>
        <v>67</v>
      </c>
      <c r="J1982" s="2" t="str">
        <f>'(Raw) LensesGH'!E1982</f>
        <v>1:2.00</v>
      </c>
      <c r="K1982" s="40">
        <f t="shared" si="276"/>
        <v>2</v>
      </c>
      <c r="L1982" t="str">
        <f>'(Raw) LensesGH'!F1982</f>
        <v>Nikon F</v>
      </c>
      <c r="M1982" t="str">
        <f>'(Raw) LensesGH'!G1982</f>
        <v>APS-C/ Kleinbild</v>
      </c>
      <c r="N1982" t="str">
        <f>'(Raw) LensesGH'!H1982</f>
        <v>680g</v>
      </c>
      <c r="O1982" s="5">
        <f t="shared" si="277"/>
        <v>680</v>
      </c>
      <c r="P1982" t="str">
        <f>'(Raw) LensesGH'!I1982</f>
        <v>76 x 89mm</v>
      </c>
      <c r="Q1982" s="39">
        <f t="shared" si="278"/>
        <v>76</v>
      </c>
      <c r="R1982" s="39">
        <f t="shared" si="270"/>
        <v>89</v>
      </c>
    </row>
    <row r="1983" spans="1:18" x14ac:dyDescent="0.25">
      <c r="A1983" t="str">
        <f>'(Raw) LensesGH'!A1983</f>
        <v>Zeiss ZF.2 Milvus 100mm 2.0 Makro für Nikon F schwarz</v>
      </c>
      <c r="B1983" t="str">
        <f>'(Raw) LensesGH'!B1983</f>
        <v>100mm</v>
      </c>
      <c r="C1983" s="5">
        <f t="shared" si="271"/>
        <v>100</v>
      </c>
      <c r="D1983" s="5">
        <f t="shared" si="272"/>
        <v>100</v>
      </c>
      <c r="E1983" t="str">
        <f>'(Raw) LensesGH'!C1983</f>
        <v>1:2.0</v>
      </c>
      <c r="F1983" s="9">
        <f t="shared" si="273"/>
        <v>2</v>
      </c>
      <c r="G1983" s="9">
        <f t="shared" si="274"/>
        <v>2</v>
      </c>
      <c r="H1983" t="str">
        <f>'(Raw) LensesGH'!D1983</f>
        <v>67mm</v>
      </c>
      <c r="I1983" s="2">
        <f t="shared" si="275"/>
        <v>67</v>
      </c>
      <c r="J1983" s="2" t="str">
        <f>'(Raw) LensesGH'!E1983</f>
        <v>1:2.00</v>
      </c>
      <c r="K1983" s="40">
        <f t="shared" si="276"/>
        <v>2</v>
      </c>
      <c r="L1983" t="str">
        <f>'(Raw) LensesGH'!F1983</f>
        <v>Nikon F</v>
      </c>
      <c r="M1983" t="str">
        <f>'(Raw) LensesGH'!G1983</f>
        <v>APS-C/ Kleinbild</v>
      </c>
      <c r="N1983" t="str">
        <f>'(Raw) LensesGH'!H1983</f>
        <v>807g</v>
      </c>
      <c r="O1983" s="5">
        <f t="shared" si="277"/>
        <v>807</v>
      </c>
      <c r="P1983" t="str">
        <f>'(Raw) LensesGH'!I1983</f>
        <v>80.5 x 103mm</v>
      </c>
      <c r="Q1983" s="39">
        <f t="shared" si="278"/>
        <v>80.5</v>
      </c>
      <c r="R1983" s="39">
        <f t="shared" si="270"/>
        <v>103</v>
      </c>
    </row>
    <row r="1984" spans="1:18" x14ac:dyDescent="0.25">
      <c r="A1984" t="str">
        <f>'(Raw) LensesGH'!A1984</f>
        <v>Zeiss ZF.2 Milvus 135mm 2.0 für Nikon F schwarz</v>
      </c>
      <c r="B1984" t="str">
        <f>'(Raw) LensesGH'!B1984</f>
        <v>135mm</v>
      </c>
      <c r="C1984" s="5">
        <f t="shared" si="271"/>
        <v>135</v>
      </c>
      <c r="D1984" s="5">
        <f t="shared" si="272"/>
        <v>135</v>
      </c>
      <c r="E1984" t="str">
        <f>'(Raw) LensesGH'!C1984</f>
        <v>1:2.0</v>
      </c>
      <c r="F1984" s="9">
        <f t="shared" si="273"/>
        <v>2</v>
      </c>
      <c r="G1984" s="9">
        <f t="shared" si="274"/>
        <v>2</v>
      </c>
      <c r="H1984" t="str">
        <f>'(Raw) LensesGH'!D1984</f>
        <v>77mm</v>
      </c>
      <c r="I1984" s="2">
        <f t="shared" si="275"/>
        <v>77</v>
      </c>
      <c r="J1984" s="2" t="str">
        <f>'(Raw) LensesGH'!E1984</f>
        <v>1:4.00</v>
      </c>
      <c r="K1984" s="40">
        <f t="shared" si="276"/>
        <v>4</v>
      </c>
      <c r="L1984" t="str">
        <f>'(Raw) LensesGH'!F1984</f>
        <v>Nikon F</v>
      </c>
      <c r="M1984" t="str">
        <f>'(Raw) LensesGH'!G1984</f>
        <v>APS-C/ Kleinbild</v>
      </c>
      <c r="N1984" t="str">
        <f>'(Raw) LensesGH'!H1984</f>
        <v>1060g</v>
      </c>
      <c r="O1984" s="5">
        <f t="shared" si="277"/>
        <v>1060</v>
      </c>
      <c r="P1984" t="str">
        <f>'(Raw) LensesGH'!I1984</f>
        <v>89.7 x 114mm</v>
      </c>
      <c r="Q1984" s="39">
        <f t="shared" si="278"/>
        <v>89.7</v>
      </c>
      <c r="R1984" s="39">
        <f t="shared" si="270"/>
        <v>114</v>
      </c>
    </row>
    <row r="1985" spans="1:18" x14ac:dyDescent="0.25">
      <c r="A1985" t="str">
        <f>'(Raw) LensesGH'!A1985</f>
        <v>Zeiss ZF.2 Milvus 15mm 2.8 für Nikon F schwarz</v>
      </c>
      <c r="B1985" t="str">
        <f>'(Raw) LensesGH'!B1985</f>
        <v>15mm</v>
      </c>
      <c r="C1985" s="5">
        <f t="shared" si="271"/>
        <v>15</v>
      </c>
      <c r="D1985" s="5">
        <f t="shared" si="272"/>
        <v>15</v>
      </c>
      <c r="E1985" t="str">
        <f>'(Raw) LensesGH'!C1985</f>
        <v>1:2.8</v>
      </c>
      <c r="F1985" s="9">
        <f t="shared" si="273"/>
        <v>2.8</v>
      </c>
      <c r="G1985" s="9">
        <f t="shared" si="274"/>
        <v>2.8</v>
      </c>
      <c r="H1985" t="str">
        <f>'(Raw) LensesGH'!D1985</f>
        <v>95mm</v>
      </c>
      <c r="I1985" s="2">
        <f t="shared" si="275"/>
        <v>95</v>
      </c>
      <c r="J1985" s="2" t="str">
        <f>'(Raw) LensesGH'!E1985</f>
        <v>1:9.00</v>
      </c>
      <c r="K1985" s="40">
        <f t="shared" si="276"/>
        <v>9</v>
      </c>
      <c r="L1985" t="str">
        <f>'(Raw) LensesGH'!F1985</f>
        <v>Nikon F</v>
      </c>
      <c r="M1985" t="str">
        <f>'(Raw) LensesGH'!G1985</f>
        <v>APS-C/ Kleinbild</v>
      </c>
      <c r="N1985" t="str">
        <f>'(Raw) LensesGH'!H1985</f>
        <v>880g</v>
      </c>
      <c r="O1985" s="5">
        <f t="shared" si="277"/>
        <v>880</v>
      </c>
      <c r="P1985" t="str">
        <f>'(Raw) LensesGH'!I1985</f>
        <v>102.3 x 99mm</v>
      </c>
      <c r="Q1985" s="39">
        <f t="shared" si="278"/>
        <v>102.3</v>
      </c>
      <c r="R1985" s="39">
        <f t="shared" si="270"/>
        <v>99</v>
      </c>
    </row>
    <row r="1986" spans="1:18" x14ac:dyDescent="0.25">
      <c r="A1986" t="str">
        <f>'(Raw) LensesGH'!A1986</f>
        <v>Zeiss ZF.2 Milvus 18mm 2.8 für Nikon F schwarz</v>
      </c>
      <c r="B1986" t="str">
        <f>'(Raw) LensesGH'!B1986</f>
        <v>18mm</v>
      </c>
      <c r="C1986" s="5">
        <f t="shared" si="271"/>
        <v>18</v>
      </c>
      <c r="D1986" s="5">
        <f t="shared" si="272"/>
        <v>18</v>
      </c>
      <c r="E1986" t="str">
        <f>'(Raw) LensesGH'!C1986</f>
        <v>1:2.8</v>
      </c>
      <c r="F1986" s="9">
        <f t="shared" si="273"/>
        <v>2.8</v>
      </c>
      <c r="G1986" s="9">
        <f t="shared" si="274"/>
        <v>2.8</v>
      </c>
      <c r="H1986" t="str">
        <f>'(Raw) LensesGH'!D1986</f>
        <v>77mm</v>
      </c>
      <c r="I1986" s="2">
        <f t="shared" si="275"/>
        <v>77</v>
      </c>
      <c r="J1986" s="2" t="str">
        <f>'(Raw) LensesGH'!E1986</f>
        <v>1:7.40</v>
      </c>
      <c r="K1986" s="40">
        <f t="shared" si="276"/>
        <v>7.4</v>
      </c>
      <c r="L1986" t="str">
        <f>'(Raw) LensesGH'!F1986</f>
        <v>Nikon F</v>
      </c>
      <c r="M1986" t="str">
        <f>'(Raw) LensesGH'!G1986</f>
        <v>APS-C/ Kleinbild</v>
      </c>
      <c r="N1986" t="str">
        <f>'(Raw) LensesGH'!H1986</f>
        <v>675g</v>
      </c>
      <c r="O1986" s="5">
        <f t="shared" si="277"/>
        <v>675</v>
      </c>
      <c r="P1986" t="str">
        <f>'(Raw) LensesGH'!I1986</f>
        <v>90 x 92mm</v>
      </c>
      <c r="Q1986" s="39">
        <f t="shared" si="278"/>
        <v>90</v>
      </c>
      <c r="R1986" s="39">
        <f t="shared" ref="R1986:R2011" si="279">getSizeLength(P1986)</f>
        <v>92</v>
      </c>
    </row>
    <row r="1987" spans="1:18" x14ac:dyDescent="0.25">
      <c r="A1987" t="str">
        <f>'(Raw) LensesGH'!A1987</f>
        <v>Zeiss ZF.2 Milvus 21mm 2.8 für Nikon F schwarz</v>
      </c>
      <c r="B1987" t="str">
        <f>'(Raw) LensesGH'!B1987</f>
        <v>21mm</v>
      </c>
      <c r="C1987" s="5">
        <f t="shared" ref="C1987:C2011" si="280">getFocalLengthStart(B1987)</f>
        <v>21</v>
      </c>
      <c r="D1987" s="5">
        <f t="shared" ref="D1987:D2011" si="281">getFocalLengthEnd(B1987)</f>
        <v>21</v>
      </c>
      <c r="E1987" t="str">
        <f>'(Raw) LensesGH'!C1987</f>
        <v>1:2.8</v>
      </c>
      <c r="F1987" s="9">
        <f t="shared" ref="F1987:F2011" si="282">getApertureStart(E1987)</f>
        <v>2.8</v>
      </c>
      <c r="G1987" s="9">
        <f t="shared" ref="G1987:G2011" si="283">getApertureEnd(F1987)</f>
        <v>2.8</v>
      </c>
      <c r="H1987" t="str">
        <f>'(Raw) LensesGH'!D1987</f>
        <v>82mm</v>
      </c>
      <c r="I1987" s="2">
        <f t="shared" ref="I1987:I2011" si="284">getFiltersizeAsDouble(H1987)</f>
        <v>82</v>
      </c>
      <c r="J1987" s="2" t="str">
        <f>'(Raw) LensesGH'!E1987</f>
        <v>1:5.00</v>
      </c>
      <c r="K1987" s="40">
        <f t="shared" ref="K1987:K2011" si="285">getMagnification(J1987)</f>
        <v>5</v>
      </c>
      <c r="L1987" t="str">
        <f>'(Raw) LensesGH'!F1987</f>
        <v>Nikon F</v>
      </c>
      <c r="M1987" t="str">
        <f>'(Raw) LensesGH'!G1987</f>
        <v>APS-C/ Kleinbild</v>
      </c>
      <c r="N1987" t="str">
        <f>'(Raw) LensesGH'!H1987</f>
        <v>735g</v>
      </c>
      <c r="O1987" s="5">
        <f t="shared" ref="O1987:O2011" si="286">getWeightAsDouble(N1987)</f>
        <v>735</v>
      </c>
      <c r="P1987" t="str">
        <f>'(Raw) LensesGH'!I1987</f>
        <v>95.3 x 92.5mm</v>
      </c>
      <c r="Q1987" s="39">
        <f t="shared" ref="Q1987:Q2011" si="287">getSizeDiameter(P1987)</f>
        <v>95.3</v>
      </c>
      <c r="R1987" s="39">
        <f t="shared" si="279"/>
        <v>92.5</v>
      </c>
    </row>
    <row r="1988" spans="1:18" x14ac:dyDescent="0.25">
      <c r="A1988" t="str">
        <f>'(Raw) LensesGH'!A1988</f>
        <v>Zeiss ZF.2 Milvus 25mm 1.4 für Nikon F schwarz</v>
      </c>
      <c r="B1988" t="str">
        <f>'(Raw) LensesGH'!B1988</f>
        <v>25mm</v>
      </c>
      <c r="C1988" s="5">
        <f t="shared" si="280"/>
        <v>25</v>
      </c>
      <c r="D1988" s="5">
        <f t="shared" si="281"/>
        <v>25</v>
      </c>
      <c r="E1988" t="str">
        <f>'(Raw) LensesGH'!C1988</f>
        <v>1:1.4</v>
      </c>
      <c r="F1988" s="9">
        <f t="shared" si="282"/>
        <v>1.4</v>
      </c>
      <c r="G1988" s="9">
        <f t="shared" si="283"/>
        <v>1.4</v>
      </c>
      <c r="H1988" t="str">
        <f>'(Raw) LensesGH'!D1988</f>
        <v>82mm</v>
      </c>
      <c r="I1988" s="2">
        <f t="shared" si="284"/>
        <v>82</v>
      </c>
      <c r="J1988" s="2" t="str">
        <f>'(Raw) LensesGH'!E1988</f>
        <v>1:4.60</v>
      </c>
      <c r="K1988" s="40">
        <f t="shared" si="285"/>
        <v>4.5999999999999996</v>
      </c>
      <c r="L1988" t="str">
        <f>'(Raw) LensesGH'!F1988</f>
        <v>Nikon F</v>
      </c>
      <c r="M1988" t="str">
        <f>'(Raw) LensesGH'!G1988</f>
        <v>APS-C/ Kleinbild</v>
      </c>
      <c r="N1988" t="str">
        <f>'(Raw) LensesGH'!H1988</f>
        <v>1170g</v>
      </c>
      <c r="O1988" s="5">
        <f t="shared" si="286"/>
        <v>1170</v>
      </c>
      <c r="P1988" t="str">
        <f>'(Raw) LensesGH'!I1988</f>
        <v>95.2 x 123.3mm</v>
      </c>
      <c r="Q1988" s="39">
        <f t="shared" si="287"/>
        <v>95.2</v>
      </c>
      <c r="R1988" s="39">
        <f t="shared" si="279"/>
        <v>123.3</v>
      </c>
    </row>
    <row r="1989" spans="1:18" x14ac:dyDescent="0.25">
      <c r="A1989" t="str">
        <f>'(Raw) LensesGH'!A1989</f>
        <v>Zeiss ZF.2 Milvus 35mm 1.4 für Nikon F schwarz</v>
      </c>
      <c r="B1989" t="str">
        <f>'(Raw) LensesGH'!B1989</f>
        <v>35mm</v>
      </c>
      <c r="C1989" s="5">
        <f t="shared" si="280"/>
        <v>35</v>
      </c>
      <c r="D1989" s="5">
        <f t="shared" si="281"/>
        <v>35</v>
      </c>
      <c r="E1989" t="str">
        <f>'(Raw) LensesGH'!C1989</f>
        <v>1:1.4</v>
      </c>
      <c r="F1989" s="9">
        <f t="shared" si="282"/>
        <v>1.4</v>
      </c>
      <c r="G1989" s="9">
        <f t="shared" si="283"/>
        <v>1.4</v>
      </c>
      <c r="H1989" t="str">
        <f>'(Raw) LensesGH'!D1989</f>
        <v>72mm</v>
      </c>
      <c r="I1989" s="2">
        <f t="shared" si="284"/>
        <v>72</v>
      </c>
      <c r="J1989" s="2" t="str">
        <f>'(Raw) LensesGH'!E1989</f>
        <v>1:4.60</v>
      </c>
      <c r="K1989" s="40">
        <f t="shared" si="285"/>
        <v>4.5999999999999996</v>
      </c>
      <c r="L1989" t="str">
        <f>'(Raw) LensesGH'!F1989</f>
        <v>Nikon F</v>
      </c>
      <c r="M1989" t="str">
        <f>'(Raw) LensesGH'!G1989</f>
        <v>APS-C/ Kleinbild</v>
      </c>
      <c r="N1989" t="str">
        <f>'(Raw) LensesGH'!H1989</f>
        <v>1130g</v>
      </c>
      <c r="O1989" s="5">
        <f t="shared" si="286"/>
        <v>1130</v>
      </c>
      <c r="P1989" t="str">
        <f>'(Raw) LensesGH'!I1989</f>
        <v>84.8 x 124.8mm</v>
      </c>
      <c r="Q1989" s="39">
        <f t="shared" si="287"/>
        <v>84.8</v>
      </c>
      <c r="R1989" s="39">
        <f t="shared" si="279"/>
        <v>124.8</v>
      </c>
    </row>
    <row r="1990" spans="1:18" x14ac:dyDescent="0.25">
      <c r="A1990" t="str">
        <f>'(Raw) LensesGH'!A1990</f>
        <v>Zeiss ZF.2 Milvus 35mm 2.0 für Nikon F schwarz</v>
      </c>
      <c r="B1990" t="str">
        <f>'(Raw) LensesGH'!B1990</f>
        <v>35mm</v>
      </c>
      <c r="C1990" s="5">
        <f t="shared" si="280"/>
        <v>35</v>
      </c>
      <c r="D1990" s="5">
        <f t="shared" si="281"/>
        <v>35</v>
      </c>
      <c r="E1990" t="str">
        <f>'(Raw) LensesGH'!C1990</f>
        <v>1:2.0</v>
      </c>
      <c r="F1990" s="9">
        <f t="shared" si="282"/>
        <v>2</v>
      </c>
      <c r="G1990" s="9">
        <f t="shared" si="283"/>
        <v>2</v>
      </c>
      <c r="H1990" t="str">
        <f>'(Raw) LensesGH'!D1990</f>
        <v>58mm</v>
      </c>
      <c r="I1990" s="2">
        <f t="shared" si="284"/>
        <v>58</v>
      </c>
      <c r="J1990" s="2" t="str">
        <f>'(Raw) LensesGH'!E1990</f>
        <v>1:5.30</v>
      </c>
      <c r="K1990" s="40">
        <f t="shared" si="285"/>
        <v>5.3</v>
      </c>
      <c r="L1990" t="str">
        <f>'(Raw) LensesGH'!F1990</f>
        <v>Nikon F</v>
      </c>
      <c r="M1990" t="str">
        <f>'(Raw) LensesGH'!G1990</f>
        <v>APS-C/ Kleinbild</v>
      </c>
      <c r="N1990" t="str">
        <f>'(Raw) LensesGH'!H1990</f>
        <v>649g</v>
      </c>
      <c r="O1990" s="5">
        <f t="shared" si="286"/>
        <v>649</v>
      </c>
      <c r="P1990" t="str">
        <f>'(Raw) LensesGH'!I1990</f>
        <v>77 x 81.3mm</v>
      </c>
      <c r="Q1990" s="39">
        <f t="shared" si="287"/>
        <v>77</v>
      </c>
      <c r="R1990" s="39">
        <f t="shared" si="279"/>
        <v>81.3</v>
      </c>
    </row>
    <row r="1991" spans="1:18" x14ac:dyDescent="0.25">
      <c r="A1991" t="str">
        <f>'(Raw) LensesGH'!A1991</f>
        <v>Zeiss ZF.2 Milvus 50mm 1.4 für Nikon F schwarz</v>
      </c>
      <c r="B1991" t="str">
        <f>'(Raw) LensesGH'!B1991</f>
        <v>50mm</v>
      </c>
      <c r="C1991" s="5">
        <f t="shared" si="280"/>
        <v>50</v>
      </c>
      <c r="D1991" s="5">
        <f t="shared" si="281"/>
        <v>50</v>
      </c>
      <c r="E1991" t="str">
        <f>'(Raw) LensesGH'!C1991</f>
        <v>1:1.4</v>
      </c>
      <c r="F1991" s="9">
        <f t="shared" si="282"/>
        <v>1.4</v>
      </c>
      <c r="G1991" s="9">
        <f t="shared" si="283"/>
        <v>1.4</v>
      </c>
      <c r="H1991" t="str">
        <f>'(Raw) LensesGH'!D1991</f>
        <v>67mm</v>
      </c>
      <c r="I1991" s="2">
        <f t="shared" si="284"/>
        <v>67</v>
      </c>
      <c r="J1991" s="2" t="str">
        <f>'(Raw) LensesGH'!E1991</f>
        <v>1:6.70</v>
      </c>
      <c r="K1991" s="40">
        <f t="shared" si="285"/>
        <v>6.7</v>
      </c>
      <c r="L1991" t="str">
        <f>'(Raw) LensesGH'!F1991</f>
        <v>Nikon F</v>
      </c>
      <c r="M1991" t="str">
        <f>'(Raw) LensesGH'!G1991</f>
        <v>APS-C/ Kleinbild</v>
      </c>
      <c r="N1991" t="str">
        <f>'(Raw) LensesGH'!H1991</f>
        <v>875g</v>
      </c>
      <c r="O1991" s="5">
        <f t="shared" si="286"/>
        <v>875</v>
      </c>
      <c r="P1991" t="str">
        <f>'(Raw) LensesGH'!I1991</f>
        <v>82.9 x 94mm</v>
      </c>
      <c r="Q1991" s="39">
        <f t="shared" si="287"/>
        <v>82.9</v>
      </c>
      <c r="R1991" s="39">
        <f t="shared" si="279"/>
        <v>94</v>
      </c>
    </row>
    <row r="1992" spans="1:18" x14ac:dyDescent="0.25">
      <c r="A1992" t="str">
        <f>'(Raw) LensesGH'!A1992</f>
        <v>Zeiss ZF.2 Milvus 50mm 2.0 Makro für Nikon F schwarz</v>
      </c>
      <c r="B1992" t="str">
        <f>'(Raw) LensesGH'!B1992</f>
        <v>50mm</v>
      </c>
      <c r="C1992" s="5">
        <f t="shared" si="280"/>
        <v>50</v>
      </c>
      <c r="D1992" s="5">
        <f t="shared" si="281"/>
        <v>50</v>
      </c>
      <c r="E1992" t="str">
        <f>'(Raw) LensesGH'!C1992</f>
        <v>1:2.0</v>
      </c>
      <c r="F1992" s="9">
        <f t="shared" si="282"/>
        <v>2</v>
      </c>
      <c r="G1992" s="9">
        <f t="shared" si="283"/>
        <v>2</v>
      </c>
      <c r="H1992" t="str">
        <f>'(Raw) LensesGH'!D1992</f>
        <v>67mm</v>
      </c>
      <c r="I1992" s="2">
        <f t="shared" si="284"/>
        <v>67</v>
      </c>
      <c r="J1992" s="2" t="str">
        <f>'(Raw) LensesGH'!E1992</f>
        <v>1:2.00</v>
      </c>
      <c r="K1992" s="40">
        <f t="shared" si="285"/>
        <v>2</v>
      </c>
      <c r="L1992" t="str">
        <f>'(Raw) LensesGH'!F1992</f>
        <v>Nikon F</v>
      </c>
      <c r="M1992" t="str">
        <f>'(Raw) LensesGH'!G1992</f>
        <v>APS-C/ Kleinbild</v>
      </c>
      <c r="N1992" t="str">
        <f>'(Raw) LensesGH'!H1992</f>
        <v>660g</v>
      </c>
      <c r="O1992" s="5">
        <f t="shared" si="286"/>
        <v>660</v>
      </c>
      <c r="P1992" t="str">
        <f>'(Raw) LensesGH'!I1992</f>
        <v>80.7 x 72.8mm</v>
      </c>
      <c r="Q1992" s="39">
        <f t="shared" si="287"/>
        <v>80.7</v>
      </c>
      <c r="R1992" s="39">
        <f t="shared" si="279"/>
        <v>72.8</v>
      </c>
    </row>
    <row r="1993" spans="1:18" x14ac:dyDescent="0.25">
      <c r="A1993" t="str">
        <f>'(Raw) LensesGH'!A1993</f>
        <v>Zeiss ZF.2 Milvus 85mm 1.4 für Nikon F schwarz</v>
      </c>
      <c r="B1993" t="str">
        <f>'(Raw) LensesGH'!B1993</f>
        <v>85mm</v>
      </c>
      <c r="C1993" s="5">
        <f t="shared" si="280"/>
        <v>85</v>
      </c>
      <c r="D1993" s="5">
        <f t="shared" si="281"/>
        <v>85</v>
      </c>
      <c r="E1993" t="str">
        <f>'(Raw) LensesGH'!C1993</f>
        <v>1:1.4</v>
      </c>
      <c r="F1993" s="9">
        <f t="shared" si="282"/>
        <v>1.4</v>
      </c>
      <c r="G1993" s="9">
        <f t="shared" si="283"/>
        <v>1.4</v>
      </c>
      <c r="H1993" t="str">
        <f>'(Raw) LensesGH'!D1993</f>
        <v>77mm</v>
      </c>
      <c r="I1993" s="2">
        <f t="shared" si="284"/>
        <v>77</v>
      </c>
      <c r="J1993" s="2" t="str">
        <f>'(Raw) LensesGH'!E1993</f>
        <v>1:8.30</v>
      </c>
      <c r="K1993" s="40">
        <f t="shared" si="285"/>
        <v>8.3000000000000007</v>
      </c>
      <c r="L1993" t="str">
        <f>'(Raw) LensesGH'!F1993</f>
        <v>Nikon F</v>
      </c>
      <c r="M1993" t="str">
        <f>'(Raw) LensesGH'!G1993</f>
        <v>APS-C/ Kleinbild</v>
      </c>
      <c r="N1993" t="str">
        <f>'(Raw) LensesGH'!H1993</f>
        <v>1210g</v>
      </c>
      <c r="O1993" s="5">
        <f t="shared" si="286"/>
        <v>1210</v>
      </c>
      <c r="P1993" t="str">
        <f>'(Raw) LensesGH'!I1993</f>
        <v>90 x 110mm</v>
      </c>
      <c r="Q1993" s="39">
        <f t="shared" si="287"/>
        <v>90</v>
      </c>
      <c r="R1993" s="39">
        <f t="shared" si="279"/>
        <v>110</v>
      </c>
    </row>
    <row r="1994" spans="1:18" x14ac:dyDescent="0.25">
      <c r="A1994" t="str">
        <f>'(Raw) LensesGH'!A1994</f>
        <v>Zeiss ZF.2 Otus 28mm 1.4 für Nikon F schwarz</v>
      </c>
      <c r="B1994" t="str">
        <f>'(Raw) LensesGH'!B1994</f>
        <v>28mm</v>
      </c>
      <c r="C1994" s="5">
        <f t="shared" si="280"/>
        <v>28</v>
      </c>
      <c r="D1994" s="5">
        <f t="shared" si="281"/>
        <v>28</v>
      </c>
      <c r="E1994" t="str">
        <f>'(Raw) LensesGH'!C1994</f>
        <v>1:1.4</v>
      </c>
      <c r="F1994" s="9">
        <f t="shared" si="282"/>
        <v>1.4</v>
      </c>
      <c r="G1994" s="9">
        <f t="shared" si="283"/>
        <v>1.4</v>
      </c>
      <c r="H1994" t="str">
        <f>'(Raw) LensesGH'!D1994</f>
        <v>95mm</v>
      </c>
      <c r="I1994" s="2">
        <f t="shared" si="284"/>
        <v>95</v>
      </c>
      <c r="J1994" s="2" t="str">
        <f>'(Raw) LensesGH'!E1994</f>
        <v>1:6.25</v>
      </c>
      <c r="K1994" s="40">
        <f t="shared" si="285"/>
        <v>6.25</v>
      </c>
      <c r="L1994" t="str">
        <f>'(Raw) LensesGH'!F1994</f>
        <v>Nikon F</v>
      </c>
      <c r="M1994" t="str">
        <f>'(Raw) LensesGH'!G1994</f>
        <v>APS-C/ Kleinbild</v>
      </c>
      <c r="N1994" t="str">
        <f>'(Raw) LensesGH'!H1994</f>
        <v>1350g</v>
      </c>
      <c r="O1994" s="5">
        <f t="shared" si="286"/>
        <v>1350</v>
      </c>
      <c r="P1994" t="str">
        <f>'(Raw) LensesGH'!I1994</f>
        <v>108.9 x 127mm</v>
      </c>
      <c r="Q1994" s="39">
        <f t="shared" si="287"/>
        <v>108.9</v>
      </c>
      <c r="R1994" s="39">
        <f t="shared" si="279"/>
        <v>127</v>
      </c>
    </row>
    <row r="1995" spans="1:18" x14ac:dyDescent="0.25">
      <c r="A1995" t="str">
        <f>'(Raw) LensesGH'!A1995</f>
        <v>Zeiss ZF.2 Otus 55mm 1.4 für Nikon F schwarz</v>
      </c>
      <c r="B1995" t="str">
        <f>'(Raw) LensesGH'!B1995</f>
        <v>55mm</v>
      </c>
      <c r="C1995" s="5">
        <f t="shared" si="280"/>
        <v>55</v>
      </c>
      <c r="D1995" s="5">
        <f t="shared" si="281"/>
        <v>55</v>
      </c>
      <c r="E1995" t="str">
        <f>'(Raw) LensesGH'!C1995</f>
        <v>1:1.4</v>
      </c>
      <c r="F1995" s="9">
        <f t="shared" si="282"/>
        <v>1.4</v>
      </c>
      <c r="G1995" s="9">
        <f t="shared" si="283"/>
        <v>1.4</v>
      </c>
      <c r="H1995" t="str">
        <f>'(Raw) LensesGH'!D1995</f>
        <v>77mm</v>
      </c>
      <c r="I1995" s="2">
        <f t="shared" si="284"/>
        <v>77</v>
      </c>
      <c r="J1995" s="2" t="str">
        <f>'(Raw) LensesGH'!E1995</f>
        <v>1:6.80</v>
      </c>
      <c r="K1995" s="40">
        <f t="shared" si="285"/>
        <v>6.8</v>
      </c>
      <c r="L1995" t="str">
        <f>'(Raw) LensesGH'!F1995</f>
        <v>Nikon F</v>
      </c>
      <c r="M1995" t="str">
        <f>'(Raw) LensesGH'!G1995</f>
        <v>APS-C/ Kleinbild</v>
      </c>
      <c r="N1995" t="str">
        <f>'(Raw) LensesGH'!H1995</f>
        <v>970g</v>
      </c>
      <c r="O1995" s="5">
        <f t="shared" si="286"/>
        <v>970</v>
      </c>
      <c r="P1995" t="str">
        <f>'(Raw) LensesGH'!I1995</f>
        <v>83 x 117.5mm</v>
      </c>
      <c r="Q1995" s="39">
        <f t="shared" si="287"/>
        <v>83</v>
      </c>
      <c r="R1995" s="39">
        <f t="shared" si="279"/>
        <v>117.5</v>
      </c>
    </row>
    <row r="1996" spans="1:18" x14ac:dyDescent="0.25">
      <c r="A1996" t="str">
        <f>'(Raw) LensesGH'!A1996</f>
        <v>Zeiss ZF.2 Otus 85mm 1.4 für Nikon F schwarz</v>
      </c>
      <c r="B1996" t="str">
        <f>'(Raw) LensesGH'!B1996</f>
        <v>85mm</v>
      </c>
      <c r="C1996" s="5">
        <f t="shared" si="280"/>
        <v>85</v>
      </c>
      <c r="D1996" s="5">
        <f t="shared" si="281"/>
        <v>85</v>
      </c>
      <c r="E1996" t="str">
        <f>'(Raw) LensesGH'!C1996</f>
        <v>1:1.4</v>
      </c>
      <c r="F1996" s="9">
        <f t="shared" si="282"/>
        <v>1.4</v>
      </c>
      <c r="G1996" s="9">
        <f t="shared" si="283"/>
        <v>1.4</v>
      </c>
      <c r="H1996" t="str">
        <f>'(Raw) LensesGH'!D1996</f>
        <v>86mm</v>
      </c>
      <c r="I1996" s="2">
        <f t="shared" si="284"/>
        <v>86</v>
      </c>
      <c r="J1996" s="2" t="str">
        <f>'(Raw) LensesGH'!E1996</f>
        <v>1:7.70</v>
      </c>
      <c r="K1996" s="40">
        <f t="shared" si="285"/>
        <v>7.7</v>
      </c>
      <c r="L1996" t="str">
        <f>'(Raw) LensesGH'!F1996</f>
        <v>Nikon F</v>
      </c>
      <c r="M1996" t="str">
        <f>'(Raw) LensesGH'!G1996</f>
        <v>APS-C/ Kleinbild</v>
      </c>
      <c r="N1996" t="str">
        <f>'(Raw) LensesGH'!H1996</f>
        <v>1140g</v>
      </c>
      <c r="O1996" s="5">
        <f t="shared" si="286"/>
        <v>1140</v>
      </c>
      <c r="P1996" t="str">
        <f>'(Raw) LensesGH'!I1996</f>
        <v>101 x 113.5mm</v>
      </c>
      <c r="Q1996" s="39">
        <f t="shared" si="287"/>
        <v>101</v>
      </c>
      <c r="R1996" s="39">
        <f t="shared" si="279"/>
        <v>113.5</v>
      </c>
    </row>
    <row r="1997" spans="1:18" x14ac:dyDescent="0.25">
      <c r="A1997" t="str">
        <f>'(Raw) LensesGH'!A1997</f>
        <v>Zeiss ZF.2 Planar T* 50mm 1.4 für Nikon F schwarz</v>
      </c>
      <c r="B1997" t="str">
        <f>'(Raw) LensesGH'!B1997</f>
        <v>50mm</v>
      </c>
      <c r="C1997" s="5">
        <f t="shared" si="280"/>
        <v>50</v>
      </c>
      <c r="D1997" s="5">
        <f t="shared" si="281"/>
        <v>50</v>
      </c>
      <c r="E1997" t="str">
        <f>'(Raw) LensesGH'!C1997</f>
        <v>1:1.4</v>
      </c>
      <c r="F1997" s="9">
        <f t="shared" si="282"/>
        <v>1.4</v>
      </c>
      <c r="G1997" s="9">
        <f t="shared" si="283"/>
        <v>1.4</v>
      </c>
      <c r="H1997" t="str">
        <f>'(Raw) LensesGH'!D1997</f>
        <v>58mm</v>
      </c>
      <c r="I1997" s="2">
        <f t="shared" si="284"/>
        <v>58</v>
      </c>
      <c r="J1997" s="2">
        <f>'(Raw) LensesGH'!E1997</f>
        <v>0</v>
      </c>
      <c r="K1997" s="40">
        <f t="shared" si="285"/>
        <v>0</v>
      </c>
      <c r="L1997" t="str">
        <f>'(Raw) LensesGH'!F1997</f>
        <v>Nikon F</v>
      </c>
      <c r="M1997" t="str">
        <f>'(Raw) LensesGH'!G1997</f>
        <v>APS-C/ Kleinbild</v>
      </c>
      <c r="N1997" t="str">
        <f>'(Raw) LensesGH'!H1997</f>
        <v>350g</v>
      </c>
      <c r="O1997" s="5">
        <f t="shared" si="286"/>
        <v>350</v>
      </c>
      <c r="P1997" t="str">
        <f>'(Raw) LensesGH'!I1997</f>
        <v>66 x 69mm</v>
      </c>
      <c r="Q1997" s="39">
        <f t="shared" si="287"/>
        <v>66</v>
      </c>
      <c r="R1997" s="39">
        <f t="shared" si="279"/>
        <v>69</v>
      </c>
    </row>
    <row r="1998" spans="1:18" x14ac:dyDescent="0.25">
      <c r="A1998" t="str">
        <f>'(Raw) LensesGH'!A1998</f>
        <v>Zeiss ZF.2 Planar T* 85mm 1.4 für Nikon F schwarz</v>
      </c>
      <c r="B1998" t="str">
        <f>'(Raw) LensesGH'!B1998</f>
        <v>85mm</v>
      </c>
      <c r="C1998" s="5">
        <f t="shared" si="280"/>
        <v>85</v>
      </c>
      <c r="D1998" s="5">
        <f t="shared" si="281"/>
        <v>85</v>
      </c>
      <c r="E1998" t="str">
        <f>'(Raw) LensesGH'!C1998</f>
        <v>1:1.4</v>
      </c>
      <c r="F1998" s="9">
        <f t="shared" si="282"/>
        <v>1.4</v>
      </c>
      <c r="G1998" s="9">
        <f t="shared" si="283"/>
        <v>1.4</v>
      </c>
      <c r="H1998" t="str">
        <f>'(Raw) LensesGH'!D1998</f>
        <v>72mm</v>
      </c>
      <c r="I1998" s="2">
        <f t="shared" si="284"/>
        <v>72</v>
      </c>
      <c r="J1998" s="2">
        <f>'(Raw) LensesGH'!E1998</f>
        <v>0</v>
      </c>
      <c r="K1998" s="40">
        <f t="shared" si="285"/>
        <v>0</v>
      </c>
      <c r="L1998" t="str">
        <f>'(Raw) LensesGH'!F1998</f>
        <v>Nikon F</v>
      </c>
      <c r="M1998" t="str">
        <f>'(Raw) LensesGH'!G1998</f>
        <v>APS-C/ Kleinbild</v>
      </c>
      <c r="N1998" t="str">
        <f>'(Raw) LensesGH'!H1998</f>
        <v>570g</v>
      </c>
      <c r="O1998" s="5">
        <f t="shared" si="286"/>
        <v>570</v>
      </c>
      <c r="P1998" t="str">
        <f>'(Raw) LensesGH'!I1998</f>
        <v>77 x 62mm</v>
      </c>
      <c r="Q1998" s="39">
        <f t="shared" si="287"/>
        <v>77</v>
      </c>
      <c r="R1998" s="39">
        <f t="shared" si="279"/>
        <v>62</v>
      </c>
    </row>
    <row r="1999" spans="1:18" x14ac:dyDescent="0.25">
      <c r="A1999" t="str">
        <f>'(Raw) LensesGH'!A1999</f>
        <v>Zeiss ZM Biogon T* 21mm 2.8 schwarz</v>
      </c>
      <c r="B1999" t="str">
        <f>'(Raw) LensesGH'!B1999</f>
        <v>21mm</v>
      </c>
      <c r="C1999" s="5">
        <f t="shared" si="280"/>
        <v>21</v>
      </c>
      <c r="D1999" s="5">
        <f t="shared" si="281"/>
        <v>21</v>
      </c>
      <c r="E1999" t="str">
        <f>'(Raw) LensesGH'!C1999</f>
        <v>1:2.8</v>
      </c>
      <c r="F1999" s="9">
        <f t="shared" si="282"/>
        <v>2.8</v>
      </c>
      <c r="G1999" s="9">
        <f t="shared" si="283"/>
        <v>2.8</v>
      </c>
      <c r="H1999" t="str">
        <f>'(Raw) LensesGH'!D1999</f>
        <v>46mm</v>
      </c>
      <c r="I1999" s="2">
        <f t="shared" si="284"/>
        <v>46</v>
      </c>
      <c r="J1999" s="2" t="str">
        <f>'(Raw) LensesGH'!E1999</f>
        <v>1:21.28</v>
      </c>
      <c r="K1999" s="40">
        <f t="shared" si="285"/>
        <v>21.28</v>
      </c>
      <c r="L1999" t="str">
        <f>'(Raw) LensesGH'!F1999</f>
        <v>Leica M</v>
      </c>
      <c r="M1999" t="str">
        <f>'(Raw) LensesGH'!G1999</f>
        <v>APS-C/ Kleinbild</v>
      </c>
      <c r="N1999" t="str">
        <f>'(Raw) LensesGH'!H1999</f>
        <v>300g</v>
      </c>
      <c r="O1999" s="5">
        <f t="shared" si="286"/>
        <v>300</v>
      </c>
      <c r="P1999">
        <f>'(Raw) LensesGH'!I1999</f>
        <v>0</v>
      </c>
      <c r="Q1999" s="39">
        <f t="shared" si="287"/>
        <v>0</v>
      </c>
      <c r="R1999" s="39">
        <f t="shared" si="279"/>
        <v>0</v>
      </c>
    </row>
    <row r="2000" spans="1:18" x14ac:dyDescent="0.25">
      <c r="A2000" t="str">
        <f>'(Raw) LensesGH'!A2000</f>
        <v>Zeiss ZM Biogon T* 21mm 4.5 schwarz</v>
      </c>
      <c r="B2000" t="str">
        <f>'(Raw) LensesGH'!B2000</f>
        <v>21mm</v>
      </c>
      <c r="C2000" s="5">
        <f t="shared" si="280"/>
        <v>21</v>
      </c>
      <c r="D2000" s="5">
        <f t="shared" si="281"/>
        <v>21</v>
      </c>
      <c r="E2000" t="str">
        <f>'(Raw) LensesGH'!C2000</f>
        <v>1:4.5</v>
      </c>
      <c r="F2000" s="9">
        <f t="shared" si="282"/>
        <v>4.5</v>
      </c>
      <c r="G2000" s="9">
        <f t="shared" si="283"/>
        <v>4.5</v>
      </c>
      <c r="H2000" t="str">
        <f>'(Raw) LensesGH'!D2000</f>
        <v>46mm</v>
      </c>
      <c r="I2000" s="2">
        <f t="shared" si="284"/>
        <v>46</v>
      </c>
      <c r="J2000" s="2" t="str">
        <f>'(Raw) LensesGH'!E2000</f>
        <v>1:20.00</v>
      </c>
      <c r="K2000" s="40">
        <f t="shared" si="285"/>
        <v>20</v>
      </c>
      <c r="L2000" t="str">
        <f>'(Raw) LensesGH'!F2000</f>
        <v>Leica M</v>
      </c>
      <c r="M2000" t="str">
        <f>'(Raw) LensesGH'!G2000</f>
        <v>APS-C/ Kleinbild</v>
      </c>
      <c r="N2000" t="str">
        <f>'(Raw) LensesGH'!H2000</f>
        <v>190g</v>
      </c>
      <c r="O2000" s="5">
        <f t="shared" si="286"/>
        <v>190</v>
      </c>
      <c r="P2000">
        <f>'(Raw) LensesGH'!I2000</f>
        <v>0</v>
      </c>
      <c r="Q2000" s="39">
        <f t="shared" si="287"/>
        <v>0</v>
      </c>
      <c r="R2000" s="39">
        <f t="shared" si="279"/>
        <v>0</v>
      </c>
    </row>
    <row r="2001" spans="1:18" x14ac:dyDescent="0.25">
      <c r="A2001" t="str">
        <f>'(Raw) LensesGH'!A2001</f>
        <v>Zeiss ZM Biogon T* 25mm 2.8 schwarz</v>
      </c>
      <c r="B2001" t="str">
        <f>'(Raw) LensesGH'!B2001</f>
        <v>25mm</v>
      </c>
      <c r="C2001" s="5">
        <f t="shared" si="280"/>
        <v>25</v>
      </c>
      <c r="D2001" s="5">
        <f t="shared" si="281"/>
        <v>25</v>
      </c>
      <c r="E2001" t="str">
        <f>'(Raw) LensesGH'!C2001</f>
        <v>1:2.8</v>
      </c>
      <c r="F2001" s="9">
        <f t="shared" si="282"/>
        <v>2.8</v>
      </c>
      <c r="G2001" s="9">
        <f t="shared" si="283"/>
        <v>2.8</v>
      </c>
      <c r="H2001" t="str">
        <f>'(Raw) LensesGH'!D2001</f>
        <v>46mm</v>
      </c>
      <c r="I2001" s="2">
        <f t="shared" si="284"/>
        <v>46</v>
      </c>
      <c r="J2001" s="2" t="str">
        <f>'(Raw) LensesGH'!E2001</f>
        <v>1:1.80</v>
      </c>
      <c r="K2001" s="40">
        <f t="shared" si="285"/>
        <v>1.8</v>
      </c>
      <c r="L2001" t="str">
        <f>'(Raw) LensesGH'!F2001</f>
        <v>Leica M</v>
      </c>
      <c r="M2001" t="str">
        <f>'(Raw) LensesGH'!G2001</f>
        <v>APS-C/ Kleinbild</v>
      </c>
      <c r="N2001" t="str">
        <f>'(Raw) LensesGH'!H2001</f>
        <v>260g</v>
      </c>
      <c r="O2001" s="5">
        <f t="shared" si="286"/>
        <v>260</v>
      </c>
      <c r="P2001">
        <f>'(Raw) LensesGH'!I2001</f>
        <v>0</v>
      </c>
      <c r="Q2001" s="39">
        <f t="shared" si="287"/>
        <v>0</v>
      </c>
      <c r="R2001" s="39">
        <f t="shared" si="279"/>
        <v>0</v>
      </c>
    </row>
    <row r="2002" spans="1:18" x14ac:dyDescent="0.25">
      <c r="A2002" t="str">
        <f>'(Raw) LensesGH'!A2002</f>
        <v>Zeiss ZM Biogon T* 28mm 2.8 schwarz</v>
      </c>
      <c r="B2002" t="str">
        <f>'(Raw) LensesGH'!B2002</f>
        <v>28mm</v>
      </c>
      <c r="C2002" s="5">
        <f t="shared" si="280"/>
        <v>28</v>
      </c>
      <c r="D2002" s="5">
        <f t="shared" si="281"/>
        <v>28</v>
      </c>
      <c r="E2002" t="str">
        <f>'(Raw) LensesGH'!C2002</f>
        <v>1:2.8</v>
      </c>
      <c r="F2002" s="9">
        <f t="shared" si="282"/>
        <v>2.8</v>
      </c>
      <c r="G2002" s="9">
        <f t="shared" si="283"/>
        <v>2.8</v>
      </c>
      <c r="H2002" t="str">
        <f>'(Raw) LensesGH'!D2002</f>
        <v>46mm</v>
      </c>
      <c r="I2002" s="2">
        <f t="shared" si="284"/>
        <v>46</v>
      </c>
      <c r="J2002" s="2" t="str">
        <f>'(Raw) LensesGH'!E2002</f>
        <v>1:16.00</v>
      </c>
      <c r="K2002" s="40">
        <f t="shared" si="285"/>
        <v>16</v>
      </c>
      <c r="L2002" t="str">
        <f>'(Raw) LensesGH'!F2002</f>
        <v>Leica M</v>
      </c>
      <c r="M2002" t="str">
        <f>'(Raw) LensesGH'!G2002</f>
        <v>APS-C/ Kleinbild</v>
      </c>
      <c r="N2002" t="str">
        <f>'(Raw) LensesGH'!H2002</f>
        <v>220g</v>
      </c>
      <c r="O2002" s="5">
        <f t="shared" si="286"/>
        <v>220</v>
      </c>
      <c r="P2002">
        <f>'(Raw) LensesGH'!I2002</f>
        <v>0</v>
      </c>
      <c r="Q2002" s="39">
        <f t="shared" si="287"/>
        <v>0</v>
      </c>
      <c r="R2002" s="39">
        <f t="shared" si="279"/>
        <v>0</v>
      </c>
    </row>
    <row r="2003" spans="1:18" x14ac:dyDescent="0.25">
      <c r="A2003" t="str">
        <f>'(Raw) LensesGH'!A2003</f>
        <v>Zeiss ZM Biogon T* 35mm 2.0 schwarz</v>
      </c>
      <c r="B2003" t="str">
        <f>'(Raw) LensesGH'!B2003</f>
        <v>35mm</v>
      </c>
      <c r="C2003" s="5">
        <f t="shared" si="280"/>
        <v>35</v>
      </c>
      <c r="D2003" s="5">
        <f t="shared" si="281"/>
        <v>35</v>
      </c>
      <c r="E2003" t="str">
        <f>'(Raw) LensesGH'!C2003</f>
        <v>1:2.0</v>
      </c>
      <c r="F2003" s="9">
        <f t="shared" si="282"/>
        <v>2</v>
      </c>
      <c r="G2003" s="9">
        <f t="shared" si="283"/>
        <v>2</v>
      </c>
      <c r="H2003" t="str">
        <f>'(Raw) LensesGH'!D2003</f>
        <v>43mm</v>
      </c>
      <c r="I2003" s="2">
        <f t="shared" si="284"/>
        <v>43</v>
      </c>
      <c r="J2003" s="2" t="str">
        <f>'(Raw) LensesGH'!E2003</f>
        <v>1:18.02</v>
      </c>
      <c r="K2003" s="40">
        <f t="shared" si="285"/>
        <v>18.02</v>
      </c>
      <c r="L2003" t="str">
        <f>'(Raw) LensesGH'!F2003</f>
        <v>Leica M</v>
      </c>
      <c r="M2003" t="str">
        <f>'(Raw) LensesGH'!G2003</f>
        <v>APS-C/ Kleinbild</v>
      </c>
      <c r="N2003" t="str">
        <f>'(Raw) LensesGH'!H2003</f>
        <v>240g</v>
      </c>
      <c r="O2003" s="5">
        <f t="shared" si="286"/>
        <v>240</v>
      </c>
      <c r="P2003">
        <f>'(Raw) LensesGH'!I2003</f>
        <v>0</v>
      </c>
      <c r="Q2003" s="39">
        <f t="shared" si="287"/>
        <v>0</v>
      </c>
      <c r="R2003" s="39">
        <f t="shared" si="279"/>
        <v>0</v>
      </c>
    </row>
    <row r="2004" spans="1:18" x14ac:dyDescent="0.25">
      <c r="A2004" t="str">
        <f>'(Raw) LensesGH'!A2004</f>
        <v>Zeiss ZM C Biogon T* 35mm 2.8 schwarz</v>
      </c>
      <c r="B2004" t="str">
        <f>'(Raw) LensesGH'!B2004</f>
        <v>35mm</v>
      </c>
      <c r="C2004" s="5">
        <f t="shared" si="280"/>
        <v>35</v>
      </c>
      <c r="D2004" s="5">
        <f t="shared" si="281"/>
        <v>35</v>
      </c>
      <c r="E2004" t="str">
        <f>'(Raw) LensesGH'!C2004</f>
        <v>1:2.8</v>
      </c>
      <c r="F2004" s="9">
        <f t="shared" si="282"/>
        <v>2.8</v>
      </c>
      <c r="G2004" s="9">
        <f t="shared" si="283"/>
        <v>2.8</v>
      </c>
      <c r="H2004" t="str">
        <f>'(Raw) LensesGH'!D2004</f>
        <v>43mm</v>
      </c>
      <c r="I2004" s="2">
        <f t="shared" si="284"/>
        <v>43</v>
      </c>
      <c r="J2004" s="2" t="str">
        <f>'(Raw) LensesGH'!E2004</f>
        <v>1:17.01</v>
      </c>
      <c r="K2004" s="40">
        <f t="shared" si="285"/>
        <v>17.010000000000002</v>
      </c>
      <c r="L2004" t="str">
        <f>'(Raw) LensesGH'!F2004</f>
        <v>Leica M</v>
      </c>
      <c r="M2004" t="str">
        <f>'(Raw) LensesGH'!G2004</f>
        <v>APS-C/ Kleinbild</v>
      </c>
      <c r="N2004" t="str">
        <f>'(Raw) LensesGH'!H2004</f>
        <v>200g</v>
      </c>
      <c r="O2004" s="5">
        <f t="shared" si="286"/>
        <v>200</v>
      </c>
      <c r="P2004">
        <f>'(Raw) LensesGH'!I2004</f>
        <v>0</v>
      </c>
      <c r="Q2004" s="39">
        <f t="shared" si="287"/>
        <v>0</v>
      </c>
      <c r="R2004" s="39">
        <f t="shared" si="279"/>
        <v>0</v>
      </c>
    </row>
    <row r="2005" spans="1:18" x14ac:dyDescent="0.25">
      <c r="A2005" t="str">
        <f>'(Raw) LensesGH'!A2005</f>
        <v>Zeiss ZM C Sonnar T* 50mm 1.5 schwarz</v>
      </c>
      <c r="B2005" t="str">
        <f>'(Raw) LensesGH'!B2005</f>
        <v>50mm</v>
      </c>
      <c r="C2005" s="5">
        <f t="shared" si="280"/>
        <v>50</v>
      </c>
      <c r="D2005" s="5">
        <f t="shared" si="281"/>
        <v>50</v>
      </c>
      <c r="E2005" t="str">
        <f>'(Raw) LensesGH'!C2005</f>
        <v>1:1.5</v>
      </c>
      <c r="F2005" s="9">
        <f t="shared" si="282"/>
        <v>1.5</v>
      </c>
      <c r="G2005" s="9">
        <f t="shared" si="283"/>
        <v>1.5</v>
      </c>
      <c r="H2005" t="str">
        <f>'(Raw) LensesGH'!D2005</f>
        <v>46mm</v>
      </c>
      <c r="I2005" s="2">
        <f t="shared" si="284"/>
        <v>46</v>
      </c>
      <c r="J2005" s="2">
        <f>'(Raw) LensesGH'!E2005</f>
        <v>0</v>
      </c>
      <c r="K2005" s="40">
        <f t="shared" si="285"/>
        <v>0</v>
      </c>
      <c r="L2005" t="str">
        <f>'(Raw) LensesGH'!F2005</f>
        <v>Leica M</v>
      </c>
      <c r="M2005" t="str">
        <f>'(Raw) LensesGH'!G2005</f>
        <v>APS-C/ Kleinbild</v>
      </c>
      <c r="N2005" t="str">
        <f>'(Raw) LensesGH'!H2005</f>
        <v>250g</v>
      </c>
      <c r="O2005" s="5">
        <f t="shared" si="286"/>
        <v>250</v>
      </c>
      <c r="P2005">
        <f>'(Raw) LensesGH'!I2005</f>
        <v>0</v>
      </c>
      <c r="Q2005" s="39">
        <f t="shared" si="287"/>
        <v>0</v>
      </c>
      <c r="R2005" s="39">
        <f t="shared" si="279"/>
        <v>0</v>
      </c>
    </row>
    <row r="2006" spans="1:18" x14ac:dyDescent="0.25">
      <c r="A2006" t="str">
        <f>'(Raw) LensesGH'!A2006</f>
        <v>Zeiss ZM Distagon T* 15mm 2.8 schwarz</v>
      </c>
      <c r="B2006" t="str">
        <f>'(Raw) LensesGH'!B2006</f>
        <v>15mm</v>
      </c>
      <c r="C2006" s="5">
        <f t="shared" si="280"/>
        <v>15</v>
      </c>
      <c r="D2006" s="5">
        <f t="shared" si="281"/>
        <v>15</v>
      </c>
      <c r="E2006" t="str">
        <f>'(Raw) LensesGH'!C2006</f>
        <v>1:2.8</v>
      </c>
      <c r="F2006" s="9">
        <f t="shared" si="282"/>
        <v>2.8</v>
      </c>
      <c r="G2006" s="9">
        <f t="shared" si="283"/>
        <v>2.8</v>
      </c>
      <c r="H2006" t="str">
        <f>'(Raw) LensesGH'!D2006</f>
        <v>72mm</v>
      </c>
      <c r="I2006" s="2">
        <f t="shared" si="284"/>
        <v>72</v>
      </c>
      <c r="J2006" s="2" t="str">
        <f>'(Raw) LensesGH'!E2006</f>
        <v>1:18.18</v>
      </c>
      <c r="K2006" s="40">
        <f t="shared" si="285"/>
        <v>18.18</v>
      </c>
      <c r="L2006" t="str">
        <f>'(Raw) LensesGH'!F2006</f>
        <v>Leica M</v>
      </c>
      <c r="M2006" t="str">
        <f>'(Raw) LensesGH'!G2006</f>
        <v>APS-C/ Kleinbild</v>
      </c>
      <c r="N2006" t="str">
        <f>'(Raw) LensesGH'!H2006</f>
        <v>500g</v>
      </c>
      <c r="O2006" s="5">
        <f t="shared" si="286"/>
        <v>500</v>
      </c>
      <c r="P2006">
        <f>'(Raw) LensesGH'!I2006</f>
        <v>0</v>
      </c>
      <c r="Q2006" s="39">
        <f t="shared" si="287"/>
        <v>0</v>
      </c>
      <c r="R2006" s="39">
        <f t="shared" si="279"/>
        <v>0</v>
      </c>
    </row>
    <row r="2007" spans="1:18" x14ac:dyDescent="0.25">
      <c r="A2007" t="str">
        <f>'(Raw) LensesGH'!A2007</f>
        <v>Zeiss ZM Distagon T* 18mm 4.0 schwarz</v>
      </c>
      <c r="B2007" t="str">
        <f>'(Raw) LensesGH'!B2007</f>
        <v>18mm</v>
      </c>
      <c r="C2007" s="5">
        <f t="shared" si="280"/>
        <v>18</v>
      </c>
      <c r="D2007" s="5">
        <f t="shared" si="281"/>
        <v>18</v>
      </c>
      <c r="E2007" t="str">
        <f>'(Raw) LensesGH'!C2007</f>
        <v>1:4.0</v>
      </c>
      <c r="F2007" s="9">
        <f t="shared" si="282"/>
        <v>4</v>
      </c>
      <c r="G2007" s="9">
        <f t="shared" si="283"/>
        <v>4</v>
      </c>
      <c r="H2007" t="str">
        <f>'(Raw) LensesGH'!D2007</f>
        <v>58mm</v>
      </c>
      <c r="I2007" s="2">
        <f t="shared" si="284"/>
        <v>58</v>
      </c>
      <c r="J2007" s="2" t="str">
        <f>'(Raw) LensesGH'!E2007</f>
        <v>1:23.04</v>
      </c>
      <c r="K2007" s="40">
        <f t="shared" si="285"/>
        <v>23.04</v>
      </c>
      <c r="L2007" t="str">
        <f>'(Raw) LensesGH'!F2007</f>
        <v>Leica M</v>
      </c>
      <c r="M2007" t="str">
        <f>'(Raw) LensesGH'!G2007</f>
        <v>APS-C/ Kleinbild</v>
      </c>
      <c r="N2007" t="str">
        <f>'(Raw) LensesGH'!H2007</f>
        <v>320g</v>
      </c>
      <c r="O2007" s="5">
        <f t="shared" si="286"/>
        <v>320</v>
      </c>
      <c r="P2007">
        <f>'(Raw) LensesGH'!I2007</f>
        <v>0</v>
      </c>
      <c r="Q2007" s="39">
        <f t="shared" si="287"/>
        <v>0</v>
      </c>
      <c r="R2007" s="39">
        <f t="shared" si="279"/>
        <v>0</v>
      </c>
    </row>
    <row r="2008" spans="1:18" x14ac:dyDescent="0.25">
      <c r="A2008" t="str">
        <f>'(Raw) LensesGH'!A2008</f>
        <v>Zeiss ZM Distagon T* 35mm 1.4 schwarz</v>
      </c>
      <c r="B2008" t="str">
        <f>'(Raw) LensesGH'!B2008</f>
        <v>35mm</v>
      </c>
      <c r="C2008" s="5">
        <f t="shared" si="280"/>
        <v>35</v>
      </c>
      <c r="D2008" s="5">
        <f t="shared" si="281"/>
        <v>35</v>
      </c>
      <c r="E2008" t="str">
        <f>'(Raw) LensesGH'!C2008</f>
        <v>1:1.4</v>
      </c>
      <c r="F2008" s="9">
        <f t="shared" si="282"/>
        <v>1.4</v>
      </c>
      <c r="G2008" s="9">
        <f t="shared" si="283"/>
        <v>1.4</v>
      </c>
      <c r="H2008" t="str">
        <f>'(Raw) LensesGH'!D2008</f>
        <v>72mm</v>
      </c>
      <c r="I2008" s="2">
        <f t="shared" si="284"/>
        <v>72</v>
      </c>
      <c r="J2008" s="2" t="str">
        <f>'(Raw) LensesGH'!E2008</f>
        <v>1:16.9</v>
      </c>
      <c r="K2008" s="40">
        <f t="shared" si="285"/>
        <v>16.899999999999999</v>
      </c>
      <c r="L2008" t="str">
        <f>'(Raw) LensesGH'!F2008</f>
        <v>Leica M</v>
      </c>
      <c r="M2008" t="str">
        <f>'(Raw) LensesGH'!G2008</f>
        <v>APS-C/ Kleinbild</v>
      </c>
      <c r="N2008" t="str">
        <f>'(Raw) LensesGH'!H2008</f>
        <v>381g</v>
      </c>
      <c r="O2008" s="5">
        <f t="shared" si="286"/>
        <v>381</v>
      </c>
      <c r="P2008" t="str">
        <f>'(Raw) LensesGH'!I2008</f>
        <v>63 x 65mm</v>
      </c>
      <c r="Q2008" s="39">
        <f t="shared" si="287"/>
        <v>63</v>
      </c>
      <c r="R2008" s="39">
        <f t="shared" si="279"/>
        <v>65</v>
      </c>
    </row>
    <row r="2009" spans="1:18" x14ac:dyDescent="0.25">
      <c r="A2009" t="str">
        <f>'(Raw) LensesGH'!A2009</f>
        <v>Zeiss ZM Distagon T* 35mm 1.4 silber</v>
      </c>
      <c r="B2009" t="str">
        <f>'(Raw) LensesGH'!B2009</f>
        <v>35mm</v>
      </c>
      <c r="C2009" s="5">
        <f t="shared" si="280"/>
        <v>35</v>
      </c>
      <c r="D2009" s="5">
        <f t="shared" si="281"/>
        <v>35</v>
      </c>
      <c r="E2009" t="str">
        <f>'(Raw) LensesGH'!C2009</f>
        <v>1:1.4</v>
      </c>
      <c r="F2009" s="9">
        <f t="shared" si="282"/>
        <v>1.4</v>
      </c>
      <c r="G2009" s="9">
        <f t="shared" si="283"/>
        <v>1.4</v>
      </c>
      <c r="H2009" t="str">
        <f>'(Raw) LensesGH'!D2009</f>
        <v>72mm</v>
      </c>
      <c r="I2009" s="2">
        <f t="shared" si="284"/>
        <v>72</v>
      </c>
      <c r="J2009" s="2" t="str">
        <f>'(Raw) LensesGH'!E2009</f>
        <v>1:16.9</v>
      </c>
      <c r="K2009" s="40">
        <f t="shared" si="285"/>
        <v>16.899999999999999</v>
      </c>
      <c r="L2009" t="str">
        <f>'(Raw) LensesGH'!F2009</f>
        <v>Leica M</v>
      </c>
      <c r="M2009" t="str">
        <f>'(Raw) LensesGH'!G2009</f>
        <v>APS-C/ Kleinbild</v>
      </c>
      <c r="N2009" t="str">
        <f>'(Raw) LensesGH'!H2009</f>
        <v>381g</v>
      </c>
      <c r="O2009" s="5">
        <f t="shared" si="286"/>
        <v>381</v>
      </c>
      <c r="P2009" t="str">
        <f>'(Raw) LensesGH'!I2009</f>
        <v>63 x 65mm</v>
      </c>
      <c r="Q2009" s="39">
        <f t="shared" si="287"/>
        <v>63</v>
      </c>
      <c r="R2009" s="39">
        <f t="shared" si="279"/>
        <v>65</v>
      </c>
    </row>
    <row r="2010" spans="1:18" x14ac:dyDescent="0.25">
      <c r="A2010" t="str">
        <f>'(Raw) LensesGH'!A2010</f>
        <v>Zeiss ZM Planar T* 50mm 2.0 schwarz</v>
      </c>
      <c r="B2010" t="str">
        <f>'(Raw) LensesGH'!B2010</f>
        <v>50mm</v>
      </c>
      <c r="C2010" s="5">
        <f t="shared" si="280"/>
        <v>50</v>
      </c>
      <c r="D2010" s="5">
        <f t="shared" si="281"/>
        <v>50</v>
      </c>
      <c r="E2010" t="str">
        <f>'(Raw) LensesGH'!C2010</f>
        <v>1:2.0</v>
      </c>
      <c r="F2010" s="9">
        <f t="shared" si="282"/>
        <v>2</v>
      </c>
      <c r="G2010" s="9">
        <f t="shared" si="283"/>
        <v>2</v>
      </c>
      <c r="H2010" t="str">
        <f>'(Raw) LensesGH'!D2010</f>
        <v>43mm</v>
      </c>
      <c r="I2010" s="2">
        <f t="shared" si="284"/>
        <v>43</v>
      </c>
      <c r="J2010" s="2" t="str">
        <f>'(Raw) LensesGH'!E2010</f>
        <v>1:12.05</v>
      </c>
      <c r="K2010" s="40">
        <f t="shared" si="285"/>
        <v>12.05</v>
      </c>
      <c r="L2010" t="str">
        <f>'(Raw) LensesGH'!F2010</f>
        <v>Leica M</v>
      </c>
      <c r="M2010" t="str">
        <f>'(Raw) LensesGH'!G2010</f>
        <v>APS-C/ Kleinbild</v>
      </c>
      <c r="N2010" t="str">
        <f>'(Raw) LensesGH'!H2010</f>
        <v>210g</v>
      </c>
      <c r="O2010" s="5">
        <f t="shared" si="286"/>
        <v>210</v>
      </c>
      <c r="P2010">
        <f>'(Raw) LensesGH'!I2010</f>
        <v>0</v>
      </c>
      <c r="Q2010" s="39">
        <f t="shared" si="287"/>
        <v>0</v>
      </c>
      <c r="R2010" s="39">
        <f t="shared" si="279"/>
        <v>0</v>
      </c>
    </row>
    <row r="2011" spans="1:18" x14ac:dyDescent="0.25">
      <c r="A2011" t="str">
        <f>'(Raw) LensesGH'!A2011</f>
        <v>Zeiss ZM Tele-Tessar T* 85mm 4.0 schwarz</v>
      </c>
      <c r="B2011" t="str">
        <f>'(Raw) LensesGH'!B2011</f>
        <v>85mm</v>
      </c>
      <c r="C2011" s="5">
        <f t="shared" si="280"/>
        <v>85</v>
      </c>
      <c r="D2011" s="5">
        <f t="shared" si="281"/>
        <v>85</v>
      </c>
      <c r="E2011" t="str">
        <f>'(Raw) LensesGH'!C2011</f>
        <v>1:4.0</v>
      </c>
      <c r="F2011" s="9">
        <f t="shared" si="282"/>
        <v>4</v>
      </c>
      <c r="G2011" s="9">
        <f t="shared" si="283"/>
        <v>4</v>
      </c>
      <c r="H2011" t="str">
        <f>'(Raw) LensesGH'!D2011</f>
        <v>43mm</v>
      </c>
      <c r="I2011" s="2">
        <f t="shared" si="284"/>
        <v>43</v>
      </c>
      <c r="J2011" s="2">
        <f>'(Raw) LensesGH'!E2011</f>
        <v>0</v>
      </c>
      <c r="K2011" s="40">
        <f t="shared" si="285"/>
        <v>0</v>
      </c>
      <c r="L2011" t="str">
        <f>'(Raw) LensesGH'!F2011</f>
        <v>Leica M</v>
      </c>
      <c r="M2011" t="str">
        <f>'(Raw) LensesGH'!G2011</f>
        <v>APS-C/ Kleinbild</v>
      </c>
      <c r="N2011" t="str">
        <f>'(Raw) LensesGH'!H2011</f>
        <v>310g</v>
      </c>
      <c r="O2011" s="5">
        <f t="shared" si="286"/>
        <v>310</v>
      </c>
      <c r="P2011">
        <f>'(Raw) LensesGH'!I2011</f>
        <v>0</v>
      </c>
      <c r="Q2011" s="39">
        <f t="shared" si="287"/>
        <v>0</v>
      </c>
      <c r="R2011" s="39">
        <f t="shared" si="279"/>
        <v>0</v>
      </c>
    </row>
  </sheetData>
  <sortState ref="A2:R1748">
    <sortCondition ref="P2:P1748"/>
  </sortState>
  <hyperlinks>
    <hyperlink ref="L3" location="RawData!$L$3" display="Canon EF"/>
    <hyperlink ref="M3" location="RawData!$M$3" display="APS-C/ Kleinbild"/>
    <hyperlink ref="N3" location="RawData!$N$3" display="1360g"/>
    <hyperlink ref="L4" location="RawData!$L$4" display="Canon EF"/>
    <hyperlink ref="M4" location="RawData!$M$4" display="APS-C/ Kleinbild"/>
    <hyperlink ref="N4" location="RawData!$N$4" display="460g"/>
    <hyperlink ref="H5" location="RawData!$H$5" display="67mm"/>
    <hyperlink ref="L5" location="RawData!$L$5" display="Canon EF"/>
    <hyperlink ref="M5" location="RawData!$M$5" display="APS-C/ Kleinbild"/>
    <hyperlink ref="N5" location="RawData!$N$5" display="625g"/>
    <hyperlink ref="H6" location="RawData!$H$6" display="58mm"/>
    <hyperlink ref="L6" location="RawData!$L$6" display="Canon EF"/>
    <hyperlink ref="M6" location="RawData!$M$6" display="APS-C/ Kleinbild"/>
    <hyperlink ref="N6" location="RawData!$N$6" display="600g"/>
    <hyperlink ref="H7" location="RawData!$H$7" display="0"/>
    <hyperlink ref="L7" location="RawData!$L$7" display="Canon EF"/>
    <hyperlink ref="M7" location="RawData!$M$7" display="APS-C/ Kleinbild"/>
    <hyperlink ref="N7" location="RawData!$N$7" display="1180g"/>
    <hyperlink ref="H3" location="RawData!$H$3" display="77mm"/>
    <hyperlink ref="H4" location="RawData!$H$4" display="58mm"/>
  </hyperlinks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197" workbookViewId="0">
      <selection activeCell="I221" sqref="I221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2494</v>
      </c>
      <c r="B1" t="s">
        <v>880</v>
      </c>
      <c r="C1" t="s">
        <v>883</v>
      </c>
      <c r="D1" t="s">
        <v>2495</v>
      </c>
      <c r="E1" t="s">
        <v>898</v>
      </c>
      <c r="F1" t="s">
        <v>1</v>
      </c>
      <c r="G1" t="s">
        <v>2496</v>
      </c>
      <c r="H1" t="s">
        <v>2</v>
      </c>
      <c r="I1" t="s">
        <v>867</v>
      </c>
    </row>
    <row r="2" spans="1:9" x14ac:dyDescent="0.25">
      <c r="A2" t="s">
        <v>2507</v>
      </c>
      <c r="B2" t="s">
        <v>54</v>
      </c>
      <c r="C2" t="s">
        <v>1184</v>
      </c>
      <c r="D2" t="s">
        <v>27</v>
      </c>
      <c r="E2" t="s">
        <v>1235</v>
      </c>
      <c r="F2" t="s">
        <v>1229</v>
      </c>
      <c r="G2" t="s">
        <v>910</v>
      </c>
      <c r="H2" t="s">
        <v>810</v>
      </c>
      <c r="I2" t="s">
        <v>1652</v>
      </c>
    </row>
    <row r="3" spans="1:9" x14ac:dyDescent="0.25">
      <c r="A3" t="s">
        <v>2746</v>
      </c>
      <c r="B3" t="s">
        <v>54</v>
      </c>
      <c r="C3" t="s">
        <v>1184</v>
      </c>
      <c r="D3" t="s">
        <v>27</v>
      </c>
      <c r="E3" t="s">
        <v>1242</v>
      </c>
      <c r="F3" t="s">
        <v>1229</v>
      </c>
      <c r="G3" t="s">
        <v>910</v>
      </c>
      <c r="H3" t="s">
        <v>807</v>
      </c>
      <c r="I3" t="s">
        <v>2467</v>
      </c>
    </row>
    <row r="4" spans="1:9" x14ac:dyDescent="0.25">
      <c r="A4" t="s">
        <v>2779</v>
      </c>
      <c r="B4" t="s">
        <v>61</v>
      </c>
      <c r="C4" t="s">
        <v>1186</v>
      </c>
      <c r="D4" t="s">
        <v>91</v>
      </c>
      <c r="E4" t="s">
        <v>1252</v>
      </c>
      <c r="F4" t="s">
        <v>1229</v>
      </c>
      <c r="G4" t="s">
        <v>910</v>
      </c>
      <c r="H4" t="s">
        <v>33</v>
      </c>
      <c r="I4" t="s">
        <v>1819</v>
      </c>
    </row>
    <row r="5" spans="1:9" x14ac:dyDescent="0.25">
      <c r="A5" t="s">
        <v>2547</v>
      </c>
      <c r="B5" t="s">
        <v>61</v>
      </c>
      <c r="C5" t="s">
        <v>1180</v>
      </c>
      <c r="D5" t="s">
        <v>56</v>
      </c>
      <c r="E5" t="s">
        <v>1250</v>
      </c>
      <c r="F5" t="s">
        <v>1229</v>
      </c>
      <c r="G5" t="s">
        <v>910</v>
      </c>
      <c r="H5" t="s">
        <v>96</v>
      </c>
      <c r="I5" t="s">
        <v>1690</v>
      </c>
    </row>
    <row r="6" spans="1:9" x14ac:dyDescent="0.25">
      <c r="A6" t="s">
        <v>4297</v>
      </c>
      <c r="B6" t="s">
        <v>61</v>
      </c>
      <c r="C6" t="s">
        <v>1180</v>
      </c>
      <c r="D6" t="s">
        <v>91</v>
      </c>
      <c r="E6" t="s">
        <v>1250</v>
      </c>
      <c r="F6" t="s">
        <v>1229</v>
      </c>
      <c r="G6" t="s">
        <v>910</v>
      </c>
      <c r="H6" t="s">
        <v>123</v>
      </c>
      <c r="I6" t="s">
        <v>2424</v>
      </c>
    </row>
    <row r="7" spans="1:9" x14ac:dyDescent="0.25">
      <c r="A7" t="s">
        <v>2785</v>
      </c>
      <c r="B7" t="s">
        <v>2786</v>
      </c>
      <c r="C7" t="s">
        <v>1181</v>
      </c>
      <c r="E7" t="s">
        <v>1247</v>
      </c>
      <c r="F7" t="s">
        <v>1229</v>
      </c>
      <c r="G7" t="s">
        <v>910</v>
      </c>
      <c r="H7" t="s">
        <v>2787</v>
      </c>
      <c r="I7" t="s">
        <v>2439</v>
      </c>
    </row>
    <row r="8" spans="1:9" x14ac:dyDescent="0.25">
      <c r="A8" t="s">
        <v>4455</v>
      </c>
      <c r="B8" t="s">
        <v>148</v>
      </c>
      <c r="C8" t="s">
        <v>1186</v>
      </c>
      <c r="D8" t="s">
        <v>15</v>
      </c>
      <c r="E8" t="s">
        <v>1220</v>
      </c>
      <c r="F8" t="s">
        <v>1229</v>
      </c>
      <c r="G8" t="s">
        <v>910</v>
      </c>
      <c r="H8" t="s">
        <v>1376</v>
      </c>
      <c r="I8" t="s">
        <v>2425</v>
      </c>
    </row>
    <row r="9" spans="1:9" x14ac:dyDescent="0.25">
      <c r="A9" t="s">
        <v>3112</v>
      </c>
      <c r="B9" t="s">
        <v>148</v>
      </c>
      <c r="C9" t="s">
        <v>1180</v>
      </c>
      <c r="D9" t="s">
        <v>318</v>
      </c>
      <c r="E9" t="s">
        <v>1289</v>
      </c>
      <c r="F9" t="s">
        <v>1229</v>
      </c>
      <c r="G9" t="s">
        <v>910</v>
      </c>
      <c r="H9" t="s">
        <v>395</v>
      </c>
      <c r="I9" t="s">
        <v>1820</v>
      </c>
    </row>
    <row r="10" spans="1:9" x14ac:dyDescent="0.25">
      <c r="A10" t="s">
        <v>2784</v>
      </c>
      <c r="B10" t="s">
        <v>176</v>
      </c>
      <c r="C10" t="s">
        <v>1180</v>
      </c>
      <c r="E10" t="s">
        <v>1233</v>
      </c>
      <c r="F10" t="s">
        <v>1229</v>
      </c>
      <c r="G10" t="s">
        <v>910</v>
      </c>
      <c r="H10" t="s">
        <v>555</v>
      </c>
      <c r="I10" t="s">
        <v>2465</v>
      </c>
    </row>
    <row r="11" spans="1:9" x14ac:dyDescent="0.25">
      <c r="A11" t="s">
        <v>2595</v>
      </c>
      <c r="B11" t="s">
        <v>241</v>
      </c>
      <c r="C11" t="s">
        <v>1180</v>
      </c>
      <c r="D11" t="s">
        <v>21</v>
      </c>
      <c r="E11" t="s">
        <v>1354</v>
      </c>
      <c r="F11" t="s">
        <v>1229</v>
      </c>
      <c r="G11" t="s">
        <v>910</v>
      </c>
      <c r="H11" t="s">
        <v>834</v>
      </c>
      <c r="I11" t="s">
        <v>2459</v>
      </c>
    </row>
    <row r="12" spans="1:9" x14ac:dyDescent="0.25">
      <c r="A12" t="s">
        <v>2672</v>
      </c>
      <c r="B12" t="s">
        <v>241</v>
      </c>
      <c r="C12" t="s">
        <v>1180</v>
      </c>
      <c r="D12" t="s">
        <v>21</v>
      </c>
      <c r="E12" t="s">
        <v>1271</v>
      </c>
      <c r="F12" t="s">
        <v>1229</v>
      </c>
      <c r="G12" t="s">
        <v>910</v>
      </c>
      <c r="H12" t="s">
        <v>85</v>
      </c>
      <c r="I12" t="s">
        <v>1718</v>
      </c>
    </row>
    <row r="13" spans="1:9" x14ac:dyDescent="0.25">
      <c r="A13" t="s">
        <v>2525</v>
      </c>
      <c r="B13" t="s">
        <v>241</v>
      </c>
      <c r="C13" t="s">
        <v>1181</v>
      </c>
      <c r="D13" t="s">
        <v>27</v>
      </c>
      <c r="E13" t="s">
        <v>1222</v>
      </c>
      <c r="F13" t="s">
        <v>1229</v>
      </c>
      <c r="G13" t="s">
        <v>910</v>
      </c>
      <c r="H13" t="s">
        <v>268</v>
      </c>
      <c r="I13" t="s">
        <v>1648</v>
      </c>
    </row>
    <row r="14" spans="1:9" x14ac:dyDescent="0.25">
      <c r="A14" t="s">
        <v>4458</v>
      </c>
      <c r="B14" t="s">
        <v>4459</v>
      </c>
      <c r="C14" t="s">
        <v>1181</v>
      </c>
      <c r="D14" t="s">
        <v>27</v>
      </c>
      <c r="E14" t="s">
        <v>1224</v>
      </c>
      <c r="F14" t="s">
        <v>1229</v>
      </c>
      <c r="G14" t="s">
        <v>910</v>
      </c>
      <c r="H14" t="s">
        <v>562</v>
      </c>
      <c r="I14" t="s">
        <v>2435</v>
      </c>
    </row>
    <row r="15" spans="1:9" x14ac:dyDescent="0.25">
      <c r="A15" t="s">
        <v>4215</v>
      </c>
      <c r="B15" t="s">
        <v>398</v>
      </c>
      <c r="C15" t="s">
        <v>1197</v>
      </c>
      <c r="D15" t="s">
        <v>15</v>
      </c>
      <c r="E15" t="s">
        <v>1250</v>
      </c>
      <c r="F15" t="s">
        <v>1229</v>
      </c>
      <c r="G15" t="s">
        <v>910</v>
      </c>
      <c r="H15" t="s">
        <v>4216</v>
      </c>
      <c r="I15" t="s">
        <v>1973</v>
      </c>
    </row>
    <row r="16" spans="1:9" x14ac:dyDescent="0.25">
      <c r="A16" t="s">
        <v>4295</v>
      </c>
      <c r="B16" t="s">
        <v>417</v>
      </c>
      <c r="C16" t="s">
        <v>1181</v>
      </c>
      <c r="D16" t="s">
        <v>318</v>
      </c>
      <c r="E16" t="s">
        <v>1233</v>
      </c>
      <c r="F16" t="s">
        <v>1229</v>
      </c>
      <c r="G16" t="s">
        <v>910</v>
      </c>
      <c r="H16" t="s">
        <v>4296</v>
      </c>
      <c r="I16" t="s">
        <v>1987</v>
      </c>
    </row>
    <row r="17" spans="1:9" x14ac:dyDescent="0.25">
      <c r="A17" t="s">
        <v>4212</v>
      </c>
      <c r="B17" t="s">
        <v>432</v>
      </c>
      <c r="C17" t="s">
        <v>1186</v>
      </c>
      <c r="D17" t="s">
        <v>318</v>
      </c>
      <c r="E17" t="s">
        <v>1289</v>
      </c>
      <c r="F17" t="s">
        <v>1229</v>
      </c>
      <c r="G17" t="s">
        <v>910</v>
      </c>
      <c r="H17" t="s">
        <v>4213</v>
      </c>
      <c r="I17" t="s">
        <v>4214</v>
      </c>
    </row>
    <row r="18" spans="1:9" x14ac:dyDescent="0.25">
      <c r="A18" t="s">
        <v>4294</v>
      </c>
      <c r="B18" t="s">
        <v>432</v>
      </c>
      <c r="C18" t="s">
        <v>1180</v>
      </c>
      <c r="D18" t="s">
        <v>15</v>
      </c>
      <c r="E18" t="s">
        <v>1247</v>
      </c>
      <c r="F18" t="s">
        <v>1229</v>
      </c>
      <c r="G18" t="s">
        <v>910</v>
      </c>
      <c r="H18" t="s">
        <v>790</v>
      </c>
      <c r="I18" t="s">
        <v>1821</v>
      </c>
    </row>
    <row r="19" spans="1:9" x14ac:dyDescent="0.25">
      <c r="A19" t="s">
        <v>4368</v>
      </c>
      <c r="B19" t="s">
        <v>441</v>
      </c>
      <c r="C19" t="s">
        <v>1180</v>
      </c>
      <c r="D19" t="s">
        <v>15</v>
      </c>
      <c r="E19" t="s">
        <v>1252</v>
      </c>
      <c r="F19" t="s">
        <v>1229</v>
      </c>
      <c r="G19" t="s">
        <v>910</v>
      </c>
      <c r="H19" t="s">
        <v>321</v>
      </c>
      <c r="I19" t="s">
        <v>1974</v>
      </c>
    </row>
    <row r="20" spans="1:9" x14ac:dyDescent="0.25">
      <c r="A20" t="s">
        <v>2594</v>
      </c>
      <c r="B20" t="s">
        <v>465</v>
      </c>
      <c r="C20" t="s">
        <v>1187</v>
      </c>
      <c r="D20" t="s">
        <v>27</v>
      </c>
      <c r="E20" t="s">
        <v>1244</v>
      </c>
      <c r="F20" t="s">
        <v>1229</v>
      </c>
      <c r="G20" t="s">
        <v>910</v>
      </c>
      <c r="H20" t="s">
        <v>794</v>
      </c>
      <c r="I20" t="s">
        <v>1673</v>
      </c>
    </row>
    <row r="21" spans="1:9" x14ac:dyDescent="0.25">
      <c r="A21" t="s">
        <v>2500</v>
      </c>
      <c r="B21" t="s">
        <v>465</v>
      </c>
      <c r="C21" t="s">
        <v>1181</v>
      </c>
      <c r="D21" t="s">
        <v>27</v>
      </c>
      <c r="E21" t="s">
        <v>1224</v>
      </c>
      <c r="F21" t="s">
        <v>1229</v>
      </c>
      <c r="G21" t="s">
        <v>910</v>
      </c>
      <c r="H21" t="s">
        <v>1256</v>
      </c>
      <c r="I21" t="s">
        <v>1663</v>
      </c>
    </row>
    <row r="22" spans="1:9" x14ac:dyDescent="0.25">
      <c r="A22" t="s">
        <v>4495</v>
      </c>
      <c r="B22" t="s">
        <v>465</v>
      </c>
      <c r="C22" t="s">
        <v>1181</v>
      </c>
      <c r="D22" t="s">
        <v>27</v>
      </c>
      <c r="E22" t="s">
        <v>1264</v>
      </c>
      <c r="F22" t="s">
        <v>1229</v>
      </c>
      <c r="G22" t="s">
        <v>910</v>
      </c>
      <c r="H22" t="s">
        <v>119</v>
      </c>
      <c r="I22" t="s">
        <v>1682</v>
      </c>
    </row>
    <row r="23" spans="1:9" x14ac:dyDescent="0.25">
      <c r="A23" t="s">
        <v>2517</v>
      </c>
      <c r="B23" t="s">
        <v>479</v>
      </c>
      <c r="C23" t="s">
        <v>1180</v>
      </c>
      <c r="D23" t="s">
        <v>21</v>
      </c>
      <c r="E23" t="s">
        <v>1226</v>
      </c>
      <c r="F23" t="s">
        <v>1229</v>
      </c>
      <c r="G23" t="s">
        <v>910</v>
      </c>
      <c r="H23" t="s">
        <v>1230</v>
      </c>
      <c r="I23" t="s">
        <v>1641</v>
      </c>
    </row>
    <row r="24" spans="1:9" x14ac:dyDescent="0.25">
      <c r="A24" t="s">
        <v>2513</v>
      </c>
      <c r="B24" t="s">
        <v>479</v>
      </c>
      <c r="C24" t="s">
        <v>1181</v>
      </c>
      <c r="D24" t="s">
        <v>27</v>
      </c>
      <c r="E24" t="s">
        <v>1276</v>
      </c>
      <c r="F24" t="s">
        <v>1229</v>
      </c>
      <c r="G24" t="s">
        <v>910</v>
      </c>
      <c r="H24" t="s">
        <v>123</v>
      </c>
      <c r="I24" t="s">
        <v>1683</v>
      </c>
    </row>
    <row r="25" spans="1:9" x14ac:dyDescent="0.25">
      <c r="A25" t="s">
        <v>4219</v>
      </c>
      <c r="B25" t="s">
        <v>500</v>
      </c>
      <c r="C25" t="s">
        <v>1193</v>
      </c>
      <c r="D25" t="s">
        <v>56</v>
      </c>
      <c r="E25" t="s">
        <v>1247</v>
      </c>
      <c r="F25" t="s">
        <v>1229</v>
      </c>
      <c r="G25" t="s">
        <v>910</v>
      </c>
      <c r="H25" t="s">
        <v>825</v>
      </c>
      <c r="I25" t="s">
        <v>4220</v>
      </c>
    </row>
    <row r="26" spans="1:9" x14ac:dyDescent="0.25">
      <c r="A26" t="s">
        <v>2783</v>
      </c>
      <c r="B26" t="s">
        <v>505</v>
      </c>
      <c r="C26" t="s">
        <v>1191</v>
      </c>
      <c r="D26" t="s">
        <v>27</v>
      </c>
      <c r="E26" t="s">
        <v>1249</v>
      </c>
      <c r="F26" t="s">
        <v>1229</v>
      </c>
      <c r="G26" t="s">
        <v>910</v>
      </c>
      <c r="H26" t="s">
        <v>1385</v>
      </c>
      <c r="I26" t="s">
        <v>1862</v>
      </c>
    </row>
    <row r="27" spans="1:9" x14ac:dyDescent="0.25">
      <c r="A27" t="s">
        <v>2782</v>
      </c>
      <c r="B27" t="s">
        <v>505</v>
      </c>
      <c r="C27" t="s">
        <v>1180</v>
      </c>
      <c r="D27" t="s">
        <v>91</v>
      </c>
      <c r="E27" t="s">
        <v>1222</v>
      </c>
      <c r="F27" t="s">
        <v>1229</v>
      </c>
      <c r="G27" t="s">
        <v>910</v>
      </c>
      <c r="H27" t="s">
        <v>632</v>
      </c>
      <c r="I27" t="s">
        <v>2487</v>
      </c>
    </row>
    <row r="28" spans="1:9" x14ac:dyDescent="0.25">
      <c r="A28" t="s">
        <v>4218</v>
      </c>
      <c r="B28" t="s">
        <v>505</v>
      </c>
      <c r="C28" t="s">
        <v>1180</v>
      </c>
      <c r="D28" t="s">
        <v>91</v>
      </c>
      <c r="E28" t="s">
        <v>1247</v>
      </c>
      <c r="F28" t="s">
        <v>1229</v>
      </c>
      <c r="G28" t="s">
        <v>910</v>
      </c>
      <c r="H28" t="s">
        <v>442</v>
      </c>
      <c r="I28" t="s">
        <v>1975</v>
      </c>
    </row>
    <row r="29" spans="1:9" x14ac:dyDescent="0.25">
      <c r="A29" t="s">
        <v>4367</v>
      </c>
      <c r="B29" t="s">
        <v>2613</v>
      </c>
      <c r="C29" t="s">
        <v>1187</v>
      </c>
      <c r="D29" t="s">
        <v>15</v>
      </c>
      <c r="E29" t="s">
        <v>1220</v>
      </c>
      <c r="F29" t="s">
        <v>1229</v>
      </c>
      <c r="G29" t="s">
        <v>910</v>
      </c>
      <c r="H29" t="s">
        <v>64</v>
      </c>
      <c r="I29" t="s">
        <v>1824</v>
      </c>
    </row>
    <row r="30" spans="1:9" x14ac:dyDescent="0.25">
      <c r="A30" t="s">
        <v>4333</v>
      </c>
      <c r="B30" t="s">
        <v>535</v>
      </c>
      <c r="C30" t="s">
        <v>1187</v>
      </c>
      <c r="D30" t="s">
        <v>27</v>
      </c>
      <c r="E30" t="s">
        <v>1244</v>
      </c>
      <c r="F30" t="s">
        <v>1229</v>
      </c>
      <c r="G30" t="s">
        <v>910</v>
      </c>
      <c r="H30" t="s">
        <v>4334</v>
      </c>
      <c r="I30" t="s">
        <v>1793</v>
      </c>
    </row>
    <row r="31" spans="1:9" x14ac:dyDescent="0.25">
      <c r="A31" t="s">
        <v>4332</v>
      </c>
      <c r="B31" t="s">
        <v>552</v>
      </c>
      <c r="C31" t="s">
        <v>1183</v>
      </c>
      <c r="D31" t="s">
        <v>91</v>
      </c>
      <c r="E31" t="s">
        <v>1288</v>
      </c>
      <c r="F31" t="s">
        <v>1229</v>
      </c>
      <c r="G31" t="s">
        <v>910</v>
      </c>
      <c r="H31" t="s">
        <v>1294</v>
      </c>
      <c r="I31" t="s">
        <v>1822</v>
      </c>
    </row>
    <row r="32" spans="1:9" x14ac:dyDescent="0.25">
      <c r="A32" t="s">
        <v>2748</v>
      </c>
      <c r="B32" t="s">
        <v>552</v>
      </c>
      <c r="C32" t="s">
        <v>1180</v>
      </c>
      <c r="D32" t="s">
        <v>91</v>
      </c>
      <c r="E32" t="s">
        <v>1242</v>
      </c>
      <c r="F32" t="s">
        <v>1229</v>
      </c>
      <c r="G32" t="s">
        <v>910</v>
      </c>
      <c r="H32" t="s">
        <v>1319</v>
      </c>
      <c r="I32" t="s">
        <v>1813</v>
      </c>
    </row>
    <row r="33" spans="1:9" x14ac:dyDescent="0.25">
      <c r="A33" t="s">
        <v>4454</v>
      </c>
      <c r="B33" t="s">
        <v>572</v>
      </c>
      <c r="C33" t="s">
        <v>1180</v>
      </c>
      <c r="D33" t="s">
        <v>318</v>
      </c>
      <c r="E33" t="s">
        <v>1288</v>
      </c>
      <c r="F33" t="s">
        <v>1229</v>
      </c>
      <c r="G33" t="s">
        <v>910</v>
      </c>
      <c r="H33" t="s">
        <v>583</v>
      </c>
      <c r="I33" t="s">
        <v>1984</v>
      </c>
    </row>
    <row r="34" spans="1:9" x14ac:dyDescent="0.25">
      <c r="A34" t="s">
        <v>4293</v>
      </c>
      <c r="B34" t="s">
        <v>572</v>
      </c>
      <c r="C34" t="s">
        <v>1181</v>
      </c>
      <c r="D34" t="s">
        <v>27</v>
      </c>
      <c r="E34" t="s">
        <v>1224</v>
      </c>
      <c r="F34" t="s">
        <v>1229</v>
      </c>
      <c r="G34" t="s">
        <v>910</v>
      </c>
      <c r="H34" t="s">
        <v>2911</v>
      </c>
      <c r="I34" t="s">
        <v>1827</v>
      </c>
    </row>
    <row r="35" spans="1:9" x14ac:dyDescent="0.25">
      <c r="A35" t="s">
        <v>2593</v>
      </c>
      <c r="B35" t="s">
        <v>592</v>
      </c>
      <c r="C35" t="s">
        <v>1191</v>
      </c>
      <c r="D35" t="s">
        <v>15</v>
      </c>
      <c r="E35" t="s">
        <v>1226</v>
      </c>
      <c r="F35" t="s">
        <v>1229</v>
      </c>
      <c r="G35" t="s">
        <v>910</v>
      </c>
      <c r="H35" t="s">
        <v>399</v>
      </c>
      <c r="I35" t="s">
        <v>2455</v>
      </c>
    </row>
    <row r="36" spans="1:9" x14ac:dyDescent="0.25">
      <c r="A36" t="s">
        <v>4042</v>
      </c>
      <c r="B36" t="s">
        <v>592</v>
      </c>
      <c r="C36" t="s">
        <v>1191</v>
      </c>
      <c r="D36" t="s">
        <v>15</v>
      </c>
      <c r="E36" t="s">
        <v>1288</v>
      </c>
      <c r="F36" t="s">
        <v>1229</v>
      </c>
      <c r="G36" t="s">
        <v>910</v>
      </c>
      <c r="H36" t="s">
        <v>726</v>
      </c>
      <c r="I36" t="s">
        <v>374</v>
      </c>
    </row>
    <row r="37" spans="1:9" x14ac:dyDescent="0.25">
      <c r="A37" t="s">
        <v>2534</v>
      </c>
      <c r="B37" t="s">
        <v>592</v>
      </c>
      <c r="C37" t="s">
        <v>1186</v>
      </c>
      <c r="D37" t="s">
        <v>56</v>
      </c>
      <c r="E37" t="s">
        <v>1224</v>
      </c>
      <c r="F37" t="s">
        <v>1229</v>
      </c>
      <c r="G37" t="s">
        <v>910</v>
      </c>
      <c r="H37" t="s">
        <v>719</v>
      </c>
      <c r="I37" t="s">
        <v>1703</v>
      </c>
    </row>
    <row r="38" spans="1:9" x14ac:dyDescent="0.25">
      <c r="A38" t="s">
        <v>2744</v>
      </c>
      <c r="B38" t="s">
        <v>624</v>
      </c>
      <c r="C38" t="s">
        <v>1180</v>
      </c>
      <c r="D38" t="s">
        <v>318</v>
      </c>
      <c r="E38" t="s">
        <v>1249</v>
      </c>
      <c r="F38" t="s">
        <v>1229</v>
      </c>
      <c r="G38" t="s">
        <v>910</v>
      </c>
      <c r="H38" t="s">
        <v>2745</v>
      </c>
      <c r="I38" t="s">
        <v>1985</v>
      </c>
    </row>
    <row r="39" spans="1:9" x14ac:dyDescent="0.25">
      <c r="A39" t="s">
        <v>4210</v>
      </c>
      <c r="B39" t="s">
        <v>624</v>
      </c>
      <c r="C39" t="s">
        <v>1181</v>
      </c>
      <c r="D39" t="s">
        <v>318</v>
      </c>
      <c r="E39" t="s">
        <v>1231</v>
      </c>
      <c r="F39" t="s">
        <v>1229</v>
      </c>
      <c r="G39" t="s">
        <v>910</v>
      </c>
      <c r="H39" t="s">
        <v>4211</v>
      </c>
      <c r="I39" t="s">
        <v>2284</v>
      </c>
    </row>
    <row r="40" spans="1:9" x14ac:dyDescent="0.25">
      <c r="A40" t="s">
        <v>4209</v>
      </c>
      <c r="B40" t="s">
        <v>624</v>
      </c>
      <c r="C40" t="s">
        <v>1195</v>
      </c>
      <c r="D40" t="s">
        <v>27</v>
      </c>
      <c r="E40" t="s">
        <v>1289</v>
      </c>
      <c r="F40" t="s">
        <v>1229</v>
      </c>
      <c r="G40" t="s">
        <v>910</v>
      </c>
      <c r="H40" t="s">
        <v>3004</v>
      </c>
      <c r="I40" t="s">
        <v>2466</v>
      </c>
    </row>
    <row r="41" spans="1:9" x14ac:dyDescent="0.25">
      <c r="A41" t="s">
        <v>2747</v>
      </c>
      <c r="B41" t="s">
        <v>631</v>
      </c>
      <c r="C41" t="s">
        <v>1180</v>
      </c>
      <c r="D41" t="s">
        <v>318</v>
      </c>
      <c r="E41" t="s">
        <v>1288</v>
      </c>
      <c r="F41" t="s">
        <v>1229</v>
      </c>
      <c r="G41" t="s">
        <v>910</v>
      </c>
      <c r="H41" t="s">
        <v>1311</v>
      </c>
      <c r="I41" t="s">
        <v>1695</v>
      </c>
    </row>
    <row r="42" spans="1:9" x14ac:dyDescent="0.25">
      <c r="A42" t="s">
        <v>2742</v>
      </c>
      <c r="B42" t="s">
        <v>664</v>
      </c>
      <c r="C42" t="s">
        <v>1181</v>
      </c>
      <c r="D42" t="s">
        <v>318</v>
      </c>
      <c r="E42" t="s">
        <v>1233</v>
      </c>
      <c r="F42" t="s">
        <v>1229</v>
      </c>
      <c r="G42" t="s">
        <v>910</v>
      </c>
      <c r="H42" t="s">
        <v>2743</v>
      </c>
      <c r="I42" t="s">
        <v>2485</v>
      </c>
    </row>
    <row r="43" spans="1:9" x14ac:dyDescent="0.25">
      <c r="A43" t="s">
        <v>4427</v>
      </c>
      <c r="B43" t="s">
        <v>678</v>
      </c>
      <c r="C43" t="s">
        <v>1196</v>
      </c>
      <c r="D43" t="s">
        <v>15</v>
      </c>
      <c r="E43" t="s">
        <v>1233</v>
      </c>
      <c r="F43" t="s">
        <v>1229</v>
      </c>
      <c r="G43" t="s">
        <v>910</v>
      </c>
      <c r="H43" t="s">
        <v>726</v>
      </c>
      <c r="I43" t="s">
        <v>2430</v>
      </c>
    </row>
    <row r="44" spans="1:9" x14ac:dyDescent="0.25">
      <c r="A44" t="s">
        <v>4479</v>
      </c>
      <c r="B44" t="s">
        <v>678</v>
      </c>
      <c r="C44" t="s">
        <v>1191</v>
      </c>
      <c r="D44" t="s">
        <v>91</v>
      </c>
      <c r="E44" t="s">
        <v>1233</v>
      </c>
      <c r="F44" t="s">
        <v>1229</v>
      </c>
      <c r="G44" t="s">
        <v>910</v>
      </c>
      <c r="H44" t="s">
        <v>265</v>
      </c>
      <c r="I44" t="s">
        <v>1702</v>
      </c>
    </row>
    <row r="45" spans="1:9" x14ac:dyDescent="0.25">
      <c r="A45" t="s">
        <v>4426</v>
      </c>
      <c r="B45" t="s">
        <v>678</v>
      </c>
      <c r="C45" t="s">
        <v>1183</v>
      </c>
      <c r="D45" t="s">
        <v>318</v>
      </c>
      <c r="E45" t="s">
        <v>1233</v>
      </c>
      <c r="F45" t="s">
        <v>1229</v>
      </c>
      <c r="G45" t="s">
        <v>910</v>
      </c>
      <c r="H45" t="s">
        <v>1311</v>
      </c>
      <c r="I45" t="s">
        <v>2426</v>
      </c>
    </row>
    <row r="46" spans="1:9" x14ac:dyDescent="0.25">
      <c r="A46" t="s">
        <v>2522</v>
      </c>
      <c r="B46" t="s">
        <v>678</v>
      </c>
      <c r="C46" t="s">
        <v>1183</v>
      </c>
      <c r="D46" t="s">
        <v>1215</v>
      </c>
      <c r="E46" t="s">
        <v>1226</v>
      </c>
      <c r="F46" t="s">
        <v>1229</v>
      </c>
      <c r="G46" t="s">
        <v>910</v>
      </c>
      <c r="H46" t="s">
        <v>1241</v>
      </c>
      <c r="I46" t="s">
        <v>1650</v>
      </c>
    </row>
    <row r="47" spans="1:9" x14ac:dyDescent="0.25">
      <c r="A47" t="s">
        <v>2781</v>
      </c>
      <c r="B47" t="s">
        <v>678</v>
      </c>
      <c r="C47" t="s">
        <v>1206</v>
      </c>
      <c r="D47" t="s">
        <v>318</v>
      </c>
      <c r="E47" t="s">
        <v>1246</v>
      </c>
      <c r="F47" t="s">
        <v>1229</v>
      </c>
      <c r="G47" t="s">
        <v>910</v>
      </c>
      <c r="H47" t="s">
        <v>632</v>
      </c>
      <c r="I47" t="s">
        <v>1976</v>
      </c>
    </row>
    <row r="48" spans="1:9" x14ac:dyDescent="0.25">
      <c r="A48" t="s">
        <v>4408</v>
      </c>
      <c r="B48" t="s">
        <v>734</v>
      </c>
      <c r="C48" t="s">
        <v>1181</v>
      </c>
      <c r="D48" t="s">
        <v>318</v>
      </c>
      <c r="E48" t="s">
        <v>1233</v>
      </c>
      <c r="F48" t="s">
        <v>1229</v>
      </c>
      <c r="G48" t="s">
        <v>910</v>
      </c>
      <c r="H48" t="s">
        <v>4409</v>
      </c>
      <c r="I48" t="s">
        <v>1960</v>
      </c>
    </row>
    <row r="49" spans="1:9" x14ac:dyDescent="0.25">
      <c r="A49" t="s">
        <v>4507</v>
      </c>
      <c r="B49" t="s">
        <v>749</v>
      </c>
      <c r="C49" t="s">
        <v>1180</v>
      </c>
      <c r="D49" t="s">
        <v>27</v>
      </c>
      <c r="E49" t="s">
        <v>1226</v>
      </c>
      <c r="F49" t="s">
        <v>1229</v>
      </c>
      <c r="G49" t="s">
        <v>910</v>
      </c>
      <c r="H49" t="s">
        <v>2623</v>
      </c>
      <c r="I49" t="s">
        <v>1647</v>
      </c>
    </row>
    <row r="50" spans="1:9" x14ac:dyDescent="0.25">
      <c r="A50" t="s">
        <v>4365</v>
      </c>
      <c r="B50" t="s">
        <v>749</v>
      </c>
      <c r="C50" t="s">
        <v>1180</v>
      </c>
      <c r="D50" t="s">
        <v>27</v>
      </c>
      <c r="E50" t="s">
        <v>1247</v>
      </c>
      <c r="F50" t="s">
        <v>1229</v>
      </c>
      <c r="G50" t="s">
        <v>910</v>
      </c>
      <c r="H50" t="s">
        <v>4366</v>
      </c>
      <c r="I50" t="s">
        <v>1828</v>
      </c>
    </row>
    <row r="51" spans="1:9" x14ac:dyDescent="0.25">
      <c r="A51" t="s">
        <v>2592</v>
      </c>
      <c r="B51" t="s">
        <v>749</v>
      </c>
      <c r="C51" t="s">
        <v>1181</v>
      </c>
      <c r="D51" t="s">
        <v>56</v>
      </c>
      <c r="E51" t="s">
        <v>1240</v>
      </c>
      <c r="F51" t="s">
        <v>1229</v>
      </c>
      <c r="G51" t="s">
        <v>910</v>
      </c>
      <c r="H51" t="s">
        <v>399</v>
      </c>
      <c r="I51" t="s">
        <v>2431</v>
      </c>
    </row>
    <row r="52" spans="1:9" x14ac:dyDescent="0.25">
      <c r="A52" t="s">
        <v>4425</v>
      </c>
      <c r="B52" t="s">
        <v>749</v>
      </c>
      <c r="C52" t="s">
        <v>1181</v>
      </c>
      <c r="D52" t="s">
        <v>56</v>
      </c>
      <c r="E52" t="s">
        <v>1226</v>
      </c>
      <c r="F52" t="s">
        <v>1229</v>
      </c>
      <c r="G52" t="s">
        <v>910</v>
      </c>
      <c r="H52" t="s">
        <v>904</v>
      </c>
      <c r="I52" t="s">
        <v>2431</v>
      </c>
    </row>
    <row r="53" spans="1:9" x14ac:dyDescent="0.25">
      <c r="A53" t="s">
        <v>2533</v>
      </c>
      <c r="B53" t="s">
        <v>773</v>
      </c>
      <c r="C53" t="s">
        <v>1182</v>
      </c>
      <c r="D53" t="s">
        <v>56</v>
      </c>
      <c r="E53" t="s">
        <v>1271</v>
      </c>
      <c r="F53" t="s">
        <v>1229</v>
      </c>
      <c r="G53" t="s">
        <v>910</v>
      </c>
      <c r="H53" t="s">
        <v>370</v>
      </c>
      <c r="I53" t="s">
        <v>1717</v>
      </c>
    </row>
    <row r="54" spans="1:9" x14ac:dyDescent="0.25">
      <c r="A54" t="s">
        <v>4457</v>
      </c>
      <c r="B54" t="s">
        <v>773</v>
      </c>
      <c r="C54" t="s">
        <v>1182</v>
      </c>
      <c r="D54" t="s">
        <v>91</v>
      </c>
      <c r="E54" t="s">
        <v>1327</v>
      </c>
      <c r="F54" t="s">
        <v>1229</v>
      </c>
      <c r="G54" t="s">
        <v>910</v>
      </c>
      <c r="H54" t="s">
        <v>339</v>
      </c>
      <c r="I54" t="s">
        <v>2423</v>
      </c>
    </row>
    <row r="55" spans="1:9" x14ac:dyDescent="0.25">
      <c r="A55" t="s">
        <v>4424</v>
      </c>
      <c r="B55" t="s">
        <v>773</v>
      </c>
      <c r="C55" t="s">
        <v>1182</v>
      </c>
      <c r="D55" t="s">
        <v>56</v>
      </c>
      <c r="E55" t="s">
        <v>1226</v>
      </c>
      <c r="F55" t="s">
        <v>1229</v>
      </c>
      <c r="G55" t="s">
        <v>910</v>
      </c>
      <c r="H55" t="s">
        <v>2863</v>
      </c>
      <c r="I55" t="s">
        <v>2429</v>
      </c>
    </row>
    <row r="56" spans="1:9" x14ac:dyDescent="0.25">
      <c r="A56" t="s">
        <v>2717</v>
      </c>
      <c r="B56" t="s">
        <v>773</v>
      </c>
      <c r="C56" t="s">
        <v>1184</v>
      </c>
      <c r="D56" t="s">
        <v>91</v>
      </c>
      <c r="E56" t="s">
        <v>1220</v>
      </c>
      <c r="F56" t="s">
        <v>1229</v>
      </c>
      <c r="G56" t="s">
        <v>910</v>
      </c>
      <c r="H56" t="s">
        <v>1356</v>
      </c>
      <c r="I56" t="s">
        <v>1794</v>
      </c>
    </row>
    <row r="57" spans="1:9" x14ac:dyDescent="0.25">
      <c r="A57" t="s">
        <v>4410</v>
      </c>
      <c r="B57" t="s">
        <v>2653</v>
      </c>
      <c r="C57" t="s">
        <v>1182</v>
      </c>
      <c r="D57" t="s">
        <v>91</v>
      </c>
      <c r="E57" t="s">
        <v>1271</v>
      </c>
      <c r="F57" t="s">
        <v>1229</v>
      </c>
      <c r="G57" t="s">
        <v>910</v>
      </c>
      <c r="H57" t="s">
        <v>252</v>
      </c>
      <c r="I57" t="s">
        <v>1829</v>
      </c>
    </row>
    <row r="58" spans="1:9" x14ac:dyDescent="0.25">
      <c r="A58" t="s">
        <v>2780</v>
      </c>
      <c r="B58" t="s">
        <v>2653</v>
      </c>
      <c r="C58" t="s">
        <v>1182</v>
      </c>
      <c r="D58" t="s">
        <v>91</v>
      </c>
      <c r="E58" t="s">
        <v>1271</v>
      </c>
      <c r="F58" t="s">
        <v>1229</v>
      </c>
      <c r="G58" t="s">
        <v>910</v>
      </c>
      <c r="H58" t="s">
        <v>252</v>
      </c>
      <c r="I58" t="s">
        <v>1829</v>
      </c>
    </row>
    <row r="59" spans="1:9" x14ac:dyDescent="0.25">
      <c r="A59" t="s">
        <v>2670</v>
      </c>
      <c r="B59" t="s">
        <v>815</v>
      </c>
      <c r="C59" t="s">
        <v>1195</v>
      </c>
      <c r="D59" t="s">
        <v>318</v>
      </c>
      <c r="E59" t="s">
        <v>1252</v>
      </c>
      <c r="F59" t="s">
        <v>1229</v>
      </c>
      <c r="G59" t="s">
        <v>910</v>
      </c>
      <c r="H59" t="s">
        <v>2671</v>
      </c>
      <c r="I59" t="s">
        <v>1943</v>
      </c>
    </row>
    <row r="60" spans="1:9" x14ac:dyDescent="0.25">
      <c r="A60" t="s">
        <v>4217</v>
      </c>
      <c r="B60" t="s">
        <v>797</v>
      </c>
      <c r="C60" t="s">
        <v>1181</v>
      </c>
      <c r="E60" t="s">
        <v>1282</v>
      </c>
      <c r="F60" t="s">
        <v>1229</v>
      </c>
      <c r="G60" t="s">
        <v>910</v>
      </c>
      <c r="H60" t="s">
        <v>64</v>
      </c>
      <c r="I60" t="s">
        <v>2468</v>
      </c>
    </row>
    <row r="61" spans="1:9" x14ac:dyDescent="0.25">
      <c r="A61" t="s">
        <v>4456</v>
      </c>
      <c r="B61" t="s">
        <v>822</v>
      </c>
      <c r="C61" t="s">
        <v>1196</v>
      </c>
      <c r="D61" t="s">
        <v>15</v>
      </c>
      <c r="E61" t="s">
        <v>1238</v>
      </c>
      <c r="F61" t="s">
        <v>1229</v>
      </c>
      <c r="G61" t="s">
        <v>910</v>
      </c>
      <c r="H61" t="s">
        <v>770</v>
      </c>
      <c r="I61" t="s">
        <v>1732</v>
      </c>
    </row>
    <row r="62" spans="1:9" x14ac:dyDescent="0.25">
      <c r="A62" t="s">
        <v>4492</v>
      </c>
      <c r="B62" t="s">
        <v>822</v>
      </c>
      <c r="C62" t="s">
        <v>1191</v>
      </c>
      <c r="D62" t="s">
        <v>27</v>
      </c>
      <c r="E62" t="s">
        <v>1289</v>
      </c>
      <c r="F62" t="s">
        <v>1229</v>
      </c>
      <c r="G62" t="s">
        <v>910</v>
      </c>
      <c r="H62" t="s">
        <v>4493</v>
      </c>
      <c r="I62" t="s">
        <v>4494</v>
      </c>
    </row>
    <row r="63" spans="1:9" x14ac:dyDescent="0.25">
      <c r="A63" t="s">
        <v>4501</v>
      </c>
      <c r="B63" t="s">
        <v>822</v>
      </c>
      <c r="C63" t="s">
        <v>1183</v>
      </c>
      <c r="D63" t="s">
        <v>91</v>
      </c>
      <c r="E63" t="s">
        <v>1231</v>
      </c>
      <c r="F63" t="s">
        <v>1229</v>
      </c>
      <c r="G63" t="s">
        <v>910</v>
      </c>
      <c r="H63" t="s">
        <v>744</v>
      </c>
      <c r="I63" t="s">
        <v>1733</v>
      </c>
    </row>
    <row r="64" spans="1:9" x14ac:dyDescent="0.25">
      <c r="A64" t="s">
        <v>4423</v>
      </c>
      <c r="B64" t="s">
        <v>3941</v>
      </c>
      <c r="C64" t="s">
        <v>1182</v>
      </c>
      <c r="D64" t="s">
        <v>62</v>
      </c>
      <c r="E64" t="s">
        <v>1244</v>
      </c>
      <c r="F64" t="s">
        <v>1298</v>
      </c>
      <c r="G64" t="s">
        <v>900</v>
      </c>
      <c r="H64" t="s">
        <v>1369</v>
      </c>
      <c r="I64" t="s">
        <v>2436</v>
      </c>
    </row>
    <row r="65" spans="1:9" x14ac:dyDescent="0.25">
      <c r="A65" t="s">
        <v>2590</v>
      </c>
      <c r="B65" t="s">
        <v>2591</v>
      </c>
      <c r="C65" t="s">
        <v>1192</v>
      </c>
      <c r="D65" t="s">
        <v>1215</v>
      </c>
      <c r="E65" t="s">
        <v>1271</v>
      </c>
      <c r="F65" t="s">
        <v>1298</v>
      </c>
      <c r="G65" t="s">
        <v>900</v>
      </c>
      <c r="H65" t="s">
        <v>1311</v>
      </c>
      <c r="I65" t="s">
        <v>2480</v>
      </c>
    </row>
    <row r="66" spans="1:9" x14ac:dyDescent="0.25">
      <c r="A66" t="s">
        <v>2898</v>
      </c>
      <c r="B66" t="s">
        <v>2591</v>
      </c>
      <c r="C66" t="s">
        <v>1192</v>
      </c>
      <c r="D66" t="s">
        <v>1215</v>
      </c>
      <c r="E66" t="s">
        <v>1271</v>
      </c>
      <c r="F66" t="s">
        <v>1298</v>
      </c>
      <c r="G66" t="s">
        <v>900</v>
      </c>
      <c r="H66" t="s">
        <v>1311</v>
      </c>
      <c r="I66" t="s">
        <v>2480</v>
      </c>
    </row>
    <row r="67" spans="1:9" x14ac:dyDescent="0.25">
      <c r="A67" t="s">
        <v>2715</v>
      </c>
      <c r="B67" t="s">
        <v>2716</v>
      </c>
      <c r="C67" t="s">
        <v>1192</v>
      </c>
      <c r="D67" t="s">
        <v>62</v>
      </c>
      <c r="E67" t="s">
        <v>1226</v>
      </c>
      <c r="F67" t="s">
        <v>1298</v>
      </c>
      <c r="G67" t="s">
        <v>900</v>
      </c>
      <c r="H67" t="s">
        <v>716</v>
      </c>
      <c r="I67" t="s">
        <v>1723</v>
      </c>
    </row>
    <row r="68" spans="1:9" x14ac:dyDescent="0.25">
      <c r="A68" t="s">
        <v>2897</v>
      </c>
      <c r="B68" t="s">
        <v>2716</v>
      </c>
      <c r="C68" t="s">
        <v>1192</v>
      </c>
      <c r="D68" t="s">
        <v>62</v>
      </c>
      <c r="E68" t="s">
        <v>1226</v>
      </c>
      <c r="F68" t="s">
        <v>1298</v>
      </c>
      <c r="G68" t="s">
        <v>900</v>
      </c>
      <c r="H68" t="s">
        <v>716</v>
      </c>
      <c r="I68" t="s">
        <v>1723</v>
      </c>
    </row>
    <row r="69" spans="1:9" x14ac:dyDescent="0.25">
      <c r="A69" t="s">
        <v>4407</v>
      </c>
      <c r="B69" t="s">
        <v>378</v>
      </c>
      <c r="C69" t="s">
        <v>1187</v>
      </c>
      <c r="D69" t="s">
        <v>318</v>
      </c>
      <c r="E69" t="s">
        <v>1271</v>
      </c>
      <c r="F69" t="s">
        <v>1298</v>
      </c>
      <c r="G69" t="s">
        <v>900</v>
      </c>
      <c r="H69" t="s">
        <v>1257</v>
      </c>
      <c r="I69" t="s">
        <v>2162</v>
      </c>
    </row>
    <row r="70" spans="1:9" x14ac:dyDescent="0.25">
      <c r="A70" t="s">
        <v>2550</v>
      </c>
      <c r="B70" t="s">
        <v>1162</v>
      </c>
      <c r="C70" t="s">
        <v>1186</v>
      </c>
      <c r="D70" t="s">
        <v>934</v>
      </c>
      <c r="E70" t="s">
        <v>1226</v>
      </c>
      <c r="F70" t="s">
        <v>1298</v>
      </c>
      <c r="G70" t="s">
        <v>900</v>
      </c>
      <c r="H70" t="s">
        <v>1614</v>
      </c>
      <c r="I70" t="s">
        <v>2416</v>
      </c>
    </row>
    <row r="71" spans="1:9" x14ac:dyDescent="0.25">
      <c r="A71" t="s">
        <v>3111</v>
      </c>
      <c r="B71" t="s">
        <v>552</v>
      </c>
      <c r="C71" t="s">
        <v>1197</v>
      </c>
      <c r="D71" t="s">
        <v>934</v>
      </c>
      <c r="E71" t="s">
        <v>1625</v>
      </c>
      <c r="F71" t="s">
        <v>1298</v>
      </c>
      <c r="G71" t="s">
        <v>900</v>
      </c>
      <c r="H71" t="s">
        <v>1311</v>
      </c>
      <c r="I71" t="s">
        <v>2462</v>
      </c>
    </row>
    <row r="72" spans="1:9" x14ac:dyDescent="0.25">
      <c r="A72" t="s">
        <v>2741</v>
      </c>
      <c r="B72" t="s">
        <v>711</v>
      </c>
      <c r="C72" t="s">
        <v>1190</v>
      </c>
      <c r="D72" t="s">
        <v>318</v>
      </c>
      <c r="E72" t="s">
        <v>1226</v>
      </c>
      <c r="F72" t="s">
        <v>1298</v>
      </c>
      <c r="G72" t="s">
        <v>900</v>
      </c>
      <c r="H72" t="s">
        <v>1319</v>
      </c>
      <c r="I72" t="s">
        <v>1723</v>
      </c>
    </row>
    <row r="73" spans="1:9" x14ac:dyDescent="0.25">
      <c r="A73" t="s">
        <v>3110</v>
      </c>
      <c r="B73" t="s">
        <v>711</v>
      </c>
      <c r="C73" t="s">
        <v>1190</v>
      </c>
      <c r="D73" t="s">
        <v>318</v>
      </c>
      <c r="E73" t="s">
        <v>1226</v>
      </c>
      <c r="F73" t="s">
        <v>1298</v>
      </c>
      <c r="G73" t="s">
        <v>900</v>
      </c>
      <c r="H73" t="s">
        <v>1319</v>
      </c>
      <c r="I73" t="s">
        <v>1723</v>
      </c>
    </row>
    <row r="74" spans="1:9" x14ac:dyDescent="0.25">
      <c r="A74" t="s">
        <v>2740</v>
      </c>
      <c r="B74" t="s">
        <v>2529</v>
      </c>
      <c r="C74" t="s">
        <v>1184</v>
      </c>
      <c r="D74" t="s">
        <v>56</v>
      </c>
      <c r="E74" t="s">
        <v>1233</v>
      </c>
      <c r="F74" t="s">
        <v>1251</v>
      </c>
      <c r="G74" t="s">
        <v>900</v>
      </c>
      <c r="H74" t="s">
        <v>1279</v>
      </c>
      <c r="I74" t="s">
        <v>1691</v>
      </c>
    </row>
    <row r="75" spans="1:9" x14ac:dyDescent="0.25">
      <c r="A75" t="s">
        <v>2528</v>
      </c>
      <c r="B75" t="s">
        <v>2529</v>
      </c>
      <c r="C75" t="s">
        <v>1184</v>
      </c>
      <c r="D75" t="s">
        <v>56</v>
      </c>
      <c r="E75" t="s">
        <v>1233</v>
      </c>
      <c r="F75" t="s">
        <v>1251</v>
      </c>
      <c r="G75" t="s">
        <v>900</v>
      </c>
      <c r="H75" t="s">
        <v>1279</v>
      </c>
      <c r="I75" t="s">
        <v>1691</v>
      </c>
    </row>
    <row r="76" spans="1:9" x14ac:dyDescent="0.25">
      <c r="A76" t="s">
        <v>2588</v>
      </c>
      <c r="B76" t="s">
        <v>2589</v>
      </c>
      <c r="C76" t="s">
        <v>1193</v>
      </c>
      <c r="D76" t="s">
        <v>27</v>
      </c>
      <c r="E76" t="s">
        <v>1249</v>
      </c>
      <c r="F76" t="s">
        <v>1251</v>
      </c>
      <c r="G76" t="s">
        <v>900</v>
      </c>
      <c r="H76" t="s">
        <v>363</v>
      </c>
      <c r="I76" t="s">
        <v>1853</v>
      </c>
    </row>
    <row r="77" spans="1:9" x14ac:dyDescent="0.25">
      <c r="A77" t="s">
        <v>2586</v>
      </c>
      <c r="B77" t="s">
        <v>2587</v>
      </c>
      <c r="C77" t="s">
        <v>1187</v>
      </c>
      <c r="D77" t="s">
        <v>15</v>
      </c>
      <c r="E77" t="s">
        <v>1226</v>
      </c>
      <c r="F77" t="s">
        <v>1251</v>
      </c>
      <c r="G77" t="s">
        <v>900</v>
      </c>
      <c r="H77" t="s">
        <v>472</v>
      </c>
      <c r="I77" t="s">
        <v>1735</v>
      </c>
    </row>
    <row r="78" spans="1:9" x14ac:dyDescent="0.25">
      <c r="A78" t="s">
        <v>4422</v>
      </c>
      <c r="B78" t="s">
        <v>286</v>
      </c>
      <c r="C78" t="s">
        <v>1180</v>
      </c>
      <c r="D78" t="s">
        <v>27</v>
      </c>
      <c r="E78" t="s">
        <v>1249</v>
      </c>
      <c r="F78" t="s">
        <v>1251</v>
      </c>
      <c r="G78" t="s">
        <v>900</v>
      </c>
      <c r="H78" t="s">
        <v>555</v>
      </c>
      <c r="I78" t="s">
        <v>1736</v>
      </c>
    </row>
    <row r="79" spans="1:9" x14ac:dyDescent="0.25">
      <c r="A79" t="s">
        <v>2713</v>
      </c>
      <c r="B79" t="s">
        <v>2714</v>
      </c>
      <c r="C79" t="s">
        <v>1182</v>
      </c>
      <c r="D79" t="s">
        <v>56</v>
      </c>
      <c r="E79" t="s">
        <v>1242</v>
      </c>
      <c r="F79" t="s">
        <v>1251</v>
      </c>
      <c r="G79" t="s">
        <v>900</v>
      </c>
      <c r="H79" t="s">
        <v>100</v>
      </c>
      <c r="I79" t="s">
        <v>1854</v>
      </c>
    </row>
    <row r="80" spans="1:9" x14ac:dyDescent="0.25">
      <c r="A80" t="s">
        <v>2896</v>
      </c>
      <c r="B80" t="s">
        <v>2777</v>
      </c>
      <c r="C80" t="s">
        <v>1187</v>
      </c>
      <c r="D80" t="s">
        <v>56</v>
      </c>
      <c r="E80" t="s">
        <v>1226</v>
      </c>
      <c r="F80" t="s">
        <v>1251</v>
      </c>
      <c r="G80" t="s">
        <v>900</v>
      </c>
      <c r="H80" t="s">
        <v>297</v>
      </c>
      <c r="I80" t="s">
        <v>1883</v>
      </c>
    </row>
    <row r="81" spans="1:9" x14ac:dyDescent="0.25">
      <c r="A81" t="s">
        <v>4292</v>
      </c>
      <c r="B81" t="s">
        <v>2777</v>
      </c>
      <c r="C81" t="s">
        <v>1187</v>
      </c>
      <c r="D81" t="s">
        <v>56</v>
      </c>
      <c r="E81" t="s">
        <v>1253</v>
      </c>
      <c r="F81" t="s">
        <v>1251</v>
      </c>
      <c r="G81" t="s">
        <v>900</v>
      </c>
      <c r="H81" t="s">
        <v>252</v>
      </c>
      <c r="I81" t="s">
        <v>1704</v>
      </c>
    </row>
    <row r="82" spans="1:9" x14ac:dyDescent="0.25">
      <c r="A82" t="s">
        <v>4421</v>
      </c>
      <c r="B82" t="s">
        <v>2777</v>
      </c>
      <c r="C82" t="s">
        <v>1187</v>
      </c>
      <c r="D82" t="s">
        <v>56</v>
      </c>
      <c r="E82" t="s">
        <v>1253</v>
      </c>
      <c r="F82" t="s">
        <v>1251</v>
      </c>
      <c r="G82" t="s">
        <v>900</v>
      </c>
      <c r="H82" t="s">
        <v>252</v>
      </c>
      <c r="I82" t="s">
        <v>1704</v>
      </c>
    </row>
    <row r="83" spans="1:9" x14ac:dyDescent="0.25">
      <c r="A83" t="s">
        <v>4491</v>
      </c>
      <c r="B83" t="s">
        <v>2777</v>
      </c>
      <c r="C83" t="s">
        <v>1187</v>
      </c>
      <c r="D83" t="s">
        <v>56</v>
      </c>
      <c r="E83" t="s">
        <v>1253</v>
      </c>
      <c r="F83" t="s">
        <v>1251</v>
      </c>
      <c r="G83" t="s">
        <v>900</v>
      </c>
      <c r="H83" t="s">
        <v>1254</v>
      </c>
      <c r="I83" t="s">
        <v>1660</v>
      </c>
    </row>
    <row r="84" spans="1:9" x14ac:dyDescent="0.25">
      <c r="A84" t="s">
        <v>2585</v>
      </c>
      <c r="B84" t="s">
        <v>315</v>
      </c>
      <c r="C84" t="s">
        <v>1187</v>
      </c>
      <c r="D84" t="s">
        <v>15</v>
      </c>
      <c r="E84" t="s">
        <v>1224</v>
      </c>
      <c r="F84" t="s">
        <v>1251</v>
      </c>
      <c r="G84" t="s">
        <v>900</v>
      </c>
      <c r="H84" t="s">
        <v>123</v>
      </c>
      <c r="I84" t="s">
        <v>357</v>
      </c>
    </row>
    <row r="85" spans="1:9" x14ac:dyDescent="0.25">
      <c r="A85" t="s">
        <v>2895</v>
      </c>
      <c r="B85" t="s">
        <v>378</v>
      </c>
      <c r="C85" t="s">
        <v>1187</v>
      </c>
      <c r="D85" t="s">
        <v>91</v>
      </c>
      <c r="E85" t="s">
        <v>1282</v>
      </c>
      <c r="F85" t="s">
        <v>1251</v>
      </c>
      <c r="G85" t="s">
        <v>900</v>
      </c>
      <c r="H85" t="s">
        <v>597</v>
      </c>
      <c r="I85" t="s">
        <v>1802</v>
      </c>
    </row>
    <row r="86" spans="1:9" x14ac:dyDescent="0.25">
      <c r="A86" t="s">
        <v>3109</v>
      </c>
      <c r="B86" t="s">
        <v>378</v>
      </c>
      <c r="C86" t="s">
        <v>1187</v>
      </c>
      <c r="D86" t="s">
        <v>91</v>
      </c>
      <c r="E86" t="s">
        <v>1282</v>
      </c>
      <c r="F86" t="s">
        <v>1251</v>
      </c>
      <c r="G86" t="s">
        <v>900</v>
      </c>
      <c r="H86" t="s">
        <v>597</v>
      </c>
      <c r="I86" t="s">
        <v>1802</v>
      </c>
    </row>
    <row r="87" spans="1:9" x14ac:dyDescent="0.25">
      <c r="A87" t="s">
        <v>2549</v>
      </c>
      <c r="B87" t="s">
        <v>378</v>
      </c>
      <c r="C87" t="s">
        <v>1187</v>
      </c>
      <c r="D87" t="s">
        <v>91</v>
      </c>
      <c r="E87" t="s">
        <v>1424</v>
      </c>
      <c r="F87" t="s">
        <v>1251</v>
      </c>
      <c r="G87" t="s">
        <v>900</v>
      </c>
      <c r="H87" t="s">
        <v>383</v>
      </c>
      <c r="I87" t="s">
        <v>2411</v>
      </c>
    </row>
    <row r="88" spans="1:9" x14ac:dyDescent="0.25">
      <c r="A88" t="s">
        <v>940</v>
      </c>
      <c r="B88" t="s">
        <v>378</v>
      </c>
      <c r="C88" t="s">
        <v>1187</v>
      </c>
      <c r="D88" t="s">
        <v>91</v>
      </c>
      <c r="E88" t="s">
        <v>1226</v>
      </c>
      <c r="F88" t="s">
        <v>1251</v>
      </c>
      <c r="G88" t="s">
        <v>900</v>
      </c>
      <c r="H88" t="s">
        <v>689</v>
      </c>
      <c r="I88" t="s">
        <v>1855</v>
      </c>
    </row>
    <row r="89" spans="1:9" x14ac:dyDescent="0.25">
      <c r="A89" t="s">
        <v>2575</v>
      </c>
      <c r="B89" t="s">
        <v>378</v>
      </c>
      <c r="C89" t="s">
        <v>1182</v>
      </c>
      <c r="D89" t="s">
        <v>91</v>
      </c>
      <c r="E89" t="s">
        <v>1271</v>
      </c>
      <c r="F89" t="s">
        <v>1251</v>
      </c>
      <c r="G89" t="s">
        <v>900</v>
      </c>
      <c r="H89" t="s">
        <v>1422</v>
      </c>
      <c r="I89" t="s">
        <v>2456</v>
      </c>
    </row>
    <row r="90" spans="1:9" x14ac:dyDescent="0.25">
      <c r="A90" t="s">
        <v>4453</v>
      </c>
      <c r="B90" t="s">
        <v>505</v>
      </c>
      <c r="C90" t="s">
        <v>1180</v>
      </c>
      <c r="D90" t="s">
        <v>318</v>
      </c>
      <c r="F90" t="s">
        <v>1251</v>
      </c>
      <c r="G90" t="s">
        <v>900</v>
      </c>
      <c r="H90" t="s">
        <v>1255</v>
      </c>
      <c r="I90" t="s">
        <v>1695</v>
      </c>
    </row>
    <row r="91" spans="1:9" x14ac:dyDescent="0.25">
      <c r="A91" t="s">
        <v>4478</v>
      </c>
      <c r="B91" t="s">
        <v>592</v>
      </c>
      <c r="C91" t="s">
        <v>1180</v>
      </c>
      <c r="D91" t="s">
        <v>1215</v>
      </c>
      <c r="E91" t="s">
        <v>1250</v>
      </c>
      <c r="F91" t="s">
        <v>1251</v>
      </c>
      <c r="G91" t="s">
        <v>900</v>
      </c>
      <c r="H91" t="s">
        <v>689</v>
      </c>
      <c r="I91" t="s">
        <v>1656</v>
      </c>
    </row>
    <row r="92" spans="1:9" x14ac:dyDescent="0.25">
      <c r="A92" t="s">
        <v>4406</v>
      </c>
      <c r="B92" t="s">
        <v>2555</v>
      </c>
      <c r="C92" t="s">
        <v>1182</v>
      </c>
      <c r="D92" t="s">
        <v>91</v>
      </c>
      <c r="E92" t="s">
        <v>1235</v>
      </c>
      <c r="F92" t="s">
        <v>1251</v>
      </c>
      <c r="G92" t="s">
        <v>900</v>
      </c>
      <c r="H92" t="s">
        <v>395</v>
      </c>
      <c r="I92" t="s">
        <v>1803</v>
      </c>
    </row>
    <row r="93" spans="1:9" x14ac:dyDescent="0.25">
      <c r="A93" t="s">
        <v>2712</v>
      </c>
      <c r="B93" t="s">
        <v>2555</v>
      </c>
      <c r="C93" t="s">
        <v>1182</v>
      </c>
      <c r="D93" t="s">
        <v>91</v>
      </c>
      <c r="E93" t="s">
        <v>1235</v>
      </c>
      <c r="F93" t="s">
        <v>1251</v>
      </c>
      <c r="G93" t="s">
        <v>900</v>
      </c>
      <c r="H93" t="s">
        <v>395</v>
      </c>
      <c r="I93" t="s">
        <v>1803</v>
      </c>
    </row>
    <row r="94" spans="1:9" x14ac:dyDescent="0.25">
      <c r="A94" t="s">
        <v>2894</v>
      </c>
      <c r="B94" t="s">
        <v>2555</v>
      </c>
      <c r="C94" t="s">
        <v>1182</v>
      </c>
      <c r="D94" t="s">
        <v>91</v>
      </c>
      <c r="E94" t="s">
        <v>1284</v>
      </c>
      <c r="F94" t="s">
        <v>1251</v>
      </c>
      <c r="G94" t="s">
        <v>900</v>
      </c>
      <c r="H94" t="s">
        <v>1285</v>
      </c>
      <c r="I94" t="s">
        <v>1701</v>
      </c>
    </row>
    <row r="95" spans="1:9" x14ac:dyDescent="0.25">
      <c r="A95" t="s">
        <v>2554</v>
      </c>
      <c r="B95" t="s">
        <v>2555</v>
      </c>
      <c r="C95" t="s">
        <v>1182</v>
      </c>
      <c r="D95" t="s">
        <v>91</v>
      </c>
      <c r="E95" t="s">
        <v>1284</v>
      </c>
      <c r="F95" t="s">
        <v>1251</v>
      </c>
      <c r="G95" t="s">
        <v>900</v>
      </c>
      <c r="H95" t="s">
        <v>1285</v>
      </c>
      <c r="I95" t="s">
        <v>1701</v>
      </c>
    </row>
    <row r="96" spans="1:9" x14ac:dyDescent="0.25">
      <c r="A96" t="s">
        <v>2584</v>
      </c>
      <c r="B96" t="s">
        <v>741</v>
      </c>
      <c r="C96" t="s">
        <v>1180</v>
      </c>
      <c r="D96" t="s">
        <v>318</v>
      </c>
      <c r="E96" t="s">
        <v>1250</v>
      </c>
      <c r="F96" t="s">
        <v>1251</v>
      </c>
      <c r="G96" t="s">
        <v>900</v>
      </c>
      <c r="H96" t="s">
        <v>719</v>
      </c>
      <c r="I96" t="s">
        <v>2473</v>
      </c>
    </row>
    <row r="97" spans="1:9" x14ac:dyDescent="0.25">
      <c r="A97" t="s">
        <v>2711</v>
      </c>
      <c r="B97" t="s">
        <v>936</v>
      </c>
      <c r="C97" t="s">
        <v>1180</v>
      </c>
      <c r="D97" t="s">
        <v>91</v>
      </c>
      <c r="E97" t="s">
        <v>1372</v>
      </c>
      <c r="F97" t="s">
        <v>1229</v>
      </c>
      <c r="G97" t="s">
        <v>910</v>
      </c>
      <c r="H97" t="s">
        <v>513</v>
      </c>
      <c r="I97" t="s">
        <v>1830</v>
      </c>
    </row>
    <row r="98" spans="1:9" x14ac:dyDescent="0.25">
      <c r="A98" t="s">
        <v>1070</v>
      </c>
      <c r="B98" t="s">
        <v>148</v>
      </c>
      <c r="C98" t="s">
        <v>1491</v>
      </c>
      <c r="F98" t="s">
        <v>1229</v>
      </c>
      <c r="G98" t="s">
        <v>910</v>
      </c>
    </row>
    <row r="99" spans="1:9" x14ac:dyDescent="0.25">
      <c r="A99" t="s">
        <v>1071</v>
      </c>
      <c r="B99" t="s">
        <v>176</v>
      </c>
      <c r="C99" t="s">
        <v>1466</v>
      </c>
      <c r="F99" t="s">
        <v>1229</v>
      </c>
      <c r="G99" t="s">
        <v>910</v>
      </c>
    </row>
    <row r="100" spans="1:9" x14ac:dyDescent="0.25">
      <c r="A100" t="s">
        <v>1146</v>
      </c>
      <c r="B100" t="s">
        <v>3108</v>
      </c>
      <c r="C100" t="s">
        <v>1570</v>
      </c>
      <c r="F100" t="s">
        <v>1229</v>
      </c>
      <c r="G100" t="s">
        <v>910</v>
      </c>
      <c r="H100" t="s">
        <v>850</v>
      </c>
      <c r="I100" t="s">
        <v>2330</v>
      </c>
    </row>
    <row r="101" spans="1:9" x14ac:dyDescent="0.25">
      <c r="A101" t="s">
        <v>990</v>
      </c>
      <c r="B101" t="s">
        <v>505</v>
      </c>
      <c r="C101" t="s">
        <v>1465</v>
      </c>
      <c r="F101" t="s">
        <v>1229</v>
      </c>
      <c r="G101" t="s">
        <v>910</v>
      </c>
      <c r="H101" t="s">
        <v>850</v>
      </c>
      <c r="I101" t="s">
        <v>2088</v>
      </c>
    </row>
    <row r="102" spans="1:9" x14ac:dyDescent="0.25">
      <c r="A102" t="s">
        <v>3107</v>
      </c>
      <c r="B102" t="s">
        <v>592</v>
      </c>
      <c r="C102" t="s">
        <v>1465</v>
      </c>
      <c r="F102" t="s">
        <v>1229</v>
      </c>
      <c r="G102" t="s">
        <v>910</v>
      </c>
    </row>
    <row r="103" spans="1:9" x14ac:dyDescent="0.25">
      <c r="A103" t="s">
        <v>989</v>
      </c>
      <c r="B103" t="s">
        <v>678</v>
      </c>
      <c r="C103" t="s">
        <v>1468</v>
      </c>
      <c r="F103" t="s">
        <v>1229</v>
      </c>
      <c r="G103" t="s">
        <v>910</v>
      </c>
      <c r="H103" t="s">
        <v>193</v>
      </c>
      <c r="I103" t="s">
        <v>2088</v>
      </c>
    </row>
    <row r="104" spans="1:9" x14ac:dyDescent="0.25">
      <c r="A104" t="s">
        <v>988</v>
      </c>
      <c r="B104" t="s">
        <v>822</v>
      </c>
      <c r="C104" t="s">
        <v>1468</v>
      </c>
      <c r="F104" t="s">
        <v>1229</v>
      </c>
      <c r="G104" t="s">
        <v>910</v>
      </c>
      <c r="H104" t="s">
        <v>803</v>
      </c>
      <c r="I104" t="s">
        <v>2088</v>
      </c>
    </row>
    <row r="105" spans="1:9" x14ac:dyDescent="0.25">
      <c r="A105" t="s">
        <v>4287</v>
      </c>
      <c r="B105" t="s">
        <v>148</v>
      </c>
      <c r="C105" t="s">
        <v>1181</v>
      </c>
      <c r="D105" t="s">
        <v>21</v>
      </c>
      <c r="E105" t="s">
        <v>1246</v>
      </c>
      <c r="F105" t="s">
        <v>1229</v>
      </c>
      <c r="G105" t="s">
        <v>910</v>
      </c>
      <c r="H105" t="s">
        <v>193</v>
      </c>
      <c r="I105" t="s">
        <v>4288</v>
      </c>
    </row>
    <row r="106" spans="1:9" x14ac:dyDescent="0.25">
      <c r="A106" t="s">
        <v>4291</v>
      </c>
      <c r="B106" t="s">
        <v>927</v>
      </c>
      <c r="C106" t="s">
        <v>1181</v>
      </c>
      <c r="E106" t="s">
        <v>1252</v>
      </c>
      <c r="F106" t="s">
        <v>1229</v>
      </c>
      <c r="G106" t="s">
        <v>910</v>
      </c>
      <c r="H106" t="s">
        <v>226</v>
      </c>
      <c r="I106" t="s">
        <v>1995</v>
      </c>
    </row>
    <row r="107" spans="1:9" x14ac:dyDescent="0.25">
      <c r="A107" t="s">
        <v>2710</v>
      </c>
      <c r="B107" t="s">
        <v>505</v>
      </c>
      <c r="C107" t="s">
        <v>1197</v>
      </c>
      <c r="D107" t="s">
        <v>21</v>
      </c>
      <c r="E107" t="s">
        <v>1282</v>
      </c>
      <c r="F107" t="s">
        <v>1229</v>
      </c>
      <c r="G107" t="s">
        <v>910</v>
      </c>
      <c r="H107" t="s">
        <v>650</v>
      </c>
      <c r="I107" t="s">
        <v>2442</v>
      </c>
    </row>
    <row r="108" spans="1:9" x14ac:dyDescent="0.25">
      <c r="A108" t="s">
        <v>2893</v>
      </c>
      <c r="B108" t="s">
        <v>635</v>
      </c>
      <c r="C108" t="s">
        <v>1180</v>
      </c>
      <c r="D108" t="s">
        <v>15</v>
      </c>
      <c r="E108" t="s">
        <v>1247</v>
      </c>
      <c r="F108" t="s">
        <v>1229</v>
      </c>
      <c r="G108" t="s">
        <v>910</v>
      </c>
      <c r="H108" t="s">
        <v>555</v>
      </c>
      <c r="I108" t="s">
        <v>2241</v>
      </c>
    </row>
    <row r="109" spans="1:9" x14ac:dyDescent="0.25">
      <c r="A109" t="s">
        <v>2707</v>
      </c>
      <c r="B109" t="s">
        <v>678</v>
      </c>
      <c r="C109" t="s">
        <v>1180</v>
      </c>
      <c r="D109" t="s">
        <v>27</v>
      </c>
      <c r="E109" t="s">
        <v>1246</v>
      </c>
      <c r="F109" t="s">
        <v>1229</v>
      </c>
      <c r="G109" t="s">
        <v>910</v>
      </c>
      <c r="H109" t="s">
        <v>2708</v>
      </c>
      <c r="I109" t="s">
        <v>2709</v>
      </c>
    </row>
    <row r="110" spans="1:9" x14ac:dyDescent="0.25">
      <c r="A110" t="s">
        <v>4289</v>
      </c>
      <c r="B110" t="s">
        <v>863</v>
      </c>
      <c r="C110" t="s">
        <v>1180</v>
      </c>
      <c r="D110" t="s">
        <v>27</v>
      </c>
      <c r="E110" t="s">
        <v>1246</v>
      </c>
      <c r="F110" t="s">
        <v>1229</v>
      </c>
      <c r="G110" t="s">
        <v>910</v>
      </c>
      <c r="H110" t="s">
        <v>1397</v>
      </c>
      <c r="I110" t="s">
        <v>4290</v>
      </c>
    </row>
    <row r="111" spans="1:9" x14ac:dyDescent="0.25">
      <c r="A111" t="s">
        <v>3106</v>
      </c>
      <c r="B111" t="s">
        <v>863</v>
      </c>
      <c r="C111" t="s">
        <v>1180</v>
      </c>
      <c r="D111" t="s">
        <v>91</v>
      </c>
      <c r="E111" t="s">
        <v>1247</v>
      </c>
      <c r="F111" t="s">
        <v>1229</v>
      </c>
      <c r="G111" t="s">
        <v>910</v>
      </c>
      <c r="H111" t="s">
        <v>278</v>
      </c>
      <c r="I111" t="s">
        <v>1977</v>
      </c>
    </row>
    <row r="112" spans="1:9" x14ac:dyDescent="0.25">
      <c r="A112" t="s">
        <v>4285</v>
      </c>
      <c r="B112" t="s">
        <v>911</v>
      </c>
      <c r="C112" t="s">
        <v>1208</v>
      </c>
      <c r="F112" t="s">
        <v>1221</v>
      </c>
      <c r="G112" t="s">
        <v>900</v>
      </c>
      <c r="H112" t="s">
        <v>1369</v>
      </c>
      <c r="I112" t="s">
        <v>1870</v>
      </c>
    </row>
    <row r="113" spans="1:9" x14ac:dyDescent="0.25">
      <c r="A113" t="s">
        <v>2705</v>
      </c>
      <c r="B113" t="s">
        <v>2706</v>
      </c>
      <c r="C113" t="s">
        <v>1565</v>
      </c>
      <c r="D113" t="s">
        <v>56</v>
      </c>
      <c r="F113" t="s">
        <v>1562</v>
      </c>
      <c r="H113" t="s">
        <v>242</v>
      </c>
      <c r="I113" t="s">
        <v>2322</v>
      </c>
    </row>
    <row r="114" spans="1:9" x14ac:dyDescent="0.25">
      <c r="A114" t="s">
        <v>3105</v>
      </c>
      <c r="B114" t="s">
        <v>913</v>
      </c>
      <c r="C114" t="s">
        <v>1199</v>
      </c>
      <c r="F114" t="s">
        <v>1314</v>
      </c>
      <c r="G114" t="s">
        <v>900</v>
      </c>
      <c r="H114" t="s">
        <v>1369</v>
      </c>
      <c r="I114" t="s">
        <v>2324</v>
      </c>
    </row>
    <row r="115" spans="1:9" x14ac:dyDescent="0.25">
      <c r="A115" t="s">
        <v>3104</v>
      </c>
      <c r="B115" t="s">
        <v>856</v>
      </c>
      <c r="C115" t="s">
        <v>1197</v>
      </c>
      <c r="F115" t="s">
        <v>1229</v>
      </c>
      <c r="G115" t="s">
        <v>900</v>
      </c>
      <c r="H115" t="s">
        <v>327</v>
      </c>
    </row>
    <row r="116" spans="1:9" x14ac:dyDescent="0.25">
      <c r="A116" t="s">
        <v>3103</v>
      </c>
      <c r="B116" t="s">
        <v>856</v>
      </c>
      <c r="C116" t="s">
        <v>1197</v>
      </c>
      <c r="F116" t="s">
        <v>8</v>
      </c>
      <c r="G116" t="s">
        <v>900</v>
      </c>
      <c r="H116" t="s">
        <v>327</v>
      </c>
    </row>
    <row r="117" spans="1:9" x14ac:dyDescent="0.25">
      <c r="A117" t="s">
        <v>3102</v>
      </c>
      <c r="B117" t="s">
        <v>856</v>
      </c>
      <c r="C117" t="s">
        <v>1197</v>
      </c>
      <c r="F117" t="s">
        <v>1293</v>
      </c>
      <c r="G117" t="s">
        <v>900</v>
      </c>
      <c r="H117" t="s">
        <v>327</v>
      </c>
    </row>
    <row r="118" spans="1:9" x14ac:dyDescent="0.25">
      <c r="A118" t="s">
        <v>4286</v>
      </c>
      <c r="B118" t="s">
        <v>1143</v>
      </c>
      <c r="C118" t="s">
        <v>1199</v>
      </c>
      <c r="F118" t="s">
        <v>1227</v>
      </c>
      <c r="G118" t="s">
        <v>900</v>
      </c>
      <c r="H118" t="s">
        <v>1369</v>
      </c>
      <c r="I118" t="s">
        <v>2324</v>
      </c>
    </row>
    <row r="119" spans="1:9" x14ac:dyDescent="0.25">
      <c r="A119" t="s">
        <v>3101</v>
      </c>
      <c r="B119" t="s">
        <v>664</v>
      </c>
      <c r="C119" t="s">
        <v>1213</v>
      </c>
      <c r="D119" t="s">
        <v>203</v>
      </c>
      <c r="F119" t="s">
        <v>1562</v>
      </c>
      <c r="H119" t="s">
        <v>1564</v>
      </c>
      <c r="I119" t="s">
        <v>2320</v>
      </c>
    </row>
    <row r="120" spans="1:9" x14ac:dyDescent="0.25">
      <c r="A120" t="s">
        <v>3100</v>
      </c>
      <c r="B120" t="s">
        <v>664</v>
      </c>
      <c r="C120" t="s">
        <v>1199</v>
      </c>
      <c r="D120" t="s">
        <v>56</v>
      </c>
      <c r="F120" t="s">
        <v>1562</v>
      </c>
      <c r="H120" t="s">
        <v>370</v>
      </c>
      <c r="I120" t="s">
        <v>2318</v>
      </c>
    </row>
    <row r="121" spans="1:9" x14ac:dyDescent="0.25">
      <c r="A121" t="s">
        <v>2892</v>
      </c>
      <c r="B121" t="s">
        <v>664</v>
      </c>
      <c r="C121" t="s">
        <v>1199</v>
      </c>
      <c r="D121" t="s">
        <v>1563</v>
      </c>
      <c r="F121" t="s">
        <v>1562</v>
      </c>
      <c r="H121" t="s">
        <v>10</v>
      </c>
      <c r="I121" t="s">
        <v>2319</v>
      </c>
    </row>
    <row r="122" spans="1:9" x14ac:dyDescent="0.25">
      <c r="A122" t="s">
        <v>2889</v>
      </c>
      <c r="B122" t="s">
        <v>908</v>
      </c>
      <c r="C122" t="s">
        <v>1199</v>
      </c>
      <c r="D122" t="s">
        <v>203</v>
      </c>
      <c r="F122" t="s">
        <v>1562</v>
      </c>
      <c r="H122" t="s">
        <v>2890</v>
      </c>
      <c r="I122" t="s">
        <v>2891</v>
      </c>
    </row>
    <row r="123" spans="1:9" x14ac:dyDescent="0.25">
      <c r="A123" t="s">
        <v>2888</v>
      </c>
      <c r="B123" t="s">
        <v>1142</v>
      </c>
      <c r="C123" t="s">
        <v>1199</v>
      </c>
      <c r="D123" t="s">
        <v>75</v>
      </c>
      <c r="F123" t="s">
        <v>1562</v>
      </c>
      <c r="H123" t="s">
        <v>1256</v>
      </c>
      <c r="I123" t="s">
        <v>2321</v>
      </c>
    </row>
    <row r="124" spans="1:9" x14ac:dyDescent="0.25">
      <c r="A124" t="s">
        <v>991</v>
      </c>
      <c r="B124" t="s">
        <v>645</v>
      </c>
      <c r="C124" t="s">
        <v>1484</v>
      </c>
      <c r="D124" t="s">
        <v>21</v>
      </c>
      <c r="F124" t="s">
        <v>1221</v>
      </c>
      <c r="G124" t="s">
        <v>910</v>
      </c>
      <c r="H124" t="s">
        <v>1485</v>
      </c>
      <c r="I124" t="s">
        <v>2099</v>
      </c>
    </row>
    <row r="125" spans="1:9" x14ac:dyDescent="0.25">
      <c r="A125" t="s">
        <v>2669</v>
      </c>
      <c r="B125" t="s">
        <v>245</v>
      </c>
      <c r="C125" t="s">
        <v>1187</v>
      </c>
      <c r="D125" t="s">
        <v>91</v>
      </c>
      <c r="E125" t="s">
        <v>1233</v>
      </c>
      <c r="F125" t="s">
        <v>1286</v>
      </c>
      <c r="G125" t="s">
        <v>900</v>
      </c>
      <c r="H125" t="s">
        <v>380</v>
      </c>
      <c r="I125" t="s">
        <v>1959</v>
      </c>
    </row>
    <row r="126" spans="1:9" x14ac:dyDescent="0.25">
      <c r="A126" t="s">
        <v>2887</v>
      </c>
      <c r="B126" t="s">
        <v>245</v>
      </c>
      <c r="C126" t="s">
        <v>1187</v>
      </c>
      <c r="D126" t="s">
        <v>91</v>
      </c>
      <c r="E126" t="s">
        <v>1233</v>
      </c>
      <c r="F126" t="s">
        <v>1286</v>
      </c>
      <c r="G126" t="s">
        <v>900</v>
      </c>
      <c r="H126" t="s">
        <v>380</v>
      </c>
      <c r="I126" t="s">
        <v>1959</v>
      </c>
    </row>
    <row r="127" spans="1:9" x14ac:dyDescent="0.25">
      <c r="A127" t="s">
        <v>2886</v>
      </c>
      <c r="B127" t="s">
        <v>245</v>
      </c>
      <c r="C127" t="s">
        <v>1187</v>
      </c>
      <c r="D127" t="s">
        <v>91</v>
      </c>
      <c r="E127" t="s">
        <v>1233</v>
      </c>
      <c r="F127" t="s">
        <v>1286</v>
      </c>
      <c r="G127" t="s">
        <v>900</v>
      </c>
      <c r="H127" t="s">
        <v>380</v>
      </c>
      <c r="I127" t="s">
        <v>1959</v>
      </c>
    </row>
    <row r="128" spans="1:9" x14ac:dyDescent="0.25">
      <c r="A128" t="s">
        <v>4041</v>
      </c>
      <c r="B128" t="s">
        <v>245</v>
      </c>
      <c r="C128" t="s">
        <v>1187</v>
      </c>
      <c r="D128" t="s">
        <v>91</v>
      </c>
      <c r="E128" t="s">
        <v>1233</v>
      </c>
      <c r="F128" t="s">
        <v>1286</v>
      </c>
      <c r="G128" t="s">
        <v>900</v>
      </c>
      <c r="H128" t="s">
        <v>380</v>
      </c>
      <c r="I128" t="s">
        <v>1959</v>
      </c>
    </row>
    <row r="129" spans="1:9" x14ac:dyDescent="0.25">
      <c r="A129" t="s">
        <v>2885</v>
      </c>
      <c r="B129" t="s">
        <v>2668</v>
      </c>
      <c r="C129" t="s">
        <v>1214</v>
      </c>
      <c r="D129" t="s">
        <v>91</v>
      </c>
      <c r="E129" t="s">
        <v>1242</v>
      </c>
      <c r="F129" t="s">
        <v>1286</v>
      </c>
      <c r="G129" t="s">
        <v>900</v>
      </c>
      <c r="H129" t="s">
        <v>1285</v>
      </c>
      <c r="I129" t="s">
        <v>1701</v>
      </c>
    </row>
    <row r="130" spans="1:9" x14ac:dyDescent="0.25">
      <c r="A130" t="s">
        <v>951</v>
      </c>
      <c r="B130" t="s">
        <v>2668</v>
      </c>
      <c r="C130" t="s">
        <v>1214</v>
      </c>
      <c r="D130" t="s">
        <v>91</v>
      </c>
      <c r="E130" t="s">
        <v>1242</v>
      </c>
      <c r="F130" t="s">
        <v>1286</v>
      </c>
      <c r="G130" t="s">
        <v>900</v>
      </c>
      <c r="H130" t="s">
        <v>1285</v>
      </c>
      <c r="I130" t="s">
        <v>1701</v>
      </c>
    </row>
    <row r="131" spans="1:9" x14ac:dyDescent="0.25">
      <c r="A131" t="s">
        <v>952</v>
      </c>
      <c r="B131" t="s">
        <v>2668</v>
      </c>
      <c r="C131" t="s">
        <v>1214</v>
      </c>
      <c r="D131" t="s">
        <v>91</v>
      </c>
      <c r="E131" t="s">
        <v>1242</v>
      </c>
      <c r="F131" t="s">
        <v>1286</v>
      </c>
      <c r="G131" t="s">
        <v>900</v>
      </c>
      <c r="H131" t="s">
        <v>1285</v>
      </c>
      <c r="I131" t="s">
        <v>1701</v>
      </c>
    </row>
    <row r="132" spans="1:9" x14ac:dyDescent="0.25">
      <c r="A132" t="s">
        <v>4283</v>
      </c>
      <c r="B132" t="s">
        <v>54</v>
      </c>
      <c r="C132" t="s">
        <v>1184</v>
      </c>
      <c r="D132" t="s">
        <v>27</v>
      </c>
      <c r="E132" t="s">
        <v>1220</v>
      </c>
      <c r="F132" t="s">
        <v>1286</v>
      </c>
      <c r="G132" t="s">
        <v>900</v>
      </c>
      <c r="H132" t="s">
        <v>2665</v>
      </c>
      <c r="I132" t="s">
        <v>1760</v>
      </c>
    </row>
    <row r="133" spans="1:9" x14ac:dyDescent="0.25">
      <c r="A133" t="s">
        <v>2664</v>
      </c>
      <c r="B133" t="s">
        <v>54</v>
      </c>
      <c r="C133" t="s">
        <v>1184</v>
      </c>
      <c r="D133" t="s">
        <v>27</v>
      </c>
      <c r="E133" t="s">
        <v>1220</v>
      </c>
      <c r="F133" t="s">
        <v>1286</v>
      </c>
      <c r="G133" t="s">
        <v>900</v>
      </c>
      <c r="H133" t="s">
        <v>2665</v>
      </c>
      <c r="I133" t="s">
        <v>1760</v>
      </c>
    </row>
    <row r="134" spans="1:9" x14ac:dyDescent="0.25">
      <c r="A134" t="s">
        <v>2667</v>
      </c>
      <c r="B134" t="s">
        <v>31</v>
      </c>
      <c r="C134" t="s">
        <v>1181</v>
      </c>
      <c r="D134" t="s">
        <v>15</v>
      </c>
      <c r="E134" t="s">
        <v>1247</v>
      </c>
      <c r="F134" t="s">
        <v>1286</v>
      </c>
      <c r="G134" t="s">
        <v>900</v>
      </c>
      <c r="H134" t="s">
        <v>1287</v>
      </c>
      <c r="I134" t="s">
        <v>1705</v>
      </c>
    </row>
    <row r="135" spans="1:9" x14ac:dyDescent="0.25">
      <c r="A135" t="s">
        <v>4420</v>
      </c>
      <c r="B135" t="s">
        <v>176</v>
      </c>
      <c r="C135" t="s">
        <v>1180</v>
      </c>
      <c r="D135" t="s">
        <v>91</v>
      </c>
      <c r="E135" t="s">
        <v>1289</v>
      </c>
      <c r="F135" t="s">
        <v>1286</v>
      </c>
      <c r="G135" t="s">
        <v>900</v>
      </c>
      <c r="I135" t="s">
        <v>2433</v>
      </c>
    </row>
    <row r="136" spans="1:9" x14ac:dyDescent="0.25">
      <c r="A136" t="s">
        <v>1164</v>
      </c>
      <c r="B136" t="s">
        <v>2521</v>
      </c>
      <c r="C136" t="s">
        <v>1180</v>
      </c>
      <c r="D136" t="s">
        <v>27</v>
      </c>
      <c r="E136" t="s">
        <v>1247</v>
      </c>
      <c r="F136" t="s">
        <v>1286</v>
      </c>
      <c r="G136" t="s">
        <v>900</v>
      </c>
      <c r="H136" t="s">
        <v>1619</v>
      </c>
      <c r="I136" t="s">
        <v>2427</v>
      </c>
    </row>
    <row r="137" spans="1:9" x14ac:dyDescent="0.25">
      <c r="A137" t="s">
        <v>1170</v>
      </c>
      <c r="B137" t="s">
        <v>263</v>
      </c>
      <c r="C137" t="s">
        <v>1191</v>
      </c>
      <c r="D137" t="s">
        <v>56</v>
      </c>
      <c r="E137" t="s">
        <v>1226</v>
      </c>
      <c r="F137" t="s">
        <v>1286</v>
      </c>
      <c r="G137" t="s">
        <v>900</v>
      </c>
      <c r="H137" t="s">
        <v>1285</v>
      </c>
      <c r="I137" t="s">
        <v>2451</v>
      </c>
    </row>
    <row r="138" spans="1:9" x14ac:dyDescent="0.25">
      <c r="A138" t="s">
        <v>1167</v>
      </c>
      <c r="B138" t="s">
        <v>2777</v>
      </c>
      <c r="C138" t="s">
        <v>1187</v>
      </c>
      <c r="D138" t="s">
        <v>56</v>
      </c>
      <c r="E138" t="s">
        <v>1268</v>
      </c>
      <c r="F138" t="s">
        <v>1286</v>
      </c>
      <c r="G138" t="s">
        <v>900</v>
      </c>
      <c r="H138" t="s">
        <v>312</v>
      </c>
      <c r="I138" t="s">
        <v>2445</v>
      </c>
    </row>
    <row r="139" spans="1:9" x14ac:dyDescent="0.25">
      <c r="A139" t="s">
        <v>917</v>
      </c>
      <c r="B139" t="s">
        <v>378</v>
      </c>
      <c r="C139" t="s">
        <v>1185</v>
      </c>
      <c r="D139" t="s">
        <v>91</v>
      </c>
      <c r="E139" t="s">
        <v>1233</v>
      </c>
      <c r="F139" t="s">
        <v>1286</v>
      </c>
      <c r="G139" t="s">
        <v>900</v>
      </c>
      <c r="H139" t="s">
        <v>1294</v>
      </c>
      <c r="I139" t="s">
        <v>1716</v>
      </c>
    </row>
    <row r="140" spans="1:9" x14ac:dyDescent="0.25">
      <c r="A140" t="s">
        <v>4452</v>
      </c>
      <c r="B140" t="s">
        <v>407</v>
      </c>
      <c r="C140" t="s">
        <v>1186</v>
      </c>
      <c r="D140" t="s">
        <v>318</v>
      </c>
      <c r="E140" t="s">
        <v>1252</v>
      </c>
      <c r="F140" t="s">
        <v>1286</v>
      </c>
      <c r="G140" t="s">
        <v>900</v>
      </c>
      <c r="H140" t="s">
        <v>1273</v>
      </c>
      <c r="I140" t="s">
        <v>2486</v>
      </c>
    </row>
    <row r="141" spans="1:9" x14ac:dyDescent="0.25">
      <c r="A141" t="s">
        <v>2546</v>
      </c>
      <c r="B141" t="s">
        <v>926</v>
      </c>
      <c r="C141" t="s">
        <v>1191</v>
      </c>
      <c r="D141" t="s">
        <v>84</v>
      </c>
      <c r="E141" t="s">
        <v>1269</v>
      </c>
      <c r="F141" t="s">
        <v>1286</v>
      </c>
      <c r="G141" t="s">
        <v>900</v>
      </c>
      <c r="H141" t="s">
        <v>716</v>
      </c>
      <c r="I141" t="s">
        <v>2440</v>
      </c>
    </row>
    <row r="142" spans="1:9" x14ac:dyDescent="0.25">
      <c r="A142" t="s">
        <v>2548</v>
      </c>
      <c r="B142" t="s">
        <v>926</v>
      </c>
      <c r="C142" t="s">
        <v>1186</v>
      </c>
      <c r="D142" t="s">
        <v>934</v>
      </c>
      <c r="E142" t="s">
        <v>1231</v>
      </c>
      <c r="F142" t="s">
        <v>1286</v>
      </c>
      <c r="G142" t="s">
        <v>900</v>
      </c>
      <c r="H142" t="s">
        <v>1267</v>
      </c>
      <c r="I142" t="s">
        <v>1757</v>
      </c>
    </row>
    <row r="143" spans="1:9" x14ac:dyDescent="0.25">
      <c r="A143" t="s">
        <v>4284</v>
      </c>
      <c r="B143" t="s">
        <v>926</v>
      </c>
      <c r="C143" t="s">
        <v>1186</v>
      </c>
      <c r="D143" t="s">
        <v>934</v>
      </c>
      <c r="E143" t="s">
        <v>1231</v>
      </c>
      <c r="F143" t="s">
        <v>1286</v>
      </c>
      <c r="G143" t="s">
        <v>900</v>
      </c>
      <c r="H143" t="s">
        <v>1267</v>
      </c>
      <c r="I143" t="s">
        <v>1757</v>
      </c>
    </row>
    <row r="144" spans="1:9" x14ac:dyDescent="0.25">
      <c r="A144" t="s">
        <v>1171</v>
      </c>
      <c r="B144" t="s">
        <v>942</v>
      </c>
      <c r="C144" t="s">
        <v>1180</v>
      </c>
      <c r="D144" t="s">
        <v>1347</v>
      </c>
      <c r="E144" t="s">
        <v>1269</v>
      </c>
      <c r="F144" t="s">
        <v>1286</v>
      </c>
      <c r="G144" t="s">
        <v>900</v>
      </c>
      <c r="H144" t="s">
        <v>1382</v>
      </c>
      <c r="I144" t="s">
        <v>1857</v>
      </c>
    </row>
    <row r="145" spans="1:9" x14ac:dyDescent="0.25">
      <c r="A145" t="s">
        <v>941</v>
      </c>
      <c r="B145" t="s">
        <v>942</v>
      </c>
      <c r="C145" t="s">
        <v>1180</v>
      </c>
      <c r="D145" t="s">
        <v>1347</v>
      </c>
      <c r="E145" t="s">
        <v>1269</v>
      </c>
      <c r="F145" t="s">
        <v>1286</v>
      </c>
      <c r="G145" t="s">
        <v>900</v>
      </c>
      <c r="H145" t="s">
        <v>1382</v>
      </c>
      <c r="I145" t="s">
        <v>1857</v>
      </c>
    </row>
    <row r="146" spans="1:9" x14ac:dyDescent="0.25">
      <c r="A146" t="s">
        <v>4445</v>
      </c>
      <c r="B146" t="s">
        <v>592</v>
      </c>
      <c r="C146" t="s">
        <v>1191</v>
      </c>
      <c r="D146" t="s">
        <v>318</v>
      </c>
      <c r="E146" t="s">
        <v>1249</v>
      </c>
      <c r="F146" t="s">
        <v>1286</v>
      </c>
      <c r="G146" t="s">
        <v>900</v>
      </c>
      <c r="H146" t="s">
        <v>1618</v>
      </c>
      <c r="I146" t="s">
        <v>2422</v>
      </c>
    </row>
    <row r="147" spans="1:9" x14ac:dyDescent="0.25">
      <c r="A147" t="s">
        <v>919</v>
      </c>
      <c r="B147" t="s">
        <v>592</v>
      </c>
      <c r="C147" t="s">
        <v>1186</v>
      </c>
      <c r="D147" t="s">
        <v>934</v>
      </c>
      <c r="E147" t="s">
        <v>1308</v>
      </c>
      <c r="F147" t="s">
        <v>1286</v>
      </c>
      <c r="G147" t="s">
        <v>900</v>
      </c>
      <c r="H147" t="s">
        <v>1263</v>
      </c>
      <c r="I147" t="s">
        <v>1737</v>
      </c>
    </row>
    <row r="148" spans="1:9" x14ac:dyDescent="0.25">
      <c r="A148" t="s">
        <v>924</v>
      </c>
      <c r="B148" t="s">
        <v>592</v>
      </c>
      <c r="C148" t="s">
        <v>1186</v>
      </c>
      <c r="D148" t="s">
        <v>934</v>
      </c>
      <c r="E148" t="s">
        <v>1308</v>
      </c>
      <c r="F148" t="s">
        <v>1286</v>
      </c>
      <c r="G148" t="s">
        <v>900</v>
      </c>
      <c r="H148" t="s">
        <v>1263</v>
      </c>
      <c r="I148" t="s">
        <v>1737</v>
      </c>
    </row>
    <row r="149" spans="1:9" x14ac:dyDescent="0.25">
      <c r="A149" t="s">
        <v>2703</v>
      </c>
      <c r="B149" t="s">
        <v>2704</v>
      </c>
      <c r="C149" t="s">
        <v>1180</v>
      </c>
      <c r="D149" t="s">
        <v>15</v>
      </c>
      <c r="E149" t="s">
        <v>1289</v>
      </c>
      <c r="F149" t="s">
        <v>1286</v>
      </c>
      <c r="G149" t="s">
        <v>900</v>
      </c>
      <c r="H149" t="s">
        <v>1384</v>
      </c>
      <c r="I149" t="s">
        <v>1859</v>
      </c>
    </row>
    <row r="150" spans="1:9" x14ac:dyDescent="0.25">
      <c r="A150" t="s">
        <v>4464</v>
      </c>
      <c r="B150" t="s">
        <v>2704</v>
      </c>
      <c r="C150" t="s">
        <v>1180</v>
      </c>
      <c r="D150" t="s">
        <v>15</v>
      </c>
      <c r="E150" t="s">
        <v>1289</v>
      </c>
      <c r="F150" t="s">
        <v>1286</v>
      </c>
      <c r="G150" t="s">
        <v>900</v>
      </c>
      <c r="H150" t="s">
        <v>1384</v>
      </c>
      <c r="I150" t="s">
        <v>1859</v>
      </c>
    </row>
    <row r="151" spans="1:9" x14ac:dyDescent="0.25">
      <c r="A151" t="s">
        <v>4405</v>
      </c>
      <c r="B151" t="s">
        <v>678</v>
      </c>
      <c r="D151" t="s">
        <v>1216</v>
      </c>
      <c r="E151" t="s">
        <v>1233</v>
      </c>
      <c r="F151" t="s">
        <v>1286</v>
      </c>
      <c r="G151" t="s">
        <v>900</v>
      </c>
      <c r="H151" t="s">
        <v>597</v>
      </c>
      <c r="I151" t="s">
        <v>1958</v>
      </c>
    </row>
    <row r="152" spans="1:9" x14ac:dyDescent="0.25">
      <c r="A152" t="s">
        <v>4040</v>
      </c>
      <c r="B152" t="s">
        <v>678</v>
      </c>
      <c r="D152" t="s">
        <v>1216</v>
      </c>
      <c r="E152" t="s">
        <v>1233</v>
      </c>
      <c r="F152" t="s">
        <v>1286</v>
      </c>
      <c r="G152" t="s">
        <v>900</v>
      </c>
      <c r="H152" t="s">
        <v>597</v>
      </c>
      <c r="I152" t="s">
        <v>1958</v>
      </c>
    </row>
    <row r="153" spans="1:9" x14ac:dyDescent="0.25">
      <c r="A153" t="s">
        <v>915</v>
      </c>
      <c r="B153" t="s">
        <v>711</v>
      </c>
      <c r="C153" t="s">
        <v>1194</v>
      </c>
      <c r="D153" t="s">
        <v>84</v>
      </c>
      <c r="E153" t="s">
        <v>1288</v>
      </c>
      <c r="F153" t="s">
        <v>1286</v>
      </c>
      <c r="G153" t="s">
        <v>900</v>
      </c>
      <c r="H153" t="s">
        <v>726</v>
      </c>
      <c r="I153" t="s">
        <v>1707</v>
      </c>
    </row>
    <row r="154" spans="1:9" x14ac:dyDescent="0.25">
      <c r="A154" t="s">
        <v>1046</v>
      </c>
      <c r="B154" t="s">
        <v>954</v>
      </c>
      <c r="C154" t="s">
        <v>1196</v>
      </c>
      <c r="D154" t="s">
        <v>84</v>
      </c>
      <c r="E154" t="s">
        <v>1346</v>
      </c>
      <c r="F154" t="s">
        <v>1286</v>
      </c>
      <c r="G154" t="s">
        <v>900</v>
      </c>
      <c r="H154" t="s">
        <v>321</v>
      </c>
      <c r="I154" t="s">
        <v>389</v>
      </c>
    </row>
    <row r="155" spans="1:9" x14ac:dyDescent="0.25">
      <c r="A155" t="s">
        <v>4472</v>
      </c>
      <c r="B155" t="s">
        <v>954</v>
      </c>
      <c r="C155" t="s">
        <v>1196</v>
      </c>
      <c r="D155" t="s">
        <v>84</v>
      </c>
      <c r="E155" t="s">
        <v>1346</v>
      </c>
      <c r="F155" t="s">
        <v>1286</v>
      </c>
      <c r="G155" t="s">
        <v>900</v>
      </c>
      <c r="H155" t="s">
        <v>321</v>
      </c>
      <c r="I155" t="s">
        <v>389</v>
      </c>
    </row>
    <row r="156" spans="1:9" x14ac:dyDescent="0.25">
      <c r="A156" t="s">
        <v>2666</v>
      </c>
      <c r="B156" t="s">
        <v>741</v>
      </c>
      <c r="C156" t="s">
        <v>1204</v>
      </c>
      <c r="D156" t="s">
        <v>1347</v>
      </c>
      <c r="E156" t="s">
        <v>1246</v>
      </c>
      <c r="F156" t="s">
        <v>1286</v>
      </c>
      <c r="G156" t="s">
        <v>900</v>
      </c>
      <c r="H156" t="s">
        <v>1422</v>
      </c>
      <c r="I156" t="s">
        <v>1964</v>
      </c>
    </row>
    <row r="157" spans="1:9" x14ac:dyDescent="0.25">
      <c r="A157" t="s">
        <v>4442</v>
      </c>
      <c r="B157" t="s">
        <v>4443</v>
      </c>
      <c r="C157" t="s">
        <v>1180</v>
      </c>
      <c r="D157" t="s">
        <v>84</v>
      </c>
      <c r="E157" t="s">
        <v>1250</v>
      </c>
      <c r="F157" t="s">
        <v>1286</v>
      </c>
      <c r="G157" t="s">
        <v>900</v>
      </c>
      <c r="H157" t="s">
        <v>1376</v>
      </c>
      <c r="I157" t="s">
        <v>4444</v>
      </c>
    </row>
    <row r="158" spans="1:9" x14ac:dyDescent="0.25">
      <c r="A158" t="s">
        <v>965</v>
      </c>
      <c r="B158" t="s">
        <v>863</v>
      </c>
      <c r="C158" t="s">
        <v>1186</v>
      </c>
      <c r="D158" t="s">
        <v>84</v>
      </c>
      <c r="E158" t="s">
        <v>1242</v>
      </c>
      <c r="F158" t="s">
        <v>1286</v>
      </c>
      <c r="G158" t="s">
        <v>900</v>
      </c>
      <c r="H158" t="s">
        <v>64</v>
      </c>
      <c r="I158" t="s">
        <v>2022</v>
      </c>
    </row>
    <row r="159" spans="1:9" x14ac:dyDescent="0.25">
      <c r="A159" t="s">
        <v>4208</v>
      </c>
      <c r="B159" t="s">
        <v>631</v>
      </c>
      <c r="C159" t="s">
        <v>1538</v>
      </c>
      <c r="D159" t="s">
        <v>56</v>
      </c>
      <c r="E159" t="s">
        <v>1539</v>
      </c>
      <c r="F159" t="s">
        <v>1298</v>
      </c>
      <c r="G159" t="s">
        <v>900</v>
      </c>
      <c r="H159" t="s">
        <v>126</v>
      </c>
      <c r="I159" t="s">
        <v>2272</v>
      </c>
    </row>
    <row r="160" spans="1:9" x14ac:dyDescent="0.25">
      <c r="A160" t="s">
        <v>4039</v>
      </c>
      <c r="B160" t="s">
        <v>631</v>
      </c>
      <c r="C160" t="s">
        <v>1538</v>
      </c>
      <c r="D160" t="s">
        <v>56</v>
      </c>
      <c r="E160" t="s">
        <v>1539</v>
      </c>
      <c r="F160" t="s">
        <v>1286</v>
      </c>
      <c r="G160" t="s">
        <v>900</v>
      </c>
      <c r="H160" t="s">
        <v>126</v>
      </c>
      <c r="I160" t="s">
        <v>2272</v>
      </c>
    </row>
    <row r="161" spans="1:9" x14ac:dyDescent="0.25">
      <c r="A161" t="s">
        <v>4038</v>
      </c>
      <c r="B161" t="s">
        <v>631</v>
      </c>
      <c r="C161" t="s">
        <v>1538</v>
      </c>
      <c r="D161" t="s">
        <v>56</v>
      </c>
      <c r="E161" t="s">
        <v>1539</v>
      </c>
      <c r="F161" t="s">
        <v>1227</v>
      </c>
      <c r="G161" t="s">
        <v>1228</v>
      </c>
      <c r="H161" t="s">
        <v>126</v>
      </c>
      <c r="I161" t="s">
        <v>2272</v>
      </c>
    </row>
    <row r="162" spans="1:9" x14ac:dyDescent="0.25">
      <c r="A162" t="s">
        <v>4207</v>
      </c>
      <c r="B162" t="s">
        <v>631</v>
      </c>
      <c r="C162" t="s">
        <v>1538</v>
      </c>
      <c r="D162" t="s">
        <v>56</v>
      </c>
      <c r="E162" t="s">
        <v>1539</v>
      </c>
      <c r="F162" t="s">
        <v>1221</v>
      </c>
      <c r="G162" t="s">
        <v>900</v>
      </c>
      <c r="H162" t="s">
        <v>126</v>
      </c>
      <c r="I162" t="s">
        <v>2272</v>
      </c>
    </row>
    <row r="163" spans="1:9" x14ac:dyDescent="0.25">
      <c r="A163" t="s">
        <v>4206</v>
      </c>
      <c r="B163" t="s">
        <v>505</v>
      </c>
      <c r="C163" t="s">
        <v>1204</v>
      </c>
      <c r="D163" t="s">
        <v>1215</v>
      </c>
      <c r="F163" t="s">
        <v>1221</v>
      </c>
      <c r="G163" t="s">
        <v>910</v>
      </c>
      <c r="H163" t="s">
        <v>697</v>
      </c>
      <c r="I163" t="s">
        <v>2039</v>
      </c>
    </row>
    <row r="164" spans="1:9" x14ac:dyDescent="0.25">
      <c r="A164" t="s">
        <v>4037</v>
      </c>
      <c r="B164" t="s">
        <v>592</v>
      </c>
      <c r="C164" t="s">
        <v>1204</v>
      </c>
      <c r="D164" t="s">
        <v>1215</v>
      </c>
      <c r="F164" t="s">
        <v>1286</v>
      </c>
      <c r="G164" t="s">
        <v>910</v>
      </c>
      <c r="H164" t="s">
        <v>632</v>
      </c>
      <c r="I164" t="s">
        <v>2365</v>
      </c>
    </row>
    <row r="165" spans="1:9" x14ac:dyDescent="0.25">
      <c r="A165" t="s">
        <v>4036</v>
      </c>
      <c r="B165" t="s">
        <v>592</v>
      </c>
      <c r="C165" t="s">
        <v>1204</v>
      </c>
      <c r="D165" t="s">
        <v>1215</v>
      </c>
      <c r="F165" t="s">
        <v>1221</v>
      </c>
      <c r="G165" t="s">
        <v>910</v>
      </c>
      <c r="H165" t="s">
        <v>632</v>
      </c>
      <c r="I165" t="s">
        <v>2365</v>
      </c>
    </row>
    <row r="166" spans="1:9" x14ac:dyDescent="0.25">
      <c r="A166" t="s">
        <v>4035</v>
      </c>
      <c r="B166" t="s">
        <v>678</v>
      </c>
      <c r="C166" t="s">
        <v>1204</v>
      </c>
      <c r="D166" t="s">
        <v>1215</v>
      </c>
      <c r="F166" t="s">
        <v>1286</v>
      </c>
      <c r="G166" t="s">
        <v>910</v>
      </c>
      <c r="H166" t="s">
        <v>1294</v>
      </c>
      <c r="I166" t="s">
        <v>2377</v>
      </c>
    </row>
    <row r="167" spans="1:9" x14ac:dyDescent="0.25">
      <c r="A167" t="s">
        <v>4034</v>
      </c>
      <c r="B167" t="s">
        <v>678</v>
      </c>
      <c r="C167" t="s">
        <v>1204</v>
      </c>
      <c r="D167" t="s">
        <v>1215</v>
      </c>
      <c r="F167" t="s">
        <v>1221</v>
      </c>
      <c r="G167" t="s">
        <v>910</v>
      </c>
      <c r="H167" t="s">
        <v>1294</v>
      </c>
      <c r="I167" t="s">
        <v>2377</v>
      </c>
    </row>
    <row r="168" spans="1:9" x14ac:dyDescent="0.25">
      <c r="A168" t="s">
        <v>4203</v>
      </c>
      <c r="B168" t="s">
        <v>61</v>
      </c>
      <c r="C168" t="s">
        <v>1491</v>
      </c>
      <c r="D168" t="s">
        <v>27</v>
      </c>
      <c r="E168" t="s">
        <v>1386</v>
      </c>
      <c r="F168" t="s">
        <v>1585</v>
      </c>
      <c r="G168" t="s">
        <v>1448</v>
      </c>
      <c r="H168" t="s">
        <v>650</v>
      </c>
      <c r="I168" t="s">
        <v>2364</v>
      </c>
    </row>
    <row r="169" spans="1:9" x14ac:dyDescent="0.25">
      <c r="A169" t="s">
        <v>4204</v>
      </c>
      <c r="B169" t="s">
        <v>4205</v>
      </c>
      <c r="C169" t="s">
        <v>1193</v>
      </c>
      <c r="D169" t="s">
        <v>203</v>
      </c>
      <c r="E169" t="s">
        <v>1598</v>
      </c>
      <c r="F169" t="s">
        <v>1585</v>
      </c>
      <c r="G169" t="s">
        <v>1448</v>
      </c>
      <c r="H169" t="s">
        <v>2934</v>
      </c>
      <c r="I169" t="s">
        <v>2380</v>
      </c>
    </row>
    <row r="170" spans="1:9" x14ac:dyDescent="0.25">
      <c r="A170" t="s">
        <v>4033</v>
      </c>
      <c r="B170" t="s">
        <v>1160</v>
      </c>
      <c r="C170" t="s">
        <v>1180</v>
      </c>
      <c r="D170" t="s">
        <v>56</v>
      </c>
      <c r="E170" t="s">
        <v>1476</v>
      </c>
      <c r="F170" t="s">
        <v>1585</v>
      </c>
      <c r="G170" t="s">
        <v>1448</v>
      </c>
      <c r="H170" t="s">
        <v>100</v>
      </c>
      <c r="I170" t="s">
        <v>2379</v>
      </c>
    </row>
    <row r="171" spans="1:9" x14ac:dyDescent="0.25">
      <c r="A171" t="s">
        <v>4282</v>
      </c>
      <c r="B171" t="s">
        <v>1028</v>
      </c>
      <c r="C171" t="s">
        <v>1197</v>
      </c>
      <c r="D171" t="s">
        <v>27</v>
      </c>
      <c r="E171" t="s">
        <v>1246</v>
      </c>
      <c r="F171" t="s">
        <v>1595</v>
      </c>
      <c r="G171" t="s">
        <v>1448</v>
      </c>
      <c r="H171" t="s">
        <v>173</v>
      </c>
      <c r="I171" t="s">
        <v>2382</v>
      </c>
    </row>
    <row r="172" spans="1:9" x14ac:dyDescent="0.25">
      <c r="A172" t="s">
        <v>4202</v>
      </c>
      <c r="B172" t="s">
        <v>586</v>
      </c>
      <c r="C172" t="s">
        <v>1197</v>
      </c>
      <c r="D172" t="s">
        <v>27</v>
      </c>
      <c r="E172" t="s">
        <v>1597</v>
      </c>
      <c r="F172" t="s">
        <v>1595</v>
      </c>
      <c r="G172" t="s">
        <v>1448</v>
      </c>
      <c r="H172" t="s">
        <v>108</v>
      </c>
      <c r="I172" t="s">
        <v>2378</v>
      </c>
    </row>
    <row r="173" spans="1:9" x14ac:dyDescent="0.25">
      <c r="A173" t="s">
        <v>4032</v>
      </c>
      <c r="B173" t="s">
        <v>635</v>
      </c>
      <c r="C173" t="s">
        <v>1197</v>
      </c>
      <c r="D173" t="s">
        <v>56</v>
      </c>
      <c r="E173" t="s">
        <v>1464</v>
      </c>
      <c r="F173" t="s">
        <v>1595</v>
      </c>
      <c r="G173" t="s">
        <v>1448</v>
      </c>
      <c r="H173" t="s">
        <v>1596</v>
      </c>
      <c r="I173" t="s">
        <v>2376</v>
      </c>
    </row>
    <row r="174" spans="1:9" x14ac:dyDescent="0.25">
      <c r="A174" t="s">
        <v>4201</v>
      </c>
      <c r="B174" t="s">
        <v>863</v>
      </c>
      <c r="C174" t="s">
        <v>1207</v>
      </c>
      <c r="D174" t="s">
        <v>56</v>
      </c>
      <c r="E174" t="s">
        <v>1374</v>
      </c>
      <c r="F174" t="s">
        <v>1595</v>
      </c>
      <c r="G174" t="s">
        <v>1448</v>
      </c>
      <c r="H174" t="s">
        <v>1599</v>
      </c>
      <c r="I174" t="s">
        <v>2381</v>
      </c>
    </row>
    <row r="175" spans="1:9" x14ac:dyDescent="0.25">
      <c r="A175" t="s">
        <v>4281</v>
      </c>
      <c r="B175" t="s">
        <v>958</v>
      </c>
      <c r="C175" t="s">
        <v>1181</v>
      </c>
      <c r="D175" t="s">
        <v>1442</v>
      </c>
      <c r="F175" t="s">
        <v>1229</v>
      </c>
      <c r="G175" t="s">
        <v>910</v>
      </c>
      <c r="H175" t="s">
        <v>85</v>
      </c>
      <c r="I175" t="s">
        <v>2002</v>
      </c>
    </row>
    <row r="176" spans="1:9" x14ac:dyDescent="0.25">
      <c r="A176" t="s">
        <v>2739</v>
      </c>
      <c r="B176" t="s">
        <v>958</v>
      </c>
      <c r="C176" t="s">
        <v>1181</v>
      </c>
      <c r="D176" t="s">
        <v>1442</v>
      </c>
      <c r="F176" t="s">
        <v>8</v>
      </c>
      <c r="G176" t="s">
        <v>910</v>
      </c>
      <c r="H176" t="s">
        <v>85</v>
      </c>
      <c r="I176" t="s">
        <v>2002</v>
      </c>
    </row>
    <row r="177" spans="1:9" x14ac:dyDescent="0.25">
      <c r="A177" t="s">
        <v>2814</v>
      </c>
      <c r="B177" t="s">
        <v>958</v>
      </c>
      <c r="C177" t="s">
        <v>1181</v>
      </c>
      <c r="D177" t="s">
        <v>1442</v>
      </c>
      <c r="F177" t="s">
        <v>1331</v>
      </c>
      <c r="G177" t="s">
        <v>910</v>
      </c>
      <c r="H177" t="s">
        <v>85</v>
      </c>
      <c r="I177" t="s">
        <v>2002</v>
      </c>
    </row>
    <row r="178" spans="1:9" x14ac:dyDescent="0.25">
      <c r="A178" t="s">
        <v>4200</v>
      </c>
      <c r="B178" t="s">
        <v>958</v>
      </c>
      <c r="C178" t="s">
        <v>1181</v>
      </c>
      <c r="D178" t="s">
        <v>1442</v>
      </c>
      <c r="F178" t="s">
        <v>1229</v>
      </c>
      <c r="G178" t="s">
        <v>910</v>
      </c>
      <c r="H178" t="s">
        <v>85</v>
      </c>
      <c r="I178" t="s">
        <v>2002</v>
      </c>
    </row>
    <row r="179" spans="1:9" x14ac:dyDescent="0.25">
      <c r="A179" t="s">
        <v>2702</v>
      </c>
      <c r="B179" t="s">
        <v>958</v>
      </c>
      <c r="C179" t="s">
        <v>1181</v>
      </c>
      <c r="D179" t="s">
        <v>1442</v>
      </c>
      <c r="F179" t="s">
        <v>8</v>
      </c>
      <c r="G179" t="s">
        <v>910</v>
      </c>
      <c r="H179" t="s">
        <v>85</v>
      </c>
      <c r="I179" t="s">
        <v>2002</v>
      </c>
    </row>
    <row r="180" spans="1:9" x14ac:dyDescent="0.25">
      <c r="A180" t="s">
        <v>2813</v>
      </c>
      <c r="B180" t="s">
        <v>958</v>
      </c>
      <c r="C180" t="s">
        <v>1181</v>
      </c>
      <c r="D180" t="s">
        <v>1442</v>
      </c>
      <c r="F180" t="s">
        <v>1331</v>
      </c>
      <c r="G180" t="s">
        <v>910</v>
      </c>
      <c r="H180" t="s">
        <v>85</v>
      </c>
      <c r="I180" t="s">
        <v>2002</v>
      </c>
    </row>
    <row r="181" spans="1:9" x14ac:dyDescent="0.25">
      <c r="A181" t="s">
        <v>4031</v>
      </c>
      <c r="B181" t="s">
        <v>222</v>
      </c>
      <c r="C181" t="s">
        <v>1204</v>
      </c>
      <c r="D181" t="s">
        <v>1365</v>
      </c>
      <c r="F181" t="s">
        <v>1229</v>
      </c>
      <c r="G181" t="s">
        <v>910</v>
      </c>
      <c r="H181" t="s">
        <v>1370</v>
      </c>
      <c r="I181" t="s">
        <v>1807</v>
      </c>
    </row>
    <row r="182" spans="1:9" x14ac:dyDescent="0.25">
      <c r="A182" t="s">
        <v>4199</v>
      </c>
      <c r="B182" t="s">
        <v>222</v>
      </c>
      <c r="C182" t="s">
        <v>1204</v>
      </c>
      <c r="D182" t="s">
        <v>1365</v>
      </c>
      <c r="F182" t="s">
        <v>8</v>
      </c>
      <c r="G182" t="s">
        <v>910</v>
      </c>
      <c r="H182" t="s">
        <v>1366</v>
      </c>
      <c r="I182" t="s">
        <v>1807</v>
      </c>
    </row>
    <row r="183" spans="1:9" x14ac:dyDescent="0.25">
      <c r="A183" t="s">
        <v>4198</v>
      </c>
      <c r="B183" t="s">
        <v>222</v>
      </c>
      <c r="C183" t="s">
        <v>1204</v>
      </c>
      <c r="D183" t="s">
        <v>1365</v>
      </c>
      <c r="F183" t="s">
        <v>1331</v>
      </c>
      <c r="G183" t="s">
        <v>910</v>
      </c>
      <c r="I183" t="s">
        <v>1807</v>
      </c>
    </row>
    <row r="184" spans="1:9" x14ac:dyDescent="0.25">
      <c r="A184" t="s">
        <v>2812</v>
      </c>
      <c r="B184" t="s">
        <v>222</v>
      </c>
      <c r="C184" t="s">
        <v>1204</v>
      </c>
      <c r="D184" t="s">
        <v>1365</v>
      </c>
      <c r="F184" t="s">
        <v>1229</v>
      </c>
      <c r="G184" t="s">
        <v>910</v>
      </c>
      <c r="H184" t="s">
        <v>1419</v>
      </c>
      <c r="I184" t="s">
        <v>1807</v>
      </c>
    </row>
    <row r="185" spans="1:9" x14ac:dyDescent="0.25">
      <c r="A185" t="s">
        <v>4197</v>
      </c>
      <c r="B185" t="s">
        <v>222</v>
      </c>
      <c r="C185" t="s">
        <v>1204</v>
      </c>
      <c r="D185" t="s">
        <v>1365</v>
      </c>
      <c r="F185" t="s">
        <v>8</v>
      </c>
      <c r="G185" t="s">
        <v>910</v>
      </c>
      <c r="H185" t="s">
        <v>1455</v>
      </c>
      <c r="I185" t="s">
        <v>1807</v>
      </c>
    </row>
    <row r="186" spans="1:9" x14ac:dyDescent="0.25">
      <c r="A186" t="s">
        <v>2811</v>
      </c>
      <c r="B186" t="s">
        <v>222</v>
      </c>
      <c r="C186" t="s">
        <v>1204</v>
      </c>
      <c r="D186" t="s">
        <v>1365</v>
      </c>
      <c r="F186" t="s">
        <v>1331</v>
      </c>
      <c r="G186" t="s">
        <v>910</v>
      </c>
      <c r="I186" t="s">
        <v>1807</v>
      </c>
    </row>
    <row r="187" spans="1:9" x14ac:dyDescent="0.25">
      <c r="A187" t="s">
        <v>4030</v>
      </c>
      <c r="B187" t="s">
        <v>911</v>
      </c>
      <c r="C187" t="s">
        <v>1183</v>
      </c>
      <c r="D187" t="s">
        <v>15</v>
      </c>
      <c r="E187" t="s">
        <v>1269</v>
      </c>
      <c r="F187" t="s">
        <v>1227</v>
      </c>
      <c r="G187" t="s">
        <v>1228</v>
      </c>
      <c r="H187" t="s">
        <v>100</v>
      </c>
      <c r="I187" t="s">
        <v>2383</v>
      </c>
    </row>
    <row r="188" spans="1:9" x14ac:dyDescent="0.25">
      <c r="A188" t="s">
        <v>4029</v>
      </c>
      <c r="B188" t="s">
        <v>526</v>
      </c>
      <c r="C188" t="s">
        <v>1183</v>
      </c>
      <c r="D188" t="s">
        <v>62</v>
      </c>
      <c r="E188" t="s">
        <v>1476</v>
      </c>
      <c r="F188" t="s">
        <v>1227</v>
      </c>
      <c r="G188" t="s">
        <v>1228</v>
      </c>
      <c r="H188" t="s">
        <v>330</v>
      </c>
      <c r="I188" t="s">
        <v>2389</v>
      </c>
    </row>
    <row r="189" spans="1:9" x14ac:dyDescent="0.25">
      <c r="A189" t="s">
        <v>2810</v>
      </c>
      <c r="B189" t="s">
        <v>1091</v>
      </c>
      <c r="C189" t="s">
        <v>1180</v>
      </c>
      <c r="D189" t="s">
        <v>197</v>
      </c>
      <c r="E189" t="s">
        <v>1414</v>
      </c>
      <c r="F189" t="s">
        <v>1227</v>
      </c>
      <c r="G189" t="s">
        <v>1228</v>
      </c>
      <c r="H189" t="s">
        <v>37</v>
      </c>
      <c r="I189" t="s">
        <v>2359</v>
      </c>
    </row>
    <row r="190" spans="1:9" x14ac:dyDescent="0.25">
      <c r="A190" t="s">
        <v>1023</v>
      </c>
      <c r="B190" t="s">
        <v>75</v>
      </c>
      <c r="C190" t="s">
        <v>1186</v>
      </c>
      <c r="D190" t="s">
        <v>56</v>
      </c>
      <c r="E190" t="s">
        <v>1509</v>
      </c>
      <c r="F190" t="s">
        <v>1229</v>
      </c>
      <c r="G190" t="s">
        <v>910</v>
      </c>
      <c r="H190" t="s">
        <v>272</v>
      </c>
      <c r="I190" t="s">
        <v>2172</v>
      </c>
    </row>
    <row r="191" spans="1:9" x14ac:dyDescent="0.25">
      <c r="A191" t="s">
        <v>1024</v>
      </c>
      <c r="B191" t="s">
        <v>75</v>
      </c>
      <c r="C191" t="s">
        <v>1186</v>
      </c>
      <c r="D191" t="s">
        <v>56</v>
      </c>
      <c r="E191" t="s">
        <v>1509</v>
      </c>
      <c r="F191" t="s">
        <v>8</v>
      </c>
      <c r="G191" t="s">
        <v>910</v>
      </c>
      <c r="H191" t="s">
        <v>272</v>
      </c>
      <c r="I191" t="s">
        <v>2172</v>
      </c>
    </row>
    <row r="192" spans="1:9" x14ac:dyDescent="0.25">
      <c r="A192" t="s">
        <v>1025</v>
      </c>
      <c r="B192" t="s">
        <v>75</v>
      </c>
      <c r="C192" t="s">
        <v>1186</v>
      </c>
      <c r="D192" t="s">
        <v>56</v>
      </c>
      <c r="E192" t="s">
        <v>1509</v>
      </c>
      <c r="F192" t="s">
        <v>1331</v>
      </c>
      <c r="G192" t="s">
        <v>910</v>
      </c>
      <c r="H192" t="s">
        <v>272</v>
      </c>
      <c r="I192" t="s">
        <v>2172</v>
      </c>
    </row>
    <row r="193" spans="1:9" x14ac:dyDescent="0.25">
      <c r="A193" t="s">
        <v>1026</v>
      </c>
      <c r="B193" t="s">
        <v>75</v>
      </c>
      <c r="C193" t="s">
        <v>1186</v>
      </c>
      <c r="D193" t="s">
        <v>56</v>
      </c>
      <c r="E193" t="s">
        <v>1509</v>
      </c>
      <c r="F193" t="s">
        <v>1293</v>
      </c>
      <c r="G193" t="s">
        <v>910</v>
      </c>
      <c r="H193" t="s">
        <v>272</v>
      </c>
      <c r="I193" t="s">
        <v>2172</v>
      </c>
    </row>
    <row r="194" spans="1:9" x14ac:dyDescent="0.25">
      <c r="A194" t="s">
        <v>1027</v>
      </c>
      <c r="B194" t="s">
        <v>75</v>
      </c>
      <c r="C194" t="s">
        <v>1186</v>
      </c>
      <c r="D194" t="s">
        <v>56</v>
      </c>
      <c r="E194" t="s">
        <v>1509</v>
      </c>
      <c r="F194" t="s">
        <v>1221</v>
      </c>
      <c r="G194" t="s">
        <v>910</v>
      </c>
      <c r="H194" t="s">
        <v>272</v>
      </c>
      <c r="I194" t="s">
        <v>2172</v>
      </c>
    </row>
    <row r="195" spans="1:9" x14ac:dyDescent="0.25">
      <c r="A195" t="s">
        <v>1154</v>
      </c>
      <c r="B195" t="s">
        <v>911</v>
      </c>
      <c r="C195" t="s">
        <v>1180</v>
      </c>
      <c r="E195" t="s">
        <v>1242</v>
      </c>
      <c r="F195" t="s">
        <v>1229</v>
      </c>
      <c r="G195" t="s">
        <v>910</v>
      </c>
      <c r="H195" t="s">
        <v>1456</v>
      </c>
      <c r="I195" t="s">
        <v>2040</v>
      </c>
    </row>
    <row r="196" spans="1:9" x14ac:dyDescent="0.25">
      <c r="A196" t="s">
        <v>1157</v>
      </c>
      <c r="B196" t="s">
        <v>911</v>
      </c>
      <c r="C196" t="s">
        <v>1180</v>
      </c>
      <c r="E196" t="s">
        <v>1242</v>
      </c>
      <c r="F196" t="s">
        <v>8</v>
      </c>
      <c r="G196" t="s">
        <v>910</v>
      </c>
      <c r="H196" t="s">
        <v>1456</v>
      </c>
      <c r="I196" t="s">
        <v>2040</v>
      </c>
    </row>
    <row r="197" spans="1:9" x14ac:dyDescent="0.25">
      <c r="A197" t="s">
        <v>966</v>
      </c>
      <c r="B197" t="s">
        <v>911</v>
      </c>
      <c r="C197" t="s">
        <v>1180</v>
      </c>
      <c r="E197" t="s">
        <v>1242</v>
      </c>
      <c r="F197" t="s">
        <v>1331</v>
      </c>
      <c r="G197" t="s">
        <v>910</v>
      </c>
      <c r="H197" t="s">
        <v>1456</v>
      </c>
      <c r="I197" t="s">
        <v>2040</v>
      </c>
    </row>
    <row r="198" spans="1:9" x14ac:dyDescent="0.25">
      <c r="A198" t="s">
        <v>1159</v>
      </c>
      <c r="B198" t="s">
        <v>911</v>
      </c>
      <c r="C198" t="s">
        <v>1180</v>
      </c>
      <c r="E198" t="s">
        <v>1242</v>
      </c>
      <c r="F198" t="s">
        <v>1293</v>
      </c>
      <c r="G198" t="s">
        <v>910</v>
      </c>
      <c r="H198" t="s">
        <v>1456</v>
      </c>
      <c r="I198" t="s">
        <v>2040</v>
      </c>
    </row>
    <row r="199" spans="1:9" x14ac:dyDescent="0.25">
      <c r="A199" t="s">
        <v>1158</v>
      </c>
      <c r="B199" t="s">
        <v>911</v>
      </c>
      <c r="C199" t="s">
        <v>1180</v>
      </c>
      <c r="E199" t="s">
        <v>1242</v>
      </c>
      <c r="F199" t="s">
        <v>1221</v>
      </c>
      <c r="G199" t="s">
        <v>910</v>
      </c>
      <c r="H199" t="s">
        <v>1456</v>
      </c>
      <c r="I199" t="s">
        <v>2040</v>
      </c>
    </row>
    <row r="200" spans="1:9" x14ac:dyDescent="0.25">
      <c r="A200" t="s">
        <v>2662</v>
      </c>
      <c r="B200" t="s">
        <v>222</v>
      </c>
      <c r="C200" t="s">
        <v>1186</v>
      </c>
      <c r="D200" t="s">
        <v>15</v>
      </c>
      <c r="E200" t="s">
        <v>1271</v>
      </c>
      <c r="F200" t="s">
        <v>1221</v>
      </c>
      <c r="G200" t="s">
        <v>910</v>
      </c>
      <c r="H200" t="s">
        <v>562</v>
      </c>
      <c r="I200" t="s">
        <v>2663</v>
      </c>
    </row>
    <row r="201" spans="1:9" x14ac:dyDescent="0.25">
      <c r="A201" t="s">
        <v>1018</v>
      </c>
      <c r="B201" t="s">
        <v>222</v>
      </c>
      <c r="C201" t="s">
        <v>1181</v>
      </c>
      <c r="D201" t="s">
        <v>27</v>
      </c>
      <c r="E201" t="s">
        <v>1250</v>
      </c>
      <c r="F201" t="s">
        <v>1229</v>
      </c>
      <c r="G201" t="s">
        <v>910</v>
      </c>
      <c r="H201" t="s">
        <v>1287</v>
      </c>
      <c r="I201" t="s">
        <v>2171</v>
      </c>
    </row>
    <row r="202" spans="1:9" x14ac:dyDescent="0.25">
      <c r="A202" t="s">
        <v>1020</v>
      </c>
      <c r="B202" t="s">
        <v>222</v>
      </c>
      <c r="C202" t="s">
        <v>1181</v>
      </c>
      <c r="D202" t="s">
        <v>27</v>
      </c>
      <c r="E202" t="s">
        <v>1250</v>
      </c>
      <c r="F202" t="s">
        <v>8</v>
      </c>
      <c r="G202" t="s">
        <v>910</v>
      </c>
      <c r="H202" t="s">
        <v>1287</v>
      </c>
      <c r="I202" t="s">
        <v>2171</v>
      </c>
    </row>
    <row r="203" spans="1:9" x14ac:dyDescent="0.25">
      <c r="A203" t="s">
        <v>3123</v>
      </c>
      <c r="B203" t="s">
        <v>222</v>
      </c>
      <c r="C203" t="s">
        <v>1181</v>
      </c>
      <c r="D203" t="s">
        <v>27</v>
      </c>
      <c r="E203" t="s">
        <v>1250</v>
      </c>
      <c r="F203" t="s">
        <v>1331</v>
      </c>
      <c r="G203" t="s">
        <v>910</v>
      </c>
      <c r="H203" t="s">
        <v>1287</v>
      </c>
      <c r="I203" t="s">
        <v>2171</v>
      </c>
    </row>
    <row r="204" spans="1:9" x14ac:dyDescent="0.25">
      <c r="A204" t="s">
        <v>1022</v>
      </c>
      <c r="B204" t="s">
        <v>222</v>
      </c>
      <c r="C204" t="s">
        <v>1181</v>
      </c>
      <c r="D204" t="s">
        <v>27</v>
      </c>
      <c r="E204" t="s">
        <v>1250</v>
      </c>
      <c r="F204" t="s">
        <v>1293</v>
      </c>
      <c r="G204" t="s">
        <v>910</v>
      </c>
      <c r="H204" t="s">
        <v>1287</v>
      </c>
      <c r="I204" t="s">
        <v>2171</v>
      </c>
    </row>
    <row r="205" spans="1:9" x14ac:dyDescent="0.25">
      <c r="A205" t="s">
        <v>1021</v>
      </c>
      <c r="B205" t="s">
        <v>222</v>
      </c>
      <c r="C205" t="s">
        <v>1181</v>
      </c>
      <c r="D205" t="s">
        <v>27</v>
      </c>
      <c r="E205" t="s">
        <v>1250</v>
      </c>
      <c r="F205" t="s">
        <v>1221</v>
      </c>
      <c r="G205" t="s">
        <v>910</v>
      </c>
      <c r="H205" t="s">
        <v>1287</v>
      </c>
      <c r="I205" t="s">
        <v>2171</v>
      </c>
    </row>
    <row r="206" spans="1:9" x14ac:dyDescent="0.25">
      <c r="A206" t="s">
        <v>1177</v>
      </c>
      <c r="B206" t="s">
        <v>741</v>
      </c>
      <c r="C206" t="s">
        <v>1180</v>
      </c>
      <c r="D206" t="s">
        <v>84</v>
      </c>
      <c r="E206" t="s">
        <v>1507</v>
      </c>
      <c r="F206" t="s">
        <v>1229</v>
      </c>
      <c r="G206" t="s">
        <v>910</v>
      </c>
      <c r="H206" t="s">
        <v>1508</v>
      </c>
      <c r="I206" t="s">
        <v>2167</v>
      </c>
    </row>
    <row r="207" spans="1:9" x14ac:dyDescent="0.25">
      <c r="A207" t="s">
        <v>1015</v>
      </c>
      <c r="B207" t="s">
        <v>741</v>
      </c>
      <c r="C207" t="s">
        <v>1180</v>
      </c>
      <c r="D207" t="s">
        <v>84</v>
      </c>
      <c r="E207" t="s">
        <v>1507</v>
      </c>
      <c r="F207" t="s">
        <v>8</v>
      </c>
      <c r="G207" t="s">
        <v>910</v>
      </c>
      <c r="H207" t="s">
        <v>1508</v>
      </c>
      <c r="I207" t="s">
        <v>2167</v>
      </c>
    </row>
    <row r="208" spans="1:9" x14ac:dyDescent="0.25">
      <c r="A208" t="s">
        <v>1016</v>
      </c>
      <c r="B208" t="s">
        <v>741</v>
      </c>
      <c r="C208" t="s">
        <v>1180</v>
      </c>
      <c r="D208" t="s">
        <v>84</v>
      </c>
      <c r="E208" t="s">
        <v>1507</v>
      </c>
      <c r="F208" t="s">
        <v>1331</v>
      </c>
      <c r="G208" t="s">
        <v>910</v>
      </c>
      <c r="H208" t="s">
        <v>1508</v>
      </c>
      <c r="I208" t="s">
        <v>2167</v>
      </c>
    </row>
    <row r="209" spans="1:9" x14ac:dyDescent="0.25">
      <c r="A209" t="s">
        <v>1017</v>
      </c>
      <c r="B209" t="s">
        <v>741</v>
      </c>
      <c r="C209" t="s">
        <v>1180</v>
      </c>
      <c r="D209" t="s">
        <v>84</v>
      </c>
      <c r="E209" t="s">
        <v>1507</v>
      </c>
      <c r="F209" t="s">
        <v>1293</v>
      </c>
      <c r="G209" t="s">
        <v>910</v>
      </c>
      <c r="H209" t="s">
        <v>1508</v>
      </c>
      <c r="I209" t="s">
        <v>2167</v>
      </c>
    </row>
    <row r="210" spans="1:9" x14ac:dyDescent="0.25">
      <c r="A210" t="s">
        <v>1019</v>
      </c>
      <c r="B210" t="s">
        <v>741</v>
      </c>
      <c r="C210" t="s">
        <v>1180</v>
      </c>
      <c r="D210" t="s">
        <v>84</v>
      </c>
      <c r="E210" t="s">
        <v>1507</v>
      </c>
      <c r="F210" t="s">
        <v>1221</v>
      </c>
      <c r="G210" t="s">
        <v>910</v>
      </c>
      <c r="H210" t="s">
        <v>1508</v>
      </c>
      <c r="I210" t="s">
        <v>2167</v>
      </c>
    </row>
    <row r="211" spans="1:9" x14ac:dyDescent="0.25">
      <c r="A211" t="s">
        <v>912</v>
      </c>
      <c r="B211" t="s">
        <v>913</v>
      </c>
      <c r="C211" t="s">
        <v>1186</v>
      </c>
      <c r="D211" t="s">
        <v>1216</v>
      </c>
      <c r="E211" t="s">
        <v>1238</v>
      </c>
      <c r="F211" t="s">
        <v>1227</v>
      </c>
      <c r="G211" t="s">
        <v>1227</v>
      </c>
      <c r="H211" t="s">
        <v>1263</v>
      </c>
      <c r="I211" t="s">
        <v>1670</v>
      </c>
    </row>
    <row r="212" spans="1:9" x14ac:dyDescent="0.25">
      <c r="A212" t="s">
        <v>959</v>
      </c>
      <c r="B212" t="s">
        <v>913</v>
      </c>
      <c r="C212" t="s">
        <v>1186</v>
      </c>
      <c r="D212" t="s">
        <v>1216</v>
      </c>
      <c r="E212" t="s">
        <v>1238</v>
      </c>
      <c r="F212" t="s">
        <v>1227</v>
      </c>
      <c r="G212" t="s">
        <v>1227</v>
      </c>
      <c r="H212" t="s">
        <v>1263</v>
      </c>
      <c r="I212" t="s">
        <v>1670</v>
      </c>
    </row>
    <row r="213" spans="1:9" x14ac:dyDescent="0.25">
      <c r="A213" t="s">
        <v>961</v>
      </c>
      <c r="B213" t="s">
        <v>913</v>
      </c>
      <c r="C213" t="s">
        <v>1186</v>
      </c>
      <c r="D213" t="s">
        <v>1216</v>
      </c>
      <c r="E213" t="s">
        <v>1238</v>
      </c>
      <c r="F213" t="s">
        <v>1227</v>
      </c>
      <c r="G213" t="s">
        <v>1227</v>
      </c>
      <c r="H213" t="s">
        <v>1329</v>
      </c>
      <c r="I213" t="s">
        <v>1670</v>
      </c>
    </row>
    <row r="214" spans="1:9" x14ac:dyDescent="0.25">
      <c r="A214" t="s">
        <v>960</v>
      </c>
      <c r="B214" t="s">
        <v>913</v>
      </c>
      <c r="C214" t="s">
        <v>1186</v>
      </c>
      <c r="D214" t="s">
        <v>1216</v>
      </c>
      <c r="E214" t="s">
        <v>1238</v>
      </c>
      <c r="F214" t="s">
        <v>1227</v>
      </c>
      <c r="G214" t="s">
        <v>1227</v>
      </c>
      <c r="H214" t="s">
        <v>1329</v>
      </c>
      <c r="I214" t="s">
        <v>1670</v>
      </c>
    </row>
    <row r="215" spans="1:9" x14ac:dyDescent="0.25">
      <c r="A215" t="s">
        <v>3118</v>
      </c>
      <c r="B215" t="s">
        <v>3119</v>
      </c>
      <c r="C215" t="s">
        <v>1185</v>
      </c>
      <c r="D215" t="s">
        <v>21</v>
      </c>
      <c r="E215" t="s">
        <v>1240</v>
      </c>
      <c r="F215" t="s">
        <v>1417</v>
      </c>
      <c r="G215" t="s">
        <v>910</v>
      </c>
      <c r="H215" t="s">
        <v>3120</v>
      </c>
      <c r="I215" t="s">
        <v>2149</v>
      </c>
    </row>
    <row r="216" spans="1:9" x14ac:dyDescent="0.25">
      <c r="A216" t="s">
        <v>3122</v>
      </c>
      <c r="B216" t="s">
        <v>398</v>
      </c>
      <c r="C216" t="s">
        <v>1197</v>
      </c>
      <c r="D216" t="s">
        <v>15</v>
      </c>
      <c r="E216" t="s">
        <v>1403</v>
      </c>
      <c r="F216" t="s">
        <v>1513</v>
      </c>
      <c r="G216" t="s">
        <v>910</v>
      </c>
      <c r="H216" t="s">
        <v>126</v>
      </c>
      <c r="I216" t="s">
        <v>4514</v>
      </c>
    </row>
    <row r="217" spans="1:9" x14ac:dyDescent="0.25">
      <c r="A217" t="s">
        <v>3121</v>
      </c>
      <c r="B217" t="s">
        <v>398</v>
      </c>
      <c r="C217" t="s">
        <v>1197</v>
      </c>
      <c r="D217" t="s">
        <v>15</v>
      </c>
      <c r="E217" t="s">
        <v>1403</v>
      </c>
      <c r="F217" t="s">
        <v>1513</v>
      </c>
      <c r="G217" t="s">
        <v>910</v>
      </c>
      <c r="H217" t="s">
        <v>126</v>
      </c>
      <c r="I217" t="s">
        <v>4514</v>
      </c>
    </row>
    <row r="218" spans="1:9" x14ac:dyDescent="0.25">
      <c r="A218" t="s">
        <v>3117</v>
      </c>
      <c r="B218" t="s">
        <v>741</v>
      </c>
      <c r="C218" t="s">
        <v>1180</v>
      </c>
      <c r="D218" t="s">
        <v>741</v>
      </c>
      <c r="E218" t="s">
        <v>1250</v>
      </c>
      <c r="F218" t="s">
        <v>1417</v>
      </c>
      <c r="G218" t="s">
        <v>910</v>
      </c>
      <c r="H218" t="s">
        <v>697</v>
      </c>
      <c r="I218" t="s">
        <v>1952</v>
      </c>
    </row>
    <row r="219" spans="1:9" x14ac:dyDescent="0.25">
      <c r="A219" t="s">
        <v>3116</v>
      </c>
      <c r="B219" t="s">
        <v>741</v>
      </c>
      <c r="C219" t="s">
        <v>1180</v>
      </c>
      <c r="D219" t="s">
        <v>741</v>
      </c>
      <c r="E219" t="s">
        <v>1250</v>
      </c>
      <c r="F219" t="s">
        <v>1417</v>
      </c>
      <c r="G219" t="s">
        <v>910</v>
      </c>
      <c r="H219" t="s">
        <v>697</v>
      </c>
      <c r="I219" t="s">
        <v>1952</v>
      </c>
    </row>
    <row r="220" spans="1:9" x14ac:dyDescent="0.25">
      <c r="A220" t="s">
        <v>3115</v>
      </c>
      <c r="B220" t="s">
        <v>1028</v>
      </c>
      <c r="C220" t="s">
        <v>1206</v>
      </c>
      <c r="D220" t="s">
        <v>15</v>
      </c>
      <c r="E220" t="s">
        <v>1514</v>
      </c>
      <c r="F220" t="s">
        <v>1513</v>
      </c>
      <c r="G220" t="s">
        <v>910</v>
      </c>
      <c r="H220" t="s">
        <v>3114</v>
      </c>
      <c r="I220" t="s">
        <v>4515</v>
      </c>
    </row>
    <row r="221" spans="1:9" x14ac:dyDescent="0.25">
      <c r="A221" t="s">
        <v>3113</v>
      </c>
      <c r="B221" t="s">
        <v>1028</v>
      </c>
      <c r="C221" t="s">
        <v>1206</v>
      </c>
      <c r="D221" t="s">
        <v>15</v>
      </c>
      <c r="E221" t="s">
        <v>1514</v>
      </c>
      <c r="F221" t="s">
        <v>1513</v>
      </c>
      <c r="G221" t="s">
        <v>910</v>
      </c>
      <c r="H221" t="s">
        <v>3114</v>
      </c>
      <c r="I221" t="s">
        <v>4515</v>
      </c>
    </row>
    <row r="222" spans="1:9" x14ac:dyDescent="0.25">
      <c r="A222" t="s">
        <v>945</v>
      </c>
      <c r="B222" t="s">
        <v>678</v>
      </c>
      <c r="C222" t="s">
        <v>1186</v>
      </c>
      <c r="D222" t="s">
        <v>1347</v>
      </c>
      <c r="E222" t="s">
        <v>1348</v>
      </c>
      <c r="F222" t="s">
        <v>1343</v>
      </c>
      <c r="G222" t="s">
        <v>910</v>
      </c>
      <c r="H222" t="s">
        <v>716</v>
      </c>
      <c r="I222" t="s">
        <v>1779</v>
      </c>
    </row>
    <row r="223" spans="1:9" x14ac:dyDescent="0.25">
      <c r="A223" t="s">
        <v>932</v>
      </c>
      <c r="B223" t="s">
        <v>678</v>
      </c>
      <c r="C223" t="s">
        <v>1186</v>
      </c>
      <c r="D223" t="s">
        <v>1347</v>
      </c>
      <c r="E223" t="s">
        <v>1348</v>
      </c>
      <c r="F223" t="s">
        <v>1343</v>
      </c>
      <c r="G223" t="s">
        <v>910</v>
      </c>
      <c r="H223" t="s">
        <v>716</v>
      </c>
      <c r="I223" t="s">
        <v>1779</v>
      </c>
    </row>
    <row r="224" spans="1:9" x14ac:dyDescent="0.25">
      <c r="A224" t="s">
        <v>4028</v>
      </c>
      <c r="B224" t="s">
        <v>944</v>
      </c>
      <c r="C224" t="s">
        <v>1186</v>
      </c>
      <c r="D224" t="s">
        <v>1215</v>
      </c>
      <c r="E224" t="s">
        <v>1265</v>
      </c>
      <c r="F224" t="s">
        <v>1343</v>
      </c>
      <c r="G224" t="s">
        <v>910</v>
      </c>
      <c r="H224" t="s">
        <v>327</v>
      </c>
      <c r="I224" t="s">
        <v>2386</v>
      </c>
    </row>
    <row r="225" spans="1:9" x14ac:dyDescent="0.25">
      <c r="A225" t="s">
        <v>4027</v>
      </c>
      <c r="B225" t="s">
        <v>863</v>
      </c>
      <c r="C225" t="s">
        <v>1186</v>
      </c>
      <c r="D225" t="s">
        <v>62</v>
      </c>
      <c r="E225" t="s">
        <v>1423</v>
      </c>
      <c r="F225" t="s">
        <v>1343</v>
      </c>
      <c r="G225" t="s">
        <v>910</v>
      </c>
      <c r="H225" t="s">
        <v>562</v>
      </c>
      <c r="I225" t="s">
        <v>2104</v>
      </c>
    </row>
    <row r="226" spans="1:9" x14ac:dyDescent="0.25">
      <c r="A226" t="s">
        <v>4026</v>
      </c>
      <c r="B226" t="s">
        <v>148</v>
      </c>
      <c r="C226" t="s">
        <v>1586</v>
      </c>
      <c r="D226" t="s">
        <v>1215</v>
      </c>
      <c r="E226" t="s">
        <v>1423</v>
      </c>
      <c r="F226" t="s">
        <v>1343</v>
      </c>
      <c r="G226" t="s">
        <v>910</v>
      </c>
      <c r="H226" t="s">
        <v>92</v>
      </c>
      <c r="I226" t="s">
        <v>2384</v>
      </c>
    </row>
    <row r="227" spans="1:9" x14ac:dyDescent="0.25">
      <c r="A227" t="s">
        <v>4024</v>
      </c>
      <c r="B227" t="s">
        <v>4025</v>
      </c>
      <c r="C227" t="s">
        <v>1193</v>
      </c>
      <c r="D227" t="s">
        <v>741</v>
      </c>
      <c r="E227" t="s">
        <v>1573</v>
      </c>
      <c r="F227" t="s">
        <v>1526</v>
      </c>
      <c r="G227" t="s">
        <v>900</v>
      </c>
      <c r="H227" t="s">
        <v>562</v>
      </c>
      <c r="I227" t="s">
        <v>2332</v>
      </c>
    </row>
    <row r="228" spans="1:9" x14ac:dyDescent="0.25">
      <c r="A228" t="s">
        <v>4022</v>
      </c>
      <c r="B228" t="s">
        <v>552</v>
      </c>
      <c r="C228" t="s">
        <v>1180</v>
      </c>
      <c r="D228" t="s">
        <v>1347</v>
      </c>
      <c r="E228" t="s">
        <v>1600</v>
      </c>
      <c r="F228" t="s">
        <v>1343</v>
      </c>
      <c r="G228" t="s">
        <v>910</v>
      </c>
      <c r="H228" t="s">
        <v>1267</v>
      </c>
      <c r="I228" t="s">
        <v>2385</v>
      </c>
    </row>
    <row r="229" spans="1:9" x14ac:dyDescent="0.25">
      <c r="A229" t="s">
        <v>4019</v>
      </c>
      <c r="B229" t="s">
        <v>552</v>
      </c>
      <c r="C229" t="s">
        <v>1180</v>
      </c>
      <c r="D229" t="s">
        <v>1347</v>
      </c>
      <c r="E229" t="s">
        <v>4020</v>
      </c>
      <c r="F229" t="s">
        <v>1343</v>
      </c>
      <c r="G229" t="s">
        <v>910</v>
      </c>
      <c r="H229" t="s">
        <v>1433</v>
      </c>
      <c r="I229" t="s">
        <v>4021</v>
      </c>
    </row>
    <row r="230" spans="1:9" x14ac:dyDescent="0.25">
      <c r="A230" t="s">
        <v>4018</v>
      </c>
      <c r="B230" t="s">
        <v>586</v>
      </c>
      <c r="C230" t="s">
        <v>1180</v>
      </c>
      <c r="D230" t="s">
        <v>21</v>
      </c>
      <c r="E230" t="s">
        <v>1486</v>
      </c>
      <c r="F230" t="s">
        <v>1513</v>
      </c>
      <c r="G230" t="s">
        <v>910</v>
      </c>
      <c r="H230" t="s">
        <v>4017</v>
      </c>
      <c r="I230" t="s">
        <v>2275</v>
      </c>
    </row>
    <row r="231" spans="1:9" x14ac:dyDescent="0.25">
      <c r="A231" t="s">
        <v>4016</v>
      </c>
      <c r="B231" t="s">
        <v>586</v>
      </c>
      <c r="C231" t="s">
        <v>1180</v>
      </c>
      <c r="D231" t="s">
        <v>21</v>
      </c>
      <c r="E231" t="s">
        <v>1486</v>
      </c>
      <c r="F231" t="s">
        <v>1513</v>
      </c>
      <c r="G231" t="s">
        <v>910</v>
      </c>
      <c r="H231" t="s">
        <v>4017</v>
      </c>
      <c r="I231" t="s">
        <v>2275</v>
      </c>
    </row>
    <row r="232" spans="1:9" x14ac:dyDescent="0.25">
      <c r="A232" t="s">
        <v>4015</v>
      </c>
      <c r="B232" t="s">
        <v>635</v>
      </c>
      <c r="C232" t="s">
        <v>1180</v>
      </c>
      <c r="D232" t="s">
        <v>21</v>
      </c>
      <c r="E232" t="s">
        <v>1542</v>
      </c>
      <c r="F232" t="s">
        <v>1513</v>
      </c>
      <c r="G232" t="s">
        <v>910</v>
      </c>
      <c r="H232" t="s">
        <v>803</v>
      </c>
      <c r="I232" t="s">
        <v>2276</v>
      </c>
    </row>
    <row r="233" spans="1:9" x14ac:dyDescent="0.25">
      <c r="A233" t="s">
        <v>4014</v>
      </c>
      <c r="B233" t="s">
        <v>635</v>
      </c>
      <c r="C233" t="s">
        <v>1180</v>
      </c>
      <c r="D233" t="s">
        <v>21</v>
      </c>
      <c r="E233" t="s">
        <v>1542</v>
      </c>
      <c r="F233" t="s">
        <v>1513</v>
      </c>
      <c r="G233" t="s">
        <v>910</v>
      </c>
      <c r="H233" t="s">
        <v>803</v>
      </c>
      <c r="I233" t="s">
        <v>2276</v>
      </c>
    </row>
    <row r="234" spans="1:9" x14ac:dyDescent="0.25">
      <c r="A234" t="s">
        <v>4023</v>
      </c>
      <c r="B234" t="s">
        <v>505</v>
      </c>
      <c r="C234" t="s">
        <v>1463</v>
      </c>
      <c r="D234" t="s">
        <v>1347</v>
      </c>
      <c r="E234" t="s">
        <v>1601</v>
      </c>
      <c r="F234" t="s">
        <v>1343</v>
      </c>
      <c r="G234" t="s">
        <v>910</v>
      </c>
      <c r="H234" t="s">
        <v>1319</v>
      </c>
      <c r="I234" t="s">
        <v>2387</v>
      </c>
    </row>
    <row r="235" spans="1:9" x14ac:dyDescent="0.25">
      <c r="A235" t="s">
        <v>4013</v>
      </c>
      <c r="B235" t="s">
        <v>863</v>
      </c>
      <c r="C235" t="s">
        <v>1181</v>
      </c>
      <c r="D235" t="s">
        <v>1347</v>
      </c>
      <c r="E235" t="s">
        <v>1234</v>
      </c>
      <c r="F235" t="s">
        <v>1343</v>
      </c>
      <c r="G235" t="s">
        <v>910</v>
      </c>
      <c r="H235" t="s">
        <v>1279</v>
      </c>
      <c r="I235" t="s">
        <v>2388</v>
      </c>
    </row>
    <row r="236" spans="1:9" x14ac:dyDescent="0.25">
      <c r="A236" t="s">
        <v>4012</v>
      </c>
      <c r="B236" t="s">
        <v>863</v>
      </c>
      <c r="C236" t="s">
        <v>1181</v>
      </c>
      <c r="D236" t="s">
        <v>1347</v>
      </c>
      <c r="E236" t="s">
        <v>1234</v>
      </c>
      <c r="F236" t="s">
        <v>1343</v>
      </c>
      <c r="G236" t="s">
        <v>910</v>
      </c>
      <c r="H236" t="s">
        <v>1279</v>
      </c>
      <c r="I236" t="s">
        <v>2388</v>
      </c>
    </row>
    <row r="237" spans="1:9" x14ac:dyDescent="0.25">
      <c r="A237" t="s">
        <v>4011</v>
      </c>
      <c r="B237" t="s">
        <v>678</v>
      </c>
      <c r="C237" t="s">
        <v>1211</v>
      </c>
      <c r="D237" t="s">
        <v>741</v>
      </c>
      <c r="E237" t="s">
        <v>1452</v>
      </c>
      <c r="F237" t="s">
        <v>1343</v>
      </c>
      <c r="G237" t="s">
        <v>910</v>
      </c>
      <c r="H237" t="s">
        <v>486</v>
      </c>
      <c r="I237" t="s">
        <v>2037</v>
      </c>
    </row>
    <row r="238" spans="1:9" x14ac:dyDescent="0.25">
      <c r="A238" t="s">
        <v>2809</v>
      </c>
      <c r="B238" t="s">
        <v>678</v>
      </c>
      <c r="C238" t="s">
        <v>1211</v>
      </c>
      <c r="D238" t="s">
        <v>741</v>
      </c>
      <c r="E238" t="s">
        <v>1452</v>
      </c>
      <c r="F238" t="s">
        <v>1343</v>
      </c>
      <c r="G238" t="s">
        <v>910</v>
      </c>
      <c r="H238" t="s">
        <v>486</v>
      </c>
      <c r="I238" t="s">
        <v>2037</v>
      </c>
    </row>
    <row r="239" spans="1:9" x14ac:dyDescent="0.25">
      <c r="A239" t="s">
        <v>3139</v>
      </c>
      <c r="B239" t="s">
        <v>592</v>
      </c>
      <c r="C239" t="s">
        <v>1204</v>
      </c>
      <c r="F239" t="s">
        <v>1343</v>
      </c>
      <c r="G239" t="s">
        <v>910</v>
      </c>
      <c r="H239" t="s">
        <v>1324</v>
      </c>
      <c r="I239" t="s">
        <v>2033</v>
      </c>
    </row>
    <row r="240" spans="1:9" x14ac:dyDescent="0.25">
      <c r="A240" t="s">
        <v>3138</v>
      </c>
      <c r="B240" t="s">
        <v>592</v>
      </c>
      <c r="C240" t="s">
        <v>1204</v>
      </c>
      <c r="F240" t="s">
        <v>1343</v>
      </c>
      <c r="G240" t="s">
        <v>910</v>
      </c>
      <c r="H240" t="s">
        <v>1324</v>
      </c>
      <c r="I240" t="s">
        <v>2033</v>
      </c>
    </row>
    <row r="241" spans="1:9" x14ac:dyDescent="0.25">
      <c r="A241" t="s">
        <v>3137</v>
      </c>
      <c r="B241" t="s">
        <v>592</v>
      </c>
      <c r="C241" t="s">
        <v>1206</v>
      </c>
      <c r="E241" t="s">
        <v>1608</v>
      </c>
      <c r="F241" t="s">
        <v>1343</v>
      </c>
      <c r="G241" t="s">
        <v>910</v>
      </c>
      <c r="H241" t="s">
        <v>1369</v>
      </c>
      <c r="I241" t="s">
        <v>2395</v>
      </c>
    </row>
    <row r="242" spans="1:9" x14ac:dyDescent="0.25">
      <c r="A242" t="s">
        <v>3136</v>
      </c>
      <c r="B242" t="s">
        <v>678</v>
      </c>
      <c r="C242" t="s">
        <v>1204</v>
      </c>
      <c r="F242" t="s">
        <v>1343</v>
      </c>
      <c r="G242" t="s">
        <v>910</v>
      </c>
      <c r="H242" t="s">
        <v>689</v>
      </c>
      <c r="I242" t="s">
        <v>2034</v>
      </c>
    </row>
    <row r="243" spans="1:9" x14ac:dyDescent="0.25">
      <c r="A243" t="s">
        <v>3135</v>
      </c>
      <c r="B243" t="s">
        <v>678</v>
      </c>
      <c r="C243" t="s">
        <v>1204</v>
      </c>
      <c r="F243" t="s">
        <v>1343</v>
      </c>
      <c r="G243" t="s">
        <v>910</v>
      </c>
      <c r="H243" t="s">
        <v>689</v>
      </c>
      <c r="I243" t="s">
        <v>2034</v>
      </c>
    </row>
    <row r="244" spans="1:9" x14ac:dyDescent="0.25">
      <c r="A244" t="s">
        <v>3134</v>
      </c>
      <c r="B244" t="s">
        <v>678</v>
      </c>
      <c r="C244" t="s">
        <v>1206</v>
      </c>
      <c r="E244" t="s">
        <v>1589</v>
      </c>
      <c r="F244" t="s">
        <v>1343</v>
      </c>
      <c r="G244" t="s">
        <v>910</v>
      </c>
      <c r="H244" t="s">
        <v>17</v>
      </c>
      <c r="I244" t="s">
        <v>2367</v>
      </c>
    </row>
    <row r="245" spans="1:9" x14ac:dyDescent="0.25">
      <c r="A245" t="s">
        <v>3133</v>
      </c>
      <c r="B245" t="s">
        <v>944</v>
      </c>
      <c r="C245" t="s">
        <v>1204</v>
      </c>
      <c r="F245" t="s">
        <v>1343</v>
      </c>
      <c r="G245" t="s">
        <v>910</v>
      </c>
      <c r="H245" t="s">
        <v>1450</v>
      </c>
      <c r="I245" t="s">
        <v>2035</v>
      </c>
    </row>
    <row r="246" spans="1:9" x14ac:dyDescent="0.25">
      <c r="A246" t="s">
        <v>3132</v>
      </c>
      <c r="B246" t="s">
        <v>944</v>
      </c>
      <c r="C246" t="s">
        <v>1204</v>
      </c>
      <c r="F246" t="s">
        <v>1343</v>
      </c>
      <c r="G246" t="s">
        <v>910</v>
      </c>
      <c r="H246" t="s">
        <v>1450</v>
      </c>
      <c r="I246" t="s">
        <v>2035</v>
      </c>
    </row>
    <row r="247" spans="1:9" x14ac:dyDescent="0.25">
      <c r="A247" t="s">
        <v>3131</v>
      </c>
      <c r="B247" t="s">
        <v>944</v>
      </c>
      <c r="C247" t="s">
        <v>1206</v>
      </c>
      <c r="E247" t="s">
        <v>1605</v>
      </c>
      <c r="F247" t="s">
        <v>1343</v>
      </c>
      <c r="G247" t="s">
        <v>910</v>
      </c>
      <c r="H247" t="s">
        <v>1262</v>
      </c>
      <c r="I247" t="s">
        <v>2035</v>
      </c>
    </row>
    <row r="248" spans="1:9" x14ac:dyDescent="0.25">
      <c r="A248" t="s">
        <v>3130</v>
      </c>
      <c r="B248" t="s">
        <v>863</v>
      </c>
      <c r="C248" t="s">
        <v>1204</v>
      </c>
      <c r="F248" t="s">
        <v>1343</v>
      </c>
      <c r="G248" t="s">
        <v>910</v>
      </c>
      <c r="H248" t="s">
        <v>1451</v>
      </c>
      <c r="I248" t="s">
        <v>2036</v>
      </c>
    </row>
    <row r="249" spans="1:9" x14ac:dyDescent="0.25">
      <c r="A249" t="s">
        <v>3129</v>
      </c>
      <c r="B249" t="s">
        <v>863</v>
      </c>
      <c r="C249" t="s">
        <v>1204</v>
      </c>
      <c r="F249" t="s">
        <v>1343</v>
      </c>
      <c r="G249" t="s">
        <v>910</v>
      </c>
      <c r="H249" t="s">
        <v>1451</v>
      </c>
      <c r="I249" t="s">
        <v>2036</v>
      </c>
    </row>
    <row r="250" spans="1:9" x14ac:dyDescent="0.25">
      <c r="A250" t="s">
        <v>3128</v>
      </c>
      <c r="B250" t="s">
        <v>592</v>
      </c>
      <c r="C250" t="s">
        <v>1206</v>
      </c>
      <c r="D250" t="s">
        <v>21</v>
      </c>
      <c r="E250" t="s">
        <v>1606</v>
      </c>
      <c r="F250" t="s">
        <v>1513</v>
      </c>
      <c r="G250" t="s">
        <v>910</v>
      </c>
      <c r="H250" t="s">
        <v>1607</v>
      </c>
      <c r="I250" t="s">
        <v>2394</v>
      </c>
    </row>
    <row r="251" spans="1:9" x14ac:dyDescent="0.25">
      <c r="A251" t="s">
        <v>3127</v>
      </c>
      <c r="B251" t="s">
        <v>793</v>
      </c>
      <c r="C251" t="s">
        <v>1206</v>
      </c>
      <c r="D251" t="s">
        <v>21</v>
      </c>
      <c r="E251" t="s">
        <v>1512</v>
      </c>
      <c r="F251" t="s">
        <v>1513</v>
      </c>
      <c r="G251" t="s">
        <v>910</v>
      </c>
      <c r="H251" t="s">
        <v>636</v>
      </c>
      <c r="I251" t="s">
        <v>2204</v>
      </c>
    </row>
    <row r="252" spans="1:9" x14ac:dyDescent="0.25">
      <c r="A252" t="s">
        <v>3126</v>
      </c>
      <c r="B252" t="s">
        <v>793</v>
      </c>
      <c r="C252" t="s">
        <v>1206</v>
      </c>
      <c r="D252" t="s">
        <v>21</v>
      </c>
      <c r="E252" t="s">
        <v>1512</v>
      </c>
      <c r="F252" t="s">
        <v>1513</v>
      </c>
      <c r="G252" t="s">
        <v>910</v>
      </c>
      <c r="H252" t="s">
        <v>636</v>
      </c>
      <c r="I252" t="s">
        <v>2204</v>
      </c>
    </row>
    <row r="253" spans="1:9" x14ac:dyDescent="0.25">
      <c r="A253" t="s">
        <v>3125</v>
      </c>
      <c r="B253" t="s">
        <v>552</v>
      </c>
      <c r="C253" t="s">
        <v>1195</v>
      </c>
      <c r="D253" t="s">
        <v>1524</v>
      </c>
      <c r="E253" t="s">
        <v>1535</v>
      </c>
      <c r="F253" t="s">
        <v>1343</v>
      </c>
      <c r="G253" t="s">
        <v>910</v>
      </c>
      <c r="H253" t="s">
        <v>1389</v>
      </c>
      <c r="I253" t="s">
        <v>2271</v>
      </c>
    </row>
    <row r="254" spans="1:9" x14ac:dyDescent="0.25">
      <c r="A254" t="s">
        <v>3124</v>
      </c>
      <c r="B254" t="s">
        <v>552</v>
      </c>
      <c r="C254" t="s">
        <v>1186</v>
      </c>
      <c r="D254" t="s">
        <v>1216</v>
      </c>
      <c r="E254" t="s">
        <v>1600</v>
      </c>
      <c r="F254" t="s">
        <v>1343</v>
      </c>
      <c r="G254" t="s">
        <v>910</v>
      </c>
      <c r="H254" t="s">
        <v>442</v>
      </c>
      <c r="I254" t="s">
        <v>2393</v>
      </c>
    </row>
    <row r="255" spans="1:9" x14ac:dyDescent="0.25">
      <c r="A255" t="s">
        <v>4010</v>
      </c>
      <c r="B255" t="s">
        <v>592</v>
      </c>
      <c r="C255" t="s">
        <v>1186</v>
      </c>
      <c r="D255" t="s">
        <v>1347</v>
      </c>
      <c r="E255" t="s">
        <v>1483</v>
      </c>
      <c r="F255" t="s">
        <v>1343</v>
      </c>
      <c r="G255" t="s">
        <v>910</v>
      </c>
      <c r="H255" t="s">
        <v>712</v>
      </c>
      <c r="I255" t="s">
        <v>2097</v>
      </c>
    </row>
    <row r="256" spans="1:9" x14ac:dyDescent="0.25">
      <c r="A256" t="s">
        <v>4009</v>
      </c>
      <c r="B256" t="s">
        <v>592</v>
      </c>
      <c r="C256" t="s">
        <v>1186</v>
      </c>
      <c r="D256" t="s">
        <v>1347</v>
      </c>
      <c r="E256" t="s">
        <v>1342</v>
      </c>
      <c r="F256" t="s">
        <v>1343</v>
      </c>
      <c r="G256" t="s">
        <v>910</v>
      </c>
      <c r="H256" t="s">
        <v>4007</v>
      </c>
      <c r="I256" t="s">
        <v>4008</v>
      </c>
    </row>
    <row r="257" spans="1:9" x14ac:dyDescent="0.25">
      <c r="A257" t="s">
        <v>4006</v>
      </c>
      <c r="B257" t="s">
        <v>592</v>
      </c>
      <c r="C257" t="s">
        <v>1186</v>
      </c>
      <c r="D257" t="s">
        <v>1347</v>
      </c>
      <c r="E257" t="s">
        <v>1342</v>
      </c>
      <c r="F257" t="s">
        <v>1343</v>
      </c>
      <c r="G257" t="s">
        <v>910</v>
      </c>
      <c r="H257" t="s">
        <v>4007</v>
      </c>
      <c r="I257" t="s">
        <v>4008</v>
      </c>
    </row>
    <row r="258" spans="1:9" x14ac:dyDescent="0.25">
      <c r="A258" t="s">
        <v>4005</v>
      </c>
      <c r="B258" t="s">
        <v>678</v>
      </c>
      <c r="C258" t="s">
        <v>1186</v>
      </c>
      <c r="D258" t="s">
        <v>1347</v>
      </c>
      <c r="E258" t="s">
        <v>1348</v>
      </c>
      <c r="F258" t="s">
        <v>1343</v>
      </c>
      <c r="G258" t="s">
        <v>910</v>
      </c>
      <c r="H258" t="s">
        <v>719</v>
      </c>
      <c r="I258" t="s">
        <v>2098</v>
      </c>
    </row>
    <row r="259" spans="1:9" x14ac:dyDescent="0.25">
      <c r="A259" t="s">
        <v>4004</v>
      </c>
      <c r="B259" t="s">
        <v>61</v>
      </c>
      <c r="C259" t="s">
        <v>1186</v>
      </c>
      <c r="F259" t="s">
        <v>1513</v>
      </c>
      <c r="G259" t="s">
        <v>910</v>
      </c>
      <c r="H259" t="s">
        <v>1602</v>
      </c>
      <c r="I259" t="s">
        <v>2390</v>
      </c>
    </row>
    <row r="260" spans="1:9" x14ac:dyDescent="0.25">
      <c r="A260" t="s">
        <v>2908</v>
      </c>
      <c r="B260" t="s">
        <v>926</v>
      </c>
      <c r="C260" t="s">
        <v>1186</v>
      </c>
      <c r="D260" t="s">
        <v>318</v>
      </c>
      <c r="E260" t="s">
        <v>1525</v>
      </c>
      <c r="F260" t="s">
        <v>1526</v>
      </c>
      <c r="G260" t="s">
        <v>900</v>
      </c>
      <c r="H260" t="s">
        <v>1527</v>
      </c>
      <c r="I260" t="s">
        <v>2262</v>
      </c>
    </row>
    <row r="261" spans="1:9" x14ac:dyDescent="0.25">
      <c r="A261" t="s">
        <v>4003</v>
      </c>
      <c r="B261" t="s">
        <v>459</v>
      </c>
      <c r="C261" t="s">
        <v>1191</v>
      </c>
      <c r="E261" t="s">
        <v>1604</v>
      </c>
      <c r="F261" t="s">
        <v>1343</v>
      </c>
      <c r="G261" t="s">
        <v>910</v>
      </c>
      <c r="H261" t="s">
        <v>726</v>
      </c>
      <c r="I261" t="s">
        <v>2392</v>
      </c>
    </row>
    <row r="262" spans="1:9" x14ac:dyDescent="0.25">
      <c r="A262" t="s">
        <v>4002</v>
      </c>
      <c r="B262" t="s">
        <v>505</v>
      </c>
      <c r="C262" t="s">
        <v>1191</v>
      </c>
      <c r="E262" t="s">
        <v>1603</v>
      </c>
      <c r="F262" t="s">
        <v>1343</v>
      </c>
      <c r="G262" t="s">
        <v>910</v>
      </c>
      <c r="H262" t="s">
        <v>562</v>
      </c>
      <c r="I262" t="s">
        <v>2391</v>
      </c>
    </row>
    <row r="263" spans="1:9" x14ac:dyDescent="0.25">
      <c r="A263" t="s">
        <v>1003</v>
      </c>
      <c r="B263" t="s">
        <v>552</v>
      </c>
      <c r="C263" t="s">
        <v>1191</v>
      </c>
      <c r="D263" t="s">
        <v>1215</v>
      </c>
      <c r="E263" t="s">
        <v>1499</v>
      </c>
      <c r="F263" t="s">
        <v>1343</v>
      </c>
      <c r="G263" t="s">
        <v>910</v>
      </c>
      <c r="H263" t="s">
        <v>37</v>
      </c>
      <c r="I263" t="s">
        <v>2136</v>
      </c>
    </row>
    <row r="264" spans="1:9" x14ac:dyDescent="0.25">
      <c r="A264" t="s">
        <v>4001</v>
      </c>
      <c r="B264" t="s">
        <v>592</v>
      </c>
      <c r="C264" t="s">
        <v>1191</v>
      </c>
      <c r="D264" t="s">
        <v>1216</v>
      </c>
      <c r="E264" t="s">
        <v>1342</v>
      </c>
      <c r="F264" t="s">
        <v>1343</v>
      </c>
      <c r="G264" t="s">
        <v>910</v>
      </c>
      <c r="H264" t="s">
        <v>1344</v>
      </c>
      <c r="I264" t="s">
        <v>1773</v>
      </c>
    </row>
    <row r="265" spans="1:9" x14ac:dyDescent="0.25">
      <c r="A265" t="s">
        <v>4000</v>
      </c>
      <c r="B265" t="s">
        <v>592</v>
      </c>
      <c r="C265" t="s">
        <v>1191</v>
      </c>
      <c r="D265" t="s">
        <v>1216</v>
      </c>
      <c r="E265" t="s">
        <v>1342</v>
      </c>
      <c r="F265" t="s">
        <v>1343</v>
      </c>
      <c r="G265" t="s">
        <v>910</v>
      </c>
      <c r="H265" t="s">
        <v>697</v>
      </c>
      <c r="I265" t="s">
        <v>1706</v>
      </c>
    </row>
    <row r="266" spans="1:9" x14ac:dyDescent="0.25">
      <c r="A266" t="s">
        <v>3999</v>
      </c>
      <c r="B266" t="s">
        <v>678</v>
      </c>
      <c r="C266" t="s">
        <v>1191</v>
      </c>
      <c r="D266" t="s">
        <v>1216</v>
      </c>
      <c r="E266" t="s">
        <v>1486</v>
      </c>
      <c r="F266" t="s">
        <v>1343</v>
      </c>
      <c r="G266" t="s">
        <v>910</v>
      </c>
      <c r="H266" t="s">
        <v>719</v>
      </c>
      <c r="I266" t="s">
        <v>2100</v>
      </c>
    </row>
    <row r="267" spans="1:9" x14ac:dyDescent="0.25">
      <c r="A267" t="s">
        <v>3998</v>
      </c>
      <c r="B267" t="s">
        <v>678</v>
      </c>
      <c r="C267" t="s">
        <v>1191</v>
      </c>
      <c r="D267" t="s">
        <v>1216</v>
      </c>
      <c r="E267" t="s">
        <v>1486</v>
      </c>
      <c r="F267" t="s">
        <v>1343</v>
      </c>
      <c r="G267" t="s">
        <v>910</v>
      </c>
      <c r="H267" t="s">
        <v>719</v>
      </c>
      <c r="I267" t="s">
        <v>2100</v>
      </c>
    </row>
    <row r="268" spans="1:9" x14ac:dyDescent="0.25">
      <c r="A268" t="s">
        <v>2907</v>
      </c>
      <c r="B268" t="s">
        <v>678</v>
      </c>
      <c r="C268" t="s">
        <v>1191</v>
      </c>
      <c r="D268" t="s">
        <v>21</v>
      </c>
      <c r="E268" t="s">
        <v>1269</v>
      </c>
      <c r="F268" t="s">
        <v>1417</v>
      </c>
      <c r="G268" t="s">
        <v>910</v>
      </c>
      <c r="H268" t="s">
        <v>483</v>
      </c>
      <c r="I268" t="s">
        <v>2151</v>
      </c>
    </row>
    <row r="269" spans="1:9" x14ac:dyDescent="0.25">
      <c r="A269" t="s">
        <v>3997</v>
      </c>
      <c r="B269" t="s">
        <v>592</v>
      </c>
      <c r="C269" t="s">
        <v>1191</v>
      </c>
      <c r="D269" t="s">
        <v>741</v>
      </c>
      <c r="E269" t="s">
        <v>1420</v>
      </c>
      <c r="F269" t="s">
        <v>1417</v>
      </c>
      <c r="G269" t="s">
        <v>910</v>
      </c>
      <c r="H269" t="s">
        <v>1421</v>
      </c>
      <c r="I269" t="s">
        <v>1963</v>
      </c>
    </row>
    <row r="270" spans="1:9" x14ac:dyDescent="0.25">
      <c r="A270" t="s">
        <v>3996</v>
      </c>
      <c r="B270" t="s">
        <v>592</v>
      </c>
      <c r="C270" t="s">
        <v>1191</v>
      </c>
      <c r="D270" t="s">
        <v>741</v>
      </c>
      <c r="E270" t="s">
        <v>1420</v>
      </c>
      <c r="F270" t="s">
        <v>1417</v>
      </c>
      <c r="G270" t="s">
        <v>910</v>
      </c>
      <c r="H270" t="s">
        <v>1421</v>
      </c>
      <c r="I270" t="s">
        <v>1963</v>
      </c>
    </row>
    <row r="271" spans="1:9" x14ac:dyDescent="0.25">
      <c r="A271" t="s">
        <v>3160</v>
      </c>
      <c r="B271" t="s">
        <v>407</v>
      </c>
      <c r="C271" t="s">
        <v>1463</v>
      </c>
      <c r="D271" t="s">
        <v>27</v>
      </c>
      <c r="E271" t="s">
        <v>1609</v>
      </c>
      <c r="F271" t="s">
        <v>1343</v>
      </c>
      <c r="G271" t="s">
        <v>910</v>
      </c>
      <c r="H271" t="s">
        <v>1294</v>
      </c>
      <c r="I271" t="s">
        <v>2396</v>
      </c>
    </row>
    <row r="272" spans="1:9" x14ac:dyDescent="0.25">
      <c r="A272" t="s">
        <v>3159</v>
      </c>
      <c r="B272" t="s">
        <v>459</v>
      </c>
      <c r="C272" t="s">
        <v>1586</v>
      </c>
      <c r="D272" t="s">
        <v>1216</v>
      </c>
      <c r="E272" t="s">
        <v>1587</v>
      </c>
      <c r="F272" t="s">
        <v>1343</v>
      </c>
      <c r="G272" t="s">
        <v>910</v>
      </c>
      <c r="H272" t="s">
        <v>1588</v>
      </c>
      <c r="I272" t="s">
        <v>2366</v>
      </c>
    </row>
    <row r="273" spans="1:9" x14ac:dyDescent="0.25">
      <c r="A273" t="s">
        <v>3158</v>
      </c>
      <c r="B273" t="s">
        <v>505</v>
      </c>
      <c r="C273" t="s">
        <v>1197</v>
      </c>
      <c r="D273" t="s">
        <v>203</v>
      </c>
      <c r="E273" t="s">
        <v>1486</v>
      </c>
      <c r="F273" t="s">
        <v>1513</v>
      </c>
      <c r="G273" t="s">
        <v>910</v>
      </c>
      <c r="H273" t="s">
        <v>2627</v>
      </c>
      <c r="I273" t="s">
        <v>2397</v>
      </c>
    </row>
    <row r="274" spans="1:9" x14ac:dyDescent="0.25">
      <c r="A274" t="s">
        <v>3156</v>
      </c>
      <c r="B274" t="s">
        <v>3157</v>
      </c>
      <c r="C274" t="s">
        <v>1193</v>
      </c>
      <c r="D274" t="s">
        <v>56</v>
      </c>
      <c r="E274" t="s">
        <v>1571</v>
      </c>
      <c r="F274" t="s">
        <v>1526</v>
      </c>
      <c r="G274" t="s">
        <v>900</v>
      </c>
      <c r="H274" t="s">
        <v>1572</v>
      </c>
      <c r="I274" t="s">
        <v>2331</v>
      </c>
    </row>
    <row r="275" spans="1:9" x14ac:dyDescent="0.25">
      <c r="A275" t="s">
        <v>2905</v>
      </c>
      <c r="B275" t="s">
        <v>863</v>
      </c>
      <c r="C275" t="s">
        <v>1491</v>
      </c>
      <c r="D275" t="s">
        <v>1215</v>
      </c>
      <c r="E275" t="s">
        <v>1423</v>
      </c>
      <c r="F275" t="s">
        <v>1343</v>
      </c>
      <c r="G275" t="s">
        <v>910</v>
      </c>
      <c r="H275" t="s">
        <v>562</v>
      </c>
      <c r="I275" t="s">
        <v>2906</v>
      </c>
    </row>
    <row r="276" spans="1:9" x14ac:dyDescent="0.25">
      <c r="A276" t="s">
        <v>3155</v>
      </c>
      <c r="B276" t="s">
        <v>4513</v>
      </c>
      <c r="C276" t="s">
        <v>1181</v>
      </c>
      <c r="D276" t="s">
        <v>56</v>
      </c>
      <c r="E276" t="s">
        <v>1610</v>
      </c>
      <c r="F276" t="s">
        <v>1343</v>
      </c>
      <c r="G276" t="s">
        <v>910</v>
      </c>
      <c r="H276" t="s">
        <v>719</v>
      </c>
      <c r="I276" t="s">
        <v>2400</v>
      </c>
    </row>
    <row r="277" spans="1:9" x14ac:dyDescent="0.25">
      <c r="A277" t="s">
        <v>3154</v>
      </c>
      <c r="B277" t="s">
        <v>1028</v>
      </c>
      <c r="C277" t="s">
        <v>1195</v>
      </c>
      <c r="D277" t="s">
        <v>203</v>
      </c>
      <c r="E277" t="s">
        <v>1275</v>
      </c>
      <c r="F277" t="s">
        <v>1513</v>
      </c>
      <c r="G277" t="s">
        <v>910</v>
      </c>
      <c r="H277" t="s">
        <v>2627</v>
      </c>
      <c r="I277" t="s">
        <v>2398</v>
      </c>
    </row>
    <row r="278" spans="1:9" x14ac:dyDescent="0.25">
      <c r="A278" t="s">
        <v>3148</v>
      </c>
      <c r="B278" t="s">
        <v>3149</v>
      </c>
      <c r="C278" t="s">
        <v>1185</v>
      </c>
      <c r="D278" t="s">
        <v>21</v>
      </c>
      <c r="F278" t="s">
        <v>1417</v>
      </c>
      <c r="G278" t="s">
        <v>910</v>
      </c>
      <c r="H278" t="s">
        <v>3150</v>
      </c>
      <c r="I278" t="s">
        <v>2140</v>
      </c>
    </row>
    <row r="279" spans="1:9" x14ac:dyDescent="0.25">
      <c r="A279" t="s">
        <v>3151</v>
      </c>
      <c r="B279" t="s">
        <v>3152</v>
      </c>
      <c r="C279" t="s">
        <v>1187</v>
      </c>
      <c r="D279" t="s">
        <v>203</v>
      </c>
      <c r="E279" t="s">
        <v>1476</v>
      </c>
      <c r="F279" t="s">
        <v>1513</v>
      </c>
      <c r="G279" t="s">
        <v>910</v>
      </c>
      <c r="H279" t="s">
        <v>3153</v>
      </c>
      <c r="I279" t="s">
        <v>2399</v>
      </c>
    </row>
    <row r="280" spans="1:9" x14ac:dyDescent="0.25">
      <c r="A280" t="s">
        <v>2903</v>
      </c>
      <c r="B280" t="s">
        <v>2904</v>
      </c>
      <c r="C280" t="s">
        <v>1187</v>
      </c>
      <c r="D280" t="s">
        <v>318</v>
      </c>
      <c r="E280" t="s">
        <v>1359</v>
      </c>
      <c r="F280" t="s">
        <v>1526</v>
      </c>
      <c r="G280" t="s">
        <v>900</v>
      </c>
      <c r="H280" t="s">
        <v>1528</v>
      </c>
      <c r="I280" t="s">
        <v>2263</v>
      </c>
    </row>
    <row r="281" spans="1:9" x14ac:dyDescent="0.25">
      <c r="A281" t="s">
        <v>3147</v>
      </c>
      <c r="B281" t="s">
        <v>552</v>
      </c>
      <c r="C281" t="s">
        <v>1197</v>
      </c>
      <c r="D281" t="s">
        <v>1216</v>
      </c>
      <c r="F281" t="s">
        <v>1286</v>
      </c>
      <c r="G281" t="s">
        <v>910</v>
      </c>
      <c r="H281" t="s">
        <v>1577</v>
      </c>
      <c r="I281" t="s">
        <v>2349</v>
      </c>
    </row>
    <row r="282" spans="1:9" x14ac:dyDescent="0.25">
      <c r="A282" t="s">
        <v>3146</v>
      </c>
      <c r="B282" t="s">
        <v>552</v>
      </c>
      <c r="C282" t="s">
        <v>1197</v>
      </c>
      <c r="D282" t="s">
        <v>1216</v>
      </c>
      <c r="F282" t="s">
        <v>1227</v>
      </c>
      <c r="G282" t="s">
        <v>910</v>
      </c>
      <c r="H282" t="s">
        <v>1577</v>
      </c>
      <c r="I282" t="s">
        <v>2349</v>
      </c>
    </row>
    <row r="283" spans="1:9" x14ac:dyDescent="0.25">
      <c r="A283" t="s">
        <v>3145</v>
      </c>
      <c r="B283" t="s">
        <v>552</v>
      </c>
      <c r="C283" t="s">
        <v>1197</v>
      </c>
      <c r="D283" t="s">
        <v>1216</v>
      </c>
      <c r="F283" t="s">
        <v>1221</v>
      </c>
      <c r="G283" t="s">
        <v>910</v>
      </c>
      <c r="H283" t="s">
        <v>1577</v>
      </c>
      <c r="I283" t="s">
        <v>2349</v>
      </c>
    </row>
    <row r="284" spans="1:9" x14ac:dyDescent="0.25">
      <c r="A284" t="s">
        <v>3144</v>
      </c>
      <c r="B284" t="s">
        <v>741</v>
      </c>
      <c r="C284" t="s">
        <v>1206</v>
      </c>
      <c r="D284" t="s">
        <v>1216</v>
      </c>
      <c r="F284" t="s">
        <v>1229</v>
      </c>
      <c r="G284" t="s">
        <v>910</v>
      </c>
      <c r="H284" t="s">
        <v>597</v>
      </c>
    </row>
    <row r="285" spans="1:9" x14ac:dyDescent="0.25">
      <c r="A285" t="s">
        <v>3143</v>
      </c>
      <c r="B285" t="s">
        <v>741</v>
      </c>
      <c r="C285" t="s">
        <v>1206</v>
      </c>
      <c r="D285" t="s">
        <v>1216</v>
      </c>
      <c r="F285" t="s">
        <v>8</v>
      </c>
      <c r="G285" t="s">
        <v>910</v>
      </c>
      <c r="H285" t="s">
        <v>597</v>
      </c>
    </row>
    <row r="286" spans="1:9" x14ac:dyDescent="0.25">
      <c r="A286" t="s">
        <v>3142</v>
      </c>
      <c r="B286" t="s">
        <v>741</v>
      </c>
      <c r="C286" t="s">
        <v>1206</v>
      </c>
      <c r="D286" t="s">
        <v>1216</v>
      </c>
      <c r="F286" t="s">
        <v>1221</v>
      </c>
      <c r="G286" t="s">
        <v>910</v>
      </c>
      <c r="H286" t="s">
        <v>597</v>
      </c>
    </row>
    <row r="287" spans="1:9" x14ac:dyDescent="0.25">
      <c r="A287" t="s">
        <v>2808</v>
      </c>
      <c r="B287" t="s">
        <v>954</v>
      </c>
      <c r="C287" t="s">
        <v>1431</v>
      </c>
      <c r="D287" t="s">
        <v>84</v>
      </c>
      <c r="E287" t="s">
        <v>1246</v>
      </c>
      <c r="F287" t="s">
        <v>1229</v>
      </c>
      <c r="G287" t="s">
        <v>910</v>
      </c>
      <c r="H287" t="s">
        <v>330</v>
      </c>
      <c r="I287" t="s">
        <v>258</v>
      </c>
    </row>
    <row r="288" spans="1:9" x14ac:dyDescent="0.25">
      <c r="A288" t="s">
        <v>3141</v>
      </c>
      <c r="B288" t="s">
        <v>954</v>
      </c>
      <c r="C288" t="s">
        <v>1431</v>
      </c>
      <c r="D288" t="s">
        <v>84</v>
      </c>
      <c r="E288" t="s">
        <v>1246</v>
      </c>
      <c r="F288" t="s">
        <v>1229</v>
      </c>
      <c r="G288" t="s">
        <v>910</v>
      </c>
      <c r="H288" t="s">
        <v>330</v>
      </c>
      <c r="I288" t="s">
        <v>258</v>
      </c>
    </row>
    <row r="289" spans="1:9" x14ac:dyDescent="0.25">
      <c r="A289" t="s">
        <v>3140</v>
      </c>
      <c r="B289" t="s">
        <v>954</v>
      </c>
      <c r="C289" t="s">
        <v>1431</v>
      </c>
      <c r="D289" t="s">
        <v>84</v>
      </c>
      <c r="E289" t="s">
        <v>1246</v>
      </c>
      <c r="F289" t="s">
        <v>1286</v>
      </c>
      <c r="G289" t="s">
        <v>910</v>
      </c>
      <c r="H289" t="s">
        <v>330</v>
      </c>
      <c r="I289" t="s">
        <v>258</v>
      </c>
    </row>
    <row r="290" spans="1:9" x14ac:dyDescent="0.25">
      <c r="A290" t="s">
        <v>3995</v>
      </c>
      <c r="B290" t="s">
        <v>954</v>
      </c>
      <c r="C290" t="s">
        <v>1431</v>
      </c>
      <c r="D290" t="s">
        <v>84</v>
      </c>
      <c r="E290" t="s">
        <v>1246</v>
      </c>
      <c r="F290" t="s">
        <v>8</v>
      </c>
      <c r="G290" t="s">
        <v>910</v>
      </c>
      <c r="H290" t="s">
        <v>330</v>
      </c>
      <c r="I290" t="s">
        <v>258</v>
      </c>
    </row>
    <row r="291" spans="1:9" x14ac:dyDescent="0.25">
      <c r="A291" t="s">
        <v>3994</v>
      </c>
      <c r="B291" t="s">
        <v>954</v>
      </c>
      <c r="C291" t="s">
        <v>1431</v>
      </c>
      <c r="D291" t="s">
        <v>84</v>
      </c>
      <c r="E291" t="s">
        <v>1246</v>
      </c>
      <c r="F291" t="s">
        <v>8</v>
      </c>
      <c r="G291" t="s">
        <v>910</v>
      </c>
      <c r="H291" t="s">
        <v>330</v>
      </c>
      <c r="I291" t="s">
        <v>258</v>
      </c>
    </row>
    <row r="292" spans="1:9" x14ac:dyDescent="0.25">
      <c r="A292" t="s">
        <v>3993</v>
      </c>
      <c r="B292" t="s">
        <v>954</v>
      </c>
      <c r="C292" t="s">
        <v>1431</v>
      </c>
      <c r="D292" t="s">
        <v>84</v>
      </c>
      <c r="E292" t="s">
        <v>1246</v>
      </c>
      <c r="F292" t="s">
        <v>1331</v>
      </c>
      <c r="G292" t="s">
        <v>910</v>
      </c>
      <c r="H292" t="s">
        <v>330</v>
      </c>
      <c r="I292" t="s">
        <v>258</v>
      </c>
    </row>
    <row r="293" spans="1:9" x14ac:dyDescent="0.25">
      <c r="A293" t="s">
        <v>3992</v>
      </c>
      <c r="B293" t="s">
        <v>954</v>
      </c>
      <c r="C293" t="s">
        <v>1431</v>
      </c>
      <c r="D293" t="s">
        <v>84</v>
      </c>
      <c r="E293" t="s">
        <v>1246</v>
      </c>
      <c r="F293" t="s">
        <v>1333</v>
      </c>
      <c r="G293" t="s">
        <v>910</v>
      </c>
      <c r="H293" t="s">
        <v>330</v>
      </c>
      <c r="I293" t="s">
        <v>258</v>
      </c>
    </row>
    <row r="294" spans="1:9" x14ac:dyDescent="0.25">
      <c r="A294" t="s">
        <v>3991</v>
      </c>
      <c r="B294" t="s">
        <v>954</v>
      </c>
      <c r="C294" t="s">
        <v>1431</v>
      </c>
      <c r="D294" t="s">
        <v>84</v>
      </c>
      <c r="E294" t="s">
        <v>1246</v>
      </c>
      <c r="F294" t="s">
        <v>1293</v>
      </c>
      <c r="G294" t="s">
        <v>910</v>
      </c>
      <c r="H294" t="s">
        <v>330</v>
      </c>
      <c r="I294" t="s">
        <v>258</v>
      </c>
    </row>
    <row r="295" spans="1:9" x14ac:dyDescent="0.25">
      <c r="A295" t="s">
        <v>3990</v>
      </c>
      <c r="B295" t="s">
        <v>822</v>
      </c>
      <c r="C295" t="s">
        <v>1183</v>
      </c>
      <c r="D295" t="s">
        <v>1552</v>
      </c>
      <c r="E295" t="s">
        <v>1246</v>
      </c>
      <c r="F295" t="s">
        <v>1229</v>
      </c>
      <c r="G295" t="s">
        <v>910</v>
      </c>
      <c r="H295" t="s">
        <v>612</v>
      </c>
      <c r="I295" t="s">
        <v>304</v>
      </c>
    </row>
    <row r="296" spans="1:9" x14ac:dyDescent="0.25">
      <c r="A296" t="s">
        <v>3989</v>
      </c>
      <c r="B296" t="s">
        <v>822</v>
      </c>
      <c r="C296" t="s">
        <v>1183</v>
      </c>
      <c r="D296" t="s">
        <v>1552</v>
      </c>
      <c r="E296" t="s">
        <v>1246</v>
      </c>
      <c r="F296" t="s">
        <v>1286</v>
      </c>
      <c r="G296" t="s">
        <v>910</v>
      </c>
      <c r="H296" t="s">
        <v>612</v>
      </c>
      <c r="I296" t="s">
        <v>304</v>
      </c>
    </row>
    <row r="297" spans="1:9" x14ac:dyDescent="0.25">
      <c r="A297" t="s">
        <v>3988</v>
      </c>
      <c r="B297" t="s">
        <v>822</v>
      </c>
      <c r="C297" t="s">
        <v>1183</v>
      </c>
      <c r="D297" t="s">
        <v>1552</v>
      </c>
      <c r="E297" t="s">
        <v>1246</v>
      </c>
      <c r="F297" t="s">
        <v>1227</v>
      </c>
      <c r="G297" t="s">
        <v>910</v>
      </c>
      <c r="H297" t="s">
        <v>612</v>
      </c>
      <c r="I297" t="s">
        <v>304</v>
      </c>
    </row>
    <row r="298" spans="1:9" x14ac:dyDescent="0.25">
      <c r="A298" t="s">
        <v>3987</v>
      </c>
      <c r="B298" t="s">
        <v>822</v>
      </c>
      <c r="C298" t="s">
        <v>1183</v>
      </c>
      <c r="D298" t="s">
        <v>1552</v>
      </c>
      <c r="E298" t="s">
        <v>1246</v>
      </c>
      <c r="F298" t="s">
        <v>8</v>
      </c>
      <c r="G298" t="s">
        <v>910</v>
      </c>
      <c r="H298" t="s">
        <v>612</v>
      </c>
      <c r="I298" t="s">
        <v>304</v>
      </c>
    </row>
    <row r="299" spans="1:9" x14ac:dyDescent="0.25">
      <c r="A299" t="s">
        <v>3986</v>
      </c>
      <c r="B299" t="s">
        <v>822</v>
      </c>
      <c r="C299" t="s">
        <v>1183</v>
      </c>
      <c r="D299" t="s">
        <v>1552</v>
      </c>
      <c r="E299" t="s">
        <v>1246</v>
      </c>
      <c r="F299" t="s">
        <v>1331</v>
      </c>
      <c r="G299" t="s">
        <v>910</v>
      </c>
      <c r="H299" t="s">
        <v>612</v>
      </c>
      <c r="I299" t="s">
        <v>304</v>
      </c>
    </row>
    <row r="300" spans="1:9" x14ac:dyDescent="0.25">
      <c r="A300" t="s">
        <v>3985</v>
      </c>
      <c r="B300" t="s">
        <v>822</v>
      </c>
      <c r="C300" t="s">
        <v>1183</v>
      </c>
      <c r="D300" t="s">
        <v>1552</v>
      </c>
      <c r="E300" t="s">
        <v>1246</v>
      </c>
      <c r="F300" t="s">
        <v>1333</v>
      </c>
      <c r="G300" t="s">
        <v>910</v>
      </c>
      <c r="H300" t="s">
        <v>612</v>
      </c>
      <c r="I300" t="s">
        <v>304</v>
      </c>
    </row>
    <row r="301" spans="1:9" x14ac:dyDescent="0.25">
      <c r="A301" t="s">
        <v>3984</v>
      </c>
      <c r="B301" t="s">
        <v>822</v>
      </c>
      <c r="C301" t="s">
        <v>1183</v>
      </c>
      <c r="D301" t="s">
        <v>1552</v>
      </c>
      <c r="E301" t="s">
        <v>1246</v>
      </c>
      <c r="F301" t="s">
        <v>1293</v>
      </c>
      <c r="G301" t="s">
        <v>910</v>
      </c>
      <c r="H301" t="s">
        <v>612</v>
      </c>
      <c r="I301" t="s">
        <v>304</v>
      </c>
    </row>
    <row r="302" spans="1:9" x14ac:dyDescent="0.25">
      <c r="A302" t="s">
        <v>3983</v>
      </c>
      <c r="B302" t="s">
        <v>822</v>
      </c>
      <c r="C302" t="s">
        <v>1183</v>
      </c>
      <c r="D302" t="s">
        <v>1552</v>
      </c>
      <c r="E302" t="s">
        <v>1246</v>
      </c>
      <c r="F302" t="s">
        <v>1221</v>
      </c>
      <c r="G302" t="s">
        <v>910</v>
      </c>
      <c r="H302" t="s">
        <v>612</v>
      </c>
      <c r="I302" t="s">
        <v>304</v>
      </c>
    </row>
    <row r="303" spans="1:9" x14ac:dyDescent="0.25">
      <c r="A303" t="s">
        <v>3982</v>
      </c>
      <c r="B303" t="s">
        <v>91</v>
      </c>
      <c r="C303" t="s">
        <v>1202</v>
      </c>
      <c r="F303" t="s">
        <v>1229</v>
      </c>
      <c r="G303" t="s">
        <v>910</v>
      </c>
    </row>
    <row r="304" spans="1:9" x14ac:dyDescent="0.25">
      <c r="A304" t="s">
        <v>3176</v>
      </c>
      <c r="B304" t="s">
        <v>91</v>
      </c>
      <c r="C304" t="s">
        <v>1202</v>
      </c>
      <c r="F304" t="s">
        <v>8</v>
      </c>
      <c r="G304" t="s">
        <v>910</v>
      </c>
    </row>
    <row r="305" spans="1:9" x14ac:dyDescent="0.25">
      <c r="A305" t="s">
        <v>3173</v>
      </c>
      <c r="B305" t="s">
        <v>911</v>
      </c>
      <c r="C305" t="s">
        <v>1180</v>
      </c>
      <c r="D305" t="s">
        <v>15</v>
      </c>
      <c r="E305" t="s">
        <v>1469</v>
      </c>
      <c r="F305" t="s">
        <v>1286</v>
      </c>
      <c r="G305" t="s">
        <v>900</v>
      </c>
      <c r="H305" t="s">
        <v>1349</v>
      </c>
      <c r="I305" t="s">
        <v>2074</v>
      </c>
    </row>
    <row r="306" spans="1:9" x14ac:dyDescent="0.25">
      <c r="A306" t="s">
        <v>3172</v>
      </c>
      <c r="B306" t="s">
        <v>526</v>
      </c>
      <c r="C306" t="s">
        <v>1211</v>
      </c>
      <c r="D306" t="s">
        <v>62</v>
      </c>
      <c r="E306" t="s">
        <v>1308</v>
      </c>
      <c r="F306" t="s">
        <v>1314</v>
      </c>
      <c r="G306" t="s">
        <v>900</v>
      </c>
      <c r="H306" t="s">
        <v>64</v>
      </c>
      <c r="I306" t="s">
        <v>2124</v>
      </c>
    </row>
    <row r="307" spans="1:9" x14ac:dyDescent="0.25">
      <c r="A307" t="s">
        <v>2901</v>
      </c>
      <c r="B307" t="s">
        <v>526</v>
      </c>
      <c r="C307" t="s">
        <v>1211</v>
      </c>
      <c r="D307" t="s">
        <v>62</v>
      </c>
      <c r="E307" t="s">
        <v>1308</v>
      </c>
      <c r="F307" t="s">
        <v>1221</v>
      </c>
      <c r="G307" t="s">
        <v>900</v>
      </c>
      <c r="H307" t="s">
        <v>64</v>
      </c>
      <c r="I307" t="s">
        <v>2124</v>
      </c>
    </row>
    <row r="308" spans="1:9" x14ac:dyDescent="0.25">
      <c r="A308" t="s">
        <v>2900</v>
      </c>
      <c r="B308" t="s">
        <v>552</v>
      </c>
      <c r="C308" t="s">
        <v>1180</v>
      </c>
      <c r="D308" t="s">
        <v>1215</v>
      </c>
      <c r="E308" t="s">
        <v>1238</v>
      </c>
      <c r="F308" t="s">
        <v>1298</v>
      </c>
      <c r="G308" t="s">
        <v>900</v>
      </c>
      <c r="H308" t="s">
        <v>1492</v>
      </c>
      <c r="I308" t="s">
        <v>2125</v>
      </c>
    </row>
    <row r="309" spans="1:9" x14ac:dyDescent="0.25">
      <c r="A309" t="s">
        <v>3171</v>
      </c>
      <c r="B309" t="s">
        <v>552</v>
      </c>
      <c r="C309" t="s">
        <v>1180</v>
      </c>
      <c r="D309" t="s">
        <v>1215</v>
      </c>
      <c r="E309" t="s">
        <v>1238</v>
      </c>
      <c r="F309" t="s">
        <v>1286</v>
      </c>
      <c r="G309" t="s">
        <v>900</v>
      </c>
      <c r="H309" t="s">
        <v>1492</v>
      </c>
      <c r="I309" t="s">
        <v>2125</v>
      </c>
    </row>
    <row r="310" spans="1:9" x14ac:dyDescent="0.25">
      <c r="A310" t="s">
        <v>2899</v>
      </c>
      <c r="B310" t="s">
        <v>552</v>
      </c>
      <c r="C310" t="s">
        <v>1180</v>
      </c>
      <c r="D310" t="s">
        <v>1215</v>
      </c>
      <c r="E310" t="s">
        <v>1238</v>
      </c>
      <c r="F310" t="s">
        <v>1227</v>
      </c>
      <c r="G310" t="s">
        <v>900</v>
      </c>
      <c r="H310" t="s">
        <v>1492</v>
      </c>
      <c r="I310" t="s">
        <v>2125</v>
      </c>
    </row>
    <row r="311" spans="1:9" x14ac:dyDescent="0.25">
      <c r="A311" t="s">
        <v>2736</v>
      </c>
      <c r="B311" t="s">
        <v>552</v>
      </c>
      <c r="C311" t="s">
        <v>1180</v>
      </c>
      <c r="D311" t="s">
        <v>1215</v>
      </c>
      <c r="E311" t="s">
        <v>1238</v>
      </c>
      <c r="F311" t="s">
        <v>1221</v>
      </c>
      <c r="G311" t="s">
        <v>900</v>
      </c>
      <c r="H311" t="s">
        <v>1492</v>
      </c>
      <c r="I311" t="s">
        <v>2125</v>
      </c>
    </row>
    <row r="312" spans="1:9" x14ac:dyDescent="0.25">
      <c r="A312" t="s">
        <v>2735</v>
      </c>
      <c r="B312" t="s">
        <v>592</v>
      </c>
      <c r="C312" t="s">
        <v>1188</v>
      </c>
      <c r="D312" t="s">
        <v>1215</v>
      </c>
      <c r="E312" t="s">
        <v>1493</v>
      </c>
      <c r="F312" t="s">
        <v>1298</v>
      </c>
      <c r="G312" t="s">
        <v>900</v>
      </c>
      <c r="H312" t="s">
        <v>1494</v>
      </c>
      <c r="I312" t="s">
        <v>2126</v>
      </c>
    </row>
    <row r="313" spans="1:9" x14ac:dyDescent="0.25">
      <c r="A313" t="s">
        <v>4196</v>
      </c>
      <c r="B313" t="s">
        <v>592</v>
      </c>
      <c r="C313" t="s">
        <v>1188</v>
      </c>
      <c r="D313" t="s">
        <v>1215</v>
      </c>
      <c r="E313" t="s">
        <v>1493</v>
      </c>
      <c r="F313" t="s">
        <v>1286</v>
      </c>
      <c r="G313" t="s">
        <v>900</v>
      </c>
      <c r="H313" t="s">
        <v>1494</v>
      </c>
      <c r="I313" t="s">
        <v>2126</v>
      </c>
    </row>
    <row r="314" spans="1:9" x14ac:dyDescent="0.25">
      <c r="A314" t="s">
        <v>4195</v>
      </c>
      <c r="B314" t="s">
        <v>592</v>
      </c>
      <c r="C314" t="s">
        <v>1188</v>
      </c>
      <c r="D314" t="s">
        <v>1215</v>
      </c>
      <c r="E314" t="s">
        <v>1493</v>
      </c>
      <c r="F314" t="s">
        <v>1227</v>
      </c>
      <c r="G314" t="s">
        <v>900</v>
      </c>
      <c r="H314" t="s">
        <v>1494</v>
      </c>
      <c r="I314" t="s">
        <v>2126</v>
      </c>
    </row>
    <row r="315" spans="1:9" x14ac:dyDescent="0.25">
      <c r="A315" t="s">
        <v>2734</v>
      </c>
      <c r="B315" t="s">
        <v>592</v>
      </c>
      <c r="C315" t="s">
        <v>1188</v>
      </c>
      <c r="D315" t="s">
        <v>1215</v>
      </c>
      <c r="E315" t="s">
        <v>1493</v>
      </c>
      <c r="F315" t="s">
        <v>1314</v>
      </c>
      <c r="G315" t="s">
        <v>900</v>
      </c>
      <c r="H315" t="s">
        <v>1494</v>
      </c>
      <c r="I315" t="s">
        <v>2126</v>
      </c>
    </row>
    <row r="316" spans="1:9" x14ac:dyDescent="0.25">
      <c r="A316" t="s">
        <v>2806</v>
      </c>
      <c r="B316" t="s">
        <v>592</v>
      </c>
      <c r="C316" t="s">
        <v>1188</v>
      </c>
      <c r="D316" t="s">
        <v>1215</v>
      </c>
      <c r="E316" t="s">
        <v>1493</v>
      </c>
      <c r="F316" t="s">
        <v>1221</v>
      </c>
      <c r="G316" t="s">
        <v>900</v>
      </c>
      <c r="H316" t="s">
        <v>1494</v>
      </c>
      <c r="I316" t="s">
        <v>2126</v>
      </c>
    </row>
    <row r="317" spans="1:9" x14ac:dyDescent="0.25">
      <c r="A317" t="s">
        <v>4194</v>
      </c>
      <c r="B317" t="s">
        <v>678</v>
      </c>
      <c r="C317" t="s">
        <v>1186</v>
      </c>
      <c r="D317" t="s">
        <v>1215</v>
      </c>
      <c r="E317" t="s">
        <v>1414</v>
      </c>
      <c r="F317" t="s">
        <v>1298</v>
      </c>
      <c r="G317" t="s">
        <v>900</v>
      </c>
      <c r="H317" t="s">
        <v>1495</v>
      </c>
      <c r="I317" t="s">
        <v>2126</v>
      </c>
    </row>
    <row r="318" spans="1:9" x14ac:dyDescent="0.25">
      <c r="A318" t="s">
        <v>3170</v>
      </c>
      <c r="B318" t="s">
        <v>678</v>
      </c>
      <c r="C318" t="s">
        <v>1186</v>
      </c>
      <c r="D318" t="s">
        <v>1215</v>
      </c>
      <c r="E318" t="s">
        <v>1414</v>
      </c>
      <c r="F318" t="s">
        <v>1286</v>
      </c>
      <c r="G318" t="s">
        <v>900</v>
      </c>
      <c r="H318" t="s">
        <v>1495</v>
      </c>
      <c r="I318" t="s">
        <v>2126</v>
      </c>
    </row>
    <row r="319" spans="1:9" x14ac:dyDescent="0.25">
      <c r="A319" t="s">
        <v>4193</v>
      </c>
      <c r="B319" t="s">
        <v>678</v>
      </c>
      <c r="C319" t="s">
        <v>1186</v>
      </c>
      <c r="D319" t="s">
        <v>1215</v>
      </c>
      <c r="E319" t="s">
        <v>1414</v>
      </c>
      <c r="F319" t="s">
        <v>1227</v>
      </c>
      <c r="G319" t="s">
        <v>900</v>
      </c>
      <c r="H319" t="s">
        <v>1495</v>
      </c>
      <c r="I319" t="s">
        <v>2126</v>
      </c>
    </row>
    <row r="320" spans="1:9" x14ac:dyDescent="0.25">
      <c r="A320" t="s">
        <v>3169</v>
      </c>
      <c r="B320" t="s">
        <v>678</v>
      </c>
      <c r="C320" t="s">
        <v>1186</v>
      </c>
      <c r="D320" t="s">
        <v>1215</v>
      </c>
      <c r="E320" t="s">
        <v>1414</v>
      </c>
      <c r="F320" t="s">
        <v>1221</v>
      </c>
      <c r="G320" t="s">
        <v>900</v>
      </c>
      <c r="H320" t="s">
        <v>1495</v>
      </c>
      <c r="I320" t="s">
        <v>2126</v>
      </c>
    </row>
    <row r="321" spans="1:9" x14ac:dyDescent="0.25">
      <c r="A321" t="s">
        <v>3175</v>
      </c>
      <c r="B321" t="s">
        <v>987</v>
      </c>
      <c r="C321" t="s">
        <v>1186</v>
      </c>
      <c r="F321" t="s">
        <v>1286</v>
      </c>
      <c r="G321" t="s">
        <v>900</v>
      </c>
      <c r="H321" t="s">
        <v>716</v>
      </c>
      <c r="I321" t="s">
        <v>2075</v>
      </c>
    </row>
    <row r="322" spans="1:9" x14ac:dyDescent="0.25">
      <c r="A322" t="s">
        <v>2738</v>
      </c>
      <c r="B322" t="s">
        <v>987</v>
      </c>
      <c r="C322" t="s">
        <v>1186</v>
      </c>
      <c r="F322" t="s">
        <v>1227</v>
      </c>
      <c r="G322" t="s">
        <v>900</v>
      </c>
      <c r="H322" t="s">
        <v>716</v>
      </c>
      <c r="I322" t="s">
        <v>2075</v>
      </c>
    </row>
    <row r="323" spans="1:9" x14ac:dyDescent="0.25">
      <c r="A323" t="s">
        <v>2902</v>
      </c>
      <c r="B323" t="s">
        <v>987</v>
      </c>
      <c r="C323" t="s">
        <v>1186</v>
      </c>
      <c r="F323" t="s">
        <v>1221</v>
      </c>
      <c r="G323" t="s">
        <v>900</v>
      </c>
      <c r="H323" t="s">
        <v>716</v>
      </c>
      <c r="I323" t="s">
        <v>2075</v>
      </c>
    </row>
    <row r="324" spans="1:9" x14ac:dyDescent="0.25">
      <c r="A324" t="s">
        <v>2807</v>
      </c>
      <c r="B324" t="s">
        <v>856</v>
      </c>
      <c r="C324" t="s">
        <v>1197</v>
      </c>
      <c r="F324" t="s">
        <v>1229</v>
      </c>
      <c r="G324" t="s">
        <v>910</v>
      </c>
      <c r="H324" t="s">
        <v>1472</v>
      </c>
      <c r="I324" t="s">
        <v>2078</v>
      </c>
    </row>
    <row r="325" spans="1:9" x14ac:dyDescent="0.25">
      <c r="A325" t="s">
        <v>2737</v>
      </c>
      <c r="B325" t="s">
        <v>856</v>
      </c>
      <c r="C325" t="s">
        <v>1197</v>
      </c>
      <c r="F325" t="s">
        <v>1227</v>
      </c>
      <c r="G325" t="s">
        <v>900</v>
      </c>
      <c r="H325" t="s">
        <v>1471</v>
      </c>
      <c r="I325" t="s">
        <v>2077</v>
      </c>
    </row>
    <row r="326" spans="1:9" x14ac:dyDescent="0.25">
      <c r="A326" t="s">
        <v>3174</v>
      </c>
      <c r="B326" t="s">
        <v>856</v>
      </c>
      <c r="C326" t="s">
        <v>1197</v>
      </c>
      <c r="F326" t="s">
        <v>8</v>
      </c>
      <c r="G326" t="s">
        <v>910</v>
      </c>
      <c r="H326" t="s">
        <v>1472</v>
      </c>
      <c r="I326" t="s">
        <v>2078</v>
      </c>
    </row>
    <row r="327" spans="1:9" x14ac:dyDescent="0.25">
      <c r="A327" t="s">
        <v>3168</v>
      </c>
      <c r="B327" t="s">
        <v>592</v>
      </c>
      <c r="C327" t="s">
        <v>1186</v>
      </c>
      <c r="D327" t="s">
        <v>62</v>
      </c>
      <c r="F327" t="s">
        <v>1229</v>
      </c>
      <c r="G327" t="s">
        <v>910</v>
      </c>
      <c r="H327" t="s">
        <v>360</v>
      </c>
    </row>
    <row r="328" spans="1:9" x14ac:dyDescent="0.25">
      <c r="A328" t="s">
        <v>3167</v>
      </c>
      <c r="B328" t="s">
        <v>592</v>
      </c>
      <c r="C328" t="s">
        <v>1186</v>
      </c>
      <c r="D328" t="s">
        <v>62</v>
      </c>
      <c r="F328" t="s">
        <v>8</v>
      </c>
      <c r="G328" t="s">
        <v>910</v>
      </c>
      <c r="H328" t="s">
        <v>360</v>
      </c>
    </row>
    <row r="329" spans="1:9" x14ac:dyDescent="0.25">
      <c r="A329" t="s">
        <v>3166</v>
      </c>
      <c r="B329" t="s">
        <v>822</v>
      </c>
      <c r="C329" t="s">
        <v>1186</v>
      </c>
      <c r="D329" t="s">
        <v>62</v>
      </c>
      <c r="F329" t="s">
        <v>1229</v>
      </c>
      <c r="G329" t="s">
        <v>910</v>
      </c>
      <c r="H329" t="s">
        <v>744</v>
      </c>
    </row>
    <row r="330" spans="1:9" x14ac:dyDescent="0.25">
      <c r="A330" t="s">
        <v>3165</v>
      </c>
      <c r="B330" t="s">
        <v>822</v>
      </c>
      <c r="C330" t="s">
        <v>1186</v>
      </c>
      <c r="D330" t="s">
        <v>62</v>
      </c>
      <c r="F330" t="s">
        <v>8</v>
      </c>
      <c r="G330" t="s">
        <v>910</v>
      </c>
      <c r="H330" t="s">
        <v>744</v>
      </c>
    </row>
    <row r="331" spans="1:9" x14ac:dyDescent="0.25">
      <c r="A331" t="s">
        <v>3164</v>
      </c>
      <c r="B331" t="s">
        <v>592</v>
      </c>
      <c r="C331" t="s">
        <v>1211</v>
      </c>
      <c r="F331" t="s">
        <v>1286</v>
      </c>
      <c r="G331" t="s">
        <v>900</v>
      </c>
      <c r="H331" t="s">
        <v>242</v>
      </c>
    </row>
    <row r="332" spans="1:9" x14ac:dyDescent="0.25">
      <c r="A332" t="s">
        <v>4192</v>
      </c>
      <c r="B332" t="s">
        <v>592</v>
      </c>
      <c r="C332" t="s">
        <v>1211</v>
      </c>
      <c r="F332" t="s">
        <v>1227</v>
      </c>
      <c r="G332" t="s">
        <v>900</v>
      </c>
      <c r="H332" t="s">
        <v>242</v>
      </c>
    </row>
    <row r="333" spans="1:9" x14ac:dyDescent="0.25">
      <c r="A333" t="s">
        <v>4191</v>
      </c>
      <c r="B333" t="s">
        <v>592</v>
      </c>
      <c r="C333" t="s">
        <v>1211</v>
      </c>
      <c r="F333" t="s">
        <v>1221</v>
      </c>
      <c r="G333" t="s">
        <v>900</v>
      </c>
      <c r="H333" t="s">
        <v>242</v>
      </c>
    </row>
    <row r="334" spans="1:9" x14ac:dyDescent="0.25">
      <c r="A334" t="s">
        <v>3163</v>
      </c>
      <c r="B334" t="s">
        <v>678</v>
      </c>
      <c r="C334" t="s">
        <v>1211</v>
      </c>
      <c r="F334" t="s">
        <v>1221</v>
      </c>
      <c r="G334" t="s">
        <v>910</v>
      </c>
      <c r="H334" t="s">
        <v>1356</v>
      </c>
    </row>
    <row r="335" spans="1:9" x14ac:dyDescent="0.25">
      <c r="A335" t="s">
        <v>2805</v>
      </c>
      <c r="B335" t="s">
        <v>678</v>
      </c>
      <c r="C335" t="s">
        <v>1211</v>
      </c>
      <c r="D335" t="s">
        <v>56</v>
      </c>
      <c r="F335" t="s">
        <v>1221</v>
      </c>
      <c r="G335" t="s">
        <v>910</v>
      </c>
      <c r="H335" t="s">
        <v>242</v>
      </c>
    </row>
    <row r="336" spans="1:9" x14ac:dyDescent="0.25">
      <c r="A336" t="s">
        <v>3162</v>
      </c>
      <c r="B336" t="s">
        <v>91</v>
      </c>
      <c r="C336" t="s">
        <v>1202</v>
      </c>
      <c r="D336" t="s">
        <v>1219</v>
      </c>
      <c r="F336" t="s">
        <v>1229</v>
      </c>
      <c r="G336" t="s">
        <v>910</v>
      </c>
      <c r="H336" t="s">
        <v>597</v>
      </c>
    </row>
    <row r="337" spans="1:9" x14ac:dyDescent="0.25">
      <c r="A337" t="s">
        <v>3161</v>
      </c>
      <c r="B337" t="s">
        <v>91</v>
      </c>
      <c r="C337" t="s">
        <v>1202</v>
      </c>
      <c r="D337" t="s">
        <v>1219</v>
      </c>
      <c r="F337" t="s">
        <v>1286</v>
      </c>
      <c r="G337" t="s">
        <v>910</v>
      </c>
      <c r="H337" t="s">
        <v>597</v>
      </c>
    </row>
    <row r="338" spans="1:9" x14ac:dyDescent="0.25">
      <c r="A338" t="s">
        <v>3981</v>
      </c>
      <c r="B338" t="s">
        <v>91</v>
      </c>
      <c r="C338" t="s">
        <v>1202</v>
      </c>
      <c r="D338" t="s">
        <v>1219</v>
      </c>
      <c r="F338" t="s">
        <v>1417</v>
      </c>
      <c r="G338" t="s">
        <v>910</v>
      </c>
      <c r="H338" t="s">
        <v>597</v>
      </c>
    </row>
    <row r="339" spans="1:9" x14ac:dyDescent="0.25">
      <c r="A339" t="s">
        <v>3980</v>
      </c>
      <c r="B339" t="s">
        <v>91</v>
      </c>
      <c r="C339" t="s">
        <v>1202</v>
      </c>
      <c r="D339" t="s">
        <v>1219</v>
      </c>
      <c r="F339" t="s">
        <v>1343</v>
      </c>
      <c r="G339" t="s">
        <v>910</v>
      </c>
      <c r="H339" t="s">
        <v>597</v>
      </c>
    </row>
    <row r="340" spans="1:9" x14ac:dyDescent="0.25">
      <c r="A340" t="s">
        <v>3979</v>
      </c>
      <c r="B340" t="s">
        <v>91</v>
      </c>
      <c r="C340" t="s">
        <v>1202</v>
      </c>
      <c r="D340" t="s">
        <v>1219</v>
      </c>
      <c r="F340" t="s">
        <v>1611</v>
      </c>
      <c r="G340" t="s">
        <v>910</v>
      </c>
      <c r="H340" t="s">
        <v>597</v>
      </c>
    </row>
    <row r="341" spans="1:9" x14ac:dyDescent="0.25">
      <c r="A341" t="s">
        <v>4190</v>
      </c>
      <c r="B341" t="s">
        <v>91</v>
      </c>
      <c r="C341" t="s">
        <v>1202</v>
      </c>
      <c r="D341" t="s">
        <v>1219</v>
      </c>
      <c r="F341" t="s">
        <v>1227</v>
      </c>
      <c r="G341" t="s">
        <v>910</v>
      </c>
      <c r="H341" t="s">
        <v>597</v>
      </c>
    </row>
    <row r="342" spans="1:9" x14ac:dyDescent="0.25">
      <c r="A342" t="s">
        <v>3978</v>
      </c>
      <c r="B342" t="s">
        <v>91</v>
      </c>
      <c r="C342" t="s">
        <v>1202</v>
      </c>
      <c r="D342" t="s">
        <v>1219</v>
      </c>
      <c r="F342" t="s">
        <v>8</v>
      </c>
      <c r="G342" t="s">
        <v>910</v>
      </c>
      <c r="H342" t="s">
        <v>597</v>
      </c>
    </row>
    <row r="343" spans="1:9" x14ac:dyDescent="0.25">
      <c r="A343" t="s">
        <v>3977</v>
      </c>
      <c r="B343" t="s">
        <v>91</v>
      </c>
      <c r="C343" t="s">
        <v>1202</v>
      </c>
      <c r="D343" t="s">
        <v>1219</v>
      </c>
      <c r="F343" t="s">
        <v>1331</v>
      </c>
      <c r="G343" t="s">
        <v>910</v>
      </c>
      <c r="H343" t="s">
        <v>597</v>
      </c>
    </row>
    <row r="344" spans="1:9" x14ac:dyDescent="0.25">
      <c r="A344" t="s">
        <v>3976</v>
      </c>
      <c r="B344" t="s">
        <v>91</v>
      </c>
      <c r="C344" t="s">
        <v>1202</v>
      </c>
      <c r="D344" t="s">
        <v>1219</v>
      </c>
      <c r="F344" t="s">
        <v>1221</v>
      </c>
      <c r="G344" t="s">
        <v>910</v>
      </c>
      <c r="H344" t="s">
        <v>597</v>
      </c>
    </row>
    <row r="345" spans="1:9" x14ac:dyDescent="0.25">
      <c r="A345" t="s">
        <v>3975</v>
      </c>
      <c r="B345" t="s">
        <v>944</v>
      </c>
      <c r="C345" t="s">
        <v>1202</v>
      </c>
      <c r="D345" t="s">
        <v>318</v>
      </c>
      <c r="F345" t="s">
        <v>1229</v>
      </c>
      <c r="G345" t="s">
        <v>910</v>
      </c>
      <c r="H345" t="s">
        <v>716</v>
      </c>
      <c r="I345" t="s">
        <v>2368</v>
      </c>
    </row>
    <row r="346" spans="1:9" x14ac:dyDescent="0.25">
      <c r="A346" t="s">
        <v>3974</v>
      </c>
      <c r="B346" t="s">
        <v>944</v>
      </c>
      <c r="C346" t="s">
        <v>1202</v>
      </c>
      <c r="D346" t="s">
        <v>318</v>
      </c>
      <c r="F346" t="s">
        <v>1286</v>
      </c>
      <c r="G346" t="s">
        <v>910</v>
      </c>
      <c r="H346" t="s">
        <v>716</v>
      </c>
      <c r="I346" t="s">
        <v>2368</v>
      </c>
    </row>
    <row r="347" spans="1:9" x14ac:dyDescent="0.25">
      <c r="A347" t="s">
        <v>3973</v>
      </c>
      <c r="B347" t="s">
        <v>944</v>
      </c>
      <c r="C347" t="s">
        <v>1202</v>
      </c>
      <c r="D347" t="s">
        <v>318</v>
      </c>
      <c r="F347" t="s">
        <v>1417</v>
      </c>
      <c r="G347" t="s">
        <v>910</v>
      </c>
      <c r="H347" t="s">
        <v>716</v>
      </c>
      <c r="I347" t="s">
        <v>2368</v>
      </c>
    </row>
    <row r="348" spans="1:9" x14ac:dyDescent="0.25">
      <c r="A348" t="s">
        <v>3972</v>
      </c>
      <c r="B348" t="s">
        <v>944</v>
      </c>
      <c r="C348" t="s">
        <v>1202</v>
      </c>
      <c r="D348" t="s">
        <v>318</v>
      </c>
      <c r="F348" t="s">
        <v>1343</v>
      </c>
      <c r="G348" t="s">
        <v>910</v>
      </c>
      <c r="H348" t="s">
        <v>716</v>
      </c>
      <c r="I348" t="s">
        <v>2368</v>
      </c>
    </row>
    <row r="349" spans="1:9" x14ac:dyDescent="0.25">
      <c r="A349" t="s">
        <v>3971</v>
      </c>
      <c r="B349" t="s">
        <v>944</v>
      </c>
      <c r="C349" t="s">
        <v>1202</v>
      </c>
      <c r="D349" t="s">
        <v>318</v>
      </c>
      <c r="F349" t="s">
        <v>1611</v>
      </c>
      <c r="G349" t="s">
        <v>910</v>
      </c>
      <c r="H349" t="s">
        <v>716</v>
      </c>
      <c r="I349" t="s">
        <v>2368</v>
      </c>
    </row>
    <row r="350" spans="1:9" x14ac:dyDescent="0.25">
      <c r="A350" t="s">
        <v>3970</v>
      </c>
      <c r="B350" t="s">
        <v>944</v>
      </c>
      <c r="C350" t="s">
        <v>1202</v>
      </c>
      <c r="D350" t="s">
        <v>318</v>
      </c>
      <c r="F350" t="s">
        <v>1227</v>
      </c>
      <c r="G350" t="s">
        <v>910</v>
      </c>
      <c r="H350" t="s">
        <v>716</v>
      </c>
      <c r="I350" t="s">
        <v>2368</v>
      </c>
    </row>
    <row r="351" spans="1:9" x14ac:dyDescent="0.25">
      <c r="A351" t="s">
        <v>3969</v>
      </c>
      <c r="B351" t="s">
        <v>944</v>
      </c>
      <c r="C351" t="s">
        <v>1202</v>
      </c>
      <c r="D351" t="s">
        <v>318</v>
      </c>
      <c r="F351" t="s">
        <v>8</v>
      </c>
      <c r="G351" t="s">
        <v>910</v>
      </c>
      <c r="H351" t="s">
        <v>716</v>
      </c>
      <c r="I351" t="s">
        <v>2368</v>
      </c>
    </row>
    <row r="352" spans="1:9" x14ac:dyDescent="0.25">
      <c r="A352" t="s">
        <v>3968</v>
      </c>
      <c r="B352" t="s">
        <v>944</v>
      </c>
      <c r="C352" t="s">
        <v>1202</v>
      </c>
      <c r="D352" t="s">
        <v>318</v>
      </c>
      <c r="F352" t="s">
        <v>1331</v>
      </c>
      <c r="G352" t="s">
        <v>910</v>
      </c>
      <c r="H352" t="s">
        <v>716</v>
      </c>
      <c r="I352" t="s">
        <v>2368</v>
      </c>
    </row>
    <row r="353" spans="1:9" x14ac:dyDescent="0.25">
      <c r="A353" t="s">
        <v>3192</v>
      </c>
      <c r="B353" t="s">
        <v>944</v>
      </c>
      <c r="C353" t="s">
        <v>1202</v>
      </c>
      <c r="D353" t="s">
        <v>318</v>
      </c>
      <c r="F353" t="s">
        <v>1221</v>
      </c>
      <c r="G353" t="s">
        <v>910</v>
      </c>
      <c r="H353" t="s">
        <v>716</v>
      </c>
      <c r="I353" t="s">
        <v>2368</v>
      </c>
    </row>
    <row r="354" spans="1:9" x14ac:dyDescent="0.25">
      <c r="A354" t="s">
        <v>3191</v>
      </c>
      <c r="B354" t="s">
        <v>822</v>
      </c>
      <c r="C354" t="s">
        <v>1465</v>
      </c>
      <c r="D354" t="s">
        <v>56</v>
      </c>
      <c r="F354" t="s">
        <v>1229</v>
      </c>
      <c r="G354" t="s">
        <v>910</v>
      </c>
      <c r="H354" t="s">
        <v>414</v>
      </c>
    </row>
    <row r="355" spans="1:9" x14ac:dyDescent="0.25">
      <c r="A355" t="s">
        <v>3190</v>
      </c>
      <c r="B355" t="s">
        <v>822</v>
      </c>
      <c r="C355" t="s">
        <v>1465</v>
      </c>
      <c r="D355" t="s">
        <v>56</v>
      </c>
      <c r="F355" t="s">
        <v>1611</v>
      </c>
      <c r="G355" t="s">
        <v>910</v>
      </c>
      <c r="H355" t="s">
        <v>414</v>
      </c>
    </row>
    <row r="356" spans="1:9" x14ac:dyDescent="0.25">
      <c r="A356" t="s">
        <v>3189</v>
      </c>
      <c r="B356" t="s">
        <v>822</v>
      </c>
      <c r="C356" t="s">
        <v>1465</v>
      </c>
      <c r="D356" t="s">
        <v>56</v>
      </c>
      <c r="F356" t="s">
        <v>8</v>
      </c>
      <c r="G356" t="s">
        <v>910</v>
      </c>
      <c r="H356" t="s">
        <v>414</v>
      </c>
    </row>
    <row r="357" spans="1:9" x14ac:dyDescent="0.25">
      <c r="A357" t="s">
        <v>3188</v>
      </c>
      <c r="B357" t="s">
        <v>203</v>
      </c>
      <c r="C357" t="s">
        <v>1487</v>
      </c>
      <c r="D357" t="s">
        <v>318</v>
      </c>
      <c r="F357" t="s">
        <v>1229</v>
      </c>
      <c r="G357" t="s">
        <v>910</v>
      </c>
      <c r="H357" t="s">
        <v>825</v>
      </c>
      <c r="I357" t="s">
        <v>2249</v>
      </c>
    </row>
    <row r="358" spans="1:9" x14ac:dyDescent="0.25">
      <c r="A358" t="s">
        <v>3187</v>
      </c>
      <c r="B358" t="s">
        <v>203</v>
      </c>
      <c r="C358" t="s">
        <v>1487</v>
      </c>
      <c r="D358" t="s">
        <v>318</v>
      </c>
      <c r="F358" t="s">
        <v>1286</v>
      </c>
      <c r="G358" t="s">
        <v>910</v>
      </c>
      <c r="H358" t="s">
        <v>825</v>
      </c>
      <c r="I358" t="s">
        <v>2249</v>
      </c>
    </row>
    <row r="359" spans="1:9" x14ac:dyDescent="0.25">
      <c r="A359" t="s">
        <v>3186</v>
      </c>
      <c r="B359" t="s">
        <v>203</v>
      </c>
      <c r="C359" t="s">
        <v>1487</v>
      </c>
      <c r="D359" t="s">
        <v>318</v>
      </c>
      <c r="F359" t="s">
        <v>1417</v>
      </c>
      <c r="G359" t="s">
        <v>910</v>
      </c>
      <c r="H359" t="s">
        <v>825</v>
      </c>
      <c r="I359" t="s">
        <v>2249</v>
      </c>
    </row>
    <row r="360" spans="1:9" x14ac:dyDescent="0.25">
      <c r="A360" t="s">
        <v>3185</v>
      </c>
      <c r="B360" t="s">
        <v>203</v>
      </c>
      <c r="C360" t="s">
        <v>1487</v>
      </c>
      <c r="D360" t="s">
        <v>318</v>
      </c>
      <c r="F360" t="s">
        <v>1343</v>
      </c>
      <c r="G360" t="s">
        <v>910</v>
      </c>
      <c r="H360" t="s">
        <v>825</v>
      </c>
      <c r="I360" t="s">
        <v>2249</v>
      </c>
    </row>
    <row r="361" spans="1:9" x14ac:dyDescent="0.25">
      <c r="A361" t="s">
        <v>4189</v>
      </c>
      <c r="B361" t="s">
        <v>203</v>
      </c>
      <c r="C361" t="s">
        <v>1487</v>
      </c>
      <c r="D361" t="s">
        <v>318</v>
      </c>
      <c r="F361" t="s">
        <v>1227</v>
      </c>
      <c r="G361" t="s">
        <v>910</v>
      </c>
      <c r="H361" t="s">
        <v>825</v>
      </c>
      <c r="I361" t="s">
        <v>2249</v>
      </c>
    </row>
    <row r="362" spans="1:9" x14ac:dyDescent="0.25">
      <c r="A362" t="s">
        <v>3184</v>
      </c>
      <c r="B362" t="s">
        <v>203</v>
      </c>
      <c r="C362" t="s">
        <v>1487</v>
      </c>
      <c r="D362" t="s">
        <v>318</v>
      </c>
      <c r="F362" t="s">
        <v>8</v>
      </c>
      <c r="G362" t="s">
        <v>910</v>
      </c>
      <c r="H362" t="s">
        <v>825</v>
      </c>
      <c r="I362" t="s">
        <v>2249</v>
      </c>
    </row>
    <row r="363" spans="1:9" x14ac:dyDescent="0.25">
      <c r="A363" t="s">
        <v>3183</v>
      </c>
      <c r="B363" t="s">
        <v>203</v>
      </c>
      <c r="C363" t="s">
        <v>1487</v>
      </c>
      <c r="D363" t="s">
        <v>318</v>
      </c>
      <c r="F363" t="s">
        <v>1221</v>
      </c>
      <c r="G363" t="s">
        <v>910</v>
      </c>
      <c r="H363" t="s">
        <v>825</v>
      </c>
      <c r="I363" t="s">
        <v>2249</v>
      </c>
    </row>
    <row r="364" spans="1:9" x14ac:dyDescent="0.25">
      <c r="A364" t="s">
        <v>4188</v>
      </c>
      <c r="B364" t="s">
        <v>61</v>
      </c>
      <c r="C364" t="s">
        <v>1180</v>
      </c>
      <c r="D364" t="s">
        <v>318</v>
      </c>
      <c r="F364" t="s">
        <v>1229</v>
      </c>
      <c r="G364" t="s">
        <v>910</v>
      </c>
      <c r="H364" t="s">
        <v>536</v>
      </c>
    </row>
    <row r="365" spans="1:9" x14ac:dyDescent="0.25">
      <c r="A365" t="s">
        <v>3967</v>
      </c>
      <c r="B365" t="s">
        <v>61</v>
      </c>
      <c r="C365" t="s">
        <v>1180</v>
      </c>
      <c r="D365" t="s">
        <v>318</v>
      </c>
      <c r="F365" t="s">
        <v>1286</v>
      </c>
      <c r="G365" t="s">
        <v>910</v>
      </c>
      <c r="H365" t="s">
        <v>536</v>
      </c>
    </row>
    <row r="366" spans="1:9" x14ac:dyDescent="0.25">
      <c r="A366" t="s">
        <v>3966</v>
      </c>
      <c r="B366" t="s">
        <v>61</v>
      </c>
      <c r="C366" t="s">
        <v>1180</v>
      </c>
      <c r="D366" t="s">
        <v>318</v>
      </c>
      <c r="F366" t="s">
        <v>1343</v>
      </c>
      <c r="G366" t="s">
        <v>910</v>
      </c>
      <c r="H366" t="s">
        <v>536</v>
      </c>
    </row>
    <row r="367" spans="1:9" x14ac:dyDescent="0.25">
      <c r="A367" t="s">
        <v>3965</v>
      </c>
      <c r="B367" t="s">
        <v>61</v>
      </c>
      <c r="C367" t="s">
        <v>1180</v>
      </c>
      <c r="D367" t="s">
        <v>318</v>
      </c>
      <c r="F367" t="s">
        <v>1611</v>
      </c>
      <c r="G367" t="s">
        <v>910</v>
      </c>
      <c r="H367" t="s">
        <v>536</v>
      </c>
    </row>
    <row r="368" spans="1:9" x14ac:dyDescent="0.25">
      <c r="A368" t="s">
        <v>3964</v>
      </c>
      <c r="B368" t="s">
        <v>61</v>
      </c>
      <c r="C368" t="s">
        <v>1180</v>
      </c>
      <c r="D368" t="s">
        <v>318</v>
      </c>
      <c r="F368" t="s">
        <v>1227</v>
      </c>
      <c r="G368" t="s">
        <v>910</v>
      </c>
      <c r="H368" t="s">
        <v>536</v>
      </c>
    </row>
    <row r="369" spans="1:9" x14ac:dyDescent="0.25">
      <c r="A369" t="s">
        <v>3963</v>
      </c>
      <c r="B369" t="s">
        <v>61</v>
      </c>
      <c r="C369" t="s">
        <v>1180</v>
      </c>
      <c r="D369" t="s">
        <v>318</v>
      </c>
      <c r="F369" t="s">
        <v>8</v>
      </c>
      <c r="G369" t="s">
        <v>910</v>
      </c>
      <c r="H369" t="s">
        <v>536</v>
      </c>
    </row>
    <row r="370" spans="1:9" x14ac:dyDescent="0.25">
      <c r="A370" t="s">
        <v>3962</v>
      </c>
      <c r="B370" t="s">
        <v>61</v>
      </c>
      <c r="C370" t="s">
        <v>1180</v>
      </c>
      <c r="D370" t="s">
        <v>318</v>
      </c>
      <c r="F370" t="s">
        <v>1331</v>
      </c>
      <c r="G370" t="s">
        <v>910</v>
      </c>
      <c r="H370" t="s">
        <v>536</v>
      </c>
    </row>
    <row r="371" spans="1:9" x14ac:dyDescent="0.25">
      <c r="A371" t="s">
        <v>4187</v>
      </c>
      <c r="B371" t="s">
        <v>61</v>
      </c>
      <c r="C371" t="s">
        <v>1180</v>
      </c>
      <c r="D371" t="s">
        <v>318</v>
      </c>
      <c r="F371" t="s">
        <v>1221</v>
      </c>
      <c r="G371" t="s">
        <v>910</v>
      </c>
      <c r="H371" t="s">
        <v>536</v>
      </c>
    </row>
    <row r="372" spans="1:9" x14ac:dyDescent="0.25">
      <c r="A372" t="s">
        <v>3182</v>
      </c>
      <c r="B372" t="s">
        <v>678</v>
      </c>
      <c r="C372" t="s">
        <v>1484</v>
      </c>
      <c r="D372" t="s">
        <v>1590</v>
      </c>
      <c r="F372" t="s">
        <v>1229</v>
      </c>
      <c r="G372" t="s">
        <v>910</v>
      </c>
      <c r="H372" t="s">
        <v>597</v>
      </c>
    </row>
    <row r="373" spans="1:9" x14ac:dyDescent="0.25">
      <c r="A373" t="s">
        <v>3181</v>
      </c>
      <c r="B373" t="s">
        <v>678</v>
      </c>
      <c r="C373" t="s">
        <v>1484</v>
      </c>
      <c r="D373" t="s">
        <v>1590</v>
      </c>
      <c r="F373" t="s">
        <v>1286</v>
      </c>
      <c r="G373" t="s">
        <v>910</v>
      </c>
      <c r="H373" t="s">
        <v>597</v>
      </c>
    </row>
    <row r="374" spans="1:9" x14ac:dyDescent="0.25">
      <c r="A374" t="s">
        <v>3180</v>
      </c>
      <c r="B374" t="s">
        <v>678</v>
      </c>
      <c r="C374" t="s">
        <v>1484</v>
      </c>
      <c r="D374" t="s">
        <v>1590</v>
      </c>
      <c r="F374" t="s">
        <v>1343</v>
      </c>
      <c r="G374" t="s">
        <v>910</v>
      </c>
      <c r="H374" t="s">
        <v>597</v>
      </c>
    </row>
    <row r="375" spans="1:9" x14ac:dyDescent="0.25">
      <c r="A375" t="s">
        <v>3179</v>
      </c>
      <c r="B375" t="s">
        <v>678</v>
      </c>
      <c r="C375" t="s">
        <v>1484</v>
      </c>
      <c r="D375" t="s">
        <v>1590</v>
      </c>
      <c r="F375" t="s">
        <v>1611</v>
      </c>
      <c r="G375" t="s">
        <v>910</v>
      </c>
      <c r="H375" t="s">
        <v>597</v>
      </c>
    </row>
    <row r="376" spans="1:9" x14ac:dyDescent="0.25">
      <c r="A376" t="s">
        <v>3178</v>
      </c>
      <c r="B376" t="s">
        <v>678</v>
      </c>
      <c r="C376" t="s">
        <v>1484</v>
      </c>
      <c r="D376" t="s">
        <v>1590</v>
      </c>
      <c r="F376" t="s">
        <v>8</v>
      </c>
      <c r="G376" t="s">
        <v>910</v>
      </c>
      <c r="H376" t="s">
        <v>597</v>
      </c>
    </row>
    <row r="377" spans="1:9" x14ac:dyDescent="0.25">
      <c r="A377" t="s">
        <v>3177</v>
      </c>
      <c r="B377" t="s">
        <v>678</v>
      </c>
      <c r="C377" t="s">
        <v>1484</v>
      </c>
      <c r="D377" t="s">
        <v>1590</v>
      </c>
      <c r="F377" t="s">
        <v>1221</v>
      </c>
      <c r="G377" t="s">
        <v>910</v>
      </c>
      <c r="H377" t="s">
        <v>597</v>
      </c>
    </row>
    <row r="378" spans="1:9" x14ac:dyDescent="0.25">
      <c r="A378" t="s">
        <v>3960</v>
      </c>
      <c r="B378" t="s">
        <v>148</v>
      </c>
      <c r="C378" t="s">
        <v>1180</v>
      </c>
      <c r="F378" t="s">
        <v>1229</v>
      </c>
      <c r="G378" t="s">
        <v>910</v>
      </c>
      <c r="H378" t="s">
        <v>486</v>
      </c>
    </row>
    <row r="379" spans="1:9" x14ac:dyDescent="0.25">
      <c r="A379" t="s">
        <v>2804</v>
      </c>
      <c r="B379" t="s">
        <v>822</v>
      </c>
      <c r="C379" t="s">
        <v>1186</v>
      </c>
      <c r="F379" t="s">
        <v>1229</v>
      </c>
      <c r="G379" t="s">
        <v>910</v>
      </c>
      <c r="H379" t="s">
        <v>360</v>
      </c>
    </row>
    <row r="380" spans="1:9" x14ac:dyDescent="0.25">
      <c r="A380" t="s">
        <v>4186</v>
      </c>
      <c r="B380" t="s">
        <v>822</v>
      </c>
      <c r="C380" t="s">
        <v>1186</v>
      </c>
      <c r="F380" t="s">
        <v>8</v>
      </c>
      <c r="G380" t="s">
        <v>910</v>
      </c>
      <c r="H380" t="s">
        <v>360</v>
      </c>
    </row>
    <row r="381" spans="1:9" x14ac:dyDescent="0.25">
      <c r="A381" t="s">
        <v>3961</v>
      </c>
      <c r="B381" t="s">
        <v>822</v>
      </c>
      <c r="C381" t="s">
        <v>1186</v>
      </c>
      <c r="F381" t="s">
        <v>1331</v>
      </c>
      <c r="G381" t="s">
        <v>910</v>
      </c>
      <c r="H381" t="s">
        <v>360</v>
      </c>
    </row>
    <row r="382" spans="1:9" x14ac:dyDescent="0.25">
      <c r="A382" t="s">
        <v>4330</v>
      </c>
      <c r="B382" t="s">
        <v>526</v>
      </c>
      <c r="C382" t="s">
        <v>1211</v>
      </c>
      <c r="D382" t="s">
        <v>934</v>
      </c>
      <c r="F382" t="s">
        <v>1227</v>
      </c>
      <c r="G382" t="s">
        <v>1227</v>
      </c>
      <c r="H382" t="s">
        <v>17</v>
      </c>
      <c r="I382" t="s">
        <v>4331</v>
      </c>
    </row>
    <row r="383" spans="1:9" x14ac:dyDescent="0.25">
      <c r="A383" t="s">
        <v>4185</v>
      </c>
      <c r="B383" t="s">
        <v>592</v>
      </c>
      <c r="C383" t="s">
        <v>1211</v>
      </c>
      <c r="D383" t="s">
        <v>62</v>
      </c>
      <c r="F383" t="s">
        <v>1286</v>
      </c>
      <c r="G383" t="s">
        <v>900</v>
      </c>
      <c r="H383" t="s">
        <v>33</v>
      </c>
      <c r="I383" t="s">
        <v>2263</v>
      </c>
    </row>
    <row r="384" spans="1:9" x14ac:dyDescent="0.25">
      <c r="A384" t="s">
        <v>3959</v>
      </c>
      <c r="B384" t="s">
        <v>592</v>
      </c>
      <c r="C384" t="s">
        <v>1211</v>
      </c>
      <c r="D384" t="s">
        <v>62</v>
      </c>
      <c r="F384" t="s">
        <v>1221</v>
      </c>
      <c r="G384" t="s">
        <v>900</v>
      </c>
      <c r="H384" t="s">
        <v>33</v>
      </c>
      <c r="I384" t="s">
        <v>2263</v>
      </c>
    </row>
    <row r="385" spans="1:9" x14ac:dyDescent="0.25">
      <c r="A385" t="s">
        <v>4390</v>
      </c>
      <c r="B385" t="s">
        <v>678</v>
      </c>
      <c r="C385" t="s">
        <v>1211</v>
      </c>
      <c r="F385" t="s">
        <v>1221</v>
      </c>
      <c r="G385" t="s">
        <v>910</v>
      </c>
    </row>
    <row r="386" spans="1:9" x14ac:dyDescent="0.25">
      <c r="A386" t="s">
        <v>3958</v>
      </c>
      <c r="B386" t="s">
        <v>822</v>
      </c>
      <c r="C386" t="s">
        <v>1196</v>
      </c>
      <c r="D386" t="s">
        <v>27</v>
      </c>
      <c r="F386" t="s">
        <v>1229</v>
      </c>
      <c r="G386" t="s">
        <v>910</v>
      </c>
      <c r="H386" t="s">
        <v>1532</v>
      </c>
    </row>
    <row r="387" spans="1:9" x14ac:dyDescent="0.25">
      <c r="A387" t="s">
        <v>3957</v>
      </c>
      <c r="B387" t="s">
        <v>822</v>
      </c>
      <c r="C387" t="s">
        <v>1196</v>
      </c>
      <c r="D387" t="s">
        <v>27</v>
      </c>
      <c r="F387" t="s">
        <v>8</v>
      </c>
      <c r="G387" t="s">
        <v>910</v>
      </c>
      <c r="H387" t="s">
        <v>1532</v>
      </c>
    </row>
    <row r="388" spans="1:9" x14ac:dyDescent="0.25">
      <c r="A388" t="s">
        <v>4441</v>
      </c>
      <c r="B388" t="s">
        <v>822</v>
      </c>
      <c r="C388" t="s">
        <v>1196</v>
      </c>
      <c r="D388" t="s">
        <v>27</v>
      </c>
      <c r="F388" t="s">
        <v>1221</v>
      </c>
      <c r="G388" t="s">
        <v>910</v>
      </c>
      <c r="H388" t="s">
        <v>1532</v>
      </c>
    </row>
    <row r="389" spans="1:9" x14ac:dyDescent="0.25">
      <c r="A389" t="s">
        <v>4184</v>
      </c>
      <c r="B389" t="s">
        <v>95</v>
      </c>
      <c r="C389" t="s">
        <v>1180</v>
      </c>
      <c r="D389" t="s">
        <v>1217</v>
      </c>
      <c r="E389" t="s">
        <v>1317</v>
      </c>
      <c r="F389" t="s">
        <v>1314</v>
      </c>
      <c r="G389" t="s">
        <v>1315</v>
      </c>
      <c r="H389" t="s">
        <v>1505</v>
      </c>
      <c r="I389" t="s">
        <v>2163</v>
      </c>
    </row>
    <row r="390" spans="1:9" x14ac:dyDescent="0.25">
      <c r="A390" t="s">
        <v>4183</v>
      </c>
      <c r="B390" t="s">
        <v>95</v>
      </c>
      <c r="C390" t="s">
        <v>1180</v>
      </c>
      <c r="D390" t="s">
        <v>1217</v>
      </c>
      <c r="E390" t="s">
        <v>1317</v>
      </c>
      <c r="F390" t="s">
        <v>1314</v>
      </c>
      <c r="G390" t="s">
        <v>1315</v>
      </c>
      <c r="H390" t="s">
        <v>1505</v>
      </c>
      <c r="I390" t="s">
        <v>2163</v>
      </c>
    </row>
    <row r="391" spans="1:9" x14ac:dyDescent="0.25">
      <c r="A391" t="s">
        <v>3210</v>
      </c>
      <c r="B391" t="s">
        <v>3211</v>
      </c>
      <c r="C391" t="s">
        <v>1187</v>
      </c>
      <c r="D391" t="s">
        <v>1217</v>
      </c>
      <c r="E391" t="s">
        <v>1269</v>
      </c>
      <c r="F391" t="s">
        <v>1314</v>
      </c>
      <c r="G391" t="s">
        <v>1315</v>
      </c>
      <c r="H391" t="s">
        <v>1416</v>
      </c>
      <c r="I391" t="s">
        <v>1949</v>
      </c>
    </row>
    <row r="392" spans="1:9" x14ac:dyDescent="0.25">
      <c r="A392" t="s">
        <v>2929</v>
      </c>
      <c r="B392" t="s">
        <v>963</v>
      </c>
      <c r="C392" t="s">
        <v>1183</v>
      </c>
      <c r="D392" t="s">
        <v>1217</v>
      </c>
      <c r="E392" t="s">
        <v>1295</v>
      </c>
      <c r="F392" t="s">
        <v>1314</v>
      </c>
      <c r="G392" t="s">
        <v>1315</v>
      </c>
      <c r="H392" t="s">
        <v>1291</v>
      </c>
      <c r="I392" t="s">
        <v>2008</v>
      </c>
    </row>
    <row r="393" spans="1:9" x14ac:dyDescent="0.25">
      <c r="A393" t="s">
        <v>3209</v>
      </c>
      <c r="B393" t="s">
        <v>963</v>
      </c>
      <c r="C393" t="s">
        <v>1183</v>
      </c>
      <c r="D393" t="s">
        <v>1217</v>
      </c>
      <c r="E393" t="s">
        <v>1295</v>
      </c>
      <c r="F393" t="s">
        <v>1314</v>
      </c>
      <c r="G393" t="s">
        <v>1315</v>
      </c>
      <c r="H393" t="s">
        <v>1291</v>
      </c>
      <c r="I393" t="s">
        <v>2008</v>
      </c>
    </row>
    <row r="394" spans="1:9" x14ac:dyDescent="0.25">
      <c r="A394" t="s">
        <v>2928</v>
      </c>
      <c r="B394" t="s">
        <v>963</v>
      </c>
      <c r="C394" t="s">
        <v>1183</v>
      </c>
      <c r="D394" t="s">
        <v>1217</v>
      </c>
      <c r="E394" t="s">
        <v>1295</v>
      </c>
      <c r="F394" t="s">
        <v>1314</v>
      </c>
      <c r="G394" t="s">
        <v>1315</v>
      </c>
      <c r="H394" t="s">
        <v>1291</v>
      </c>
      <c r="I394" t="s">
        <v>2008</v>
      </c>
    </row>
    <row r="395" spans="1:9" x14ac:dyDescent="0.25">
      <c r="A395" t="s">
        <v>2701</v>
      </c>
      <c r="B395" t="s">
        <v>953</v>
      </c>
      <c r="C395" t="s">
        <v>1196</v>
      </c>
      <c r="D395" t="s">
        <v>318</v>
      </c>
      <c r="E395" t="s">
        <v>1432</v>
      </c>
      <c r="F395" t="s">
        <v>1314</v>
      </c>
      <c r="G395" t="s">
        <v>1315</v>
      </c>
      <c r="H395" t="s">
        <v>1413</v>
      </c>
      <c r="I395" t="s">
        <v>1986</v>
      </c>
    </row>
    <row r="396" spans="1:9" x14ac:dyDescent="0.25">
      <c r="A396" t="s">
        <v>2927</v>
      </c>
      <c r="B396" t="s">
        <v>953</v>
      </c>
      <c r="C396" t="s">
        <v>1196</v>
      </c>
      <c r="D396" t="s">
        <v>318</v>
      </c>
      <c r="E396" t="s">
        <v>1432</v>
      </c>
      <c r="F396" t="s">
        <v>1314</v>
      </c>
      <c r="G396" t="s">
        <v>1315</v>
      </c>
      <c r="H396" t="s">
        <v>1413</v>
      </c>
      <c r="I396" t="s">
        <v>1986</v>
      </c>
    </row>
    <row r="397" spans="1:9" x14ac:dyDescent="0.25">
      <c r="A397" t="s">
        <v>2802</v>
      </c>
      <c r="B397" t="s">
        <v>95</v>
      </c>
      <c r="C397" t="s">
        <v>1180</v>
      </c>
      <c r="D397" t="s">
        <v>1217</v>
      </c>
      <c r="E397" t="s">
        <v>1362</v>
      </c>
      <c r="F397" t="s">
        <v>1314</v>
      </c>
      <c r="G397" t="s">
        <v>1315</v>
      </c>
      <c r="H397" t="s">
        <v>1363</v>
      </c>
      <c r="I397" t="s">
        <v>1804</v>
      </c>
    </row>
    <row r="398" spans="1:9" x14ac:dyDescent="0.25">
      <c r="A398" t="s">
        <v>3207</v>
      </c>
      <c r="B398" t="s">
        <v>2924</v>
      </c>
      <c r="C398" t="s">
        <v>1182</v>
      </c>
      <c r="D398" t="s">
        <v>62</v>
      </c>
      <c r="E398" t="s">
        <v>1289</v>
      </c>
      <c r="F398" t="s">
        <v>1314</v>
      </c>
      <c r="G398" t="s">
        <v>1315</v>
      </c>
      <c r="H398" t="s">
        <v>1398</v>
      </c>
      <c r="I398" t="s">
        <v>1895</v>
      </c>
    </row>
    <row r="399" spans="1:9" x14ac:dyDescent="0.25">
      <c r="A399" t="s">
        <v>3206</v>
      </c>
      <c r="B399" t="s">
        <v>2924</v>
      </c>
      <c r="C399" t="s">
        <v>1182</v>
      </c>
      <c r="D399" t="s">
        <v>62</v>
      </c>
      <c r="E399" t="s">
        <v>1289</v>
      </c>
      <c r="F399" t="s">
        <v>1314</v>
      </c>
      <c r="G399" t="s">
        <v>1315</v>
      </c>
      <c r="H399" t="s">
        <v>1398</v>
      </c>
      <c r="I399" t="s">
        <v>1895</v>
      </c>
    </row>
    <row r="400" spans="1:9" x14ac:dyDescent="0.25">
      <c r="A400" t="s">
        <v>3205</v>
      </c>
      <c r="B400" t="s">
        <v>2924</v>
      </c>
      <c r="C400" t="s">
        <v>1182</v>
      </c>
      <c r="D400" t="s">
        <v>62</v>
      </c>
      <c r="E400" t="s">
        <v>1289</v>
      </c>
      <c r="F400" t="s">
        <v>1314</v>
      </c>
      <c r="G400" t="s">
        <v>1315</v>
      </c>
      <c r="H400" t="s">
        <v>1398</v>
      </c>
      <c r="I400" t="s">
        <v>1895</v>
      </c>
    </row>
    <row r="401" spans="1:9" x14ac:dyDescent="0.25">
      <c r="A401" t="s">
        <v>2923</v>
      </c>
      <c r="B401" t="s">
        <v>2924</v>
      </c>
      <c r="C401" t="s">
        <v>1184</v>
      </c>
      <c r="D401" t="s">
        <v>15</v>
      </c>
      <c r="E401" t="s">
        <v>1240</v>
      </c>
      <c r="F401" t="s">
        <v>1314</v>
      </c>
      <c r="G401" t="s">
        <v>1315</v>
      </c>
      <c r="H401" t="s">
        <v>612</v>
      </c>
      <c r="I401" t="s">
        <v>2164</v>
      </c>
    </row>
    <row r="402" spans="1:9" x14ac:dyDescent="0.25">
      <c r="A402" t="s">
        <v>3204</v>
      </c>
      <c r="B402" t="s">
        <v>2922</v>
      </c>
      <c r="C402" t="s">
        <v>1187</v>
      </c>
      <c r="F402" t="s">
        <v>1314</v>
      </c>
      <c r="G402" t="s">
        <v>1315</v>
      </c>
      <c r="H402" t="s">
        <v>1316</v>
      </c>
      <c r="I402" t="s">
        <v>1745</v>
      </c>
    </row>
    <row r="403" spans="1:9" x14ac:dyDescent="0.25">
      <c r="A403" t="s">
        <v>2921</v>
      </c>
      <c r="B403" t="s">
        <v>2922</v>
      </c>
      <c r="C403" t="s">
        <v>1187</v>
      </c>
      <c r="D403" t="s">
        <v>1217</v>
      </c>
      <c r="E403" t="s">
        <v>1240</v>
      </c>
      <c r="F403" t="s">
        <v>1314</v>
      </c>
      <c r="G403" t="s">
        <v>1315</v>
      </c>
      <c r="H403" t="s">
        <v>1355</v>
      </c>
      <c r="I403" t="s">
        <v>1791</v>
      </c>
    </row>
    <row r="404" spans="1:9" x14ac:dyDescent="0.25">
      <c r="A404" t="s">
        <v>3203</v>
      </c>
      <c r="B404" t="s">
        <v>3202</v>
      </c>
      <c r="C404" t="s">
        <v>1203</v>
      </c>
      <c r="D404" t="s">
        <v>1217</v>
      </c>
      <c r="E404" t="s">
        <v>1269</v>
      </c>
      <c r="F404" t="s">
        <v>1314</v>
      </c>
      <c r="G404" t="s">
        <v>1315</v>
      </c>
      <c r="H404" t="s">
        <v>1267</v>
      </c>
      <c r="I404" t="s">
        <v>1792</v>
      </c>
    </row>
    <row r="405" spans="1:9" x14ac:dyDescent="0.25">
      <c r="A405" t="s">
        <v>3201</v>
      </c>
      <c r="B405" t="s">
        <v>3202</v>
      </c>
      <c r="C405" t="s">
        <v>1203</v>
      </c>
      <c r="D405" t="s">
        <v>1217</v>
      </c>
      <c r="E405" t="s">
        <v>1269</v>
      </c>
      <c r="F405" t="s">
        <v>1314</v>
      </c>
      <c r="G405" t="s">
        <v>1315</v>
      </c>
      <c r="H405" t="s">
        <v>1267</v>
      </c>
      <c r="I405" t="s">
        <v>1792</v>
      </c>
    </row>
    <row r="406" spans="1:9" x14ac:dyDescent="0.25">
      <c r="A406" t="s">
        <v>2925</v>
      </c>
      <c r="B406" t="s">
        <v>2926</v>
      </c>
      <c r="C406" t="s">
        <v>1187</v>
      </c>
      <c r="D406" t="s">
        <v>318</v>
      </c>
      <c r="E406" t="s">
        <v>1447</v>
      </c>
      <c r="F406" t="s">
        <v>1314</v>
      </c>
      <c r="G406" t="s">
        <v>1315</v>
      </c>
      <c r="H406" t="s">
        <v>1255</v>
      </c>
      <c r="I406" t="s">
        <v>2018</v>
      </c>
    </row>
    <row r="407" spans="1:9" x14ac:dyDescent="0.25">
      <c r="A407" t="s">
        <v>3208</v>
      </c>
      <c r="B407" t="s">
        <v>2926</v>
      </c>
      <c r="C407" t="s">
        <v>1187</v>
      </c>
      <c r="D407" t="s">
        <v>318</v>
      </c>
      <c r="E407" t="s">
        <v>1447</v>
      </c>
      <c r="F407" t="s">
        <v>1314</v>
      </c>
      <c r="G407" t="s">
        <v>1315</v>
      </c>
      <c r="H407" t="s">
        <v>1255</v>
      </c>
      <c r="I407" t="s">
        <v>2018</v>
      </c>
    </row>
    <row r="408" spans="1:9" x14ac:dyDescent="0.25">
      <c r="A408" t="s">
        <v>2920</v>
      </c>
      <c r="B408" t="s">
        <v>773</v>
      </c>
      <c r="C408" t="s">
        <v>1184</v>
      </c>
      <c r="D408" t="s">
        <v>84</v>
      </c>
      <c r="E408" t="s">
        <v>1234</v>
      </c>
      <c r="F408" t="s">
        <v>1314</v>
      </c>
      <c r="G408" t="s">
        <v>1315</v>
      </c>
      <c r="H408" t="s">
        <v>108</v>
      </c>
      <c r="I408" t="s">
        <v>2236</v>
      </c>
    </row>
    <row r="409" spans="1:9" x14ac:dyDescent="0.25">
      <c r="A409" t="s">
        <v>3956</v>
      </c>
      <c r="B409" t="s">
        <v>441</v>
      </c>
      <c r="C409" t="s">
        <v>1180</v>
      </c>
      <c r="D409" t="s">
        <v>84</v>
      </c>
      <c r="F409" t="s">
        <v>8</v>
      </c>
      <c r="G409" t="s">
        <v>910</v>
      </c>
      <c r="H409" t="s">
        <v>1319</v>
      </c>
      <c r="I409" t="s">
        <v>1941</v>
      </c>
    </row>
    <row r="410" spans="1:9" x14ac:dyDescent="0.25">
      <c r="A410" t="s">
        <v>3955</v>
      </c>
      <c r="B410" t="s">
        <v>505</v>
      </c>
      <c r="C410" t="s">
        <v>1180</v>
      </c>
      <c r="D410" t="s">
        <v>318</v>
      </c>
      <c r="F410" t="s">
        <v>8</v>
      </c>
      <c r="G410" t="s">
        <v>910</v>
      </c>
      <c r="H410" t="s">
        <v>1344</v>
      </c>
      <c r="I410" t="s">
        <v>2123</v>
      </c>
    </row>
    <row r="411" spans="1:9" x14ac:dyDescent="0.25">
      <c r="A411" t="s">
        <v>2803</v>
      </c>
      <c r="B411" t="s">
        <v>592</v>
      </c>
      <c r="C411" t="s">
        <v>1191</v>
      </c>
      <c r="D411" t="s">
        <v>318</v>
      </c>
      <c r="F411" t="s">
        <v>8</v>
      </c>
      <c r="G411" t="s">
        <v>910</v>
      </c>
      <c r="H411" t="s">
        <v>330</v>
      </c>
      <c r="I411" t="s">
        <v>1940</v>
      </c>
    </row>
    <row r="412" spans="1:9" x14ac:dyDescent="0.25">
      <c r="A412" t="s">
        <v>4329</v>
      </c>
      <c r="B412" t="s">
        <v>678</v>
      </c>
      <c r="C412" t="s">
        <v>1196</v>
      </c>
      <c r="D412" t="s">
        <v>318</v>
      </c>
      <c r="F412" t="s">
        <v>8</v>
      </c>
      <c r="G412" t="s">
        <v>910</v>
      </c>
      <c r="H412" t="s">
        <v>1349</v>
      </c>
      <c r="I412" t="s">
        <v>1780</v>
      </c>
    </row>
    <row r="413" spans="1:9" x14ac:dyDescent="0.25">
      <c r="A413" t="s">
        <v>3212</v>
      </c>
      <c r="B413" t="s">
        <v>678</v>
      </c>
      <c r="C413" t="s">
        <v>1191</v>
      </c>
      <c r="D413" t="s">
        <v>318</v>
      </c>
      <c r="F413" t="s">
        <v>8</v>
      </c>
      <c r="G413" t="s">
        <v>910</v>
      </c>
      <c r="H413" t="s">
        <v>1344</v>
      </c>
      <c r="I413" t="s">
        <v>1939</v>
      </c>
    </row>
    <row r="414" spans="1:9" x14ac:dyDescent="0.25">
      <c r="A414" t="s">
        <v>3200</v>
      </c>
      <c r="B414" t="s">
        <v>176</v>
      </c>
      <c r="C414" t="s">
        <v>1180</v>
      </c>
      <c r="E414" t="s">
        <v>1430</v>
      </c>
      <c r="F414" t="s">
        <v>8</v>
      </c>
      <c r="G414" t="s">
        <v>910</v>
      </c>
      <c r="H414" t="s">
        <v>119</v>
      </c>
      <c r="I414" t="s">
        <v>1978</v>
      </c>
    </row>
    <row r="415" spans="1:9" x14ac:dyDescent="0.25">
      <c r="A415" t="s">
        <v>2919</v>
      </c>
      <c r="B415" t="s">
        <v>263</v>
      </c>
      <c r="C415" t="s">
        <v>1180</v>
      </c>
      <c r="E415" t="s">
        <v>1269</v>
      </c>
      <c r="F415" t="s">
        <v>8</v>
      </c>
      <c r="G415" t="s">
        <v>910</v>
      </c>
      <c r="H415" t="s">
        <v>265</v>
      </c>
      <c r="I415" t="s">
        <v>1979</v>
      </c>
    </row>
    <row r="416" spans="1:9" x14ac:dyDescent="0.25">
      <c r="A416" t="s">
        <v>3193</v>
      </c>
      <c r="B416" t="s">
        <v>398</v>
      </c>
      <c r="C416" t="s">
        <v>1180</v>
      </c>
      <c r="D416" t="s">
        <v>15</v>
      </c>
      <c r="E416" t="s">
        <v>1233</v>
      </c>
      <c r="F416" t="s">
        <v>8</v>
      </c>
      <c r="G416" t="s">
        <v>910</v>
      </c>
      <c r="H416" t="s">
        <v>399</v>
      </c>
      <c r="I416" t="s">
        <v>1833</v>
      </c>
    </row>
    <row r="417" spans="1:9" x14ac:dyDescent="0.25">
      <c r="A417" t="s">
        <v>2917</v>
      </c>
      <c r="B417" t="s">
        <v>359</v>
      </c>
      <c r="C417" t="s">
        <v>1193</v>
      </c>
      <c r="D417" t="s">
        <v>27</v>
      </c>
      <c r="E417" t="s">
        <v>1233</v>
      </c>
      <c r="F417" t="s">
        <v>8</v>
      </c>
      <c r="G417" t="s">
        <v>910</v>
      </c>
      <c r="H417" t="s">
        <v>360</v>
      </c>
      <c r="I417" t="s">
        <v>2918</v>
      </c>
    </row>
    <row r="418" spans="1:9" x14ac:dyDescent="0.25">
      <c r="A418" t="s">
        <v>3199</v>
      </c>
      <c r="B418" t="s">
        <v>441</v>
      </c>
      <c r="C418" t="s">
        <v>1180</v>
      </c>
      <c r="D418" t="s">
        <v>84</v>
      </c>
      <c r="E418" t="s">
        <v>1289</v>
      </c>
      <c r="F418" t="s">
        <v>8</v>
      </c>
      <c r="G418" t="s">
        <v>910</v>
      </c>
      <c r="H418" t="s">
        <v>442</v>
      </c>
      <c r="I418" t="s">
        <v>1980</v>
      </c>
    </row>
    <row r="419" spans="1:9" x14ac:dyDescent="0.25">
      <c r="A419" t="s">
        <v>2801</v>
      </c>
      <c r="B419" t="s">
        <v>500</v>
      </c>
      <c r="C419" t="s">
        <v>1185</v>
      </c>
      <c r="D419" t="s">
        <v>15</v>
      </c>
      <c r="E419" t="s">
        <v>1246</v>
      </c>
      <c r="F419" t="s">
        <v>8</v>
      </c>
      <c r="G419" t="s">
        <v>910</v>
      </c>
      <c r="H419" t="s">
        <v>501</v>
      </c>
      <c r="I419" t="s">
        <v>1834</v>
      </c>
    </row>
    <row r="420" spans="1:9" x14ac:dyDescent="0.25">
      <c r="A420" t="s">
        <v>3198</v>
      </c>
      <c r="B420" t="s">
        <v>505</v>
      </c>
      <c r="C420" t="s">
        <v>1180</v>
      </c>
      <c r="D420" t="s">
        <v>318</v>
      </c>
      <c r="E420" t="s">
        <v>1238</v>
      </c>
      <c r="F420" t="s">
        <v>8</v>
      </c>
      <c r="G420" t="s">
        <v>910</v>
      </c>
      <c r="H420" t="s">
        <v>442</v>
      </c>
      <c r="I420" t="s">
        <v>1981</v>
      </c>
    </row>
    <row r="421" spans="1:9" x14ac:dyDescent="0.25">
      <c r="A421" t="s">
        <v>3196</v>
      </c>
      <c r="B421" t="s">
        <v>3197</v>
      </c>
      <c r="C421" t="s">
        <v>1187</v>
      </c>
      <c r="D421" t="s">
        <v>84</v>
      </c>
      <c r="E421" t="s">
        <v>1242</v>
      </c>
      <c r="G421" t="s">
        <v>910</v>
      </c>
      <c r="H421" t="s">
        <v>1258</v>
      </c>
      <c r="I421" t="s">
        <v>1838</v>
      </c>
    </row>
    <row r="422" spans="1:9" x14ac:dyDescent="0.25">
      <c r="A422" t="s">
        <v>3194</v>
      </c>
      <c r="B422" t="s">
        <v>3195</v>
      </c>
      <c r="C422" t="s">
        <v>1200</v>
      </c>
      <c r="D422" t="s">
        <v>91</v>
      </c>
      <c r="G422" t="s">
        <v>910</v>
      </c>
      <c r="H422" t="s">
        <v>380</v>
      </c>
      <c r="I422" t="s">
        <v>1749</v>
      </c>
    </row>
    <row r="423" spans="1:9" x14ac:dyDescent="0.25">
      <c r="A423" t="s">
        <v>2916</v>
      </c>
      <c r="B423" t="s">
        <v>552</v>
      </c>
      <c r="C423" t="s">
        <v>1180</v>
      </c>
      <c r="D423" t="s">
        <v>318</v>
      </c>
      <c r="E423" t="s">
        <v>1226</v>
      </c>
      <c r="F423" t="s">
        <v>8</v>
      </c>
      <c r="G423" t="s">
        <v>910</v>
      </c>
      <c r="H423" t="s">
        <v>383</v>
      </c>
      <c r="I423" t="s">
        <v>1982</v>
      </c>
    </row>
    <row r="424" spans="1:9" x14ac:dyDescent="0.25">
      <c r="A424" t="s">
        <v>2915</v>
      </c>
      <c r="B424" t="s">
        <v>592</v>
      </c>
      <c r="C424" t="s">
        <v>1186</v>
      </c>
      <c r="D424" t="s">
        <v>318</v>
      </c>
      <c r="E424" t="s">
        <v>1222</v>
      </c>
      <c r="F424" t="s">
        <v>8</v>
      </c>
      <c r="G424" t="s">
        <v>910</v>
      </c>
      <c r="H424" t="s">
        <v>383</v>
      </c>
      <c r="I424" t="s">
        <v>1835</v>
      </c>
    </row>
    <row r="425" spans="1:9" x14ac:dyDescent="0.25">
      <c r="A425" t="s">
        <v>4279</v>
      </c>
      <c r="B425" t="s">
        <v>678</v>
      </c>
      <c r="C425" t="s">
        <v>1191</v>
      </c>
      <c r="D425" t="s">
        <v>318</v>
      </c>
      <c r="E425" t="s">
        <v>1252</v>
      </c>
      <c r="F425" t="s">
        <v>8</v>
      </c>
      <c r="G425" t="s">
        <v>910</v>
      </c>
      <c r="H425" t="s">
        <v>17</v>
      </c>
      <c r="I425" t="s">
        <v>4280</v>
      </c>
    </row>
    <row r="426" spans="1:9" x14ac:dyDescent="0.25">
      <c r="A426" t="s">
        <v>2661</v>
      </c>
      <c r="B426" t="s">
        <v>678</v>
      </c>
      <c r="C426" t="s">
        <v>1183</v>
      </c>
      <c r="D426" t="s">
        <v>318</v>
      </c>
      <c r="E426" t="s">
        <v>1252</v>
      </c>
      <c r="F426" t="s">
        <v>8</v>
      </c>
      <c r="G426" t="s">
        <v>910</v>
      </c>
      <c r="H426" t="s">
        <v>1620</v>
      </c>
      <c r="I426" t="s">
        <v>2428</v>
      </c>
    </row>
    <row r="427" spans="1:9" x14ac:dyDescent="0.25">
      <c r="A427" t="s">
        <v>2914</v>
      </c>
      <c r="B427" t="s">
        <v>773</v>
      </c>
      <c r="C427" t="s">
        <v>1182</v>
      </c>
      <c r="D427" t="s">
        <v>84</v>
      </c>
      <c r="E427" t="s">
        <v>1271</v>
      </c>
      <c r="F427" t="s">
        <v>8</v>
      </c>
      <c r="G427" t="s">
        <v>910</v>
      </c>
      <c r="H427" t="s">
        <v>28</v>
      </c>
      <c r="I427" t="s">
        <v>1750</v>
      </c>
    </row>
    <row r="428" spans="1:9" x14ac:dyDescent="0.25">
      <c r="A428" t="s">
        <v>4278</v>
      </c>
      <c r="B428" t="s">
        <v>822</v>
      </c>
      <c r="C428" t="s">
        <v>1183</v>
      </c>
      <c r="D428" t="s">
        <v>84</v>
      </c>
      <c r="E428" t="s">
        <v>1269</v>
      </c>
      <c r="F428" t="s">
        <v>8</v>
      </c>
      <c r="G428" t="s">
        <v>910</v>
      </c>
      <c r="H428" t="s">
        <v>825</v>
      </c>
      <c r="I428" t="s">
        <v>1837</v>
      </c>
    </row>
    <row r="429" spans="1:9" x14ac:dyDescent="0.25">
      <c r="A429" t="s">
        <v>2913</v>
      </c>
      <c r="B429" t="s">
        <v>75</v>
      </c>
      <c r="C429" t="s">
        <v>1186</v>
      </c>
      <c r="D429" t="s">
        <v>15</v>
      </c>
      <c r="F429" t="s">
        <v>8</v>
      </c>
      <c r="G429" t="s">
        <v>910</v>
      </c>
      <c r="H429" t="s">
        <v>77</v>
      </c>
      <c r="I429" t="s">
        <v>78</v>
      </c>
    </row>
    <row r="430" spans="1:9" x14ac:dyDescent="0.25">
      <c r="A430" t="s">
        <v>4328</v>
      </c>
      <c r="B430" t="s">
        <v>148</v>
      </c>
      <c r="C430" t="s">
        <v>1186</v>
      </c>
      <c r="D430" t="s">
        <v>15</v>
      </c>
      <c r="F430" t="s">
        <v>8</v>
      </c>
      <c r="G430" t="s">
        <v>910</v>
      </c>
      <c r="H430" t="s">
        <v>150</v>
      </c>
      <c r="I430" t="s">
        <v>151</v>
      </c>
    </row>
    <row r="431" spans="1:9" x14ac:dyDescent="0.25">
      <c r="A431" t="s">
        <v>2912</v>
      </c>
      <c r="B431" t="s">
        <v>43</v>
      </c>
      <c r="C431" t="s">
        <v>1180</v>
      </c>
      <c r="D431" t="s">
        <v>318</v>
      </c>
      <c r="E431" t="s">
        <v>1242</v>
      </c>
      <c r="F431" t="s">
        <v>8</v>
      </c>
      <c r="G431" t="s">
        <v>900</v>
      </c>
      <c r="H431" t="s">
        <v>716</v>
      </c>
      <c r="I431" t="s">
        <v>1897</v>
      </c>
    </row>
    <row r="432" spans="1:9" x14ac:dyDescent="0.25">
      <c r="A432" t="s">
        <v>2910</v>
      </c>
      <c r="B432" t="s">
        <v>432</v>
      </c>
      <c r="C432" t="s">
        <v>1181</v>
      </c>
      <c r="D432" t="s">
        <v>84</v>
      </c>
      <c r="E432" t="s">
        <v>1250</v>
      </c>
      <c r="F432" t="s">
        <v>8</v>
      </c>
      <c r="G432" t="s">
        <v>910</v>
      </c>
      <c r="H432" t="s">
        <v>2911</v>
      </c>
      <c r="I432" t="s">
        <v>434</v>
      </c>
    </row>
    <row r="433" spans="1:9" x14ac:dyDescent="0.25">
      <c r="A433" t="s">
        <v>4277</v>
      </c>
      <c r="B433" t="s">
        <v>741</v>
      </c>
      <c r="C433" t="s">
        <v>1180</v>
      </c>
      <c r="D433" t="s">
        <v>84</v>
      </c>
      <c r="E433" t="s">
        <v>1250</v>
      </c>
      <c r="F433" t="s">
        <v>8</v>
      </c>
      <c r="G433" t="s">
        <v>910</v>
      </c>
      <c r="H433" t="s">
        <v>37</v>
      </c>
      <c r="I433" t="s">
        <v>1983</v>
      </c>
    </row>
    <row r="434" spans="1:9" x14ac:dyDescent="0.25">
      <c r="A434" t="s">
        <v>2909</v>
      </c>
      <c r="B434" t="s">
        <v>378</v>
      </c>
      <c r="C434" t="s">
        <v>1187</v>
      </c>
      <c r="D434" t="s">
        <v>62</v>
      </c>
      <c r="E434" t="s">
        <v>1547</v>
      </c>
      <c r="F434" t="s">
        <v>8</v>
      </c>
      <c r="G434" t="s">
        <v>900</v>
      </c>
      <c r="H434" t="s">
        <v>380</v>
      </c>
      <c r="I434" t="s">
        <v>2281</v>
      </c>
    </row>
    <row r="435" spans="1:9" x14ac:dyDescent="0.25">
      <c r="A435" t="s">
        <v>4182</v>
      </c>
      <c r="B435" t="s">
        <v>773</v>
      </c>
      <c r="C435" t="s">
        <v>1190</v>
      </c>
      <c r="D435" t="s">
        <v>91</v>
      </c>
      <c r="E435" t="s">
        <v>1260</v>
      </c>
      <c r="F435" t="s">
        <v>8</v>
      </c>
      <c r="G435" t="s">
        <v>900</v>
      </c>
      <c r="H435" t="s">
        <v>330</v>
      </c>
      <c r="I435" t="s">
        <v>776</v>
      </c>
    </row>
    <row r="436" spans="1:9" x14ac:dyDescent="0.25">
      <c r="A436" t="s">
        <v>2660</v>
      </c>
      <c r="B436" t="s">
        <v>773</v>
      </c>
      <c r="C436" t="s">
        <v>1184</v>
      </c>
      <c r="D436" t="s">
        <v>56</v>
      </c>
      <c r="E436" t="s">
        <v>1271</v>
      </c>
      <c r="F436" t="s">
        <v>8</v>
      </c>
      <c r="G436" t="s">
        <v>910</v>
      </c>
      <c r="H436" t="s">
        <v>242</v>
      </c>
      <c r="I436" t="s">
        <v>2449</v>
      </c>
    </row>
    <row r="437" spans="1:9" x14ac:dyDescent="0.25">
      <c r="A437" t="s">
        <v>2545</v>
      </c>
      <c r="B437" t="s">
        <v>13</v>
      </c>
      <c r="C437" t="s">
        <v>1184</v>
      </c>
      <c r="D437" t="s">
        <v>15</v>
      </c>
      <c r="E437" t="s">
        <v>1249</v>
      </c>
      <c r="F437" t="s">
        <v>8</v>
      </c>
      <c r="G437" t="s">
        <v>900</v>
      </c>
      <c r="H437" t="s">
        <v>17</v>
      </c>
      <c r="I437" t="s">
        <v>18</v>
      </c>
    </row>
    <row r="438" spans="1:9" x14ac:dyDescent="0.25">
      <c r="A438" t="s">
        <v>4327</v>
      </c>
      <c r="B438" t="s">
        <v>378</v>
      </c>
      <c r="C438" t="s">
        <v>1187</v>
      </c>
      <c r="D438" t="s">
        <v>62</v>
      </c>
      <c r="E438" t="s">
        <v>1547</v>
      </c>
      <c r="F438" t="s">
        <v>8</v>
      </c>
      <c r="G438" t="s">
        <v>900</v>
      </c>
      <c r="H438" t="s">
        <v>383</v>
      </c>
      <c r="I438" t="s">
        <v>2281</v>
      </c>
    </row>
    <row r="439" spans="1:9" x14ac:dyDescent="0.25">
      <c r="A439" t="s">
        <v>2659</v>
      </c>
      <c r="B439" t="s">
        <v>773</v>
      </c>
      <c r="C439" t="s">
        <v>1190</v>
      </c>
      <c r="D439" t="s">
        <v>91</v>
      </c>
      <c r="E439" t="s">
        <v>1260</v>
      </c>
      <c r="F439" t="s">
        <v>8</v>
      </c>
      <c r="G439" t="s">
        <v>900</v>
      </c>
      <c r="H439" t="s">
        <v>778</v>
      </c>
      <c r="I439" t="s">
        <v>776</v>
      </c>
    </row>
    <row r="440" spans="1:9" x14ac:dyDescent="0.25">
      <c r="A440" t="s">
        <v>2573</v>
      </c>
      <c r="B440" t="s">
        <v>75</v>
      </c>
      <c r="C440" t="s">
        <v>1191</v>
      </c>
      <c r="D440" t="s">
        <v>21</v>
      </c>
      <c r="E440" t="s">
        <v>1301</v>
      </c>
      <c r="F440" t="s">
        <v>8</v>
      </c>
      <c r="G440" t="s">
        <v>910</v>
      </c>
      <c r="H440" t="s">
        <v>81</v>
      </c>
      <c r="I440" t="s">
        <v>1725</v>
      </c>
    </row>
    <row r="441" spans="1:9" x14ac:dyDescent="0.25">
      <c r="A441" t="s">
        <v>4418</v>
      </c>
      <c r="B441" t="s">
        <v>172</v>
      </c>
      <c r="C441" t="s">
        <v>1180</v>
      </c>
      <c r="E441" t="s">
        <v>1234</v>
      </c>
      <c r="F441" t="s">
        <v>8</v>
      </c>
      <c r="G441" t="s">
        <v>910</v>
      </c>
      <c r="H441" t="s">
        <v>842</v>
      </c>
      <c r="I441" t="s">
        <v>1708</v>
      </c>
    </row>
    <row r="442" spans="1:9" x14ac:dyDescent="0.25">
      <c r="A442" t="s">
        <v>4326</v>
      </c>
      <c r="B442" t="s">
        <v>271</v>
      </c>
      <c r="C442" t="s">
        <v>1180</v>
      </c>
      <c r="D442" t="s">
        <v>27</v>
      </c>
      <c r="E442" t="s">
        <v>1226</v>
      </c>
      <c r="F442" t="s">
        <v>8</v>
      </c>
      <c r="G442" t="s">
        <v>910</v>
      </c>
      <c r="H442" t="s">
        <v>1376</v>
      </c>
      <c r="I442" t="s">
        <v>273</v>
      </c>
    </row>
    <row r="443" spans="1:9" x14ac:dyDescent="0.25">
      <c r="A443" t="s">
        <v>2657</v>
      </c>
      <c r="B443" t="s">
        <v>359</v>
      </c>
      <c r="C443" t="s">
        <v>1193</v>
      </c>
      <c r="D443" t="s">
        <v>27</v>
      </c>
      <c r="E443" t="s">
        <v>2658</v>
      </c>
      <c r="F443" t="s">
        <v>8</v>
      </c>
      <c r="G443" t="s">
        <v>910</v>
      </c>
      <c r="H443" t="s">
        <v>363</v>
      </c>
      <c r="I443" t="s">
        <v>364</v>
      </c>
    </row>
    <row r="444" spans="1:9" x14ac:dyDescent="0.25">
      <c r="A444" t="s">
        <v>2574</v>
      </c>
      <c r="B444" t="s">
        <v>441</v>
      </c>
      <c r="C444" t="s">
        <v>1183</v>
      </c>
      <c r="D444" t="s">
        <v>27</v>
      </c>
      <c r="F444" t="s">
        <v>8</v>
      </c>
      <c r="G444" t="s">
        <v>910</v>
      </c>
      <c r="H444" t="s">
        <v>445</v>
      </c>
    </row>
    <row r="445" spans="1:9" x14ac:dyDescent="0.25">
      <c r="A445" t="s">
        <v>4389</v>
      </c>
      <c r="B445" t="s">
        <v>479</v>
      </c>
      <c r="C445" t="s">
        <v>1180</v>
      </c>
      <c r="D445" t="s">
        <v>27</v>
      </c>
      <c r="E445" t="s">
        <v>1268</v>
      </c>
      <c r="F445" t="s">
        <v>8</v>
      </c>
      <c r="G445" t="s">
        <v>910</v>
      </c>
      <c r="H445" t="s">
        <v>480</v>
      </c>
      <c r="I445" t="s">
        <v>481</v>
      </c>
    </row>
    <row r="446" spans="1:9" x14ac:dyDescent="0.25">
      <c r="A446" t="s">
        <v>4276</v>
      </c>
      <c r="B446" t="s">
        <v>505</v>
      </c>
      <c r="C446" t="s">
        <v>1191</v>
      </c>
      <c r="D446" t="s">
        <v>27</v>
      </c>
      <c r="E446" t="s">
        <v>1629</v>
      </c>
      <c r="F446" t="s">
        <v>8</v>
      </c>
      <c r="G446" t="s">
        <v>910</v>
      </c>
      <c r="H446" t="s">
        <v>508</v>
      </c>
      <c r="I446" t="s">
        <v>2476</v>
      </c>
    </row>
    <row r="447" spans="1:9" x14ac:dyDescent="0.25">
      <c r="A447" t="s">
        <v>4388</v>
      </c>
      <c r="B447" t="s">
        <v>505</v>
      </c>
      <c r="C447" t="s">
        <v>1183</v>
      </c>
      <c r="D447" t="s">
        <v>15</v>
      </c>
      <c r="E447" t="s">
        <v>1242</v>
      </c>
      <c r="F447" t="s">
        <v>8</v>
      </c>
      <c r="G447" t="s">
        <v>910</v>
      </c>
      <c r="H447" t="s">
        <v>445</v>
      </c>
      <c r="I447" t="s">
        <v>1696</v>
      </c>
    </row>
    <row r="448" spans="1:9" x14ac:dyDescent="0.25">
      <c r="A448" t="s">
        <v>4325</v>
      </c>
      <c r="B448" t="s">
        <v>552</v>
      </c>
      <c r="C448" t="s">
        <v>1191</v>
      </c>
      <c r="D448" t="s">
        <v>27</v>
      </c>
      <c r="E448" t="s">
        <v>1249</v>
      </c>
      <c r="F448" t="s">
        <v>8</v>
      </c>
      <c r="G448" t="s">
        <v>910</v>
      </c>
      <c r="H448" t="s">
        <v>555</v>
      </c>
      <c r="I448" t="s">
        <v>2457</v>
      </c>
    </row>
    <row r="449" spans="1:9" x14ac:dyDescent="0.25">
      <c r="A449" t="s">
        <v>2700</v>
      </c>
      <c r="B449" t="s">
        <v>552</v>
      </c>
      <c r="C449" t="s">
        <v>1183</v>
      </c>
      <c r="D449" t="s">
        <v>56</v>
      </c>
      <c r="E449" t="s">
        <v>1354</v>
      </c>
      <c r="F449" t="s">
        <v>8</v>
      </c>
      <c r="G449" t="s">
        <v>910</v>
      </c>
      <c r="H449" t="s">
        <v>223</v>
      </c>
      <c r="I449" t="s">
        <v>1850</v>
      </c>
    </row>
    <row r="450" spans="1:9" x14ac:dyDescent="0.25">
      <c r="A450" t="s">
        <v>3954</v>
      </c>
      <c r="B450" t="s">
        <v>572</v>
      </c>
      <c r="C450" t="s">
        <v>1181</v>
      </c>
      <c r="D450" t="s">
        <v>27</v>
      </c>
      <c r="E450" t="s">
        <v>1268</v>
      </c>
      <c r="F450" t="s">
        <v>8</v>
      </c>
      <c r="G450" t="s">
        <v>910</v>
      </c>
      <c r="H450" t="s">
        <v>575</v>
      </c>
      <c r="I450" t="s">
        <v>1751</v>
      </c>
    </row>
    <row r="451" spans="1:9" x14ac:dyDescent="0.25">
      <c r="A451" t="s">
        <v>4387</v>
      </c>
      <c r="B451" t="s">
        <v>592</v>
      </c>
      <c r="C451" t="s">
        <v>1191</v>
      </c>
      <c r="D451" t="s">
        <v>56</v>
      </c>
      <c r="E451" t="s">
        <v>1242</v>
      </c>
      <c r="F451" t="s">
        <v>8</v>
      </c>
      <c r="G451" t="s">
        <v>910</v>
      </c>
      <c r="H451" t="s">
        <v>123</v>
      </c>
      <c r="I451" t="s">
        <v>1902</v>
      </c>
    </row>
    <row r="452" spans="1:9" x14ac:dyDescent="0.25">
      <c r="A452" t="s">
        <v>4417</v>
      </c>
      <c r="B452" t="s">
        <v>592</v>
      </c>
      <c r="C452" t="s">
        <v>1183</v>
      </c>
      <c r="D452" t="s">
        <v>91</v>
      </c>
      <c r="E452" t="s">
        <v>1303</v>
      </c>
      <c r="F452" t="s">
        <v>8</v>
      </c>
      <c r="G452" t="s">
        <v>910</v>
      </c>
      <c r="H452" t="s">
        <v>45</v>
      </c>
      <c r="I452" t="s">
        <v>2413</v>
      </c>
    </row>
    <row r="453" spans="1:9" x14ac:dyDescent="0.25">
      <c r="A453" t="s">
        <v>4471</v>
      </c>
      <c r="B453" t="s">
        <v>678</v>
      </c>
      <c r="C453" t="s">
        <v>1191</v>
      </c>
      <c r="D453" t="s">
        <v>91</v>
      </c>
      <c r="E453" t="s">
        <v>1390</v>
      </c>
      <c r="F453" t="s">
        <v>8</v>
      </c>
      <c r="G453" t="s">
        <v>910</v>
      </c>
      <c r="H453" t="s">
        <v>632</v>
      </c>
      <c r="I453" t="s">
        <v>2472</v>
      </c>
    </row>
    <row r="454" spans="1:9" x14ac:dyDescent="0.25">
      <c r="A454" t="s">
        <v>4490</v>
      </c>
      <c r="B454" t="s">
        <v>678</v>
      </c>
      <c r="C454" t="s">
        <v>1183</v>
      </c>
      <c r="D454" t="s">
        <v>91</v>
      </c>
      <c r="E454" t="s">
        <v>1234</v>
      </c>
      <c r="F454" t="s">
        <v>8</v>
      </c>
      <c r="G454" t="s">
        <v>910</v>
      </c>
      <c r="H454" t="s">
        <v>686</v>
      </c>
      <c r="I454" t="s">
        <v>1643</v>
      </c>
    </row>
    <row r="455" spans="1:9" x14ac:dyDescent="0.25">
      <c r="A455" t="s">
        <v>4324</v>
      </c>
      <c r="B455" t="s">
        <v>678</v>
      </c>
      <c r="C455" t="s">
        <v>1183</v>
      </c>
      <c r="D455" t="s">
        <v>91</v>
      </c>
      <c r="E455" t="s">
        <v>1234</v>
      </c>
      <c r="F455" t="s">
        <v>8</v>
      </c>
      <c r="G455" t="s">
        <v>910</v>
      </c>
      <c r="H455" t="s">
        <v>689</v>
      </c>
      <c r="I455" t="s">
        <v>1861</v>
      </c>
    </row>
    <row r="456" spans="1:9" x14ac:dyDescent="0.25">
      <c r="A456" t="s">
        <v>2699</v>
      </c>
      <c r="B456" t="s">
        <v>91</v>
      </c>
      <c r="C456" t="s">
        <v>1191</v>
      </c>
      <c r="D456" t="s">
        <v>15</v>
      </c>
      <c r="E456" t="s">
        <v>1301</v>
      </c>
      <c r="F456" t="s">
        <v>8</v>
      </c>
      <c r="G456" t="s">
        <v>910</v>
      </c>
      <c r="H456" t="s">
        <v>363</v>
      </c>
      <c r="I456" t="s">
        <v>732</v>
      </c>
    </row>
    <row r="457" spans="1:9" x14ac:dyDescent="0.25">
      <c r="A457" t="s">
        <v>4419</v>
      </c>
      <c r="B457" t="s">
        <v>797</v>
      </c>
      <c r="C457" t="s">
        <v>1193</v>
      </c>
      <c r="D457" t="s">
        <v>1218</v>
      </c>
      <c r="E457" t="s">
        <v>1282</v>
      </c>
      <c r="F457" t="s">
        <v>8</v>
      </c>
      <c r="G457" t="s">
        <v>910</v>
      </c>
      <c r="H457" t="s">
        <v>257</v>
      </c>
      <c r="I457" t="s">
        <v>1696</v>
      </c>
    </row>
    <row r="458" spans="1:9" x14ac:dyDescent="0.25">
      <c r="A458" t="s">
        <v>2644</v>
      </c>
      <c r="B458" t="s">
        <v>822</v>
      </c>
      <c r="C458" t="s">
        <v>1191</v>
      </c>
      <c r="D458" t="s">
        <v>27</v>
      </c>
      <c r="E458" t="s">
        <v>1289</v>
      </c>
      <c r="F458" t="s">
        <v>8</v>
      </c>
      <c r="G458" t="s">
        <v>910</v>
      </c>
      <c r="H458" t="s">
        <v>1511</v>
      </c>
      <c r="I458" t="s">
        <v>2415</v>
      </c>
    </row>
    <row r="459" spans="1:9" x14ac:dyDescent="0.25">
      <c r="A459" t="s">
        <v>4463</v>
      </c>
      <c r="B459" t="s">
        <v>822</v>
      </c>
      <c r="C459" t="s">
        <v>1183</v>
      </c>
      <c r="D459" t="s">
        <v>56</v>
      </c>
      <c r="E459" t="s">
        <v>1300</v>
      </c>
      <c r="F459" t="s">
        <v>8</v>
      </c>
      <c r="G459" t="s">
        <v>910</v>
      </c>
      <c r="H459" t="s">
        <v>10</v>
      </c>
      <c r="I459" t="s">
        <v>823</v>
      </c>
    </row>
    <row r="460" spans="1:9" x14ac:dyDescent="0.25">
      <c r="A460" t="s">
        <v>2643</v>
      </c>
      <c r="B460" t="s">
        <v>31</v>
      </c>
      <c r="C460" t="s">
        <v>1193</v>
      </c>
      <c r="D460" t="s">
        <v>27</v>
      </c>
      <c r="E460" t="s">
        <v>1242</v>
      </c>
      <c r="F460" t="s">
        <v>8</v>
      </c>
      <c r="G460" t="s">
        <v>900</v>
      </c>
      <c r="H460" t="s">
        <v>33</v>
      </c>
      <c r="I460" t="s">
        <v>2464</v>
      </c>
    </row>
    <row r="461" spans="1:9" x14ac:dyDescent="0.25">
      <c r="A461" t="s">
        <v>4275</v>
      </c>
      <c r="B461" t="s">
        <v>114</v>
      </c>
      <c r="C461" t="s">
        <v>1181</v>
      </c>
      <c r="D461" t="s">
        <v>27</v>
      </c>
      <c r="E461" t="s">
        <v>1289</v>
      </c>
      <c r="F461" t="s">
        <v>8</v>
      </c>
      <c r="G461" t="s">
        <v>900</v>
      </c>
      <c r="H461" t="s">
        <v>257</v>
      </c>
      <c r="I461" t="s">
        <v>1951</v>
      </c>
    </row>
    <row r="462" spans="1:9" x14ac:dyDescent="0.25">
      <c r="A462" t="s">
        <v>2698</v>
      </c>
      <c r="B462" t="s">
        <v>286</v>
      </c>
      <c r="C462" t="s">
        <v>1180</v>
      </c>
      <c r="D462" t="s">
        <v>27</v>
      </c>
      <c r="E462" t="s">
        <v>1226</v>
      </c>
      <c r="F462" t="s">
        <v>8</v>
      </c>
      <c r="G462" t="s">
        <v>900</v>
      </c>
      <c r="H462" t="s">
        <v>287</v>
      </c>
      <c r="I462" t="s">
        <v>2418</v>
      </c>
    </row>
    <row r="463" spans="1:9" x14ac:dyDescent="0.25">
      <c r="A463" t="s">
        <v>3953</v>
      </c>
      <c r="B463" t="s">
        <v>2777</v>
      </c>
      <c r="C463" t="s">
        <v>1187</v>
      </c>
      <c r="D463" t="s">
        <v>56</v>
      </c>
      <c r="E463" t="s">
        <v>1224</v>
      </c>
      <c r="F463" t="s">
        <v>8</v>
      </c>
      <c r="G463" t="s">
        <v>900</v>
      </c>
      <c r="H463" t="s">
        <v>363</v>
      </c>
      <c r="I463" t="s">
        <v>1795</v>
      </c>
    </row>
    <row r="464" spans="1:9" x14ac:dyDescent="0.25">
      <c r="A464" t="s">
        <v>3952</v>
      </c>
      <c r="B464" t="s">
        <v>378</v>
      </c>
      <c r="C464" t="s">
        <v>1187</v>
      </c>
      <c r="D464" t="s">
        <v>318</v>
      </c>
      <c r="E464" t="s">
        <v>1235</v>
      </c>
      <c r="F464" t="s">
        <v>8</v>
      </c>
      <c r="G464" t="s">
        <v>900</v>
      </c>
      <c r="H464" t="s">
        <v>383</v>
      </c>
      <c r="I464" t="s">
        <v>1756</v>
      </c>
    </row>
    <row r="465" spans="1:9" x14ac:dyDescent="0.25">
      <c r="A465" t="s">
        <v>2553</v>
      </c>
      <c r="B465" t="s">
        <v>592</v>
      </c>
      <c r="C465" t="s">
        <v>1183</v>
      </c>
      <c r="D465" t="s">
        <v>318</v>
      </c>
      <c r="F465" t="s">
        <v>8</v>
      </c>
      <c r="G465" t="s">
        <v>900</v>
      </c>
      <c r="H465" t="s">
        <v>1257</v>
      </c>
      <c r="I465" t="s">
        <v>1664</v>
      </c>
    </row>
    <row r="466" spans="1:9" x14ac:dyDescent="0.25">
      <c r="A466" t="s">
        <v>3951</v>
      </c>
      <c r="B466" t="s">
        <v>711</v>
      </c>
      <c r="C466" t="s">
        <v>1182</v>
      </c>
      <c r="D466" t="s">
        <v>318</v>
      </c>
      <c r="F466" t="s">
        <v>8</v>
      </c>
      <c r="G466" t="s">
        <v>900</v>
      </c>
      <c r="H466" t="s">
        <v>712</v>
      </c>
      <c r="I466" t="s">
        <v>713</v>
      </c>
    </row>
    <row r="467" spans="1:9" x14ac:dyDescent="0.25">
      <c r="A467" t="s">
        <v>2656</v>
      </c>
      <c r="B467" t="s">
        <v>631</v>
      </c>
      <c r="C467" t="s">
        <v>1180</v>
      </c>
      <c r="D467" t="s">
        <v>318</v>
      </c>
      <c r="E467" t="s">
        <v>1250</v>
      </c>
      <c r="F467" t="s">
        <v>8</v>
      </c>
      <c r="G467" t="s">
        <v>900</v>
      </c>
      <c r="H467" t="s">
        <v>1413</v>
      </c>
      <c r="I467" t="s">
        <v>2410</v>
      </c>
    </row>
    <row r="468" spans="1:9" x14ac:dyDescent="0.25">
      <c r="A468" t="s">
        <v>4323</v>
      </c>
      <c r="B468" t="s">
        <v>741</v>
      </c>
      <c r="C468" t="s">
        <v>1180</v>
      </c>
      <c r="D468" t="s">
        <v>84</v>
      </c>
      <c r="E468" t="s">
        <v>1250</v>
      </c>
      <c r="F468" t="s">
        <v>8</v>
      </c>
      <c r="G468" t="s">
        <v>910</v>
      </c>
      <c r="H468" t="s">
        <v>744</v>
      </c>
      <c r="I468" t="s">
        <v>745</v>
      </c>
    </row>
    <row r="469" spans="1:9" x14ac:dyDescent="0.25">
      <c r="A469" t="s">
        <v>4386</v>
      </c>
      <c r="B469" t="s">
        <v>241</v>
      </c>
      <c r="C469" t="s">
        <v>1181</v>
      </c>
      <c r="D469" t="s">
        <v>27</v>
      </c>
      <c r="E469" t="s">
        <v>1271</v>
      </c>
      <c r="F469" t="s">
        <v>8</v>
      </c>
      <c r="G469" t="s">
        <v>910</v>
      </c>
      <c r="H469" t="s">
        <v>1370</v>
      </c>
      <c r="I469" t="s">
        <v>2434</v>
      </c>
    </row>
    <row r="470" spans="1:9" x14ac:dyDescent="0.25">
      <c r="A470" t="s">
        <v>4180</v>
      </c>
      <c r="B470" t="s">
        <v>417</v>
      </c>
      <c r="C470" t="s">
        <v>1181</v>
      </c>
      <c r="D470" t="s">
        <v>318</v>
      </c>
      <c r="E470" t="s">
        <v>1268</v>
      </c>
      <c r="F470" t="s">
        <v>8</v>
      </c>
      <c r="G470" t="s">
        <v>910</v>
      </c>
      <c r="H470" t="s">
        <v>418</v>
      </c>
      <c r="I470" t="s">
        <v>2010</v>
      </c>
    </row>
    <row r="471" spans="1:9" x14ac:dyDescent="0.25">
      <c r="A471" t="s">
        <v>2520</v>
      </c>
      <c r="B471" t="s">
        <v>421</v>
      </c>
      <c r="C471" t="s">
        <v>1195</v>
      </c>
      <c r="D471" t="s">
        <v>203</v>
      </c>
      <c r="E471" t="s">
        <v>1260</v>
      </c>
      <c r="F471" t="s">
        <v>8</v>
      </c>
      <c r="G471" t="s">
        <v>910</v>
      </c>
      <c r="H471" t="s">
        <v>423</v>
      </c>
      <c r="I471" t="s">
        <v>1709</v>
      </c>
    </row>
    <row r="472" spans="1:9" x14ac:dyDescent="0.25">
      <c r="A472" t="s">
        <v>4179</v>
      </c>
      <c r="B472" t="s">
        <v>432</v>
      </c>
      <c r="C472" t="s">
        <v>1186</v>
      </c>
      <c r="D472" t="s">
        <v>318</v>
      </c>
      <c r="E472" t="s">
        <v>1289</v>
      </c>
      <c r="F472" t="s">
        <v>8</v>
      </c>
      <c r="G472" t="s">
        <v>910</v>
      </c>
      <c r="H472" t="s">
        <v>436</v>
      </c>
      <c r="I472" t="s">
        <v>2023</v>
      </c>
    </row>
    <row r="473" spans="1:9" x14ac:dyDescent="0.25">
      <c r="A473" t="s">
        <v>4462</v>
      </c>
      <c r="B473" t="s">
        <v>469</v>
      </c>
      <c r="C473" t="s">
        <v>1181</v>
      </c>
      <c r="D473" t="s">
        <v>27</v>
      </c>
      <c r="E473" t="s">
        <v>1224</v>
      </c>
      <c r="F473" t="s">
        <v>8</v>
      </c>
      <c r="G473" t="s">
        <v>910</v>
      </c>
      <c r="H473" t="s">
        <v>370</v>
      </c>
      <c r="I473" t="s">
        <v>1661</v>
      </c>
    </row>
    <row r="474" spans="1:9" x14ac:dyDescent="0.25">
      <c r="A474" t="s">
        <v>4473</v>
      </c>
      <c r="B474" t="s">
        <v>479</v>
      </c>
      <c r="C474" t="s">
        <v>1180</v>
      </c>
      <c r="D474" t="s">
        <v>21</v>
      </c>
      <c r="E474" t="s">
        <v>1277</v>
      </c>
      <c r="F474" t="s">
        <v>8</v>
      </c>
      <c r="G474" t="s">
        <v>910</v>
      </c>
      <c r="H474" t="s">
        <v>483</v>
      </c>
      <c r="I474" t="s">
        <v>1684</v>
      </c>
    </row>
    <row r="475" spans="1:9" x14ac:dyDescent="0.25">
      <c r="A475" t="s">
        <v>4385</v>
      </c>
      <c r="B475" t="s">
        <v>500</v>
      </c>
      <c r="C475" t="s">
        <v>1193</v>
      </c>
      <c r="D475" t="s">
        <v>15</v>
      </c>
      <c r="E475" t="s">
        <v>1260</v>
      </c>
      <c r="F475" t="s">
        <v>8</v>
      </c>
      <c r="G475" t="s">
        <v>910</v>
      </c>
      <c r="H475" t="s">
        <v>115</v>
      </c>
      <c r="I475" t="s">
        <v>503</v>
      </c>
    </row>
    <row r="476" spans="1:9" x14ac:dyDescent="0.25">
      <c r="A476" t="s">
        <v>2697</v>
      </c>
      <c r="B476" t="s">
        <v>535</v>
      </c>
      <c r="C476" t="s">
        <v>1187</v>
      </c>
      <c r="D476" t="s">
        <v>27</v>
      </c>
      <c r="E476" t="s">
        <v>1400</v>
      </c>
      <c r="F476" t="s">
        <v>8</v>
      </c>
      <c r="G476" t="s">
        <v>910</v>
      </c>
      <c r="H476" t="s">
        <v>536</v>
      </c>
      <c r="I476" t="s">
        <v>2414</v>
      </c>
    </row>
    <row r="477" spans="1:9" x14ac:dyDescent="0.25">
      <c r="A477" t="s">
        <v>3950</v>
      </c>
      <c r="B477" t="s">
        <v>572</v>
      </c>
      <c r="C477" t="s">
        <v>1180</v>
      </c>
      <c r="D477" t="s">
        <v>318</v>
      </c>
      <c r="E477" t="s">
        <v>1247</v>
      </c>
      <c r="F477" t="s">
        <v>8</v>
      </c>
      <c r="G477" t="s">
        <v>910</v>
      </c>
      <c r="H477" t="s">
        <v>439</v>
      </c>
      <c r="I477" t="s">
        <v>4509</v>
      </c>
    </row>
    <row r="478" spans="1:9" x14ac:dyDescent="0.25">
      <c r="A478" t="s">
        <v>4451</v>
      </c>
      <c r="B478" t="s">
        <v>572</v>
      </c>
      <c r="C478" t="s">
        <v>1181</v>
      </c>
      <c r="D478" t="s">
        <v>27</v>
      </c>
      <c r="E478" t="s">
        <v>1303</v>
      </c>
      <c r="F478" t="s">
        <v>8</v>
      </c>
      <c r="G478" t="s">
        <v>910</v>
      </c>
      <c r="H478" t="s">
        <v>287</v>
      </c>
      <c r="I478" t="s">
        <v>1727</v>
      </c>
    </row>
    <row r="479" spans="1:9" x14ac:dyDescent="0.25">
      <c r="A479" t="s">
        <v>4321</v>
      </c>
      <c r="B479" t="s">
        <v>624</v>
      </c>
      <c r="C479" t="s">
        <v>1180</v>
      </c>
      <c r="D479" t="s">
        <v>1217</v>
      </c>
      <c r="E479" t="s">
        <v>1434</v>
      </c>
      <c r="F479" t="s">
        <v>8</v>
      </c>
      <c r="G479" t="s">
        <v>910</v>
      </c>
      <c r="H479" t="s">
        <v>625</v>
      </c>
      <c r="I479" t="s">
        <v>2224</v>
      </c>
    </row>
    <row r="480" spans="1:9" x14ac:dyDescent="0.25">
      <c r="A480" t="s">
        <v>3949</v>
      </c>
      <c r="B480" t="s">
        <v>624</v>
      </c>
      <c r="C480" t="s">
        <v>1180</v>
      </c>
      <c r="D480" t="s">
        <v>318</v>
      </c>
      <c r="E480" t="s">
        <v>1434</v>
      </c>
      <c r="F480" t="s">
        <v>8</v>
      </c>
      <c r="G480" t="s">
        <v>910</v>
      </c>
      <c r="H480" t="s">
        <v>628</v>
      </c>
      <c r="I480" t="s">
        <v>1990</v>
      </c>
    </row>
    <row r="481" spans="1:9" x14ac:dyDescent="0.25">
      <c r="A481" t="s">
        <v>4320</v>
      </c>
      <c r="B481" t="s">
        <v>664</v>
      </c>
      <c r="C481" t="s">
        <v>1181</v>
      </c>
      <c r="D481" t="s">
        <v>1217</v>
      </c>
      <c r="E481" t="s">
        <v>1234</v>
      </c>
      <c r="F481" t="s">
        <v>8</v>
      </c>
      <c r="G481" t="s">
        <v>910</v>
      </c>
      <c r="H481" t="s">
        <v>665</v>
      </c>
      <c r="I481" t="s">
        <v>666</v>
      </c>
    </row>
    <row r="482" spans="1:9" x14ac:dyDescent="0.25">
      <c r="A482" t="s">
        <v>4178</v>
      </c>
      <c r="B482" t="s">
        <v>664</v>
      </c>
      <c r="C482" t="s">
        <v>1181</v>
      </c>
      <c r="D482" t="s">
        <v>318</v>
      </c>
      <c r="E482" t="s">
        <v>1435</v>
      </c>
      <c r="F482" t="s">
        <v>8</v>
      </c>
      <c r="G482" t="s">
        <v>910</v>
      </c>
      <c r="H482" t="s">
        <v>668</v>
      </c>
      <c r="I482" t="s">
        <v>1991</v>
      </c>
    </row>
    <row r="483" spans="1:9" x14ac:dyDescent="0.25">
      <c r="A483" t="s">
        <v>4177</v>
      </c>
      <c r="B483" t="s">
        <v>734</v>
      </c>
      <c r="C483" t="s">
        <v>1181</v>
      </c>
      <c r="D483" t="s">
        <v>1217</v>
      </c>
      <c r="E483" t="s">
        <v>1332</v>
      </c>
      <c r="F483" t="s">
        <v>8</v>
      </c>
      <c r="G483" t="s">
        <v>910</v>
      </c>
      <c r="H483" t="s">
        <v>735</v>
      </c>
      <c r="I483" t="s">
        <v>736</v>
      </c>
    </row>
    <row r="484" spans="1:9" x14ac:dyDescent="0.25">
      <c r="A484" t="s">
        <v>4274</v>
      </c>
      <c r="B484" t="s">
        <v>734</v>
      </c>
      <c r="C484" t="s">
        <v>1181</v>
      </c>
      <c r="D484" t="s">
        <v>318</v>
      </c>
      <c r="E484" t="s">
        <v>1377</v>
      </c>
      <c r="F484" t="s">
        <v>8</v>
      </c>
      <c r="G484" t="s">
        <v>910</v>
      </c>
      <c r="H484" t="s">
        <v>738</v>
      </c>
      <c r="I484" t="s">
        <v>739</v>
      </c>
    </row>
    <row r="485" spans="1:9" x14ac:dyDescent="0.25">
      <c r="A485" t="s">
        <v>4181</v>
      </c>
      <c r="B485" t="s">
        <v>749</v>
      </c>
      <c r="C485" t="s">
        <v>1180</v>
      </c>
      <c r="D485" t="s">
        <v>27</v>
      </c>
      <c r="E485" t="s">
        <v>1240</v>
      </c>
      <c r="F485" t="s">
        <v>8</v>
      </c>
      <c r="G485" t="s">
        <v>910</v>
      </c>
      <c r="H485" t="s">
        <v>750</v>
      </c>
      <c r="I485" t="s">
        <v>1649</v>
      </c>
    </row>
    <row r="486" spans="1:9" x14ac:dyDescent="0.25">
      <c r="A486" t="s">
        <v>4470</v>
      </c>
      <c r="B486" t="s">
        <v>749</v>
      </c>
      <c r="C486" t="s">
        <v>1180</v>
      </c>
      <c r="D486" t="s">
        <v>27</v>
      </c>
      <c r="E486" t="s">
        <v>1240</v>
      </c>
      <c r="F486" t="s">
        <v>8</v>
      </c>
      <c r="G486" t="s">
        <v>910</v>
      </c>
      <c r="H486" t="s">
        <v>750</v>
      </c>
      <c r="I486" t="s">
        <v>1649</v>
      </c>
    </row>
    <row r="487" spans="1:9" x14ac:dyDescent="0.25">
      <c r="A487" t="s">
        <v>4364</v>
      </c>
      <c r="B487" t="s">
        <v>749</v>
      </c>
      <c r="C487" t="s">
        <v>1180</v>
      </c>
      <c r="D487" t="s">
        <v>27</v>
      </c>
      <c r="F487" t="s">
        <v>8</v>
      </c>
      <c r="G487" t="s">
        <v>910</v>
      </c>
      <c r="H487" t="s">
        <v>753</v>
      </c>
      <c r="I487" t="s">
        <v>1685</v>
      </c>
    </row>
    <row r="488" spans="1:9" x14ac:dyDescent="0.25">
      <c r="A488" t="s">
        <v>2642</v>
      </c>
      <c r="B488" t="s">
        <v>749</v>
      </c>
      <c r="C488" t="s">
        <v>1181</v>
      </c>
      <c r="D488" t="s">
        <v>56</v>
      </c>
      <c r="E488" t="s">
        <v>1302</v>
      </c>
      <c r="F488" t="s">
        <v>8</v>
      </c>
      <c r="G488" t="s">
        <v>910</v>
      </c>
      <c r="H488" t="s">
        <v>759</v>
      </c>
      <c r="I488" t="s">
        <v>760</v>
      </c>
    </row>
    <row r="489" spans="1:9" x14ac:dyDescent="0.25">
      <c r="A489" t="s">
        <v>4322</v>
      </c>
      <c r="B489" t="s">
        <v>773</v>
      </c>
      <c r="C489" t="s">
        <v>1184</v>
      </c>
      <c r="D489" t="s">
        <v>56</v>
      </c>
      <c r="E489" t="s">
        <v>1271</v>
      </c>
      <c r="F489" t="s">
        <v>8</v>
      </c>
      <c r="G489" t="s">
        <v>910</v>
      </c>
      <c r="H489" t="s">
        <v>272</v>
      </c>
      <c r="I489" t="s">
        <v>2417</v>
      </c>
    </row>
    <row r="490" spans="1:9" x14ac:dyDescent="0.25">
      <c r="A490" t="s">
        <v>4273</v>
      </c>
      <c r="B490" t="s">
        <v>815</v>
      </c>
      <c r="C490" t="s">
        <v>1195</v>
      </c>
      <c r="D490" t="s">
        <v>318</v>
      </c>
      <c r="E490" t="s">
        <v>1390</v>
      </c>
      <c r="F490" t="s">
        <v>8</v>
      </c>
      <c r="G490" t="s">
        <v>910</v>
      </c>
      <c r="H490" t="s">
        <v>816</v>
      </c>
      <c r="I490" t="s">
        <v>817</v>
      </c>
    </row>
    <row r="491" spans="1:9" x14ac:dyDescent="0.25">
      <c r="A491" t="s">
        <v>4362</v>
      </c>
      <c r="B491" t="s">
        <v>806</v>
      </c>
      <c r="C491" t="s">
        <v>1184</v>
      </c>
      <c r="D491" t="s">
        <v>27</v>
      </c>
      <c r="E491" t="s">
        <v>1242</v>
      </c>
      <c r="F491" t="s">
        <v>8</v>
      </c>
      <c r="G491" t="s">
        <v>910</v>
      </c>
      <c r="H491" t="s">
        <v>810</v>
      </c>
      <c r="I491" t="s">
        <v>4363</v>
      </c>
    </row>
    <row r="492" spans="1:9" x14ac:dyDescent="0.25">
      <c r="A492" t="s">
        <v>2565</v>
      </c>
      <c r="B492" t="s">
        <v>249</v>
      </c>
      <c r="C492" t="s">
        <v>1185</v>
      </c>
      <c r="D492" t="s">
        <v>15</v>
      </c>
      <c r="E492" t="s">
        <v>1260</v>
      </c>
      <c r="F492" t="s">
        <v>8</v>
      </c>
      <c r="G492" t="s">
        <v>900</v>
      </c>
      <c r="H492" t="s">
        <v>252</v>
      </c>
      <c r="I492" t="s">
        <v>1667</v>
      </c>
    </row>
    <row r="493" spans="1:9" x14ac:dyDescent="0.25">
      <c r="A493" t="s">
        <v>2641</v>
      </c>
      <c r="B493" t="s">
        <v>255</v>
      </c>
      <c r="C493" t="s">
        <v>1187</v>
      </c>
      <c r="D493" t="s">
        <v>56</v>
      </c>
      <c r="E493" t="s">
        <v>1381</v>
      </c>
      <c r="F493" t="s">
        <v>8</v>
      </c>
      <c r="G493" t="s">
        <v>900</v>
      </c>
      <c r="H493" t="s">
        <v>257</v>
      </c>
      <c r="I493" t="s">
        <v>258</v>
      </c>
    </row>
    <row r="494" spans="1:9" x14ac:dyDescent="0.25">
      <c r="A494" t="s">
        <v>2572</v>
      </c>
      <c r="B494" t="s">
        <v>302</v>
      </c>
      <c r="C494" t="s">
        <v>1187</v>
      </c>
      <c r="D494" t="s">
        <v>56</v>
      </c>
      <c r="E494" t="s">
        <v>1242</v>
      </c>
      <c r="F494" t="s">
        <v>8</v>
      </c>
      <c r="G494" t="s">
        <v>900</v>
      </c>
      <c r="H494" t="s">
        <v>303</v>
      </c>
      <c r="I494" t="s">
        <v>304</v>
      </c>
    </row>
    <row r="495" spans="1:9" x14ac:dyDescent="0.25">
      <c r="A495" t="s">
        <v>2655</v>
      </c>
      <c r="B495" t="s">
        <v>311</v>
      </c>
      <c r="C495" t="s">
        <v>1187</v>
      </c>
      <c r="D495" t="s">
        <v>56</v>
      </c>
      <c r="E495" t="s">
        <v>1264</v>
      </c>
      <c r="F495" t="s">
        <v>8</v>
      </c>
      <c r="G495" t="s">
        <v>900</v>
      </c>
      <c r="H495" t="s">
        <v>312</v>
      </c>
      <c r="I495" t="s">
        <v>313</v>
      </c>
    </row>
    <row r="496" spans="1:9" x14ac:dyDescent="0.25">
      <c r="A496" t="s">
        <v>4319</v>
      </c>
      <c r="B496" t="s">
        <v>315</v>
      </c>
      <c r="C496" t="s">
        <v>1187</v>
      </c>
      <c r="D496" t="s">
        <v>15</v>
      </c>
      <c r="E496" t="s">
        <v>1354</v>
      </c>
      <c r="F496" t="s">
        <v>8</v>
      </c>
      <c r="G496" t="s">
        <v>900</v>
      </c>
      <c r="H496" t="s">
        <v>278</v>
      </c>
      <c r="I496" t="s">
        <v>1790</v>
      </c>
    </row>
    <row r="497" spans="1:9" x14ac:dyDescent="0.25">
      <c r="A497" t="s">
        <v>4318</v>
      </c>
      <c r="B497" t="s">
        <v>315</v>
      </c>
      <c r="C497" t="s">
        <v>1187</v>
      </c>
      <c r="D497" t="s">
        <v>15</v>
      </c>
      <c r="E497" t="s">
        <v>1354</v>
      </c>
      <c r="F497" t="s">
        <v>8</v>
      </c>
      <c r="G497" t="s">
        <v>900</v>
      </c>
      <c r="H497" t="s">
        <v>111</v>
      </c>
      <c r="I497" t="s">
        <v>1790</v>
      </c>
    </row>
    <row r="498" spans="1:9" x14ac:dyDescent="0.25">
      <c r="A498" t="s">
        <v>4384</v>
      </c>
      <c r="B498" t="s">
        <v>348</v>
      </c>
      <c r="C498" t="s">
        <v>1187</v>
      </c>
      <c r="D498" t="s">
        <v>27</v>
      </c>
      <c r="E498" t="s">
        <v>1621</v>
      </c>
      <c r="F498" t="s">
        <v>8</v>
      </c>
      <c r="G498" t="s">
        <v>900</v>
      </c>
      <c r="H498" t="s">
        <v>153</v>
      </c>
      <c r="I498" t="s">
        <v>2131</v>
      </c>
    </row>
    <row r="499" spans="1:9" x14ac:dyDescent="0.25">
      <c r="A499" t="s">
        <v>4450</v>
      </c>
      <c r="B499" t="s">
        <v>348</v>
      </c>
      <c r="C499" t="s">
        <v>1192</v>
      </c>
      <c r="D499" t="s">
        <v>56</v>
      </c>
      <c r="F499" t="s">
        <v>8</v>
      </c>
      <c r="G499" t="s">
        <v>900</v>
      </c>
      <c r="H499" t="s">
        <v>108</v>
      </c>
      <c r="I499" t="s">
        <v>354</v>
      </c>
    </row>
    <row r="500" spans="1:9" x14ac:dyDescent="0.25">
      <c r="A500" t="s">
        <v>4176</v>
      </c>
      <c r="B500" t="s">
        <v>378</v>
      </c>
      <c r="C500" t="s">
        <v>1187</v>
      </c>
      <c r="D500" t="s">
        <v>318</v>
      </c>
      <c r="E500" t="s">
        <v>1621</v>
      </c>
      <c r="F500" t="s">
        <v>8</v>
      </c>
      <c r="G500" t="s">
        <v>900</v>
      </c>
      <c r="H500" t="s">
        <v>380</v>
      </c>
      <c r="I500" t="s">
        <v>2484</v>
      </c>
    </row>
    <row r="501" spans="1:9" x14ac:dyDescent="0.25">
      <c r="A501" t="s">
        <v>3948</v>
      </c>
      <c r="B501" t="s">
        <v>378</v>
      </c>
      <c r="C501" t="s">
        <v>1187</v>
      </c>
      <c r="D501" t="s">
        <v>318</v>
      </c>
      <c r="F501" t="s">
        <v>8</v>
      </c>
      <c r="G501" t="s">
        <v>900</v>
      </c>
      <c r="H501" t="s">
        <v>388</v>
      </c>
      <c r="I501" t="s">
        <v>1812</v>
      </c>
    </row>
    <row r="502" spans="1:9" x14ac:dyDescent="0.25">
      <c r="A502" t="s">
        <v>4272</v>
      </c>
      <c r="B502" t="s">
        <v>711</v>
      </c>
      <c r="C502" t="s">
        <v>1182</v>
      </c>
      <c r="D502" t="s">
        <v>318</v>
      </c>
      <c r="F502" t="s">
        <v>8</v>
      </c>
      <c r="G502" t="s">
        <v>900</v>
      </c>
      <c r="H502" t="s">
        <v>716</v>
      </c>
      <c r="I502" t="s">
        <v>1826</v>
      </c>
    </row>
    <row r="503" spans="1:9" x14ac:dyDescent="0.25">
      <c r="A503" t="s">
        <v>4174</v>
      </c>
      <c r="B503" t="s">
        <v>711</v>
      </c>
      <c r="C503" t="s">
        <v>1182</v>
      </c>
      <c r="D503" t="s">
        <v>318</v>
      </c>
      <c r="F503" t="s">
        <v>8</v>
      </c>
      <c r="G503" t="s">
        <v>900</v>
      </c>
      <c r="H503" t="s">
        <v>719</v>
      </c>
      <c r="I503" t="s">
        <v>4175</v>
      </c>
    </row>
    <row r="504" spans="1:9" x14ac:dyDescent="0.25">
      <c r="A504" t="s">
        <v>4440</v>
      </c>
      <c r="B504" t="s">
        <v>725</v>
      </c>
      <c r="C504" t="s">
        <v>1184</v>
      </c>
      <c r="D504" t="s">
        <v>91</v>
      </c>
      <c r="E504" t="s">
        <v>1253</v>
      </c>
      <c r="F504" t="s">
        <v>8</v>
      </c>
      <c r="G504" t="s">
        <v>900</v>
      </c>
      <c r="H504" t="s">
        <v>612</v>
      </c>
      <c r="I504" t="s">
        <v>2463</v>
      </c>
    </row>
    <row r="505" spans="1:9" x14ac:dyDescent="0.25">
      <c r="A505" t="s">
        <v>4173</v>
      </c>
      <c r="B505" t="s">
        <v>822</v>
      </c>
      <c r="C505" t="s">
        <v>1197</v>
      </c>
      <c r="D505" t="s">
        <v>318</v>
      </c>
      <c r="E505" t="s">
        <v>1250</v>
      </c>
      <c r="F505" t="s">
        <v>8</v>
      </c>
      <c r="G505" t="s">
        <v>900</v>
      </c>
      <c r="H505" t="s">
        <v>445</v>
      </c>
      <c r="I505" t="s">
        <v>1798</v>
      </c>
    </row>
    <row r="506" spans="1:9" x14ac:dyDescent="0.25">
      <c r="A506" t="s">
        <v>4383</v>
      </c>
      <c r="B506" t="s">
        <v>75</v>
      </c>
      <c r="C506" t="s">
        <v>1180</v>
      </c>
      <c r="D506" t="s">
        <v>84</v>
      </c>
      <c r="E506" t="s">
        <v>1250</v>
      </c>
      <c r="F506" t="s">
        <v>8</v>
      </c>
      <c r="G506" t="s">
        <v>910</v>
      </c>
      <c r="H506" t="s">
        <v>1376</v>
      </c>
      <c r="I506" t="s">
        <v>86</v>
      </c>
    </row>
    <row r="507" spans="1:9" x14ac:dyDescent="0.25">
      <c r="A507" t="s">
        <v>4172</v>
      </c>
      <c r="B507" t="s">
        <v>552</v>
      </c>
      <c r="C507" t="s">
        <v>1180</v>
      </c>
      <c r="D507" t="s">
        <v>318</v>
      </c>
      <c r="F507" t="s">
        <v>8</v>
      </c>
      <c r="G507" t="s">
        <v>910</v>
      </c>
      <c r="H507" t="s">
        <v>1344</v>
      </c>
      <c r="I507" t="s">
        <v>2122</v>
      </c>
    </row>
    <row r="508" spans="1:9" x14ac:dyDescent="0.25">
      <c r="A508" t="s">
        <v>3947</v>
      </c>
      <c r="B508" t="s">
        <v>62</v>
      </c>
      <c r="C508" t="s">
        <v>1180</v>
      </c>
      <c r="D508" t="s">
        <v>318</v>
      </c>
      <c r="F508" t="s">
        <v>8</v>
      </c>
      <c r="G508" t="s">
        <v>910</v>
      </c>
      <c r="H508" t="s">
        <v>1257</v>
      </c>
      <c r="I508" t="s">
        <v>1938</v>
      </c>
    </row>
    <row r="509" spans="1:9" x14ac:dyDescent="0.25">
      <c r="A509" t="s">
        <v>4271</v>
      </c>
      <c r="B509" t="s">
        <v>413</v>
      </c>
      <c r="C509" t="s">
        <v>1181</v>
      </c>
      <c r="E509" t="s">
        <v>1352</v>
      </c>
      <c r="F509" t="s">
        <v>8</v>
      </c>
      <c r="G509" t="s">
        <v>910</v>
      </c>
      <c r="H509" t="s">
        <v>414</v>
      </c>
      <c r="I509" t="s">
        <v>415</v>
      </c>
    </row>
    <row r="510" spans="1:9" x14ac:dyDescent="0.25">
      <c r="A510" t="s">
        <v>4270</v>
      </c>
      <c r="B510" t="s">
        <v>505</v>
      </c>
      <c r="C510" t="s">
        <v>1197</v>
      </c>
      <c r="D510" t="s">
        <v>27</v>
      </c>
      <c r="E510" t="s">
        <v>1396</v>
      </c>
      <c r="F510" t="s">
        <v>8</v>
      </c>
      <c r="G510" t="s">
        <v>910</v>
      </c>
      <c r="H510" t="s">
        <v>513</v>
      </c>
      <c r="I510" t="s">
        <v>1928</v>
      </c>
    </row>
    <row r="511" spans="1:9" x14ac:dyDescent="0.25">
      <c r="A511" t="s">
        <v>4171</v>
      </c>
      <c r="B511" t="s">
        <v>635</v>
      </c>
      <c r="C511" t="s">
        <v>1180</v>
      </c>
      <c r="D511" t="s">
        <v>27</v>
      </c>
      <c r="E511" t="s">
        <v>1246</v>
      </c>
      <c r="F511" t="s">
        <v>8</v>
      </c>
      <c r="G511" t="s">
        <v>910</v>
      </c>
      <c r="H511" t="s">
        <v>650</v>
      </c>
      <c r="I511" t="s">
        <v>2013</v>
      </c>
    </row>
    <row r="512" spans="1:9" x14ac:dyDescent="0.25">
      <c r="A512" t="s">
        <v>4170</v>
      </c>
      <c r="B512" t="s">
        <v>822</v>
      </c>
      <c r="C512" t="s">
        <v>1180</v>
      </c>
      <c r="D512" t="s">
        <v>27</v>
      </c>
      <c r="E512" t="s">
        <v>1246</v>
      </c>
      <c r="F512" t="s">
        <v>8</v>
      </c>
      <c r="G512" t="s">
        <v>910</v>
      </c>
      <c r="H512" t="s">
        <v>1385</v>
      </c>
      <c r="I512" t="s">
        <v>2014</v>
      </c>
    </row>
    <row r="513" spans="1:9" x14ac:dyDescent="0.25">
      <c r="A513" t="s">
        <v>4269</v>
      </c>
      <c r="B513" t="s">
        <v>2647</v>
      </c>
      <c r="C513" t="s">
        <v>1187</v>
      </c>
      <c r="D513" t="s">
        <v>1219</v>
      </c>
      <c r="E513" t="s">
        <v>1220</v>
      </c>
      <c r="F513" t="s">
        <v>1227</v>
      </c>
      <c r="G513" t="s">
        <v>1228</v>
      </c>
      <c r="H513" t="s">
        <v>1438</v>
      </c>
      <c r="I513" t="s">
        <v>1997</v>
      </c>
    </row>
    <row r="514" spans="1:9" x14ac:dyDescent="0.25">
      <c r="A514" t="s">
        <v>4168</v>
      </c>
      <c r="B514" t="s">
        <v>2647</v>
      </c>
      <c r="C514" t="s">
        <v>1187</v>
      </c>
      <c r="D514" t="s">
        <v>1219</v>
      </c>
      <c r="E514" t="s">
        <v>1220</v>
      </c>
      <c r="F514" t="s">
        <v>1227</v>
      </c>
      <c r="G514" t="s">
        <v>1228</v>
      </c>
      <c r="H514" t="s">
        <v>1438</v>
      </c>
      <c r="I514" t="s">
        <v>1997</v>
      </c>
    </row>
    <row r="515" spans="1:9" x14ac:dyDescent="0.25">
      <c r="A515" t="s">
        <v>3945</v>
      </c>
      <c r="B515" t="s">
        <v>222</v>
      </c>
      <c r="C515" t="s">
        <v>1199</v>
      </c>
      <c r="E515" t="s">
        <v>1317</v>
      </c>
      <c r="F515" t="s">
        <v>1227</v>
      </c>
      <c r="G515" t="s">
        <v>1228</v>
      </c>
      <c r="H515" t="s">
        <v>1318</v>
      </c>
      <c r="I515" t="s">
        <v>1746</v>
      </c>
    </row>
    <row r="516" spans="1:9" x14ac:dyDescent="0.25">
      <c r="A516" t="s">
        <v>2950</v>
      </c>
      <c r="B516" t="s">
        <v>222</v>
      </c>
      <c r="C516" t="s">
        <v>1199</v>
      </c>
      <c r="E516" t="s">
        <v>1317</v>
      </c>
      <c r="F516" t="s">
        <v>1227</v>
      </c>
      <c r="G516" t="s">
        <v>1228</v>
      </c>
      <c r="H516" t="s">
        <v>1318</v>
      </c>
      <c r="I516" t="s">
        <v>1746</v>
      </c>
    </row>
    <row r="517" spans="1:9" x14ac:dyDescent="0.25">
      <c r="A517" t="s">
        <v>3944</v>
      </c>
      <c r="B517" t="s">
        <v>222</v>
      </c>
      <c r="C517" t="s">
        <v>1199</v>
      </c>
      <c r="E517" t="s">
        <v>1317</v>
      </c>
      <c r="F517" t="s">
        <v>1227</v>
      </c>
      <c r="G517" t="s">
        <v>1228</v>
      </c>
      <c r="H517" t="s">
        <v>1318</v>
      </c>
      <c r="I517" t="s">
        <v>1746</v>
      </c>
    </row>
    <row r="518" spans="1:9" x14ac:dyDescent="0.25">
      <c r="A518" t="s">
        <v>4268</v>
      </c>
      <c r="B518" t="s">
        <v>222</v>
      </c>
      <c r="C518" t="s">
        <v>1199</v>
      </c>
      <c r="E518" t="s">
        <v>1317</v>
      </c>
      <c r="F518" t="s">
        <v>1227</v>
      </c>
      <c r="G518" t="s">
        <v>1228</v>
      </c>
      <c r="H518" t="s">
        <v>1318</v>
      </c>
      <c r="I518" t="s">
        <v>1746</v>
      </c>
    </row>
    <row r="519" spans="1:9" x14ac:dyDescent="0.25">
      <c r="A519" t="s">
        <v>4449</v>
      </c>
      <c r="B519" t="s">
        <v>927</v>
      </c>
      <c r="C519" t="s">
        <v>1183</v>
      </c>
      <c r="D519" t="s">
        <v>1216</v>
      </c>
      <c r="E519" t="s">
        <v>1414</v>
      </c>
      <c r="F519" t="s">
        <v>1227</v>
      </c>
      <c r="G519" t="s">
        <v>1228</v>
      </c>
      <c r="H519" t="s">
        <v>1305</v>
      </c>
      <c r="I519" t="s">
        <v>2026</v>
      </c>
    </row>
    <row r="520" spans="1:9" x14ac:dyDescent="0.25">
      <c r="A520" t="s">
        <v>4361</v>
      </c>
      <c r="B520" t="s">
        <v>927</v>
      </c>
      <c r="C520" t="s">
        <v>1183</v>
      </c>
      <c r="D520" t="s">
        <v>1216</v>
      </c>
      <c r="E520" t="s">
        <v>1414</v>
      </c>
      <c r="F520" t="s">
        <v>1227</v>
      </c>
      <c r="G520" t="s">
        <v>1228</v>
      </c>
      <c r="H520" t="s">
        <v>1305</v>
      </c>
      <c r="I520" t="s">
        <v>2026</v>
      </c>
    </row>
    <row r="521" spans="1:9" x14ac:dyDescent="0.25">
      <c r="A521" t="s">
        <v>2949</v>
      </c>
      <c r="B521" t="s">
        <v>927</v>
      </c>
      <c r="C521" t="s">
        <v>1180</v>
      </c>
      <c r="D521" t="s">
        <v>1219</v>
      </c>
      <c r="E521" t="s">
        <v>1238</v>
      </c>
      <c r="F521" t="s">
        <v>1227</v>
      </c>
      <c r="G521" t="s">
        <v>1228</v>
      </c>
      <c r="H521" t="s">
        <v>1330</v>
      </c>
      <c r="I521" t="s">
        <v>1759</v>
      </c>
    </row>
    <row r="522" spans="1:9" x14ac:dyDescent="0.25">
      <c r="A522" t="s">
        <v>2948</v>
      </c>
      <c r="B522" t="s">
        <v>927</v>
      </c>
      <c r="C522" t="s">
        <v>1180</v>
      </c>
      <c r="D522" t="s">
        <v>1219</v>
      </c>
      <c r="E522" t="s">
        <v>1238</v>
      </c>
      <c r="F522" t="s">
        <v>1227</v>
      </c>
      <c r="G522" t="s">
        <v>1228</v>
      </c>
      <c r="H522" t="s">
        <v>1330</v>
      </c>
      <c r="I522" t="s">
        <v>1759</v>
      </c>
    </row>
    <row r="523" spans="1:9" x14ac:dyDescent="0.25">
      <c r="A523" t="s">
        <v>2564</v>
      </c>
      <c r="B523" t="s">
        <v>526</v>
      </c>
      <c r="C523" t="s">
        <v>1183</v>
      </c>
      <c r="D523" t="s">
        <v>1216</v>
      </c>
      <c r="E523" t="s">
        <v>1224</v>
      </c>
      <c r="F523" t="s">
        <v>1227</v>
      </c>
      <c r="G523" t="s">
        <v>1228</v>
      </c>
      <c r="H523" t="s">
        <v>1418</v>
      </c>
      <c r="I523" t="s">
        <v>1957</v>
      </c>
    </row>
    <row r="524" spans="1:9" x14ac:dyDescent="0.25">
      <c r="A524" t="s">
        <v>3943</v>
      </c>
      <c r="B524" t="s">
        <v>526</v>
      </c>
      <c r="C524" t="s">
        <v>1183</v>
      </c>
      <c r="D524" t="s">
        <v>1216</v>
      </c>
      <c r="E524" t="s">
        <v>1224</v>
      </c>
      <c r="F524" t="s">
        <v>1227</v>
      </c>
      <c r="G524" t="s">
        <v>1228</v>
      </c>
      <c r="H524" t="s">
        <v>1418</v>
      </c>
      <c r="I524" t="s">
        <v>1957</v>
      </c>
    </row>
    <row r="525" spans="1:9" x14ac:dyDescent="0.25">
      <c r="A525" t="s">
        <v>4448</v>
      </c>
      <c r="B525" t="s">
        <v>635</v>
      </c>
      <c r="C525" t="s">
        <v>1183</v>
      </c>
      <c r="D525" t="s">
        <v>1219</v>
      </c>
      <c r="E525" t="s">
        <v>1238</v>
      </c>
      <c r="F525" t="s">
        <v>1227</v>
      </c>
      <c r="G525" t="s">
        <v>1228</v>
      </c>
      <c r="H525" t="s">
        <v>1273</v>
      </c>
      <c r="I525" t="s">
        <v>1706</v>
      </c>
    </row>
    <row r="526" spans="1:9" x14ac:dyDescent="0.25">
      <c r="A526" t="s">
        <v>2640</v>
      </c>
      <c r="B526" t="s">
        <v>635</v>
      </c>
      <c r="C526" t="s">
        <v>1183</v>
      </c>
      <c r="D526" t="s">
        <v>1219</v>
      </c>
      <c r="E526" t="s">
        <v>1238</v>
      </c>
      <c r="F526" t="s">
        <v>1227</v>
      </c>
      <c r="G526" t="s">
        <v>1228</v>
      </c>
      <c r="H526" t="s">
        <v>1273</v>
      </c>
      <c r="I526" t="s">
        <v>1706</v>
      </c>
    </row>
    <row r="527" spans="1:9" x14ac:dyDescent="0.25">
      <c r="A527" t="s">
        <v>4169</v>
      </c>
      <c r="B527" t="s">
        <v>925</v>
      </c>
      <c r="C527" t="s">
        <v>1199</v>
      </c>
      <c r="E527" t="s">
        <v>1321</v>
      </c>
      <c r="F527" t="s">
        <v>1227</v>
      </c>
      <c r="G527" t="s">
        <v>1228</v>
      </c>
      <c r="H527" t="s">
        <v>1322</v>
      </c>
      <c r="I527" t="s">
        <v>1748</v>
      </c>
    </row>
    <row r="528" spans="1:9" x14ac:dyDescent="0.25">
      <c r="A528" t="s">
        <v>3946</v>
      </c>
      <c r="B528" t="s">
        <v>925</v>
      </c>
      <c r="C528" t="s">
        <v>1199</v>
      </c>
      <c r="E528" t="s">
        <v>1321</v>
      </c>
      <c r="F528" t="s">
        <v>1227</v>
      </c>
      <c r="G528" t="s">
        <v>1228</v>
      </c>
      <c r="H528" t="s">
        <v>1322</v>
      </c>
      <c r="I528" t="s">
        <v>1748</v>
      </c>
    </row>
    <row r="529" spans="1:9" x14ac:dyDescent="0.25">
      <c r="A529" t="s">
        <v>4499</v>
      </c>
      <c r="B529" t="s">
        <v>4500</v>
      </c>
      <c r="C529" t="s">
        <v>1181</v>
      </c>
      <c r="D529" t="s">
        <v>15</v>
      </c>
      <c r="E529" t="s">
        <v>1244</v>
      </c>
      <c r="F529" t="s">
        <v>1227</v>
      </c>
      <c r="G529" t="s">
        <v>1228</v>
      </c>
      <c r="H529" t="s">
        <v>1299</v>
      </c>
      <c r="I529" t="s">
        <v>1724</v>
      </c>
    </row>
    <row r="530" spans="1:9" x14ac:dyDescent="0.25">
      <c r="A530" t="s">
        <v>2526</v>
      </c>
      <c r="B530" t="s">
        <v>2527</v>
      </c>
      <c r="C530" t="s">
        <v>1180</v>
      </c>
      <c r="D530" t="s">
        <v>84</v>
      </c>
      <c r="E530" t="s">
        <v>1244</v>
      </c>
      <c r="F530" t="s">
        <v>1227</v>
      </c>
      <c r="G530" t="s">
        <v>1228</v>
      </c>
      <c r="H530" t="s">
        <v>1245</v>
      </c>
      <c r="I530" t="s">
        <v>1653</v>
      </c>
    </row>
    <row r="531" spans="1:9" x14ac:dyDescent="0.25">
      <c r="A531" t="s">
        <v>2946</v>
      </c>
      <c r="B531" t="s">
        <v>2947</v>
      </c>
      <c r="C531" t="s">
        <v>1192</v>
      </c>
      <c r="D531" t="s">
        <v>318</v>
      </c>
      <c r="E531" t="s">
        <v>1424</v>
      </c>
      <c r="F531" t="s">
        <v>1227</v>
      </c>
      <c r="G531" t="s">
        <v>1228</v>
      </c>
      <c r="H531" t="s">
        <v>1425</v>
      </c>
      <c r="I531" t="s">
        <v>1966</v>
      </c>
    </row>
    <row r="532" spans="1:9" x14ac:dyDescent="0.25">
      <c r="A532" t="s">
        <v>3942</v>
      </c>
      <c r="B532" t="s">
        <v>2947</v>
      </c>
      <c r="C532" t="s">
        <v>1192</v>
      </c>
      <c r="D532" t="s">
        <v>318</v>
      </c>
      <c r="E532" t="s">
        <v>1424</v>
      </c>
      <c r="F532" t="s">
        <v>1227</v>
      </c>
      <c r="G532" t="s">
        <v>1228</v>
      </c>
      <c r="H532" t="s">
        <v>1425</v>
      </c>
      <c r="I532" t="s">
        <v>1966</v>
      </c>
    </row>
    <row r="533" spans="1:9" x14ac:dyDescent="0.25">
      <c r="A533" t="s">
        <v>4381</v>
      </c>
      <c r="B533" t="s">
        <v>911</v>
      </c>
      <c r="C533" t="s">
        <v>1186</v>
      </c>
      <c r="D533" t="s">
        <v>1216</v>
      </c>
      <c r="E533" t="s">
        <v>1414</v>
      </c>
      <c r="F533" t="s">
        <v>1227</v>
      </c>
      <c r="G533" t="s">
        <v>1228</v>
      </c>
      <c r="H533" t="s">
        <v>1311</v>
      </c>
      <c r="I533" t="s">
        <v>1950</v>
      </c>
    </row>
    <row r="534" spans="1:9" x14ac:dyDescent="0.25">
      <c r="A534" t="s">
        <v>2654</v>
      </c>
      <c r="B534" t="s">
        <v>911</v>
      </c>
      <c r="C534" t="s">
        <v>1186</v>
      </c>
      <c r="D534" t="s">
        <v>1216</v>
      </c>
      <c r="E534" t="s">
        <v>1414</v>
      </c>
      <c r="F534" t="s">
        <v>1227</v>
      </c>
      <c r="G534" t="s">
        <v>1228</v>
      </c>
      <c r="H534" t="s">
        <v>1311</v>
      </c>
      <c r="I534" t="s">
        <v>1950</v>
      </c>
    </row>
    <row r="535" spans="1:9" x14ac:dyDescent="0.25">
      <c r="A535" t="s">
        <v>2638</v>
      </c>
      <c r="B535" t="s">
        <v>2639</v>
      </c>
      <c r="C535" t="s">
        <v>1182</v>
      </c>
      <c r="D535" t="s">
        <v>91</v>
      </c>
      <c r="E535" t="s">
        <v>1224</v>
      </c>
      <c r="F535" t="s">
        <v>1227</v>
      </c>
      <c r="G535" t="s">
        <v>1228</v>
      </c>
      <c r="H535" t="s">
        <v>1401</v>
      </c>
      <c r="I535" t="s">
        <v>1953</v>
      </c>
    </row>
    <row r="536" spans="1:9" x14ac:dyDescent="0.25">
      <c r="A536" t="s">
        <v>4360</v>
      </c>
      <c r="B536" t="s">
        <v>2647</v>
      </c>
      <c r="C536" t="s">
        <v>1187</v>
      </c>
      <c r="D536" t="s">
        <v>1219</v>
      </c>
      <c r="E536" t="s">
        <v>1222</v>
      </c>
      <c r="F536" t="s">
        <v>1227</v>
      </c>
      <c r="G536" t="s">
        <v>1228</v>
      </c>
      <c r="H536" t="s">
        <v>1320</v>
      </c>
      <c r="I536" t="s">
        <v>1747</v>
      </c>
    </row>
    <row r="537" spans="1:9" x14ac:dyDescent="0.25">
      <c r="A537" t="s">
        <v>4380</v>
      </c>
      <c r="B537" t="s">
        <v>2647</v>
      </c>
      <c r="C537" t="s">
        <v>1187</v>
      </c>
      <c r="D537" t="s">
        <v>1219</v>
      </c>
      <c r="E537" t="s">
        <v>1222</v>
      </c>
      <c r="F537" t="s">
        <v>1227</v>
      </c>
      <c r="G537" t="s">
        <v>1228</v>
      </c>
      <c r="H537" t="s">
        <v>1320</v>
      </c>
      <c r="I537" t="s">
        <v>1747</v>
      </c>
    </row>
    <row r="538" spans="1:9" x14ac:dyDescent="0.25">
      <c r="A538" t="s">
        <v>2531</v>
      </c>
      <c r="B538" t="s">
        <v>927</v>
      </c>
      <c r="C538" t="s">
        <v>1196</v>
      </c>
      <c r="D538" t="s">
        <v>84</v>
      </c>
      <c r="E538" t="s">
        <v>1233</v>
      </c>
      <c r="F538" t="s">
        <v>1227</v>
      </c>
      <c r="G538" t="s">
        <v>1228</v>
      </c>
      <c r="H538" t="s">
        <v>395</v>
      </c>
      <c r="I538" t="s">
        <v>2532</v>
      </c>
    </row>
    <row r="539" spans="1:9" x14ac:dyDescent="0.25">
      <c r="A539" t="s">
        <v>4477</v>
      </c>
      <c r="B539" t="s">
        <v>526</v>
      </c>
      <c r="C539" t="s">
        <v>1196</v>
      </c>
      <c r="D539" t="s">
        <v>84</v>
      </c>
      <c r="E539" t="s">
        <v>1238</v>
      </c>
      <c r="F539" t="s">
        <v>1227</v>
      </c>
      <c r="G539" t="s">
        <v>1228</v>
      </c>
      <c r="H539" t="s">
        <v>1287</v>
      </c>
      <c r="I539" t="s">
        <v>1710</v>
      </c>
    </row>
    <row r="540" spans="1:9" x14ac:dyDescent="0.25">
      <c r="A540" t="s">
        <v>4438</v>
      </c>
      <c r="B540" t="s">
        <v>572</v>
      </c>
      <c r="C540" t="s">
        <v>1181</v>
      </c>
      <c r="D540" t="s">
        <v>27</v>
      </c>
      <c r="E540" t="s">
        <v>1328</v>
      </c>
      <c r="F540" t="s">
        <v>1227</v>
      </c>
      <c r="G540" t="s">
        <v>1228</v>
      </c>
      <c r="H540" t="s">
        <v>3153</v>
      </c>
      <c r="I540" t="s">
        <v>2444</v>
      </c>
    </row>
    <row r="541" spans="1:9" x14ac:dyDescent="0.25">
      <c r="A541" t="s">
        <v>2945</v>
      </c>
      <c r="B541" t="s">
        <v>586</v>
      </c>
      <c r="C541" t="s">
        <v>1197</v>
      </c>
      <c r="D541" t="s">
        <v>1216</v>
      </c>
      <c r="E541" t="s">
        <v>1405</v>
      </c>
      <c r="F541" t="s">
        <v>1227</v>
      </c>
      <c r="G541" t="s">
        <v>1228</v>
      </c>
      <c r="H541" t="s">
        <v>1406</v>
      </c>
      <c r="I541" t="s">
        <v>1923</v>
      </c>
    </row>
    <row r="542" spans="1:9" x14ac:dyDescent="0.25">
      <c r="A542" t="s">
        <v>2570</v>
      </c>
      <c r="B542" t="s">
        <v>2571</v>
      </c>
      <c r="C542" t="s">
        <v>1180</v>
      </c>
      <c r="D542" t="s">
        <v>15</v>
      </c>
      <c r="E542" t="s">
        <v>1226</v>
      </c>
      <c r="F542" t="s">
        <v>1227</v>
      </c>
      <c r="G542" t="s">
        <v>1228</v>
      </c>
      <c r="H542" t="s">
        <v>399</v>
      </c>
      <c r="I542" t="s">
        <v>1998</v>
      </c>
    </row>
    <row r="543" spans="1:9" x14ac:dyDescent="0.25">
      <c r="A543" t="s">
        <v>2944</v>
      </c>
      <c r="B543" t="s">
        <v>2571</v>
      </c>
      <c r="C543" t="s">
        <v>1180</v>
      </c>
      <c r="D543" t="s">
        <v>15</v>
      </c>
      <c r="E543" t="s">
        <v>1226</v>
      </c>
      <c r="F543" t="s">
        <v>1227</v>
      </c>
      <c r="G543" t="s">
        <v>1228</v>
      </c>
      <c r="H543" t="s">
        <v>399</v>
      </c>
      <c r="I543" t="s">
        <v>1998</v>
      </c>
    </row>
    <row r="544" spans="1:9" x14ac:dyDescent="0.25">
      <c r="A544" t="s">
        <v>4439</v>
      </c>
      <c r="B544" t="s">
        <v>2571</v>
      </c>
      <c r="C544" t="s">
        <v>1182</v>
      </c>
      <c r="D544" t="s">
        <v>91</v>
      </c>
      <c r="E544" t="s">
        <v>1247</v>
      </c>
      <c r="F544" t="s">
        <v>1227</v>
      </c>
      <c r="G544" t="s">
        <v>1228</v>
      </c>
      <c r="H544" t="s">
        <v>689</v>
      </c>
      <c r="I544" t="s">
        <v>1953</v>
      </c>
    </row>
    <row r="545" spans="1:9" x14ac:dyDescent="0.25">
      <c r="A545" t="s">
        <v>2943</v>
      </c>
      <c r="B545" t="s">
        <v>2571</v>
      </c>
      <c r="C545" t="s">
        <v>1182</v>
      </c>
      <c r="D545" t="s">
        <v>91</v>
      </c>
      <c r="E545" t="s">
        <v>1247</v>
      </c>
      <c r="F545" t="s">
        <v>1227</v>
      </c>
      <c r="G545" t="s">
        <v>1228</v>
      </c>
      <c r="H545" t="s">
        <v>689</v>
      </c>
      <c r="I545" t="s">
        <v>1953</v>
      </c>
    </row>
    <row r="546" spans="1:9" x14ac:dyDescent="0.25">
      <c r="A546" t="s">
        <v>2942</v>
      </c>
      <c r="B546" t="s">
        <v>2571</v>
      </c>
      <c r="C546" t="s">
        <v>1182</v>
      </c>
      <c r="D546" t="s">
        <v>91</v>
      </c>
      <c r="E546" t="s">
        <v>1247</v>
      </c>
      <c r="F546" t="s">
        <v>1227</v>
      </c>
      <c r="G546" t="s">
        <v>1228</v>
      </c>
      <c r="I546" t="s">
        <v>1953</v>
      </c>
    </row>
    <row r="547" spans="1:9" x14ac:dyDescent="0.25">
      <c r="A547" t="s">
        <v>2504</v>
      </c>
      <c r="B547" t="s">
        <v>635</v>
      </c>
      <c r="C547" t="s">
        <v>1196</v>
      </c>
      <c r="D547" t="s">
        <v>84</v>
      </c>
      <c r="E547" t="s">
        <v>1269</v>
      </c>
      <c r="F547" t="s">
        <v>1227</v>
      </c>
      <c r="G547" t="s">
        <v>1228</v>
      </c>
      <c r="H547" t="s">
        <v>1287</v>
      </c>
      <c r="I547" t="s">
        <v>2505</v>
      </c>
    </row>
    <row r="548" spans="1:9" x14ac:dyDescent="0.25">
      <c r="A548" t="s">
        <v>4469</v>
      </c>
      <c r="B548" t="s">
        <v>741</v>
      </c>
      <c r="C548" t="s">
        <v>1180</v>
      </c>
      <c r="D548" t="s">
        <v>1216</v>
      </c>
      <c r="E548" t="s">
        <v>1250</v>
      </c>
      <c r="F548" t="s">
        <v>1227</v>
      </c>
      <c r="G548" t="s">
        <v>1228</v>
      </c>
      <c r="H548" t="s">
        <v>686</v>
      </c>
      <c r="I548" t="s">
        <v>1697</v>
      </c>
    </row>
    <row r="549" spans="1:9" x14ac:dyDescent="0.25">
      <c r="A549" t="s">
        <v>918</v>
      </c>
      <c r="B549" t="s">
        <v>2544</v>
      </c>
      <c r="C549" t="s">
        <v>1180</v>
      </c>
      <c r="E549" t="s">
        <v>1289</v>
      </c>
      <c r="F549" t="s">
        <v>1227</v>
      </c>
      <c r="G549" t="s">
        <v>1228</v>
      </c>
      <c r="H549" t="s">
        <v>1304</v>
      </c>
      <c r="I549" t="s">
        <v>1728</v>
      </c>
    </row>
    <row r="550" spans="1:9" x14ac:dyDescent="0.25">
      <c r="A550" t="s">
        <v>2652</v>
      </c>
      <c r="B550" t="s">
        <v>2653</v>
      </c>
      <c r="C550" t="s">
        <v>1631</v>
      </c>
      <c r="D550" t="s">
        <v>91</v>
      </c>
      <c r="E550" t="s">
        <v>1288</v>
      </c>
      <c r="F550" t="s">
        <v>1227</v>
      </c>
      <c r="G550" t="s">
        <v>1228</v>
      </c>
      <c r="H550" t="s">
        <v>1632</v>
      </c>
      <c r="I550" t="s">
        <v>2479</v>
      </c>
    </row>
    <row r="551" spans="1:9" x14ac:dyDescent="0.25">
      <c r="A551" t="s">
        <v>2651</v>
      </c>
      <c r="B551" t="s">
        <v>944</v>
      </c>
      <c r="C551" t="s">
        <v>1183</v>
      </c>
      <c r="D551" t="s">
        <v>91</v>
      </c>
      <c r="E551" t="s">
        <v>1269</v>
      </c>
      <c r="F551" t="s">
        <v>1227</v>
      </c>
      <c r="G551" t="s">
        <v>1228</v>
      </c>
      <c r="H551" t="s">
        <v>45</v>
      </c>
      <c r="I551" t="s">
        <v>1880</v>
      </c>
    </row>
    <row r="552" spans="1:9" x14ac:dyDescent="0.25">
      <c r="A552" t="s">
        <v>2941</v>
      </c>
      <c r="B552" t="s">
        <v>944</v>
      </c>
      <c r="C552" t="s">
        <v>1183</v>
      </c>
      <c r="D552" t="s">
        <v>91</v>
      </c>
      <c r="E552" t="s">
        <v>1269</v>
      </c>
      <c r="F552" t="s">
        <v>1227</v>
      </c>
      <c r="G552" t="s">
        <v>1228</v>
      </c>
      <c r="H552" t="s">
        <v>45</v>
      </c>
      <c r="I552" t="s">
        <v>1880</v>
      </c>
    </row>
    <row r="553" spans="1:9" x14ac:dyDescent="0.25">
      <c r="A553" t="s">
        <v>1172</v>
      </c>
      <c r="B553" t="s">
        <v>856</v>
      </c>
      <c r="C553" t="s">
        <v>1183</v>
      </c>
      <c r="E553" t="s">
        <v>1242</v>
      </c>
      <c r="F553" t="s">
        <v>1227</v>
      </c>
      <c r="G553" t="s">
        <v>1228</v>
      </c>
      <c r="H553" t="s">
        <v>1296</v>
      </c>
      <c r="I553" t="s">
        <v>2470</v>
      </c>
    </row>
    <row r="554" spans="1:9" x14ac:dyDescent="0.25">
      <c r="A554" t="s">
        <v>4382</v>
      </c>
      <c r="B554" t="s">
        <v>2938</v>
      </c>
      <c r="C554" t="s">
        <v>1182</v>
      </c>
      <c r="D554" t="s">
        <v>318</v>
      </c>
      <c r="E554" t="s">
        <v>1269</v>
      </c>
      <c r="F554" t="s">
        <v>1227</v>
      </c>
      <c r="G554" t="s">
        <v>1228</v>
      </c>
      <c r="H554" t="s">
        <v>681</v>
      </c>
      <c r="I554" t="s">
        <v>2421</v>
      </c>
    </row>
    <row r="555" spans="1:9" x14ac:dyDescent="0.25">
      <c r="A555" t="s">
        <v>3940</v>
      </c>
      <c r="B555" t="s">
        <v>3941</v>
      </c>
      <c r="C555" t="s">
        <v>1209</v>
      </c>
      <c r="D555" t="s">
        <v>15</v>
      </c>
      <c r="E555" t="s">
        <v>1231</v>
      </c>
      <c r="F555" t="s">
        <v>1228</v>
      </c>
      <c r="G555" t="s">
        <v>1228</v>
      </c>
      <c r="H555" t="s">
        <v>257</v>
      </c>
      <c r="I555" t="s">
        <v>1956</v>
      </c>
    </row>
    <row r="556" spans="1:9" x14ac:dyDescent="0.25">
      <c r="A556" t="s">
        <v>4266</v>
      </c>
      <c r="B556" t="s">
        <v>4267</v>
      </c>
      <c r="C556" t="s">
        <v>1209</v>
      </c>
      <c r="D556" t="s">
        <v>56</v>
      </c>
      <c r="E556" t="s">
        <v>1310</v>
      </c>
      <c r="F556" t="s">
        <v>1228</v>
      </c>
      <c r="G556" t="s">
        <v>1228</v>
      </c>
      <c r="H556" t="s">
        <v>37</v>
      </c>
      <c r="I556" t="s">
        <v>1954</v>
      </c>
    </row>
    <row r="557" spans="1:9" x14ac:dyDescent="0.25">
      <c r="A557" t="s">
        <v>2940</v>
      </c>
      <c r="B557" t="s">
        <v>526</v>
      </c>
      <c r="C557" t="s">
        <v>1180</v>
      </c>
      <c r="D557" t="s">
        <v>934</v>
      </c>
      <c r="E557" t="s">
        <v>1220</v>
      </c>
      <c r="F557" t="s">
        <v>1228</v>
      </c>
      <c r="G557" t="s">
        <v>1228</v>
      </c>
      <c r="H557" t="s">
        <v>1325</v>
      </c>
      <c r="I557" t="s">
        <v>2024</v>
      </c>
    </row>
    <row r="558" spans="1:9" x14ac:dyDescent="0.25">
      <c r="A558" t="s">
        <v>4265</v>
      </c>
      <c r="B558" t="s">
        <v>592</v>
      </c>
      <c r="C558" t="s">
        <v>1197</v>
      </c>
      <c r="D558" t="s">
        <v>318</v>
      </c>
      <c r="E558" t="s">
        <v>1250</v>
      </c>
      <c r="F558" t="s">
        <v>1228</v>
      </c>
      <c r="G558" t="s">
        <v>1228</v>
      </c>
      <c r="H558" t="s">
        <v>1389</v>
      </c>
      <c r="I558" t="s">
        <v>1869</v>
      </c>
    </row>
    <row r="559" spans="1:9" x14ac:dyDescent="0.25">
      <c r="A559" t="s">
        <v>2831</v>
      </c>
      <c r="B559" t="s">
        <v>2516</v>
      </c>
      <c r="C559" t="s">
        <v>1185</v>
      </c>
      <c r="D559" t="s">
        <v>15</v>
      </c>
      <c r="E559" t="s">
        <v>1253</v>
      </c>
      <c r="F559" t="s">
        <v>1228</v>
      </c>
      <c r="G559" t="s">
        <v>1228</v>
      </c>
      <c r="H559" t="s">
        <v>472</v>
      </c>
      <c r="I559" t="s">
        <v>1892</v>
      </c>
    </row>
    <row r="560" spans="1:9" x14ac:dyDescent="0.25">
      <c r="A560" t="s">
        <v>4358</v>
      </c>
      <c r="B560" t="s">
        <v>4359</v>
      </c>
      <c r="C560" t="s">
        <v>1186</v>
      </c>
      <c r="D560" t="s">
        <v>27</v>
      </c>
      <c r="E560" t="s">
        <v>1289</v>
      </c>
      <c r="F560" t="s">
        <v>1228</v>
      </c>
      <c r="G560" t="s">
        <v>1228</v>
      </c>
      <c r="H560" t="s">
        <v>1397</v>
      </c>
      <c r="I560" t="s">
        <v>1894</v>
      </c>
    </row>
    <row r="561" spans="1:9" x14ac:dyDescent="0.25">
      <c r="A561" t="s">
        <v>2930</v>
      </c>
      <c r="B561" t="s">
        <v>216</v>
      </c>
      <c r="C561" t="s">
        <v>1186</v>
      </c>
      <c r="D561" t="s">
        <v>21</v>
      </c>
      <c r="E561" t="s">
        <v>1231</v>
      </c>
      <c r="F561" t="s">
        <v>1228</v>
      </c>
      <c r="G561" t="s">
        <v>1228</v>
      </c>
      <c r="H561" t="s">
        <v>2931</v>
      </c>
      <c r="I561" t="s">
        <v>1937</v>
      </c>
    </row>
    <row r="562" spans="1:9" x14ac:dyDescent="0.25">
      <c r="A562" t="s">
        <v>2935</v>
      </c>
      <c r="B562" t="s">
        <v>2936</v>
      </c>
      <c r="C562" t="s">
        <v>1192</v>
      </c>
      <c r="D562" t="s">
        <v>84</v>
      </c>
      <c r="E562" t="s">
        <v>1222</v>
      </c>
      <c r="F562" t="s">
        <v>1228</v>
      </c>
      <c r="G562" t="s">
        <v>1228</v>
      </c>
      <c r="H562" t="s">
        <v>589</v>
      </c>
      <c r="I562" t="s">
        <v>1868</v>
      </c>
    </row>
    <row r="563" spans="1:9" x14ac:dyDescent="0.25">
      <c r="A563" t="s">
        <v>3225</v>
      </c>
      <c r="B563" t="s">
        <v>572</v>
      </c>
      <c r="C563" t="s">
        <v>1180</v>
      </c>
      <c r="D563" t="s">
        <v>934</v>
      </c>
      <c r="E563" t="s">
        <v>1233</v>
      </c>
      <c r="F563" t="s">
        <v>1228</v>
      </c>
      <c r="G563" t="s">
        <v>1228</v>
      </c>
      <c r="H563" t="s">
        <v>3226</v>
      </c>
      <c r="I563" t="s">
        <v>3227</v>
      </c>
    </row>
    <row r="564" spans="1:9" x14ac:dyDescent="0.25">
      <c r="A564" t="s">
        <v>2933</v>
      </c>
      <c r="B564" t="s">
        <v>2827</v>
      </c>
      <c r="C564" t="s">
        <v>1186</v>
      </c>
      <c r="D564" t="s">
        <v>27</v>
      </c>
      <c r="E564" t="s">
        <v>1346</v>
      </c>
      <c r="F564" t="s">
        <v>1228</v>
      </c>
      <c r="G564" t="s">
        <v>1228</v>
      </c>
      <c r="H564" t="s">
        <v>2934</v>
      </c>
      <c r="I564" t="s">
        <v>1778</v>
      </c>
    </row>
    <row r="565" spans="1:9" x14ac:dyDescent="0.25">
      <c r="A565" t="s">
        <v>3230</v>
      </c>
      <c r="B565" t="s">
        <v>2571</v>
      </c>
      <c r="C565" t="s">
        <v>1182</v>
      </c>
      <c r="D565" t="s">
        <v>91</v>
      </c>
      <c r="E565" t="s">
        <v>1247</v>
      </c>
      <c r="F565" t="s">
        <v>1228</v>
      </c>
      <c r="G565" t="s">
        <v>1228</v>
      </c>
      <c r="H565" t="s">
        <v>1369</v>
      </c>
      <c r="I565" t="s">
        <v>2005</v>
      </c>
    </row>
    <row r="566" spans="1:9" x14ac:dyDescent="0.25">
      <c r="A566" t="s">
        <v>3229</v>
      </c>
      <c r="B566" t="s">
        <v>655</v>
      </c>
      <c r="C566" t="s">
        <v>1209</v>
      </c>
      <c r="D566" t="s">
        <v>56</v>
      </c>
      <c r="E566" t="s">
        <v>1226</v>
      </c>
      <c r="F566" t="s">
        <v>1228</v>
      </c>
      <c r="G566" t="s">
        <v>1228</v>
      </c>
      <c r="H566" t="s">
        <v>1384</v>
      </c>
      <c r="I566" t="s">
        <v>1893</v>
      </c>
    </row>
    <row r="567" spans="1:9" x14ac:dyDescent="0.25">
      <c r="A567" t="s">
        <v>2932</v>
      </c>
      <c r="B567" t="s">
        <v>678</v>
      </c>
      <c r="C567" t="s">
        <v>1186</v>
      </c>
      <c r="D567" t="s">
        <v>318</v>
      </c>
      <c r="E567" t="s">
        <v>1357</v>
      </c>
      <c r="F567" t="s">
        <v>1228</v>
      </c>
      <c r="G567" t="s">
        <v>1228</v>
      </c>
      <c r="H567" t="s">
        <v>716</v>
      </c>
      <c r="I567" t="s">
        <v>1796</v>
      </c>
    </row>
    <row r="568" spans="1:9" x14ac:dyDescent="0.25">
      <c r="A568" t="s">
        <v>3228</v>
      </c>
      <c r="B568" t="s">
        <v>773</v>
      </c>
      <c r="C568" t="s">
        <v>1182</v>
      </c>
      <c r="D568" t="s">
        <v>91</v>
      </c>
      <c r="E568" t="s">
        <v>1246</v>
      </c>
      <c r="F568" t="s">
        <v>1228</v>
      </c>
      <c r="G568" t="s">
        <v>1228</v>
      </c>
      <c r="H568" t="s">
        <v>508</v>
      </c>
      <c r="I568" t="s">
        <v>1847</v>
      </c>
    </row>
    <row r="569" spans="1:9" x14ac:dyDescent="0.25">
      <c r="A569" t="s">
        <v>2939</v>
      </c>
      <c r="B569" t="s">
        <v>2544</v>
      </c>
      <c r="C569" t="s">
        <v>1181</v>
      </c>
      <c r="E569" t="s">
        <v>1238</v>
      </c>
      <c r="F569" t="s">
        <v>1228</v>
      </c>
      <c r="G569" t="s">
        <v>1228</v>
      </c>
      <c r="H569" t="s">
        <v>650</v>
      </c>
      <c r="I569" t="s">
        <v>1777</v>
      </c>
    </row>
    <row r="570" spans="1:9" x14ac:dyDescent="0.25">
      <c r="A570" t="s">
        <v>3231</v>
      </c>
      <c r="B570" t="s">
        <v>856</v>
      </c>
      <c r="C570" t="s">
        <v>1197</v>
      </c>
      <c r="E570" t="s">
        <v>1354</v>
      </c>
      <c r="F570" t="s">
        <v>1228</v>
      </c>
      <c r="G570" t="s">
        <v>1228</v>
      </c>
      <c r="H570" t="s">
        <v>297</v>
      </c>
      <c r="I570" t="s">
        <v>2003</v>
      </c>
    </row>
    <row r="571" spans="1:9" x14ac:dyDescent="0.25">
      <c r="A571" t="s">
        <v>2937</v>
      </c>
      <c r="B571" t="s">
        <v>2938</v>
      </c>
      <c r="C571" t="s">
        <v>1182</v>
      </c>
      <c r="D571" t="s">
        <v>15</v>
      </c>
      <c r="E571" t="s">
        <v>1289</v>
      </c>
      <c r="F571" t="s">
        <v>1228</v>
      </c>
      <c r="G571" t="s">
        <v>1228</v>
      </c>
      <c r="H571" t="s">
        <v>632</v>
      </c>
      <c r="I571" t="s">
        <v>1812</v>
      </c>
    </row>
    <row r="572" spans="1:9" x14ac:dyDescent="0.25">
      <c r="A572" t="s">
        <v>2761</v>
      </c>
      <c r="B572" t="s">
        <v>1098</v>
      </c>
      <c r="C572" s="38">
        <v>4.9999999999999996E-2</v>
      </c>
      <c r="E572" t="s">
        <v>1549</v>
      </c>
      <c r="F572" t="s">
        <v>1227</v>
      </c>
      <c r="G572" t="s">
        <v>1228</v>
      </c>
      <c r="H572" t="s">
        <v>1550</v>
      </c>
    </row>
    <row r="573" spans="1:9" x14ac:dyDescent="0.25">
      <c r="A573" t="s">
        <v>4379</v>
      </c>
      <c r="B573" t="s">
        <v>176</v>
      </c>
      <c r="C573" t="s">
        <v>1206</v>
      </c>
      <c r="D573" t="s">
        <v>1216</v>
      </c>
      <c r="E573" t="s">
        <v>1269</v>
      </c>
      <c r="F573" t="s">
        <v>1227</v>
      </c>
      <c r="G573" t="s">
        <v>1228</v>
      </c>
      <c r="H573" t="s">
        <v>1380</v>
      </c>
      <c r="I573" t="s">
        <v>1852</v>
      </c>
    </row>
    <row r="574" spans="1:9" x14ac:dyDescent="0.25">
      <c r="A574" t="s">
        <v>2829</v>
      </c>
      <c r="B574" t="s">
        <v>176</v>
      </c>
      <c r="C574" t="s">
        <v>1206</v>
      </c>
      <c r="D574" t="s">
        <v>1216</v>
      </c>
      <c r="E574" t="s">
        <v>1269</v>
      </c>
      <c r="F574" t="s">
        <v>1227</v>
      </c>
      <c r="G574" t="s">
        <v>1228</v>
      </c>
      <c r="H574" t="s">
        <v>1380</v>
      </c>
      <c r="I574" t="s">
        <v>1852</v>
      </c>
    </row>
    <row r="575" spans="1:9" x14ac:dyDescent="0.25">
      <c r="A575" t="s">
        <v>3224</v>
      </c>
      <c r="B575" t="s">
        <v>176</v>
      </c>
      <c r="C575" t="s">
        <v>1206</v>
      </c>
      <c r="D575" t="s">
        <v>1216</v>
      </c>
      <c r="F575" t="s">
        <v>1227</v>
      </c>
      <c r="G575" t="s">
        <v>1228</v>
      </c>
      <c r="H575" t="s">
        <v>1380</v>
      </c>
    </row>
    <row r="576" spans="1:9" x14ac:dyDescent="0.25">
      <c r="A576" t="s">
        <v>4166</v>
      </c>
      <c r="B576" t="s">
        <v>441</v>
      </c>
      <c r="C576" t="s">
        <v>1188</v>
      </c>
      <c r="D576" t="s">
        <v>1216</v>
      </c>
      <c r="E576" t="s">
        <v>1231</v>
      </c>
      <c r="F576" t="s">
        <v>1227</v>
      </c>
      <c r="G576" t="s">
        <v>1228</v>
      </c>
      <c r="H576" t="s">
        <v>4167</v>
      </c>
      <c r="I576" t="s">
        <v>1738</v>
      </c>
    </row>
    <row r="577" spans="1:9" x14ac:dyDescent="0.25">
      <c r="A577" t="s">
        <v>2543</v>
      </c>
      <c r="B577" t="s">
        <v>441</v>
      </c>
      <c r="C577" t="s">
        <v>1188</v>
      </c>
      <c r="D577" t="s">
        <v>1216</v>
      </c>
      <c r="E577" t="s">
        <v>1231</v>
      </c>
      <c r="F577" t="s">
        <v>1227</v>
      </c>
      <c r="G577" t="s">
        <v>1228</v>
      </c>
      <c r="H577" t="s">
        <v>1309</v>
      </c>
      <c r="I577" t="s">
        <v>1738</v>
      </c>
    </row>
    <row r="578" spans="1:9" x14ac:dyDescent="0.25">
      <c r="A578" t="s">
        <v>2828</v>
      </c>
      <c r="B578" t="s">
        <v>441</v>
      </c>
      <c r="C578" t="s">
        <v>1188</v>
      </c>
      <c r="D578" t="s">
        <v>1216</v>
      </c>
      <c r="E578" t="s">
        <v>1231</v>
      </c>
      <c r="F578" t="s">
        <v>1227</v>
      </c>
      <c r="G578" t="s">
        <v>1228</v>
      </c>
      <c r="H578" t="s">
        <v>1309</v>
      </c>
      <c r="I578" t="s">
        <v>1738</v>
      </c>
    </row>
    <row r="579" spans="1:9" x14ac:dyDescent="0.25">
      <c r="A579" t="s">
        <v>2542</v>
      </c>
      <c r="B579" t="s">
        <v>526</v>
      </c>
      <c r="C579" t="s">
        <v>1188</v>
      </c>
      <c r="D579" t="s">
        <v>1216</v>
      </c>
      <c r="E579" t="s">
        <v>1252</v>
      </c>
      <c r="F579" t="s">
        <v>1227</v>
      </c>
      <c r="G579" t="s">
        <v>1228</v>
      </c>
      <c r="H579" t="s">
        <v>1255</v>
      </c>
      <c r="I579" t="s">
        <v>1662</v>
      </c>
    </row>
    <row r="580" spans="1:9" x14ac:dyDescent="0.25">
      <c r="A580" t="s">
        <v>4165</v>
      </c>
      <c r="B580" t="s">
        <v>526</v>
      </c>
      <c r="C580" t="s">
        <v>1188</v>
      </c>
      <c r="D580" t="s">
        <v>1216</v>
      </c>
      <c r="E580" t="s">
        <v>1252</v>
      </c>
      <c r="F580" t="s">
        <v>1227</v>
      </c>
      <c r="G580" t="s">
        <v>1228</v>
      </c>
      <c r="H580" t="s">
        <v>1255</v>
      </c>
      <c r="I580" t="s">
        <v>1662</v>
      </c>
    </row>
    <row r="581" spans="1:9" x14ac:dyDescent="0.25">
      <c r="A581" t="s">
        <v>2650</v>
      </c>
      <c r="B581" t="s">
        <v>586</v>
      </c>
      <c r="C581" t="s">
        <v>1180</v>
      </c>
      <c r="D581" t="s">
        <v>1216</v>
      </c>
      <c r="E581" t="s">
        <v>1250</v>
      </c>
      <c r="F581" t="s">
        <v>1227</v>
      </c>
      <c r="G581" t="s">
        <v>1228</v>
      </c>
      <c r="H581" t="s">
        <v>1267</v>
      </c>
      <c r="I581" t="s">
        <v>1674</v>
      </c>
    </row>
    <row r="582" spans="1:9" x14ac:dyDescent="0.25">
      <c r="A582" t="s">
        <v>2552</v>
      </c>
      <c r="B582" t="s">
        <v>921</v>
      </c>
      <c r="C582" t="s">
        <v>1188</v>
      </c>
      <c r="D582" t="s">
        <v>1219</v>
      </c>
      <c r="E582" t="s">
        <v>1242</v>
      </c>
      <c r="F582" t="s">
        <v>1227</v>
      </c>
      <c r="G582" t="s">
        <v>1228</v>
      </c>
      <c r="H582" t="s">
        <v>1311</v>
      </c>
      <c r="I582" t="s">
        <v>1670</v>
      </c>
    </row>
    <row r="583" spans="1:9" x14ac:dyDescent="0.25">
      <c r="A583" t="s">
        <v>2830</v>
      </c>
      <c r="B583" t="s">
        <v>856</v>
      </c>
      <c r="C583" t="s">
        <v>1197</v>
      </c>
      <c r="E583" t="s">
        <v>1242</v>
      </c>
      <c r="F583" t="s">
        <v>1227</v>
      </c>
      <c r="G583" t="s">
        <v>1228</v>
      </c>
      <c r="H583" t="s">
        <v>1389</v>
      </c>
      <c r="I583" t="s">
        <v>2135</v>
      </c>
    </row>
    <row r="584" spans="1:9" x14ac:dyDescent="0.25">
      <c r="A584" t="s">
        <v>2541</v>
      </c>
      <c r="B584" t="s">
        <v>48</v>
      </c>
      <c r="C584" t="s">
        <v>1182</v>
      </c>
      <c r="D584" t="s">
        <v>56</v>
      </c>
      <c r="E584" t="s">
        <v>1226</v>
      </c>
      <c r="F584" t="s">
        <v>1227</v>
      </c>
      <c r="G584" t="s">
        <v>1228</v>
      </c>
      <c r="H584" t="s">
        <v>23</v>
      </c>
      <c r="I584" t="s">
        <v>1640</v>
      </c>
    </row>
    <row r="585" spans="1:9" x14ac:dyDescent="0.25">
      <c r="A585" t="s">
        <v>4156</v>
      </c>
      <c r="B585" t="s">
        <v>48</v>
      </c>
      <c r="C585" t="s">
        <v>1182</v>
      </c>
      <c r="D585" t="s">
        <v>56</v>
      </c>
      <c r="E585" t="s">
        <v>1226</v>
      </c>
      <c r="F585" t="s">
        <v>1227</v>
      </c>
      <c r="G585" t="s">
        <v>1228</v>
      </c>
      <c r="H585" t="s">
        <v>23</v>
      </c>
      <c r="I585" t="s">
        <v>2477</v>
      </c>
    </row>
    <row r="586" spans="1:9" x14ac:dyDescent="0.25">
      <c r="A586" t="s">
        <v>2648</v>
      </c>
      <c r="B586" t="s">
        <v>2649</v>
      </c>
      <c r="C586" t="s">
        <v>1187</v>
      </c>
      <c r="D586" t="s">
        <v>1219</v>
      </c>
      <c r="E586" t="s">
        <v>1231</v>
      </c>
      <c r="F586" t="s">
        <v>1227</v>
      </c>
      <c r="G586" t="s">
        <v>1228</v>
      </c>
      <c r="H586" t="s">
        <v>1291</v>
      </c>
      <c r="I586" t="s">
        <v>1713</v>
      </c>
    </row>
    <row r="587" spans="1:9" x14ac:dyDescent="0.25">
      <c r="A587" t="s">
        <v>4164</v>
      </c>
      <c r="B587" t="s">
        <v>2649</v>
      </c>
      <c r="C587" t="s">
        <v>1187</v>
      </c>
      <c r="D587" t="s">
        <v>1219</v>
      </c>
      <c r="E587" t="s">
        <v>1231</v>
      </c>
      <c r="F587" t="s">
        <v>1227</v>
      </c>
      <c r="G587" t="s">
        <v>1228</v>
      </c>
      <c r="H587" t="s">
        <v>1291</v>
      </c>
      <c r="I587" t="s">
        <v>1713</v>
      </c>
    </row>
    <row r="588" spans="1:9" x14ac:dyDescent="0.25">
      <c r="A588" t="s">
        <v>2515</v>
      </c>
      <c r="B588" t="s">
        <v>2516</v>
      </c>
      <c r="C588" t="s">
        <v>1187</v>
      </c>
      <c r="D588" t="s">
        <v>91</v>
      </c>
      <c r="E588" t="s">
        <v>1268</v>
      </c>
      <c r="F588" t="s">
        <v>1227</v>
      </c>
      <c r="G588" t="s">
        <v>1228</v>
      </c>
      <c r="H588" t="s">
        <v>1257</v>
      </c>
      <c r="I588" t="s">
        <v>1676</v>
      </c>
    </row>
    <row r="589" spans="1:9" x14ac:dyDescent="0.25">
      <c r="A589" t="s">
        <v>2562</v>
      </c>
      <c r="B589" t="s">
        <v>2563</v>
      </c>
      <c r="C589" t="s">
        <v>1187</v>
      </c>
      <c r="D589" t="s">
        <v>91</v>
      </c>
      <c r="E589" t="s">
        <v>1271</v>
      </c>
      <c r="F589" t="s">
        <v>1227</v>
      </c>
      <c r="G589" t="s">
        <v>1228</v>
      </c>
      <c r="H589" t="s">
        <v>388</v>
      </c>
      <c r="I589" t="s">
        <v>1678</v>
      </c>
    </row>
    <row r="590" spans="1:9" x14ac:dyDescent="0.25">
      <c r="A590" t="s">
        <v>2646</v>
      </c>
      <c r="B590" t="s">
        <v>2647</v>
      </c>
      <c r="C590" t="s">
        <v>1187</v>
      </c>
      <c r="D590" t="s">
        <v>318</v>
      </c>
      <c r="E590" t="s">
        <v>1247</v>
      </c>
      <c r="F590" t="s">
        <v>1227</v>
      </c>
      <c r="G590" t="s">
        <v>1228</v>
      </c>
      <c r="H590" t="s">
        <v>1389</v>
      </c>
    </row>
    <row r="591" spans="1:9" x14ac:dyDescent="0.25">
      <c r="A591" t="s">
        <v>4357</v>
      </c>
      <c r="B591" t="s">
        <v>2647</v>
      </c>
      <c r="C591" t="s">
        <v>1187</v>
      </c>
      <c r="D591" t="s">
        <v>1216</v>
      </c>
      <c r="E591" t="s">
        <v>1282</v>
      </c>
      <c r="F591" t="s">
        <v>1227</v>
      </c>
      <c r="G591" t="s">
        <v>1228</v>
      </c>
      <c r="H591" t="s">
        <v>1623</v>
      </c>
      <c r="I591" t="s">
        <v>2458</v>
      </c>
    </row>
    <row r="592" spans="1:9" x14ac:dyDescent="0.25">
      <c r="A592" t="s">
        <v>4163</v>
      </c>
      <c r="B592" t="s">
        <v>2647</v>
      </c>
      <c r="C592" t="s">
        <v>1187</v>
      </c>
      <c r="D592" t="s">
        <v>1216</v>
      </c>
      <c r="E592" t="s">
        <v>1282</v>
      </c>
      <c r="F592" t="s">
        <v>1227</v>
      </c>
      <c r="G592" t="s">
        <v>1228</v>
      </c>
      <c r="H592" t="s">
        <v>1623</v>
      </c>
      <c r="I592" t="s">
        <v>2458</v>
      </c>
    </row>
    <row r="593" spans="1:9" x14ac:dyDescent="0.25">
      <c r="A593" t="s">
        <v>4161</v>
      </c>
      <c r="B593" t="s">
        <v>4162</v>
      </c>
      <c r="C593" t="s">
        <v>1187</v>
      </c>
      <c r="F593" t="s">
        <v>1227</v>
      </c>
      <c r="G593" t="s">
        <v>1228</v>
      </c>
      <c r="H593" t="s">
        <v>1270</v>
      </c>
      <c r="I593" t="s">
        <v>1897</v>
      </c>
    </row>
    <row r="594" spans="1:9" x14ac:dyDescent="0.25">
      <c r="A594" t="s">
        <v>2826</v>
      </c>
      <c r="B594" t="s">
        <v>2827</v>
      </c>
      <c r="C594" t="s">
        <v>1182</v>
      </c>
      <c r="D594" t="s">
        <v>1216</v>
      </c>
      <c r="E594" t="s">
        <v>1393</v>
      </c>
      <c r="F594" t="s">
        <v>1227</v>
      </c>
      <c r="G594" t="s">
        <v>1228</v>
      </c>
      <c r="H594" t="s">
        <v>1439</v>
      </c>
      <c r="I594" t="s">
        <v>2000</v>
      </c>
    </row>
    <row r="595" spans="1:9" x14ac:dyDescent="0.25">
      <c r="A595" t="s">
        <v>3223</v>
      </c>
      <c r="B595" t="s">
        <v>2827</v>
      </c>
      <c r="C595" t="s">
        <v>1182</v>
      </c>
      <c r="D595" t="s">
        <v>1216</v>
      </c>
      <c r="E595" t="s">
        <v>1393</v>
      </c>
      <c r="F595" t="s">
        <v>1227</v>
      </c>
      <c r="G595" t="s">
        <v>1228</v>
      </c>
      <c r="H595" t="s">
        <v>1439</v>
      </c>
      <c r="I595" t="s">
        <v>2000</v>
      </c>
    </row>
    <row r="596" spans="1:9" x14ac:dyDescent="0.25">
      <c r="A596" t="s">
        <v>4447</v>
      </c>
      <c r="B596" t="s">
        <v>4160</v>
      </c>
      <c r="C596" t="s">
        <v>1182</v>
      </c>
      <c r="D596" t="s">
        <v>318</v>
      </c>
      <c r="E596" t="s">
        <v>1249</v>
      </c>
      <c r="F596" t="s">
        <v>1227</v>
      </c>
      <c r="G596" t="s">
        <v>1228</v>
      </c>
      <c r="H596" t="s">
        <v>597</v>
      </c>
      <c r="I596" t="s">
        <v>1765</v>
      </c>
    </row>
    <row r="597" spans="1:9" x14ac:dyDescent="0.25">
      <c r="A597" t="s">
        <v>4159</v>
      </c>
      <c r="B597" t="s">
        <v>4160</v>
      </c>
      <c r="C597" t="s">
        <v>1182</v>
      </c>
      <c r="D597" t="s">
        <v>318</v>
      </c>
      <c r="E597" t="s">
        <v>1249</v>
      </c>
      <c r="F597" t="s">
        <v>1227</v>
      </c>
      <c r="G597" t="s">
        <v>1228</v>
      </c>
      <c r="H597" t="s">
        <v>597</v>
      </c>
      <c r="I597" t="s">
        <v>1765</v>
      </c>
    </row>
    <row r="598" spans="1:9" x14ac:dyDescent="0.25">
      <c r="A598" t="s">
        <v>4378</v>
      </c>
      <c r="B598" t="s">
        <v>4158</v>
      </c>
      <c r="C598" t="s">
        <v>1182</v>
      </c>
      <c r="D598" t="s">
        <v>318</v>
      </c>
      <c r="E598" t="s">
        <v>1220</v>
      </c>
      <c r="F598" t="s">
        <v>1227</v>
      </c>
      <c r="G598" t="s">
        <v>1228</v>
      </c>
      <c r="H598" t="s">
        <v>360</v>
      </c>
      <c r="I598" t="s">
        <v>1686</v>
      </c>
    </row>
    <row r="599" spans="1:9" x14ac:dyDescent="0.25">
      <c r="A599" t="s">
        <v>4157</v>
      </c>
      <c r="B599" t="s">
        <v>4158</v>
      </c>
      <c r="C599" t="s">
        <v>1182</v>
      </c>
      <c r="D599" t="s">
        <v>318</v>
      </c>
      <c r="F599" t="s">
        <v>1227</v>
      </c>
      <c r="G599" t="s">
        <v>1228</v>
      </c>
      <c r="H599" t="s">
        <v>825</v>
      </c>
      <c r="I599" t="s">
        <v>1686</v>
      </c>
    </row>
    <row r="600" spans="1:9" x14ac:dyDescent="0.25">
      <c r="A600" t="s">
        <v>4486</v>
      </c>
      <c r="B600" t="s">
        <v>2544</v>
      </c>
      <c r="C600" t="s">
        <v>1181</v>
      </c>
      <c r="E600" t="s">
        <v>1242</v>
      </c>
      <c r="F600" t="s">
        <v>1227</v>
      </c>
      <c r="G600" t="s">
        <v>1228</v>
      </c>
      <c r="H600" t="s">
        <v>716</v>
      </c>
      <c r="I600" t="s">
        <v>1719</v>
      </c>
    </row>
    <row r="601" spans="1:9" x14ac:dyDescent="0.25">
      <c r="A601" t="s">
        <v>4485</v>
      </c>
      <c r="B601" t="s">
        <v>4437</v>
      </c>
      <c r="C601" t="s">
        <v>1180</v>
      </c>
      <c r="D601" t="s">
        <v>91</v>
      </c>
      <c r="E601" t="s">
        <v>1249</v>
      </c>
      <c r="F601" t="s">
        <v>1227</v>
      </c>
      <c r="G601" t="s">
        <v>1228</v>
      </c>
      <c r="H601" t="s">
        <v>45</v>
      </c>
      <c r="I601" t="s">
        <v>1714</v>
      </c>
    </row>
    <row r="602" spans="1:9" x14ac:dyDescent="0.25">
      <c r="A602" t="s">
        <v>4436</v>
      </c>
      <c r="B602" t="s">
        <v>4437</v>
      </c>
      <c r="C602" t="s">
        <v>1180</v>
      </c>
      <c r="D602" t="s">
        <v>91</v>
      </c>
      <c r="E602" t="s">
        <v>1249</v>
      </c>
      <c r="F602" t="s">
        <v>1227</v>
      </c>
      <c r="G602" t="s">
        <v>1228</v>
      </c>
      <c r="H602" t="s">
        <v>45</v>
      </c>
      <c r="I602" t="s">
        <v>2419</v>
      </c>
    </row>
    <row r="603" spans="1:9" x14ac:dyDescent="0.25">
      <c r="A603" t="s">
        <v>4435</v>
      </c>
      <c r="B603" t="s">
        <v>2827</v>
      </c>
      <c r="C603" t="s">
        <v>1180</v>
      </c>
      <c r="D603" t="s">
        <v>91</v>
      </c>
      <c r="E603" t="s">
        <v>1269</v>
      </c>
      <c r="F603" t="s">
        <v>1227</v>
      </c>
      <c r="G603" t="s">
        <v>1228</v>
      </c>
      <c r="H603" t="s">
        <v>1306</v>
      </c>
      <c r="I603" t="s">
        <v>1731</v>
      </c>
    </row>
    <row r="604" spans="1:9" x14ac:dyDescent="0.25">
      <c r="A604" t="s">
        <v>4446</v>
      </c>
      <c r="B604" t="s">
        <v>2827</v>
      </c>
      <c r="C604" t="s">
        <v>1180</v>
      </c>
      <c r="D604" t="s">
        <v>91</v>
      </c>
      <c r="E604" t="s">
        <v>1269</v>
      </c>
      <c r="F604" t="s">
        <v>1227</v>
      </c>
      <c r="G604" t="s">
        <v>1228</v>
      </c>
      <c r="H604" t="s">
        <v>1349</v>
      </c>
      <c r="I604" t="s">
        <v>1731</v>
      </c>
    </row>
    <row r="605" spans="1:9" x14ac:dyDescent="0.25">
      <c r="A605" t="s">
        <v>2825</v>
      </c>
      <c r="B605" t="s">
        <v>2647</v>
      </c>
      <c r="C605" t="s">
        <v>1187</v>
      </c>
      <c r="D605" t="s">
        <v>1219</v>
      </c>
      <c r="E605" t="s">
        <v>1249</v>
      </c>
      <c r="F605" t="s">
        <v>1227</v>
      </c>
      <c r="G605" t="s">
        <v>1228</v>
      </c>
      <c r="H605" t="s">
        <v>1325</v>
      </c>
      <c r="I605" t="s">
        <v>1754</v>
      </c>
    </row>
    <row r="606" spans="1:9" x14ac:dyDescent="0.25">
      <c r="A606" t="s">
        <v>3222</v>
      </c>
      <c r="B606" t="s">
        <v>2647</v>
      </c>
      <c r="C606" t="s">
        <v>1187</v>
      </c>
      <c r="D606" t="s">
        <v>1219</v>
      </c>
      <c r="E606" t="s">
        <v>1249</v>
      </c>
      <c r="F606" t="s">
        <v>1227</v>
      </c>
      <c r="G606" t="s">
        <v>1228</v>
      </c>
      <c r="H606" t="s">
        <v>1325</v>
      </c>
      <c r="I606" t="s">
        <v>1754</v>
      </c>
    </row>
    <row r="607" spans="1:9" x14ac:dyDescent="0.25">
      <c r="A607" t="s">
        <v>4355</v>
      </c>
      <c r="B607" t="s">
        <v>4356</v>
      </c>
      <c r="C607" t="s">
        <v>1182</v>
      </c>
      <c r="D607" t="s">
        <v>1216</v>
      </c>
      <c r="E607" t="s">
        <v>1242</v>
      </c>
      <c r="F607" t="s">
        <v>1227</v>
      </c>
      <c r="G607" t="s">
        <v>1228</v>
      </c>
      <c r="H607" t="s">
        <v>1257</v>
      </c>
      <c r="I607" t="s">
        <v>2004</v>
      </c>
    </row>
    <row r="608" spans="1:9" x14ac:dyDescent="0.25">
      <c r="A608" t="s">
        <v>2824</v>
      </c>
      <c r="B608" t="s">
        <v>635</v>
      </c>
      <c r="C608" t="s">
        <v>1180</v>
      </c>
      <c r="E608" t="s">
        <v>1250</v>
      </c>
      <c r="F608" t="s">
        <v>1227</v>
      </c>
      <c r="G608" t="s">
        <v>1228</v>
      </c>
      <c r="H608" t="s">
        <v>1270</v>
      </c>
      <c r="I608" t="s">
        <v>1897</v>
      </c>
    </row>
    <row r="609" spans="1:9" x14ac:dyDescent="0.25">
      <c r="A609" t="s">
        <v>4476</v>
      </c>
      <c r="B609" t="s">
        <v>921</v>
      </c>
      <c r="C609" t="s">
        <v>1196</v>
      </c>
      <c r="D609" t="s">
        <v>56</v>
      </c>
      <c r="E609" t="s">
        <v>1242</v>
      </c>
      <c r="F609" t="s">
        <v>1227</v>
      </c>
      <c r="G609" t="s">
        <v>1228</v>
      </c>
      <c r="H609" t="s">
        <v>744</v>
      </c>
      <c r="I609" t="s">
        <v>2474</v>
      </c>
    </row>
    <row r="610" spans="1:9" x14ac:dyDescent="0.25">
      <c r="A610" t="s">
        <v>4461</v>
      </c>
      <c r="B610" t="s">
        <v>911</v>
      </c>
      <c r="C610" t="s">
        <v>1191</v>
      </c>
      <c r="D610" t="s">
        <v>84</v>
      </c>
      <c r="E610" t="s">
        <v>1269</v>
      </c>
      <c r="F610" t="s">
        <v>1227</v>
      </c>
      <c r="G610" t="s">
        <v>1228</v>
      </c>
      <c r="H610" t="s">
        <v>719</v>
      </c>
      <c r="I610" t="s">
        <v>2452</v>
      </c>
    </row>
    <row r="611" spans="1:9" x14ac:dyDescent="0.25">
      <c r="A611" t="s">
        <v>2540</v>
      </c>
      <c r="B611" t="s">
        <v>222</v>
      </c>
      <c r="C611" t="s">
        <v>1188</v>
      </c>
      <c r="D611" t="s">
        <v>1216</v>
      </c>
      <c r="E611" t="s">
        <v>1269</v>
      </c>
      <c r="F611" t="s">
        <v>1227</v>
      </c>
      <c r="G611" t="s">
        <v>1228</v>
      </c>
      <c r="H611" t="s">
        <v>1355</v>
      </c>
      <c r="I611" t="s">
        <v>2026</v>
      </c>
    </row>
    <row r="612" spans="1:9" x14ac:dyDescent="0.25">
      <c r="A612" t="s">
        <v>4155</v>
      </c>
      <c r="B612" t="s">
        <v>222</v>
      </c>
      <c r="C612" t="s">
        <v>1188</v>
      </c>
      <c r="D612" t="s">
        <v>1216</v>
      </c>
      <c r="E612" t="s">
        <v>1269</v>
      </c>
      <c r="F612" t="s">
        <v>1227</v>
      </c>
      <c r="G612" t="s">
        <v>1228</v>
      </c>
      <c r="H612" t="s">
        <v>1355</v>
      </c>
      <c r="I612" t="s">
        <v>2026</v>
      </c>
    </row>
    <row r="613" spans="1:9" x14ac:dyDescent="0.25">
      <c r="A613" t="s">
        <v>4468</v>
      </c>
      <c r="B613" t="s">
        <v>526</v>
      </c>
      <c r="C613" t="s">
        <v>1191</v>
      </c>
      <c r="D613" t="s">
        <v>1216</v>
      </c>
      <c r="E613" t="s">
        <v>1238</v>
      </c>
      <c r="F613" t="s">
        <v>1227</v>
      </c>
      <c r="G613" t="s">
        <v>1228</v>
      </c>
      <c r="H613" t="s">
        <v>597</v>
      </c>
      <c r="I613" t="s">
        <v>1712</v>
      </c>
    </row>
    <row r="614" spans="1:9" x14ac:dyDescent="0.25">
      <c r="A614" t="s">
        <v>2514</v>
      </c>
      <c r="B614" t="s">
        <v>54</v>
      </c>
      <c r="C614" t="s">
        <v>1189</v>
      </c>
      <c r="D614" t="s">
        <v>15</v>
      </c>
      <c r="E614" t="s">
        <v>1246</v>
      </c>
      <c r="F614" t="s">
        <v>1227</v>
      </c>
      <c r="G614" t="s">
        <v>1228</v>
      </c>
      <c r="H614" t="s">
        <v>81</v>
      </c>
      <c r="I614" t="s">
        <v>1668</v>
      </c>
    </row>
    <row r="615" spans="1:9" x14ac:dyDescent="0.25">
      <c r="A615" t="s">
        <v>4504</v>
      </c>
      <c r="B615" t="s">
        <v>2516</v>
      </c>
      <c r="C615" t="s">
        <v>1185</v>
      </c>
      <c r="D615" t="s">
        <v>84</v>
      </c>
      <c r="E615" t="s">
        <v>1246</v>
      </c>
      <c r="F615" t="s">
        <v>1227</v>
      </c>
      <c r="G615" t="s">
        <v>1228</v>
      </c>
      <c r="H615" t="s">
        <v>697</v>
      </c>
      <c r="I615" t="s">
        <v>1654</v>
      </c>
    </row>
    <row r="616" spans="1:9" x14ac:dyDescent="0.25">
      <c r="A616" t="s">
        <v>4505</v>
      </c>
      <c r="B616" t="s">
        <v>4506</v>
      </c>
      <c r="C616" t="s">
        <v>1185</v>
      </c>
      <c r="D616" t="s">
        <v>56</v>
      </c>
      <c r="E616" t="s">
        <v>1295</v>
      </c>
      <c r="F616" t="s">
        <v>1227</v>
      </c>
      <c r="G616" t="s">
        <v>1228</v>
      </c>
      <c r="H616" t="s">
        <v>1296</v>
      </c>
      <c r="I616" t="s">
        <v>1720</v>
      </c>
    </row>
    <row r="617" spans="1:9" x14ac:dyDescent="0.25">
      <c r="A617" t="s">
        <v>3221</v>
      </c>
      <c r="B617" t="s">
        <v>222</v>
      </c>
      <c r="C617" t="s">
        <v>1181</v>
      </c>
      <c r="D617" t="s">
        <v>1215</v>
      </c>
      <c r="E617" t="s">
        <v>1233</v>
      </c>
      <c r="F617" t="s">
        <v>1331</v>
      </c>
      <c r="G617" t="s">
        <v>900</v>
      </c>
      <c r="H617" t="s">
        <v>1429</v>
      </c>
      <c r="I617" t="s">
        <v>1888</v>
      </c>
    </row>
    <row r="618" spans="1:9" x14ac:dyDescent="0.25">
      <c r="A618" t="s">
        <v>3220</v>
      </c>
      <c r="B618" t="s">
        <v>222</v>
      </c>
      <c r="C618" t="s">
        <v>1181</v>
      </c>
      <c r="D618" t="s">
        <v>1215</v>
      </c>
      <c r="E618" t="s">
        <v>1233</v>
      </c>
      <c r="F618" t="s">
        <v>1331</v>
      </c>
      <c r="G618" t="s">
        <v>900</v>
      </c>
      <c r="H618" t="s">
        <v>1429</v>
      </c>
      <c r="I618" t="s">
        <v>1888</v>
      </c>
    </row>
    <row r="619" spans="1:9" x14ac:dyDescent="0.25">
      <c r="A619" t="s">
        <v>2696</v>
      </c>
      <c r="B619" t="s">
        <v>255</v>
      </c>
      <c r="C619" t="s">
        <v>1187</v>
      </c>
      <c r="D619" t="s">
        <v>15</v>
      </c>
      <c r="E619" t="s">
        <v>1327</v>
      </c>
      <c r="F619" t="s">
        <v>1331</v>
      </c>
      <c r="G619" t="s">
        <v>900</v>
      </c>
      <c r="H619" t="s">
        <v>448</v>
      </c>
      <c r="I619" t="s">
        <v>2481</v>
      </c>
    </row>
    <row r="620" spans="1:9" x14ac:dyDescent="0.25">
      <c r="A620" t="s">
        <v>3219</v>
      </c>
      <c r="B620" t="s">
        <v>373</v>
      </c>
      <c r="C620" t="s">
        <v>1182</v>
      </c>
      <c r="D620" t="s">
        <v>91</v>
      </c>
      <c r="E620" t="s">
        <v>1222</v>
      </c>
      <c r="F620" t="s">
        <v>1331</v>
      </c>
      <c r="G620" t="s">
        <v>900</v>
      </c>
      <c r="H620" t="s">
        <v>1576</v>
      </c>
      <c r="I620" t="s">
        <v>2347</v>
      </c>
    </row>
    <row r="621" spans="1:9" x14ac:dyDescent="0.25">
      <c r="A621" t="s">
        <v>3218</v>
      </c>
      <c r="B621" t="s">
        <v>3217</v>
      </c>
      <c r="C621" t="s">
        <v>1185</v>
      </c>
      <c r="D621" t="s">
        <v>62</v>
      </c>
      <c r="E621" t="s">
        <v>1242</v>
      </c>
      <c r="F621" t="s">
        <v>1331</v>
      </c>
      <c r="G621" t="s">
        <v>900</v>
      </c>
      <c r="H621" t="s">
        <v>1446</v>
      </c>
      <c r="I621" t="s">
        <v>2015</v>
      </c>
    </row>
    <row r="622" spans="1:9" x14ac:dyDescent="0.25">
      <c r="A622" t="s">
        <v>3216</v>
      </c>
      <c r="B622" t="s">
        <v>3217</v>
      </c>
      <c r="C622" t="s">
        <v>1185</v>
      </c>
      <c r="D622" t="s">
        <v>62</v>
      </c>
      <c r="E622" t="s">
        <v>1242</v>
      </c>
      <c r="F622" t="s">
        <v>1331</v>
      </c>
      <c r="G622" t="s">
        <v>900</v>
      </c>
      <c r="H622" t="s">
        <v>1446</v>
      </c>
      <c r="I622" t="s">
        <v>2015</v>
      </c>
    </row>
    <row r="623" spans="1:9" x14ac:dyDescent="0.25">
      <c r="A623" t="s">
        <v>4154</v>
      </c>
      <c r="B623" t="s">
        <v>459</v>
      </c>
      <c r="C623" t="s">
        <v>1207</v>
      </c>
      <c r="D623" t="s">
        <v>1215</v>
      </c>
      <c r="E623" t="s">
        <v>1249</v>
      </c>
      <c r="F623" t="s">
        <v>1331</v>
      </c>
      <c r="G623" t="s">
        <v>900</v>
      </c>
      <c r="H623" t="s">
        <v>1428</v>
      </c>
      <c r="I623" t="s">
        <v>1867</v>
      </c>
    </row>
    <row r="624" spans="1:9" x14ac:dyDescent="0.25">
      <c r="A624" t="s">
        <v>3215</v>
      </c>
      <c r="B624" t="s">
        <v>459</v>
      </c>
      <c r="C624" t="s">
        <v>1207</v>
      </c>
      <c r="D624" t="s">
        <v>1215</v>
      </c>
      <c r="E624" t="s">
        <v>1249</v>
      </c>
      <c r="F624" t="s">
        <v>1331</v>
      </c>
      <c r="G624" t="s">
        <v>900</v>
      </c>
      <c r="H624" t="s">
        <v>1428</v>
      </c>
      <c r="I624" t="s">
        <v>1867</v>
      </c>
    </row>
    <row r="625" spans="1:9" x14ac:dyDescent="0.25">
      <c r="A625" t="s">
        <v>3214</v>
      </c>
      <c r="B625" t="s">
        <v>592</v>
      </c>
      <c r="C625" t="s">
        <v>1180</v>
      </c>
      <c r="E625" t="s">
        <v>1250</v>
      </c>
      <c r="F625" t="s">
        <v>1331</v>
      </c>
      <c r="G625" t="s">
        <v>900</v>
      </c>
      <c r="H625" t="s">
        <v>1427</v>
      </c>
      <c r="I625" t="s">
        <v>1969</v>
      </c>
    </row>
    <row r="626" spans="1:9" x14ac:dyDescent="0.25">
      <c r="A626" t="s">
        <v>3213</v>
      </c>
      <c r="B626" t="s">
        <v>592</v>
      </c>
      <c r="C626" t="s">
        <v>1180</v>
      </c>
      <c r="E626" t="s">
        <v>1250</v>
      </c>
      <c r="F626" t="s">
        <v>1331</v>
      </c>
      <c r="G626" t="s">
        <v>900</v>
      </c>
      <c r="H626" t="s">
        <v>1427</v>
      </c>
      <c r="I626" t="s">
        <v>1969</v>
      </c>
    </row>
    <row r="627" spans="1:9" x14ac:dyDescent="0.25">
      <c r="A627" t="s">
        <v>4153</v>
      </c>
      <c r="B627" t="s">
        <v>631</v>
      </c>
      <c r="C627" t="s">
        <v>1180</v>
      </c>
      <c r="D627" t="s">
        <v>1215</v>
      </c>
      <c r="E627" t="s">
        <v>1231</v>
      </c>
      <c r="F627" t="s">
        <v>1331</v>
      </c>
      <c r="G627" t="s">
        <v>900</v>
      </c>
      <c r="H627" t="s">
        <v>1368</v>
      </c>
      <c r="I627" t="s">
        <v>1814</v>
      </c>
    </row>
    <row r="628" spans="1:9" x14ac:dyDescent="0.25">
      <c r="A628" t="s">
        <v>3939</v>
      </c>
      <c r="B628" t="s">
        <v>631</v>
      </c>
      <c r="C628" t="s">
        <v>1180</v>
      </c>
      <c r="D628" t="s">
        <v>1215</v>
      </c>
      <c r="E628" t="s">
        <v>1231</v>
      </c>
      <c r="F628" t="s">
        <v>1331</v>
      </c>
      <c r="G628" t="s">
        <v>900</v>
      </c>
      <c r="H628" t="s">
        <v>1368</v>
      </c>
      <c r="I628" t="s">
        <v>1814</v>
      </c>
    </row>
    <row r="629" spans="1:9" x14ac:dyDescent="0.25">
      <c r="A629" t="s">
        <v>4354</v>
      </c>
      <c r="B629" t="s">
        <v>725</v>
      </c>
      <c r="C629" t="s">
        <v>1210</v>
      </c>
      <c r="D629" t="s">
        <v>91</v>
      </c>
      <c r="E629" t="s">
        <v>1253</v>
      </c>
      <c r="F629" t="s">
        <v>1331</v>
      </c>
      <c r="G629" t="s">
        <v>900</v>
      </c>
      <c r="H629" t="s">
        <v>1628</v>
      </c>
      <c r="I629" t="s">
        <v>2475</v>
      </c>
    </row>
    <row r="630" spans="1:9" x14ac:dyDescent="0.25">
      <c r="A630" t="s">
        <v>4353</v>
      </c>
      <c r="B630" t="s">
        <v>725</v>
      </c>
      <c r="C630" t="s">
        <v>1190</v>
      </c>
      <c r="D630" t="s">
        <v>91</v>
      </c>
      <c r="E630" t="s">
        <v>1244</v>
      </c>
      <c r="F630" t="s">
        <v>1331</v>
      </c>
      <c r="G630" t="s">
        <v>900</v>
      </c>
      <c r="H630" t="s">
        <v>1634</v>
      </c>
      <c r="I630" t="s">
        <v>2490</v>
      </c>
    </row>
    <row r="631" spans="1:9" x14ac:dyDescent="0.25">
      <c r="A631" t="s">
        <v>4150</v>
      </c>
      <c r="B631" t="s">
        <v>4151</v>
      </c>
      <c r="C631" t="s">
        <v>1449</v>
      </c>
      <c r="D631" t="s">
        <v>21</v>
      </c>
      <c r="E631" t="s">
        <v>1226</v>
      </c>
      <c r="F631" t="s">
        <v>1473</v>
      </c>
      <c r="G631" t="s">
        <v>900</v>
      </c>
      <c r="H631" t="s">
        <v>2764</v>
      </c>
      <c r="I631" t="s">
        <v>2357</v>
      </c>
    </row>
    <row r="632" spans="1:9" x14ac:dyDescent="0.25">
      <c r="A632" t="s">
        <v>4152</v>
      </c>
      <c r="B632" t="s">
        <v>793</v>
      </c>
      <c r="C632" t="s">
        <v>1204</v>
      </c>
      <c r="D632" t="s">
        <v>1215</v>
      </c>
      <c r="E632" t="s">
        <v>1289</v>
      </c>
      <c r="F632" t="s">
        <v>1331</v>
      </c>
      <c r="G632" t="s">
        <v>900</v>
      </c>
      <c r="H632" t="s">
        <v>1426</v>
      </c>
      <c r="I632" t="s">
        <v>1967</v>
      </c>
    </row>
    <row r="633" spans="1:9" x14ac:dyDescent="0.25">
      <c r="A633" t="s">
        <v>3938</v>
      </c>
      <c r="B633" t="s">
        <v>793</v>
      </c>
      <c r="C633" t="s">
        <v>1204</v>
      </c>
      <c r="D633" t="s">
        <v>1215</v>
      </c>
      <c r="E633" t="s">
        <v>1289</v>
      </c>
      <c r="F633" t="s">
        <v>1331</v>
      </c>
      <c r="G633" t="s">
        <v>900</v>
      </c>
      <c r="H633" t="s">
        <v>1426</v>
      </c>
      <c r="I633" t="s">
        <v>1967</v>
      </c>
    </row>
    <row r="634" spans="1:9" x14ac:dyDescent="0.25">
      <c r="A634" t="s">
        <v>4349</v>
      </c>
      <c r="B634" t="s">
        <v>4350</v>
      </c>
      <c r="C634" t="s">
        <v>1184</v>
      </c>
      <c r="D634" t="s">
        <v>197</v>
      </c>
      <c r="E634" t="s">
        <v>1354</v>
      </c>
      <c r="F634" t="s">
        <v>1331</v>
      </c>
      <c r="G634" t="s">
        <v>910</v>
      </c>
      <c r="H634" t="s">
        <v>491</v>
      </c>
      <c r="I634" t="s">
        <v>4351</v>
      </c>
    </row>
    <row r="635" spans="1:9" x14ac:dyDescent="0.25">
      <c r="A635" t="s">
        <v>2759</v>
      </c>
      <c r="B635" t="s">
        <v>192</v>
      </c>
      <c r="C635" t="s">
        <v>1180</v>
      </c>
      <c r="E635" t="s">
        <v>1242</v>
      </c>
      <c r="F635" t="s">
        <v>1331</v>
      </c>
      <c r="G635" t="s">
        <v>910</v>
      </c>
      <c r="H635" t="s">
        <v>2760</v>
      </c>
      <c r="I635" t="s">
        <v>1999</v>
      </c>
    </row>
    <row r="636" spans="1:9" x14ac:dyDescent="0.25">
      <c r="A636" t="s">
        <v>2695</v>
      </c>
      <c r="B636" t="s">
        <v>479</v>
      </c>
      <c r="C636" t="s">
        <v>1180</v>
      </c>
      <c r="D636" t="s">
        <v>21</v>
      </c>
      <c r="E636" t="s">
        <v>1242</v>
      </c>
      <c r="F636" t="s">
        <v>1331</v>
      </c>
      <c r="G636" t="s">
        <v>910</v>
      </c>
      <c r="H636" t="s">
        <v>1407</v>
      </c>
      <c r="I636" t="s">
        <v>1924</v>
      </c>
    </row>
    <row r="637" spans="1:9" x14ac:dyDescent="0.25">
      <c r="A637" t="s">
        <v>4352</v>
      </c>
      <c r="B637" t="s">
        <v>4120</v>
      </c>
      <c r="C637" t="s">
        <v>1187</v>
      </c>
      <c r="D637" t="s">
        <v>84</v>
      </c>
      <c r="E637" t="s">
        <v>1354</v>
      </c>
      <c r="F637" t="s">
        <v>1331</v>
      </c>
      <c r="G637" t="s">
        <v>910</v>
      </c>
      <c r="H637" t="s">
        <v>37</v>
      </c>
      <c r="I637" t="s">
        <v>2491</v>
      </c>
    </row>
    <row r="638" spans="1:9" x14ac:dyDescent="0.25">
      <c r="A638" t="s">
        <v>4148</v>
      </c>
      <c r="B638" t="s">
        <v>749</v>
      </c>
      <c r="C638" t="s">
        <v>1180</v>
      </c>
      <c r="D638" t="s">
        <v>27</v>
      </c>
      <c r="E638" t="s">
        <v>1231</v>
      </c>
      <c r="F638" t="s">
        <v>1331</v>
      </c>
      <c r="G638" t="s">
        <v>910</v>
      </c>
      <c r="H638" t="s">
        <v>4149</v>
      </c>
      <c r="I638" t="s">
        <v>2358</v>
      </c>
    </row>
    <row r="639" spans="1:9" x14ac:dyDescent="0.25">
      <c r="A639" t="s">
        <v>3937</v>
      </c>
      <c r="B639" t="s">
        <v>1091</v>
      </c>
      <c r="C639" t="s">
        <v>1202</v>
      </c>
      <c r="D639" t="s">
        <v>1217</v>
      </c>
      <c r="E639" t="s">
        <v>1539</v>
      </c>
      <c r="F639" t="s">
        <v>1482</v>
      </c>
      <c r="G639" t="s">
        <v>1482</v>
      </c>
      <c r="H639" t="s">
        <v>1540</v>
      </c>
      <c r="I639" t="s">
        <v>2273</v>
      </c>
    </row>
    <row r="640" spans="1:9" x14ac:dyDescent="0.25">
      <c r="A640" t="s">
        <v>3935</v>
      </c>
      <c r="B640" t="s">
        <v>3936</v>
      </c>
      <c r="C640" t="s">
        <v>1205</v>
      </c>
      <c r="D640" t="s">
        <v>1217</v>
      </c>
      <c r="E640" t="s">
        <v>1317</v>
      </c>
      <c r="F640" t="s">
        <v>1482</v>
      </c>
      <c r="G640" t="s">
        <v>1482</v>
      </c>
      <c r="H640" t="s">
        <v>1541</v>
      </c>
      <c r="I640" t="s">
        <v>2274</v>
      </c>
    </row>
    <row r="641" spans="1:9" x14ac:dyDescent="0.25">
      <c r="A641" t="s">
        <v>3934</v>
      </c>
      <c r="B641" t="s">
        <v>1093</v>
      </c>
      <c r="C641" t="s">
        <v>1195</v>
      </c>
      <c r="E641" t="s">
        <v>1317</v>
      </c>
      <c r="F641" t="s">
        <v>1482</v>
      </c>
      <c r="G641" t="s">
        <v>1482</v>
      </c>
      <c r="H641" t="s">
        <v>1543</v>
      </c>
      <c r="I641" t="s">
        <v>2278</v>
      </c>
    </row>
    <row r="642" spans="1:9" x14ac:dyDescent="0.25">
      <c r="A642" t="s">
        <v>2967</v>
      </c>
      <c r="B642" t="s">
        <v>1094</v>
      </c>
      <c r="C642" t="s">
        <v>1544</v>
      </c>
      <c r="E642" t="s">
        <v>1233</v>
      </c>
      <c r="F642" t="s">
        <v>1482</v>
      </c>
      <c r="G642" t="s">
        <v>1482</v>
      </c>
      <c r="H642" t="s">
        <v>1545</v>
      </c>
      <c r="I642" t="s">
        <v>2279</v>
      </c>
    </row>
    <row r="643" spans="1:9" x14ac:dyDescent="0.25">
      <c r="A643" t="s">
        <v>3933</v>
      </c>
      <c r="B643" t="s">
        <v>407</v>
      </c>
      <c r="C643" t="s">
        <v>1199</v>
      </c>
      <c r="E643" t="s">
        <v>1414</v>
      </c>
      <c r="F643" t="s">
        <v>1482</v>
      </c>
      <c r="G643" t="s">
        <v>1482</v>
      </c>
      <c r="H643" t="s">
        <v>1546</v>
      </c>
      <c r="I643" t="s">
        <v>2280</v>
      </c>
    </row>
    <row r="644" spans="1:9" x14ac:dyDescent="0.25">
      <c r="A644" t="s">
        <v>3932</v>
      </c>
      <c r="B644" t="s">
        <v>2591</v>
      </c>
      <c r="C644" t="s">
        <v>1180</v>
      </c>
      <c r="D644" t="s">
        <v>1217</v>
      </c>
      <c r="E644" s="38" t="s">
        <v>4510</v>
      </c>
      <c r="F644" t="s">
        <v>1482</v>
      </c>
      <c r="G644" t="s">
        <v>1482</v>
      </c>
      <c r="H644" t="s">
        <v>1361</v>
      </c>
      <c r="I644" t="s">
        <v>2090</v>
      </c>
    </row>
    <row r="645" spans="1:9" x14ac:dyDescent="0.25">
      <c r="A645" t="s">
        <v>3930</v>
      </c>
      <c r="B645" t="s">
        <v>3931</v>
      </c>
      <c r="C645" t="s">
        <v>1574</v>
      </c>
      <c r="D645" t="s">
        <v>1215</v>
      </c>
      <c r="E645" t="s">
        <v>1575</v>
      </c>
      <c r="F645" t="s">
        <v>1482</v>
      </c>
      <c r="G645" t="s">
        <v>1482</v>
      </c>
      <c r="H645" t="s">
        <v>1415</v>
      </c>
      <c r="I645" t="s">
        <v>2346</v>
      </c>
    </row>
    <row r="646" spans="1:9" x14ac:dyDescent="0.25">
      <c r="A646" t="s">
        <v>2645</v>
      </c>
      <c r="B646" t="s">
        <v>4</v>
      </c>
      <c r="C646" t="s">
        <v>1193</v>
      </c>
      <c r="E646" t="s">
        <v>1440</v>
      </c>
      <c r="F646" t="s">
        <v>1331</v>
      </c>
      <c r="G646" t="s">
        <v>900</v>
      </c>
      <c r="H646" t="s">
        <v>697</v>
      </c>
      <c r="I646" t="s">
        <v>2001</v>
      </c>
    </row>
    <row r="647" spans="1:9" x14ac:dyDescent="0.25">
      <c r="A647" t="s">
        <v>2758</v>
      </c>
      <c r="B647" t="s">
        <v>114</v>
      </c>
      <c r="C647" t="s">
        <v>1181</v>
      </c>
      <c r="D647" t="s">
        <v>27</v>
      </c>
      <c r="E647" t="s">
        <v>1289</v>
      </c>
      <c r="F647" t="s">
        <v>1331</v>
      </c>
      <c r="G647" t="s">
        <v>900</v>
      </c>
      <c r="H647" t="s">
        <v>327</v>
      </c>
      <c r="I647" t="s">
        <v>1805</v>
      </c>
    </row>
    <row r="648" spans="1:9" x14ac:dyDescent="0.25">
      <c r="A648" t="s">
        <v>2965</v>
      </c>
      <c r="B648" t="s">
        <v>2966</v>
      </c>
      <c r="C648" t="s">
        <v>1181</v>
      </c>
      <c r="D648" t="s">
        <v>56</v>
      </c>
      <c r="E648" t="s">
        <v>1310</v>
      </c>
      <c r="F648" t="s">
        <v>1331</v>
      </c>
      <c r="G648" t="s">
        <v>900</v>
      </c>
      <c r="H648" t="s">
        <v>1353</v>
      </c>
      <c r="I648" t="s">
        <v>1786</v>
      </c>
    </row>
    <row r="649" spans="1:9" x14ac:dyDescent="0.25">
      <c r="A649" t="s">
        <v>2823</v>
      </c>
      <c r="B649" t="s">
        <v>245</v>
      </c>
      <c r="C649" t="s">
        <v>1180</v>
      </c>
      <c r="D649" t="s">
        <v>27</v>
      </c>
      <c r="E649" t="s">
        <v>1226</v>
      </c>
      <c r="F649" t="s">
        <v>1331</v>
      </c>
      <c r="G649" t="s">
        <v>900</v>
      </c>
      <c r="H649" t="s">
        <v>278</v>
      </c>
      <c r="I649" t="s">
        <v>1972</v>
      </c>
    </row>
    <row r="650" spans="1:9" x14ac:dyDescent="0.25">
      <c r="A650" t="s">
        <v>2964</v>
      </c>
      <c r="B650" t="s">
        <v>290</v>
      </c>
      <c r="C650" t="s">
        <v>1181</v>
      </c>
      <c r="D650" t="s">
        <v>56</v>
      </c>
      <c r="E650" t="s">
        <v>1235</v>
      </c>
      <c r="F650" t="s">
        <v>1331</v>
      </c>
      <c r="G650" t="s">
        <v>900</v>
      </c>
      <c r="H650" t="s">
        <v>257</v>
      </c>
      <c r="I650" t="s">
        <v>1776</v>
      </c>
    </row>
    <row r="651" spans="1:9" x14ac:dyDescent="0.25">
      <c r="A651" t="s">
        <v>2963</v>
      </c>
      <c r="B651" t="s">
        <v>2777</v>
      </c>
      <c r="C651" t="s">
        <v>1187</v>
      </c>
      <c r="D651" t="s">
        <v>84</v>
      </c>
      <c r="E651" t="s">
        <v>1224</v>
      </c>
      <c r="F651" t="s">
        <v>1331</v>
      </c>
      <c r="G651" t="s">
        <v>900</v>
      </c>
      <c r="H651" t="s">
        <v>321</v>
      </c>
      <c r="I651" t="s">
        <v>1782</v>
      </c>
    </row>
    <row r="652" spans="1:9" x14ac:dyDescent="0.25">
      <c r="A652" t="s">
        <v>2822</v>
      </c>
      <c r="B652" t="s">
        <v>342</v>
      </c>
      <c r="C652" t="s">
        <v>1192</v>
      </c>
      <c r="D652" t="s">
        <v>84</v>
      </c>
      <c r="E652" t="s">
        <v>1310</v>
      </c>
      <c r="F652" t="s">
        <v>1331</v>
      </c>
      <c r="G652" t="s">
        <v>900</v>
      </c>
      <c r="H652" t="s">
        <v>1444</v>
      </c>
      <c r="I652" t="s">
        <v>304</v>
      </c>
    </row>
    <row r="653" spans="1:9" x14ac:dyDescent="0.25">
      <c r="A653" t="s">
        <v>2962</v>
      </c>
      <c r="B653" t="s">
        <v>378</v>
      </c>
      <c r="C653" t="s">
        <v>1187</v>
      </c>
      <c r="D653" t="s">
        <v>318</v>
      </c>
      <c r="E653" t="s">
        <v>1282</v>
      </c>
      <c r="F653" t="s">
        <v>1331</v>
      </c>
      <c r="G653" t="s">
        <v>900</v>
      </c>
      <c r="H653" t="s">
        <v>17</v>
      </c>
      <c r="I653" t="s">
        <v>1789</v>
      </c>
    </row>
    <row r="654" spans="1:9" x14ac:dyDescent="0.25">
      <c r="A654" t="s">
        <v>2960</v>
      </c>
      <c r="B654" t="s">
        <v>432</v>
      </c>
      <c r="C654" t="s">
        <v>1180</v>
      </c>
      <c r="D654" t="s">
        <v>27</v>
      </c>
      <c r="E654" t="s">
        <v>1242</v>
      </c>
      <c r="F654" t="s">
        <v>1331</v>
      </c>
      <c r="G654" t="s">
        <v>900</v>
      </c>
      <c r="H654" t="s">
        <v>494</v>
      </c>
      <c r="I654" t="s">
        <v>1905</v>
      </c>
    </row>
    <row r="655" spans="1:9" x14ac:dyDescent="0.25">
      <c r="A655" t="s">
        <v>3929</v>
      </c>
      <c r="B655" t="s">
        <v>459</v>
      </c>
      <c r="C655" t="s">
        <v>1207</v>
      </c>
      <c r="D655" t="s">
        <v>1215</v>
      </c>
      <c r="E655" t="s">
        <v>1249</v>
      </c>
      <c r="F655" t="s">
        <v>1331</v>
      </c>
      <c r="G655" t="s">
        <v>900</v>
      </c>
      <c r="H655" t="s">
        <v>1388</v>
      </c>
      <c r="I655" t="s">
        <v>1867</v>
      </c>
    </row>
    <row r="656" spans="1:9" x14ac:dyDescent="0.25">
      <c r="A656" t="s">
        <v>3923</v>
      </c>
      <c r="B656" t="s">
        <v>572</v>
      </c>
      <c r="C656" t="s">
        <v>1181</v>
      </c>
      <c r="D656" t="s">
        <v>27</v>
      </c>
      <c r="E656" t="s">
        <v>1224</v>
      </c>
      <c r="F656" t="s">
        <v>1331</v>
      </c>
      <c r="G656" t="s">
        <v>900</v>
      </c>
      <c r="H656" t="s">
        <v>483</v>
      </c>
      <c r="I656" t="s">
        <v>2029</v>
      </c>
    </row>
    <row r="657" spans="1:9" x14ac:dyDescent="0.25">
      <c r="A657" t="s">
        <v>2961</v>
      </c>
      <c r="B657" t="s">
        <v>592</v>
      </c>
      <c r="C657" t="s">
        <v>1204</v>
      </c>
      <c r="E657" t="s">
        <v>1249</v>
      </c>
      <c r="F657" t="s">
        <v>1331</v>
      </c>
      <c r="G657" t="s">
        <v>900</v>
      </c>
      <c r="H657" t="s">
        <v>1627</v>
      </c>
      <c r="I657" t="s">
        <v>2471</v>
      </c>
    </row>
    <row r="658" spans="1:9" x14ac:dyDescent="0.25">
      <c r="A658" t="s">
        <v>3928</v>
      </c>
      <c r="B658" t="s">
        <v>631</v>
      </c>
      <c r="C658" t="s">
        <v>1180</v>
      </c>
      <c r="D658" t="s">
        <v>942</v>
      </c>
      <c r="E658" t="s">
        <v>1231</v>
      </c>
      <c r="F658" t="s">
        <v>1331</v>
      </c>
      <c r="G658" t="s">
        <v>900</v>
      </c>
      <c r="H658" t="s">
        <v>1517</v>
      </c>
      <c r="I658" t="s">
        <v>2210</v>
      </c>
    </row>
    <row r="659" spans="1:9" x14ac:dyDescent="0.25">
      <c r="A659" t="s">
        <v>3927</v>
      </c>
      <c r="B659" t="s">
        <v>645</v>
      </c>
      <c r="C659" t="s">
        <v>1180</v>
      </c>
      <c r="D659" t="s">
        <v>56</v>
      </c>
      <c r="E659" t="s">
        <v>1249</v>
      </c>
      <c r="F659" t="s">
        <v>1331</v>
      </c>
      <c r="G659" t="s">
        <v>900</v>
      </c>
      <c r="H659" t="s">
        <v>1370</v>
      </c>
      <c r="I659" t="s">
        <v>1818</v>
      </c>
    </row>
    <row r="660" spans="1:9" x14ac:dyDescent="0.25">
      <c r="A660" t="s">
        <v>3926</v>
      </c>
      <c r="B660" t="s">
        <v>655</v>
      </c>
      <c r="C660" t="s">
        <v>1182</v>
      </c>
      <c r="D660" t="s">
        <v>1215</v>
      </c>
      <c r="E660" t="s">
        <v>1224</v>
      </c>
      <c r="F660" t="s">
        <v>1331</v>
      </c>
      <c r="G660" t="s">
        <v>900</v>
      </c>
      <c r="H660" t="s">
        <v>1401</v>
      </c>
      <c r="I660" t="s">
        <v>1946</v>
      </c>
    </row>
    <row r="661" spans="1:9" x14ac:dyDescent="0.25">
      <c r="A661" t="s">
        <v>2694</v>
      </c>
      <c r="B661" t="s">
        <v>678</v>
      </c>
      <c r="C661" t="s">
        <v>1183</v>
      </c>
      <c r="D661" t="s">
        <v>318</v>
      </c>
      <c r="E661" t="s">
        <v>1233</v>
      </c>
      <c r="F661" t="s">
        <v>1331</v>
      </c>
      <c r="G661" t="s">
        <v>900</v>
      </c>
      <c r="H661" t="s">
        <v>1373</v>
      </c>
      <c r="I661" t="s">
        <v>1831</v>
      </c>
    </row>
    <row r="662" spans="1:9" x14ac:dyDescent="0.25">
      <c r="A662" t="s">
        <v>2821</v>
      </c>
      <c r="B662" t="s">
        <v>725</v>
      </c>
      <c r="C662" t="s">
        <v>1210</v>
      </c>
      <c r="D662" t="s">
        <v>91</v>
      </c>
      <c r="E662" t="s">
        <v>1253</v>
      </c>
      <c r="F662" t="s">
        <v>1331</v>
      </c>
      <c r="G662" t="s">
        <v>900</v>
      </c>
      <c r="H662" t="s">
        <v>37</v>
      </c>
      <c r="I662" t="s">
        <v>1904</v>
      </c>
    </row>
    <row r="663" spans="1:9" x14ac:dyDescent="0.25">
      <c r="A663" t="s">
        <v>2757</v>
      </c>
      <c r="B663" t="s">
        <v>62</v>
      </c>
      <c r="C663" t="s">
        <v>1191</v>
      </c>
      <c r="D663" t="s">
        <v>91</v>
      </c>
      <c r="E663" t="s">
        <v>1249</v>
      </c>
      <c r="F663" t="s">
        <v>1331</v>
      </c>
      <c r="G663" t="s">
        <v>900</v>
      </c>
      <c r="H663" t="s">
        <v>1285</v>
      </c>
      <c r="I663" t="s">
        <v>2025</v>
      </c>
    </row>
    <row r="664" spans="1:9" x14ac:dyDescent="0.25">
      <c r="A664" t="s">
        <v>2819</v>
      </c>
      <c r="B664" t="s">
        <v>1119</v>
      </c>
      <c r="C664" t="s">
        <v>1195</v>
      </c>
      <c r="D664" t="s">
        <v>1559</v>
      </c>
      <c r="E664" t="s">
        <v>1269</v>
      </c>
      <c r="F664" t="s">
        <v>1331</v>
      </c>
      <c r="G664" t="s">
        <v>900</v>
      </c>
      <c r="H664" t="s">
        <v>2820</v>
      </c>
      <c r="I664" t="s">
        <v>2300</v>
      </c>
    </row>
    <row r="665" spans="1:9" x14ac:dyDescent="0.25">
      <c r="A665" t="s">
        <v>3924</v>
      </c>
      <c r="B665" t="s">
        <v>3925</v>
      </c>
      <c r="C665" t="s">
        <v>1181</v>
      </c>
      <c r="D665" t="s">
        <v>56</v>
      </c>
      <c r="E665" t="s">
        <v>1233</v>
      </c>
      <c r="F665" t="s">
        <v>1331</v>
      </c>
      <c r="G665" t="s">
        <v>900</v>
      </c>
      <c r="H665" t="s">
        <v>2760</v>
      </c>
      <c r="I665" t="s">
        <v>1903</v>
      </c>
    </row>
    <row r="666" spans="1:9" x14ac:dyDescent="0.25">
      <c r="A666" t="s">
        <v>1056</v>
      </c>
      <c r="B666" t="s">
        <v>526</v>
      </c>
      <c r="C666" t="s">
        <v>1181</v>
      </c>
      <c r="D666" t="s">
        <v>1217</v>
      </c>
      <c r="E666" t="s">
        <v>1238</v>
      </c>
      <c r="F666" t="s">
        <v>1473</v>
      </c>
      <c r="G666" t="s">
        <v>900</v>
      </c>
      <c r="H666" t="s">
        <v>2760</v>
      </c>
      <c r="I666" t="s">
        <v>2234</v>
      </c>
    </row>
    <row r="667" spans="1:9" x14ac:dyDescent="0.25">
      <c r="A667" t="s">
        <v>3253</v>
      </c>
      <c r="B667" t="s">
        <v>655</v>
      </c>
      <c r="C667" t="s">
        <v>1182</v>
      </c>
      <c r="D667" t="s">
        <v>318</v>
      </c>
      <c r="E667" t="s">
        <v>1224</v>
      </c>
      <c r="F667" t="s">
        <v>1331</v>
      </c>
      <c r="G667" t="s">
        <v>900</v>
      </c>
      <c r="H667" t="s">
        <v>1413</v>
      </c>
      <c r="I667" t="s">
        <v>1908</v>
      </c>
    </row>
    <row r="668" spans="1:9" x14ac:dyDescent="0.25">
      <c r="A668" t="s">
        <v>4348</v>
      </c>
      <c r="B668" t="s">
        <v>61</v>
      </c>
      <c r="C668" t="s">
        <v>1180</v>
      </c>
      <c r="D668" t="s">
        <v>1215</v>
      </c>
      <c r="E668" t="s">
        <v>1250</v>
      </c>
      <c r="F668" t="s">
        <v>1331</v>
      </c>
      <c r="G668" t="s">
        <v>910</v>
      </c>
      <c r="H668" t="s">
        <v>607</v>
      </c>
      <c r="I668" t="s">
        <v>2482</v>
      </c>
    </row>
    <row r="669" spans="1:9" x14ac:dyDescent="0.25">
      <c r="A669" t="s">
        <v>2959</v>
      </c>
      <c r="B669" t="s">
        <v>678</v>
      </c>
      <c r="C669" t="s">
        <v>1180</v>
      </c>
      <c r="D669" t="s">
        <v>1215</v>
      </c>
      <c r="E669" t="s">
        <v>1250</v>
      </c>
      <c r="F669" t="s">
        <v>1331</v>
      </c>
      <c r="G669" t="s">
        <v>910</v>
      </c>
      <c r="H669" t="s">
        <v>388</v>
      </c>
      <c r="I669" t="s">
        <v>1762</v>
      </c>
    </row>
    <row r="670" spans="1:9" x14ac:dyDescent="0.25">
      <c r="A670" t="s">
        <v>3252</v>
      </c>
      <c r="B670" t="s">
        <v>592</v>
      </c>
      <c r="C670" t="s">
        <v>1197</v>
      </c>
      <c r="D670" t="s">
        <v>21</v>
      </c>
      <c r="E670" t="s">
        <v>1271</v>
      </c>
      <c r="F670" t="s">
        <v>1473</v>
      </c>
      <c r="G670" t="s">
        <v>910</v>
      </c>
      <c r="H670" t="s">
        <v>105</v>
      </c>
      <c r="I670" t="s">
        <v>2200</v>
      </c>
    </row>
    <row r="671" spans="1:9" x14ac:dyDescent="0.25">
      <c r="A671" t="s">
        <v>3251</v>
      </c>
      <c r="B671" t="s">
        <v>62</v>
      </c>
      <c r="C671" t="s">
        <v>1180</v>
      </c>
      <c r="D671" t="s">
        <v>56</v>
      </c>
      <c r="E671" t="s">
        <v>1249</v>
      </c>
      <c r="F671" t="s">
        <v>1473</v>
      </c>
      <c r="G671" t="s">
        <v>910</v>
      </c>
      <c r="H671" t="s">
        <v>1474</v>
      </c>
      <c r="I671" t="s">
        <v>2079</v>
      </c>
    </row>
    <row r="672" spans="1:9" x14ac:dyDescent="0.25">
      <c r="A672" t="s">
        <v>3250</v>
      </c>
      <c r="B672" t="s">
        <v>863</v>
      </c>
      <c r="C672" t="s">
        <v>1180</v>
      </c>
      <c r="D672" t="s">
        <v>56</v>
      </c>
      <c r="E672" t="s">
        <v>1246</v>
      </c>
      <c r="F672" t="s">
        <v>1473</v>
      </c>
      <c r="G672" t="s">
        <v>910</v>
      </c>
      <c r="H672" t="s">
        <v>2760</v>
      </c>
      <c r="I672" t="s">
        <v>2298</v>
      </c>
    </row>
    <row r="673" spans="1:9" x14ac:dyDescent="0.25">
      <c r="A673" t="s">
        <v>2958</v>
      </c>
      <c r="B673" t="s">
        <v>933</v>
      </c>
      <c r="C673" t="s">
        <v>1183</v>
      </c>
      <c r="D673" t="s">
        <v>91</v>
      </c>
      <c r="E673" t="s">
        <v>1247</v>
      </c>
      <c r="F673" t="s">
        <v>1331</v>
      </c>
      <c r="G673" t="s">
        <v>910</v>
      </c>
      <c r="H673" t="s">
        <v>1262</v>
      </c>
      <c r="I673" t="s">
        <v>1787</v>
      </c>
    </row>
    <row r="674" spans="1:9" x14ac:dyDescent="0.25">
      <c r="A674" t="s">
        <v>2693</v>
      </c>
      <c r="B674" t="s">
        <v>592</v>
      </c>
      <c r="C674" t="s">
        <v>1186</v>
      </c>
      <c r="D674" t="s">
        <v>1215</v>
      </c>
      <c r="F674" t="s">
        <v>1331</v>
      </c>
      <c r="G674" t="s">
        <v>910</v>
      </c>
      <c r="H674" t="s">
        <v>380</v>
      </c>
      <c r="I674" t="s">
        <v>1947</v>
      </c>
    </row>
    <row r="675" spans="1:9" x14ac:dyDescent="0.25">
      <c r="A675" t="s">
        <v>3246</v>
      </c>
      <c r="B675" t="s">
        <v>624</v>
      </c>
      <c r="E675" t="s">
        <v>4511</v>
      </c>
      <c r="G675" t="s">
        <v>910</v>
      </c>
      <c r="H675" t="s">
        <v>3150</v>
      </c>
      <c r="I675" t="s">
        <v>3247</v>
      </c>
    </row>
    <row r="676" spans="1:9" x14ac:dyDescent="0.25">
      <c r="A676" t="s">
        <v>2957</v>
      </c>
      <c r="B676" t="s">
        <v>934</v>
      </c>
      <c r="C676" t="s">
        <v>1202</v>
      </c>
      <c r="D676" t="s">
        <v>1215</v>
      </c>
      <c r="E676" t="s">
        <v>1289</v>
      </c>
      <c r="F676" t="s">
        <v>1331</v>
      </c>
      <c r="G676" t="s">
        <v>910</v>
      </c>
      <c r="H676" t="s">
        <v>681</v>
      </c>
      <c r="I676" t="s">
        <v>1788</v>
      </c>
    </row>
    <row r="677" spans="1:9" x14ac:dyDescent="0.25">
      <c r="A677" t="s">
        <v>3249</v>
      </c>
      <c r="B677" t="s">
        <v>678</v>
      </c>
      <c r="C677" t="s">
        <v>1191</v>
      </c>
      <c r="D677" t="s">
        <v>1215</v>
      </c>
      <c r="F677" t="s">
        <v>1331</v>
      </c>
      <c r="G677" t="s">
        <v>910</v>
      </c>
      <c r="H677" t="s">
        <v>1369</v>
      </c>
      <c r="I677" t="s">
        <v>1899</v>
      </c>
    </row>
    <row r="678" spans="1:9" x14ac:dyDescent="0.25">
      <c r="A678" t="s">
        <v>3234</v>
      </c>
      <c r="B678" t="s">
        <v>1028</v>
      </c>
      <c r="C678" t="s">
        <v>1181</v>
      </c>
      <c r="D678" t="s">
        <v>56</v>
      </c>
      <c r="E678" t="s">
        <v>1250</v>
      </c>
      <c r="F678" t="s">
        <v>1473</v>
      </c>
      <c r="G678" t="s">
        <v>910</v>
      </c>
      <c r="H678" t="s">
        <v>462</v>
      </c>
      <c r="I678" t="s">
        <v>2183</v>
      </c>
    </row>
    <row r="679" spans="1:9" x14ac:dyDescent="0.25">
      <c r="A679" t="s">
        <v>3232</v>
      </c>
      <c r="B679" t="s">
        <v>3233</v>
      </c>
      <c r="C679" t="s">
        <v>1195</v>
      </c>
      <c r="D679" t="s">
        <v>56</v>
      </c>
      <c r="E679" t="s">
        <v>1288</v>
      </c>
      <c r="F679" t="s">
        <v>1473</v>
      </c>
      <c r="G679" t="s">
        <v>910</v>
      </c>
      <c r="H679" t="s">
        <v>163</v>
      </c>
      <c r="I679" t="s">
        <v>2176</v>
      </c>
    </row>
    <row r="680" spans="1:9" x14ac:dyDescent="0.25">
      <c r="A680" t="s">
        <v>3922</v>
      </c>
      <c r="B680" t="s">
        <v>216</v>
      </c>
      <c r="C680" t="s">
        <v>1180</v>
      </c>
      <c r="D680" t="s">
        <v>56</v>
      </c>
      <c r="F680" t="s">
        <v>1473</v>
      </c>
      <c r="G680" t="s">
        <v>910</v>
      </c>
      <c r="H680" t="s">
        <v>562</v>
      </c>
      <c r="I680" t="s">
        <v>2179</v>
      </c>
    </row>
    <row r="681" spans="1:9" x14ac:dyDescent="0.25">
      <c r="A681" t="s">
        <v>3921</v>
      </c>
      <c r="B681" t="s">
        <v>432</v>
      </c>
      <c r="C681" t="s">
        <v>1181</v>
      </c>
      <c r="D681" t="s">
        <v>91</v>
      </c>
      <c r="E681" t="s">
        <v>1247</v>
      </c>
      <c r="F681" t="s">
        <v>1473</v>
      </c>
      <c r="G681" t="s">
        <v>910</v>
      </c>
      <c r="H681" t="s">
        <v>96</v>
      </c>
      <c r="I681" t="s">
        <v>2180</v>
      </c>
    </row>
    <row r="682" spans="1:9" x14ac:dyDescent="0.25">
      <c r="A682" t="s">
        <v>3920</v>
      </c>
      <c r="B682" t="s">
        <v>572</v>
      </c>
      <c r="C682" t="s">
        <v>1181</v>
      </c>
      <c r="D682" t="s">
        <v>27</v>
      </c>
      <c r="E682" t="s">
        <v>1238</v>
      </c>
      <c r="F682" t="s">
        <v>1473</v>
      </c>
      <c r="G682" t="s">
        <v>910</v>
      </c>
      <c r="H682" t="s">
        <v>2623</v>
      </c>
      <c r="I682" t="s">
        <v>2181</v>
      </c>
    </row>
    <row r="683" spans="1:9" x14ac:dyDescent="0.25">
      <c r="A683" t="s">
        <v>3243</v>
      </c>
      <c r="B683" t="s">
        <v>3244</v>
      </c>
      <c r="C683" t="s">
        <v>1449</v>
      </c>
      <c r="D683" t="s">
        <v>21</v>
      </c>
      <c r="E683" t="s">
        <v>1226</v>
      </c>
      <c r="F683" t="s">
        <v>1473</v>
      </c>
      <c r="G683" t="s">
        <v>910</v>
      </c>
      <c r="H683" t="s">
        <v>356</v>
      </c>
      <c r="I683" t="s">
        <v>3245</v>
      </c>
    </row>
    <row r="684" spans="1:9" x14ac:dyDescent="0.25">
      <c r="A684" t="s">
        <v>3918</v>
      </c>
      <c r="B684" t="s">
        <v>624</v>
      </c>
      <c r="C684" t="s">
        <v>1195</v>
      </c>
      <c r="D684" t="s">
        <v>27</v>
      </c>
      <c r="E684" t="s">
        <v>1233</v>
      </c>
      <c r="F684" t="s">
        <v>1473</v>
      </c>
      <c r="G684" t="s">
        <v>910</v>
      </c>
      <c r="H684" t="s">
        <v>3919</v>
      </c>
      <c r="I684" t="s">
        <v>2182</v>
      </c>
    </row>
    <row r="685" spans="1:9" x14ac:dyDescent="0.25">
      <c r="A685" t="s">
        <v>3241</v>
      </c>
      <c r="B685" t="s">
        <v>3242</v>
      </c>
      <c r="C685" t="s">
        <v>1449</v>
      </c>
      <c r="D685" t="s">
        <v>27</v>
      </c>
      <c r="E685" t="s">
        <v>1354</v>
      </c>
      <c r="F685" t="s">
        <v>1473</v>
      </c>
      <c r="G685" t="s">
        <v>910</v>
      </c>
      <c r="H685" t="s">
        <v>1510</v>
      </c>
      <c r="I685" t="s">
        <v>2175</v>
      </c>
    </row>
    <row r="686" spans="1:9" x14ac:dyDescent="0.25">
      <c r="A686" t="s">
        <v>3240</v>
      </c>
      <c r="B686" t="s">
        <v>635</v>
      </c>
      <c r="C686" t="s">
        <v>1180</v>
      </c>
      <c r="D686" t="s">
        <v>56</v>
      </c>
      <c r="E686" t="s">
        <v>1233</v>
      </c>
      <c r="F686" t="s">
        <v>1473</v>
      </c>
      <c r="G686" t="s">
        <v>910</v>
      </c>
      <c r="H686" t="s">
        <v>100</v>
      </c>
      <c r="I686" t="s">
        <v>2177</v>
      </c>
    </row>
    <row r="687" spans="1:9" x14ac:dyDescent="0.25">
      <c r="A687" t="s">
        <v>3238</v>
      </c>
      <c r="B687" t="s">
        <v>3239</v>
      </c>
      <c r="C687" t="s">
        <v>1195</v>
      </c>
      <c r="D687" t="s">
        <v>21</v>
      </c>
      <c r="E687" t="s">
        <v>1247</v>
      </c>
      <c r="F687" t="s">
        <v>1473</v>
      </c>
      <c r="G687" t="s">
        <v>910</v>
      </c>
      <c r="H687" t="s">
        <v>562</v>
      </c>
      <c r="I687" t="s">
        <v>2174</v>
      </c>
    </row>
    <row r="688" spans="1:9" x14ac:dyDescent="0.25">
      <c r="A688" t="s">
        <v>3237</v>
      </c>
      <c r="B688" t="s">
        <v>944</v>
      </c>
      <c r="C688" t="s">
        <v>1180</v>
      </c>
      <c r="D688" t="s">
        <v>91</v>
      </c>
      <c r="E688" t="s">
        <v>1288</v>
      </c>
      <c r="F688" t="s">
        <v>1473</v>
      </c>
      <c r="G688" t="s">
        <v>910</v>
      </c>
      <c r="H688" t="s">
        <v>1422</v>
      </c>
      <c r="I688" t="s">
        <v>2178</v>
      </c>
    </row>
    <row r="689" spans="1:9" x14ac:dyDescent="0.25">
      <c r="A689" t="s">
        <v>3235</v>
      </c>
      <c r="B689" t="s">
        <v>3236</v>
      </c>
      <c r="C689" t="s">
        <v>1449</v>
      </c>
      <c r="D689" t="s">
        <v>27</v>
      </c>
      <c r="E689" t="s">
        <v>1249</v>
      </c>
      <c r="F689" t="s">
        <v>1473</v>
      </c>
      <c r="G689" t="s">
        <v>910</v>
      </c>
      <c r="H689" t="s">
        <v>497</v>
      </c>
      <c r="I689" t="s">
        <v>2173</v>
      </c>
    </row>
    <row r="690" spans="1:9" x14ac:dyDescent="0.25">
      <c r="A690" t="s">
        <v>3248</v>
      </c>
      <c r="B690" t="s">
        <v>27</v>
      </c>
      <c r="C690" t="s">
        <v>1183</v>
      </c>
      <c r="D690" t="s">
        <v>1215</v>
      </c>
      <c r="E690" t="s">
        <v>1252</v>
      </c>
      <c r="F690" t="s">
        <v>1331</v>
      </c>
      <c r="G690" t="s">
        <v>910</v>
      </c>
      <c r="H690" t="s">
        <v>442</v>
      </c>
      <c r="I690" t="s">
        <v>1945</v>
      </c>
    </row>
    <row r="691" spans="1:9" x14ac:dyDescent="0.25">
      <c r="A691" t="s">
        <v>2956</v>
      </c>
      <c r="B691" t="s">
        <v>856</v>
      </c>
      <c r="C691" t="s">
        <v>1521</v>
      </c>
      <c r="F691" t="s">
        <v>1221</v>
      </c>
      <c r="G691" t="s">
        <v>900</v>
      </c>
      <c r="H691" t="s">
        <v>1258</v>
      </c>
      <c r="I691" t="s">
        <v>2230</v>
      </c>
    </row>
    <row r="692" spans="1:9" x14ac:dyDescent="0.25">
      <c r="A692" t="s">
        <v>2818</v>
      </c>
      <c r="B692" t="s">
        <v>245</v>
      </c>
      <c r="C692" t="s">
        <v>1212</v>
      </c>
      <c r="E692" t="s">
        <v>1220</v>
      </c>
      <c r="F692" t="s">
        <v>1333</v>
      </c>
      <c r="G692" t="s">
        <v>900</v>
      </c>
      <c r="H692" t="s">
        <v>1404</v>
      </c>
      <c r="I692" t="s">
        <v>1922</v>
      </c>
    </row>
    <row r="693" spans="1:9" x14ac:dyDescent="0.25">
      <c r="A693" t="s">
        <v>2955</v>
      </c>
      <c r="B693" t="s">
        <v>378</v>
      </c>
      <c r="C693" t="s">
        <v>1187</v>
      </c>
      <c r="E693" t="s">
        <v>1393</v>
      </c>
      <c r="F693" t="s">
        <v>1333</v>
      </c>
      <c r="G693" t="s">
        <v>900</v>
      </c>
      <c r="H693" t="s">
        <v>1394</v>
      </c>
      <c r="I693" t="s">
        <v>1885</v>
      </c>
    </row>
    <row r="694" spans="1:9" x14ac:dyDescent="0.25">
      <c r="A694" t="s">
        <v>2817</v>
      </c>
      <c r="B694" t="s">
        <v>441</v>
      </c>
      <c r="C694" t="s">
        <v>1180</v>
      </c>
      <c r="E694" t="s">
        <v>1288</v>
      </c>
      <c r="F694" t="s">
        <v>1333</v>
      </c>
      <c r="G694" t="s">
        <v>900</v>
      </c>
      <c r="H694" t="s">
        <v>1368</v>
      </c>
      <c r="I694" t="s">
        <v>2335</v>
      </c>
    </row>
    <row r="695" spans="1:9" x14ac:dyDescent="0.25">
      <c r="A695" t="s">
        <v>2816</v>
      </c>
      <c r="B695" t="s">
        <v>741</v>
      </c>
      <c r="C695" t="s">
        <v>1180</v>
      </c>
      <c r="E695" t="s">
        <v>1250</v>
      </c>
      <c r="F695" t="s">
        <v>1333</v>
      </c>
      <c r="G695" t="s">
        <v>900</v>
      </c>
      <c r="H695" t="s">
        <v>92</v>
      </c>
      <c r="I695" t="s">
        <v>543</v>
      </c>
    </row>
    <row r="696" spans="1:9" x14ac:dyDescent="0.25">
      <c r="A696" t="s">
        <v>1144</v>
      </c>
      <c r="B696" t="s">
        <v>925</v>
      </c>
      <c r="C696" t="s">
        <v>1197</v>
      </c>
      <c r="E696" t="s">
        <v>1238</v>
      </c>
      <c r="F696" t="s">
        <v>1568</v>
      </c>
      <c r="G696" t="s">
        <v>900</v>
      </c>
      <c r="H696" t="s">
        <v>1569</v>
      </c>
      <c r="I696" t="s">
        <v>2326</v>
      </c>
    </row>
    <row r="697" spans="1:9" x14ac:dyDescent="0.25">
      <c r="A697" t="s">
        <v>3310</v>
      </c>
      <c r="B697" t="s">
        <v>61</v>
      </c>
      <c r="C697" t="s">
        <v>1180</v>
      </c>
      <c r="D697" t="s">
        <v>56</v>
      </c>
      <c r="E697" t="s">
        <v>1250</v>
      </c>
      <c r="F697" t="s">
        <v>1229</v>
      </c>
      <c r="G697" t="s">
        <v>910</v>
      </c>
      <c r="H697" t="s">
        <v>1356</v>
      </c>
      <c r="I697" t="s">
        <v>2138</v>
      </c>
    </row>
    <row r="698" spans="1:9" x14ac:dyDescent="0.25">
      <c r="A698" t="s">
        <v>3309</v>
      </c>
      <c r="B698" t="s">
        <v>61</v>
      </c>
      <c r="C698" t="s">
        <v>1180</v>
      </c>
      <c r="D698" t="s">
        <v>56</v>
      </c>
      <c r="E698" t="s">
        <v>1250</v>
      </c>
      <c r="F698" t="s">
        <v>1298</v>
      </c>
      <c r="G698" t="s">
        <v>900</v>
      </c>
      <c r="H698" t="s">
        <v>513</v>
      </c>
      <c r="I698" t="s">
        <v>2139</v>
      </c>
    </row>
    <row r="699" spans="1:9" x14ac:dyDescent="0.25">
      <c r="A699" t="s">
        <v>3308</v>
      </c>
      <c r="B699" t="s">
        <v>61</v>
      </c>
      <c r="C699" t="s">
        <v>1180</v>
      </c>
      <c r="D699" t="s">
        <v>56</v>
      </c>
      <c r="E699" t="s">
        <v>1250</v>
      </c>
      <c r="F699" t="s">
        <v>1228</v>
      </c>
      <c r="G699" t="s">
        <v>1228</v>
      </c>
      <c r="H699" t="s">
        <v>462</v>
      </c>
      <c r="I699" t="s">
        <v>2146</v>
      </c>
    </row>
    <row r="700" spans="1:9" x14ac:dyDescent="0.25">
      <c r="A700" t="s">
        <v>2984</v>
      </c>
      <c r="B700" t="s">
        <v>61</v>
      </c>
      <c r="C700" t="s">
        <v>1180</v>
      </c>
      <c r="D700" t="s">
        <v>56</v>
      </c>
      <c r="E700" t="s">
        <v>1250</v>
      </c>
      <c r="F700" t="s">
        <v>1286</v>
      </c>
      <c r="G700" t="s">
        <v>900</v>
      </c>
      <c r="H700" t="s">
        <v>1501</v>
      </c>
      <c r="I700" t="s">
        <v>2141</v>
      </c>
    </row>
    <row r="701" spans="1:9" x14ac:dyDescent="0.25">
      <c r="A701" t="s">
        <v>3307</v>
      </c>
      <c r="B701" t="s">
        <v>61</v>
      </c>
      <c r="C701" t="s">
        <v>1180</v>
      </c>
      <c r="D701" t="s">
        <v>56</v>
      </c>
      <c r="E701" t="s">
        <v>1250</v>
      </c>
      <c r="F701" t="s">
        <v>1227</v>
      </c>
      <c r="G701" t="s">
        <v>1228</v>
      </c>
      <c r="H701" t="s">
        <v>88</v>
      </c>
      <c r="I701" t="s">
        <v>2147</v>
      </c>
    </row>
    <row r="702" spans="1:9" x14ac:dyDescent="0.25">
      <c r="A702" t="s">
        <v>3306</v>
      </c>
      <c r="B702" t="s">
        <v>61</v>
      </c>
      <c r="C702" t="s">
        <v>1180</v>
      </c>
      <c r="D702" t="s">
        <v>56</v>
      </c>
      <c r="E702" t="s">
        <v>1250</v>
      </c>
      <c r="F702" t="s">
        <v>8</v>
      </c>
      <c r="G702" t="s">
        <v>910</v>
      </c>
      <c r="H702" t="s">
        <v>904</v>
      </c>
      <c r="I702" t="s">
        <v>2142</v>
      </c>
    </row>
    <row r="703" spans="1:9" x14ac:dyDescent="0.25">
      <c r="A703" t="s">
        <v>3305</v>
      </c>
      <c r="B703" t="s">
        <v>61</v>
      </c>
      <c r="C703" t="s">
        <v>1180</v>
      </c>
      <c r="D703" t="s">
        <v>56</v>
      </c>
      <c r="E703" t="s">
        <v>1250</v>
      </c>
      <c r="F703" t="s">
        <v>1331</v>
      </c>
      <c r="G703" t="s">
        <v>910</v>
      </c>
      <c r="H703" t="s">
        <v>370</v>
      </c>
      <c r="I703" t="s">
        <v>2143</v>
      </c>
    </row>
    <row r="704" spans="1:9" x14ac:dyDescent="0.25">
      <c r="A704" t="s">
        <v>3304</v>
      </c>
      <c r="B704" t="s">
        <v>61</v>
      </c>
      <c r="C704" t="s">
        <v>1180</v>
      </c>
      <c r="D704" t="s">
        <v>56</v>
      </c>
      <c r="E704" t="s">
        <v>1250</v>
      </c>
      <c r="F704" t="s">
        <v>1333</v>
      </c>
      <c r="G704" t="s">
        <v>900</v>
      </c>
      <c r="H704" t="s">
        <v>1356</v>
      </c>
      <c r="I704" t="s">
        <v>2137</v>
      </c>
    </row>
    <row r="705" spans="1:9" x14ac:dyDescent="0.25">
      <c r="A705" t="s">
        <v>3303</v>
      </c>
      <c r="B705" t="s">
        <v>61</v>
      </c>
      <c r="C705" t="s">
        <v>1180</v>
      </c>
      <c r="D705" t="s">
        <v>56</v>
      </c>
      <c r="E705" t="s">
        <v>1250</v>
      </c>
      <c r="F705" t="s">
        <v>1293</v>
      </c>
      <c r="G705" t="s">
        <v>910</v>
      </c>
      <c r="H705" t="s">
        <v>1502</v>
      </c>
      <c r="I705" t="s">
        <v>2144</v>
      </c>
    </row>
    <row r="706" spans="1:9" x14ac:dyDescent="0.25">
      <c r="A706" t="s">
        <v>2983</v>
      </c>
      <c r="B706" t="s">
        <v>61</v>
      </c>
      <c r="C706" t="s">
        <v>1180</v>
      </c>
      <c r="D706" t="s">
        <v>56</v>
      </c>
      <c r="E706" t="s">
        <v>1250</v>
      </c>
      <c r="F706" t="s">
        <v>1221</v>
      </c>
      <c r="G706" t="s">
        <v>910</v>
      </c>
      <c r="H706" t="s">
        <v>513</v>
      </c>
      <c r="I706" t="s">
        <v>2145</v>
      </c>
    </row>
    <row r="707" spans="1:9" x14ac:dyDescent="0.25">
      <c r="A707" t="s">
        <v>1004</v>
      </c>
      <c r="B707" t="s">
        <v>61</v>
      </c>
      <c r="C707" t="s">
        <v>1466</v>
      </c>
      <c r="D707" t="s">
        <v>56</v>
      </c>
      <c r="E707" t="s">
        <v>1250</v>
      </c>
      <c r="F707" t="s">
        <v>1229</v>
      </c>
      <c r="G707" t="s">
        <v>910</v>
      </c>
      <c r="H707" t="s">
        <v>1503</v>
      </c>
      <c r="I707" t="s">
        <v>2148</v>
      </c>
    </row>
    <row r="708" spans="1:9" x14ac:dyDescent="0.25">
      <c r="A708" t="s">
        <v>1005</v>
      </c>
      <c r="B708" t="s">
        <v>61</v>
      </c>
      <c r="C708" t="s">
        <v>1466</v>
      </c>
      <c r="D708" t="s">
        <v>56</v>
      </c>
      <c r="E708" t="s">
        <v>1250</v>
      </c>
      <c r="F708" t="s">
        <v>1298</v>
      </c>
      <c r="G708" t="s">
        <v>900</v>
      </c>
      <c r="H708" t="s">
        <v>462</v>
      </c>
      <c r="I708" t="s">
        <v>2150</v>
      </c>
    </row>
    <row r="709" spans="1:9" x14ac:dyDescent="0.25">
      <c r="A709" t="s">
        <v>1006</v>
      </c>
      <c r="B709" t="s">
        <v>61</v>
      </c>
      <c r="C709" t="s">
        <v>1466</v>
      </c>
      <c r="D709" t="s">
        <v>56</v>
      </c>
      <c r="E709" t="s">
        <v>1250</v>
      </c>
      <c r="F709" t="s">
        <v>1228</v>
      </c>
      <c r="G709" t="s">
        <v>1228</v>
      </c>
      <c r="H709" t="s">
        <v>636</v>
      </c>
      <c r="I709" t="s">
        <v>2152</v>
      </c>
    </row>
    <row r="710" spans="1:9" x14ac:dyDescent="0.25">
      <c r="A710" t="s">
        <v>1008</v>
      </c>
      <c r="B710" t="s">
        <v>61</v>
      </c>
      <c r="C710" t="s">
        <v>1466</v>
      </c>
      <c r="D710" t="s">
        <v>56</v>
      </c>
      <c r="E710" t="s">
        <v>1250</v>
      </c>
      <c r="F710" t="s">
        <v>1286</v>
      </c>
      <c r="G710" t="s">
        <v>900</v>
      </c>
      <c r="H710" t="s">
        <v>1504</v>
      </c>
      <c r="I710" t="s">
        <v>2154</v>
      </c>
    </row>
    <row r="711" spans="1:9" x14ac:dyDescent="0.25">
      <c r="A711" t="s">
        <v>1007</v>
      </c>
      <c r="B711" t="s">
        <v>61</v>
      </c>
      <c r="C711" t="s">
        <v>1466</v>
      </c>
      <c r="D711" t="s">
        <v>56</v>
      </c>
      <c r="E711" t="s">
        <v>1250</v>
      </c>
      <c r="F711" t="s">
        <v>1227</v>
      </c>
      <c r="G711" t="s">
        <v>1228</v>
      </c>
      <c r="H711" t="s">
        <v>513</v>
      </c>
      <c r="I711" t="s">
        <v>2153</v>
      </c>
    </row>
    <row r="712" spans="1:9" x14ac:dyDescent="0.25">
      <c r="A712" t="s">
        <v>1009</v>
      </c>
      <c r="B712" t="s">
        <v>61</v>
      </c>
      <c r="C712" t="s">
        <v>1466</v>
      </c>
      <c r="D712" t="s">
        <v>56</v>
      </c>
      <c r="E712" t="s">
        <v>1250</v>
      </c>
      <c r="F712" t="s">
        <v>8</v>
      </c>
      <c r="G712" t="s">
        <v>910</v>
      </c>
      <c r="H712" t="s">
        <v>370</v>
      </c>
      <c r="I712" t="s">
        <v>2156</v>
      </c>
    </row>
    <row r="713" spans="1:9" x14ac:dyDescent="0.25">
      <c r="A713" t="s">
        <v>3862</v>
      </c>
      <c r="B713" t="s">
        <v>61</v>
      </c>
      <c r="C713" t="s">
        <v>1466</v>
      </c>
      <c r="D713" t="s">
        <v>56</v>
      </c>
      <c r="E713" t="s">
        <v>1250</v>
      </c>
      <c r="F713" t="s">
        <v>1331</v>
      </c>
      <c r="G713" t="s">
        <v>910</v>
      </c>
      <c r="H713" t="s">
        <v>1502</v>
      </c>
      <c r="I713" t="s">
        <v>2157</v>
      </c>
    </row>
    <row r="714" spans="1:9" x14ac:dyDescent="0.25">
      <c r="A714" t="s">
        <v>2982</v>
      </c>
      <c r="B714" t="s">
        <v>61</v>
      </c>
      <c r="C714" t="s">
        <v>1466</v>
      </c>
      <c r="D714" t="s">
        <v>56</v>
      </c>
      <c r="E714" t="s">
        <v>1250</v>
      </c>
      <c r="F714" t="s">
        <v>1333</v>
      </c>
      <c r="G714" t="s">
        <v>900</v>
      </c>
      <c r="H714" t="s">
        <v>88</v>
      </c>
      <c r="I714" t="s">
        <v>2158</v>
      </c>
    </row>
    <row r="715" spans="1:9" x14ac:dyDescent="0.25">
      <c r="A715" t="s">
        <v>1011</v>
      </c>
      <c r="B715" t="s">
        <v>61</v>
      </c>
      <c r="C715" t="s">
        <v>1466</v>
      </c>
      <c r="D715" t="s">
        <v>56</v>
      </c>
      <c r="E715" t="s">
        <v>1250</v>
      </c>
      <c r="F715" t="s">
        <v>1293</v>
      </c>
      <c r="G715" t="s">
        <v>910</v>
      </c>
      <c r="H715" t="s">
        <v>1356</v>
      </c>
      <c r="I715" t="s">
        <v>2160</v>
      </c>
    </row>
    <row r="716" spans="1:9" x14ac:dyDescent="0.25">
      <c r="A716" t="s">
        <v>1010</v>
      </c>
      <c r="B716" t="s">
        <v>61</v>
      </c>
      <c r="C716" t="s">
        <v>1466</v>
      </c>
      <c r="D716" t="s">
        <v>56</v>
      </c>
      <c r="E716" t="s">
        <v>1250</v>
      </c>
      <c r="F716" t="s">
        <v>1221</v>
      </c>
      <c r="G716" t="s">
        <v>910</v>
      </c>
      <c r="H716" t="s">
        <v>462</v>
      </c>
      <c r="I716" t="s">
        <v>2159</v>
      </c>
    </row>
    <row r="717" spans="1:9" x14ac:dyDescent="0.25">
      <c r="A717" t="s">
        <v>955</v>
      </c>
      <c r="B717" t="s">
        <v>95</v>
      </c>
      <c r="C717" t="s">
        <v>1180</v>
      </c>
      <c r="F717" t="s">
        <v>1229</v>
      </c>
      <c r="G717" t="s">
        <v>900</v>
      </c>
      <c r="H717" t="s">
        <v>1437</v>
      </c>
      <c r="I717" t="s">
        <v>1996</v>
      </c>
    </row>
    <row r="718" spans="1:9" x14ac:dyDescent="0.25">
      <c r="A718" t="s">
        <v>1074</v>
      </c>
      <c r="B718" t="s">
        <v>95</v>
      </c>
      <c r="C718" t="s">
        <v>1180</v>
      </c>
      <c r="F718" t="s">
        <v>1298</v>
      </c>
      <c r="G718" t="s">
        <v>900</v>
      </c>
      <c r="H718" t="s">
        <v>508</v>
      </c>
      <c r="I718" t="s">
        <v>1996</v>
      </c>
    </row>
    <row r="719" spans="1:9" x14ac:dyDescent="0.25">
      <c r="A719" t="s">
        <v>1075</v>
      </c>
      <c r="B719" t="s">
        <v>95</v>
      </c>
      <c r="C719" t="s">
        <v>1180</v>
      </c>
      <c r="F719" t="s">
        <v>1228</v>
      </c>
      <c r="G719" t="s">
        <v>1228</v>
      </c>
      <c r="H719" t="s">
        <v>246</v>
      </c>
      <c r="I719" t="s">
        <v>2264</v>
      </c>
    </row>
    <row r="720" spans="1:9" x14ac:dyDescent="0.25">
      <c r="A720" t="s">
        <v>1079</v>
      </c>
      <c r="B720" t="s">
        <v>95</v>
      </c>
      <c r="C720" t="s">
        <v>1180</v>
      </c>
      <c r="F720" t="s">
        <v>1286</v>
      </c>
      <c r="G720" t="s">
        <v>900</v>
      </c>
      <c r="H720" t="s">
        <v>96</v>
      </c>
      <c r="I720" t="s">
        <v>2268</v>
      </c>
    </row>
    <row r="721" spans="1:9" x14ac:dyDescent="0.25">
      <c r="A721" t="s">
        <v>1179</v>
      </c>
      <c r="B721" t="s">
        <v>95</v>
      </c>
      <c r="C721" t="s">
        <v>1180</v>
      </c>
      <c r="F721" t="s">
        <v>1227</v>
      </c>
      <c r="G721" t="s">
        <v>1228</v>
      </c>
      <c r="H721" t="s">
        <v>508</v>
      </c>
      <c r="I721" t="s">
        <v>2489</v>
      </c>
    </row>
    <row r="722" spans="1:9" x14ac:dyDescent="0.25">
      <c r="A722" t="s">
        <v>1076</v>
      </c>
      <c r="B722" t="s">
        <v>95</v>
      </c>
      <c r="C722" t="s">
        <v>1180</v>
      </c>
      <c r="F722" t="s">
        <v>8</v>
      </c>
      <c r="G722" t="s">
        <v>900</v>
      </c>
      <c r="H722" t="s">
        <v>726</v>
      </c>
      <c r="I722" t="s">
        <v>2265</v>
      </c>
    </row>
    <row r="723" spans="1:9" x14ac:dyDescent="0.25">
      <c r="A723" t="s">
        <v>1077</v>
      </c>
      <c r="B723" t="s">
        <v>95</v>
      </c>
      <c r="C723" t="s">
        <v>1180</v>
      </c>
      <c r="F723" t="s">
        <v>1331</v>
      </c>
      <c r="G723" t="s">
        <v>900</v>
      </c>
      <c r="H723" t="s">
        <v>726</v>
      </c>
      <c r="I723" t="s">
        <v>2266</v>
      </c>
    </row>
    <row r="724" spans="1:9" x14ac:dyDescent="0.25">
      <c r="A724" t="s">
        <v>1078</v>
      </c>
      <c r="B724" t="s">
        <v>95</v>
      </c>
      <c r="C724" t="s">
        <v>1180</v>
      </c>
      <c r="F724" t="s">
        <v>1333</v>
      </c>
      <c r="G724" t="s">
        <v>900</v>
      </c>
      <c r="H724" t="s">
        <v>268</v>
      </c>
      <c r="I724" t="s">
        <v>2267</v>
      </c>
    </row>
    <row r="725" spans="1:9" x14ac:dyDescent="0.25">
      <c r="A725" t="s">
        <v>1080</v>
      </c>
      <c r="B725" t="s">
        <v>95</v>
      </c>
      <c r="C725" t="s">
        <v>1180</v>
      </c>
      <c r="F725" t="s">
        <v>1293</v>
      </c>
      <c r="G725" t="s">
        <v>900</v>
      </c>
      <c r="H725" t="s">
        <v>356</v>
      </c>
      <c r="I725" t="s">
        <v>1996</v>
      </c>
    </row>
    <row r="726" spans="1:9" x14ac:dyDescent="0.25">
      <c r="A726" t="s">
        <v>1081</v>
      </c>
      <c r="B726" t="s">
        <v>95</v>
      </c>
      <c r="C726" t="s">
        <v>1180</v>
      </c>
      <c r="F726" t="s">
        <v>1221</v>
      </c>
      <c r="G726" t="s">
        <v>900</v>
      </c>
      <c r="H726" t="s">
        <v>508</v>
      </c>
      <c r="I726" t="s">
        <v>2270</v>
      </c>
    </row>
    <row r="727" spans="1:9" x14ac:dyDescent="0.25">
      <c r="A727" t="s">
        <v>3907</v>
      </c>
      <c r="B727" t="s">
        <v>95</v>
      </c>
      <c r="C727" t="s">
        <v>1466</v>
      </c>
      <c r="F727" t="s">
        <v>1298</v>
      </c>
      <c r="G727" t="s">
        <v>910</v>
      </c>
      <c r="H727" t="s">
        <v>339</v>
      </c>
      <c r="I727" t="s">
        <v>97</v>
      </c>
    </row>
    <row r="728" spans="1:9" x14ac:dyDescent="0.25">
      <c r="A728" t="s">
        <v>3906</v>
      </c>
      <c r="B728" t="s">
        <v>95</v>
      </c>
      <c r="C728" t="s">
        <v>1466</v>
      </c>
      <c r="F728" t="s">
        <v>1228</v>
      </c>
      <c r="G728" t="s">
        <v>1228</v>
      </c>
      <c r="H728" t="s">
        <v>508</v>
      </c>
      <c r="I728" t="s">
        <v>2220</v>
      </c>
    </row>
    <row r="729" spans="1:9" x14ac:dyDescent="0.25">
      <c r="A729" t="s">
        <v>1132</v>
      </c>
      <c r="B729" t="s">
        <v>95</v>
      </c>
      <c r="C729" t="s">
        <v>1466</v>
      </c>
      <c r="F729" t="s">
        <v>1331</v>
      </c>
      <c r="G729" t="s">
        <v>900</v>
      </c>
      <c r="H729" t="s">
        <v>1437</v>
      </c>
      <c r="I729" t="s">
        <v>2309</v>
      </c>
    </row>
    <row r="730" spans="1:9" x14ac:dyDescent="0.25">
      <c r="A730" t="s">
        <v>4146</v>
      </c>
      <c r="B730" t="s">
        <v>95</v>
      </c>
      <c r="C730" t="s">
        <v>1466</v>
      </c>
      <c r="F730" t="s">
        <v>1229</v>
      </c>
      <c r="G730" t="s">
        <v>910</v>
      </c>
      <c r="H730" t="s">
        <v>123</v>
      </c>
      <c r="I730" t="s">
        <v>2218</v>
      </c>
    </row>
    <row r="731" spans="1:9" x14ac:dyDescent="0.25">
      <c r="A731" t="s">
        <v>3905</v>
      </c>
      <c r="B731" t="s">
        <v>95</v>
      </c>
      <c r="C731" t="s">
        <v>1466</v>
      </c>
      <c r="F731" t="s">
        <v>1298</v>
      </c>
      <c r="G731" t="s">
        <v>900</v>
      </c>
      <c r="H731" t="s">
        <v>339</v>
      </c>
      <c r="I731" t="s">
        <v>97</v>
      </c>
    </row>
    <row r="732" spans="1:9" x14ac:dyDescent="0.25">
      <c r="A732" t="s">
        <v>3904</v>
      </c>
      <c r="B732" t="s">
        <v>95</v>
      </c>
      <c r="C732" t="s">
        <v>1466</v>
      </c>
      <c r="F732" t="s">
        <v>1228</v>
      </c>
      <c r="G732" t="s">
        <v>1228</v>
      </c>
      <c r="H732" t="s">
        <v>508</v>
      </c>
      <c r="I732" t="s">
        <v>2220</v>
      </c>
    </row>
    <row r="733" spans="1:9" x14ac:dyDescent="0.25">
      <c r="A733" t="s">
        <v>4145</v>
      </c>
      <c r="B733" t="s">
        <v>95</v>
      </c>
      <c r="C733" t="s">
        <v>1466</v>
      </c>
      <c r="F733" t="s">
        <v>1286</v>
      </c>
      <c r="G733" t="s">
        <v>900</v>
      </c>
      <c r="H733" t="s">
        <v>834</v>
      </c>
      <c r="I733" t="s">
        <v>2219</v>
      </c>
    </row>
    <row r="734" spans="1:9" x14ac:dyDescent="0.25">
      <c r="A734" t="s">
        <v>4144</v>
      </c>
      <c r="B734" t="s">
        <v>95</v>
      </c>
      <c r="C734" t="s">
        <v>1466</v>
      </c>
      <c r="F734" t="s">
        <v>1227</v>
      </c>
      <c r="G734" t="s">
        <v>1228</v>
      </c>
      <c r="H734" t="s">
        <v>508</v>
      </c>
      <c r="I734" t="s">
        <v>2220</v>
      </c>
    </row>
    <row r="735" spans="1:9" x14ac:dyDescent="0.25">
      <c r="A735" t="s">
        <v>3275</v>
      </c>
      <c r="B735" t="s">
        <v>95</v>
      </c>
      <c r="C735" t="s">
        <v>1466</v>
      </c>
      <c r="F735" t="s">
        <v>8</v>
      </c>
      <c r="G735" t="s">
        <v>910</v>
      </c>
      <c r="H735" t="s">
        <v>1437</v>
      </c>
      <c r="I735" t="s">
        <v>2170</v>
      </c>
    </row>
    <row r="736" spans="1:9" x14ac:dyDescent="0.25">
      <c r="A736" t="s">
        <v>1054</v>
      </c>
      <c r="B736" t="s">
        <v>95</v>
      </c>
      <c r="C736" t="s">
        <v>1466</v>
      </c>
      <c r="F736" t="s">
        <v>1333</v>
      </c>
      <c r="G736" t="s">
        <v>900</v>
      </c>
      <c r="H736" t="s">
        <v>96</v>
      </c>
      <c r="I736" t="s">
        <v>2221</v>
      </c>
    </row>
    <row r="737" spans="1:9" x14ac:dyDescent="0.25">
      <c r="A737" t="s">
        <v>3274</v>
      </c>
      <c r="B737" t="s">
        <v>95</v>
      </c>
      <c r="C737" t="s">
        <v>1466</v>
      </c>
      <c r="F737" t="s">
        <v>1293</v>
      </c>
      <c r="G737" t="s">
        <v>910</v>
      </c>
      <c r="H737" t="s">
        <v>1511</v>
      </c>
      <c r="I737" t="s">
        <v>2223</v>
      </c>
    </row>
    <row r="738" spans="1:9" x14ac:dyDescent="0.25">
      <c r="A738" t="s">
        <v>4143</v>
      </c>
      <c r="B738" t="s">
        <v>95</v>
      </c>
      <c r="C738" t="s">
        <v>1466</v>
      </c>
      <c r="F738" t="s">
        <v>1221</v>
      </c>
      <c r="G738" t="s">
        <v>910</v>
      </c>
      <c r="H738" t="s">
        <v>339</v>
      </c>
      <c r="I738" t="s">
        <v>2222</v>
      </c>
    </row>
    <row r="739" spans="1:9" x14ac:dyDescent="0.25">
      <c r="A739" t="s">
        <v>3273</v>
      </c>
      <c r="B739" t="s">
        <v>911</v>
      </c>
      <c r="C739" t="s">
        <v>1186</v>
      </c>
      <c r="D739" t="s">
        <v>56</v>
      </c>
      <c r="F739" t="s">
        <v>1298</v>
      </c>
      <c r="G739" t="s">
        <v>900</v>
      </c>
      <c r="H739" t="s">
        <v>1258</v>
      </c>
      <c r="I739" t="s">
        <v>1665</v>
      </c>
    </row>
    <row r="740" spans="1:9" x14ac:dyDescent="0.25">
      <c r="A740" t="s">
        <v>3272</v>
      </c>
      <c r="B740" t="s">
        <v>911</v>
      </c>
      <c r="C740" t="s">
        <v>1186</v>
      </c>
      <c r="D740" t="s">
        <v>56</v>
      </c>
      <c r="F740" t="s">
        <v>1298</v>
      </c>
      <c r="G740" t="s">
        <v>900</v>
      </c>
      <c r="H740" t="s">
        <v>1258</v>
      </c>
      <c r="I740" t="s">
        <v>1665</v>
      </c>
    </row>
    <row r="741" spans="1:9" x14ac:dyDescent="0.25">
      <c r="A741" t="s">
        <v>4263</v>
      </c>
      <c r="B741" t="s">
        <v>911</v>
      </c>
      <c r="C741" t="s">
        <v>1186</v>
      </c>
      <c r="D741" t="s">
        <v>56</v>
      </c>
      <c r="F741" t="s">
        <v>1286</v>
      </c>
      <c r="G741" t="s">
        <v>900</v>
      </c>
      <c r="H741" t="s">
        <v>1319</v>
      </c>
      <c r="I741" t="s">
        <v>1665</v>
      </c>
    </row>
    <row r="742" spans="1:9" x14ac:dyDescent="0.25">
      <c r="A742" t="s">
        <v>4142</v>
      </c>
      <c r="B742" t="s">
        <v>911</v>
      </c>
      <c r="C742" t="s">
        <v>1186</v>
      </c>
      <c r="D742" t="s">
        <v>56</v>
      </c>
      <c r="F742" t="s">
        <v>1286</v>
      </c>
      <c r="G742" t="s">
        <v>900</v>
      </c>
      <c r="H742" t="s">
        <v>1319</v>
      </c>
      <c r="I742" t="s">
        <v>1665</v>
      </c>
    </row>
    <row r="743" spans="1:9" x14ac:dyDescent="0.25">
      <c r="A743" t="s">
        <v>4347</v>
      </c>
      <c r="B743" t="s">
        <v>911</v>
      </c>
      <c r="C743" t="s">
        <v>1186</v>
      </c>
      <c r="D743" t="s">
        <v>56</v>
      </c>
      <c r="F743" t="s">
        <v>1227</v>
      </c>
      <c r="G743" t="s">
        <v>1228</v>
      </c>
      <c r="H743" t="s">
        <v>712</v>
      </c>
      <c r="I743" t="s">
        <v>1936</v>
      </c>
    </row>
    <row r="744" spans="1:9" x14ac:dyDescent="0.25">
      <c r="A744" t="s">
        <v>4141</v>
      </c>
      <c r="B744" t="s">
        <v>911</v>
      </c>
      <c r="C744" t="s">
        <v>1186</v>
      </c>
      <c r="D744" t="s">
        <v>56</v>
      </c>
      <c r="F744" t="s">
        <v>1227</v>
      </c>
      <c r="G744" t="s">
        <v>1228</v>
      </c>
      <c r="H744" t="s">
        <v>712</v>
      </c>
      <c r="I744" t="s">
        <v>1936</v>
      </c>
    </row>
    <row r="745" spans="1:9" x14ac:dyDescent="0.25">
      <c r="A745" t="s">
        <v>2981</v>
      </c>
      <c r="B745" t="s">
        <v>911</v>
      </c>
      <c r="C745" t="s">
        <v>1186</v>
      </c>
      <c r="D745" t="s">
        <v>56</v>
      </c>
      <c r="F745" t="s">
        <v>1333</v>
      </c>
      <c r="G745" t="s">
        <v>900</v>
      </c>
      <c r="H745" t="s">
        <v>1413</v>
      </c>
      <c r="I745" t="s">
        <v>1935</v>
      </c>
    </row>
    <row r="746" spans="1:9" x14ac:dyDescent="0.25">
      <c r="A746" t="s">
        <v>2755</v>
      </c>
      <c r="B746" t="s">
        <v>911</v>
      </c>
      <c r="C746" t="s">
        <v>1186</v>
      </c>
      <c r="D746" t="s">
        <v>56</v>
      </c>
      <c r="F746" t="s">
        <v>1333</v>
      </c>
      <c r="G746" t="s">
        <v>900</v>
      </c>
      <c r="H746" t="s">
        <v>1413</v>
      </c>
      <c r="I746" t="s">
        <v>1935</v>
      </c>
    </row>
    <row r="747" spans="1:9" x14ac:dyDescent="0.25">
      <c r="A747" t="s">
        <v>4460</v>
      </c>
      <c r="B747" t="s">
        <v>911</v>
      </c>
      <c r="C747" t="s">
        <v>1186</v>
      </c>
      <c r="D747" t="s">
        <v>56</v>
      </c>
      <c r="F747" t="s">
        <v>1221</v>
      </c>
      <c r="G747" t="s">
        <v>900</v>
      </c>
      <c r="H747" t="s">
        <v>1258</v>
      </c>
      <c r="I747" t="s">
        <v>1665</v>
      </c>
    </row>
    <row r="748" spans="1:9" x14ac:dyDescent="0.25">
      <c r="A748" t="s">
        <v>4434</v>
      </c>
      <c r="B748" t="s">
        <v>911</v>
      </c>
      <c r="C748" t="s">
        <v>1186</v>
      </c>
      <c r="D748" t="s">
        <v>56</v>
      </c>
      <c r="F748" t="s">
        <v>1221</v>
      </c>
      <c r="G748" t="s">
        <v>900</v>
      </c>
      <c r="H748" t="s">
        <v>1258</v>
      </c>
      <c r="I748" t="s">
        <v>1665</v>
      </c>
    </row>
    <row r="749" spans="1:9" x14ac:dyDescent="0.25">
      <c r="A749" t="s">
        <v>1133</v>
      </c>
      <c r="B749" t="s">
        <v>911</v>
      </c>
      <c r="C749" t="s">
        <v>1491</v>
      </c>
      <c r="D749" t="s">
        <v>56</v>
      </c>
      <c r="F749" t="s">
        <v>1298</v>
      </c>
      <c r="G749" t="s">
        <v>900</v>
      </c>
      <c r="H749" t="s">
        <v>1344</v>
      </c>
      <c r="I749" t="s">
        <v>2310</v>
      </c>
    </row>
    <row r="750" spans="1:9" x14ac:dyDescent="0.25">
      <c r="A750" t="s">
        <v>1135</v>
      </c>
      <c r="B750" t="s">
        <v>911</v>
      </c>
      <c r="C750" t="s">
        <v>1491</v>
      </c>
      <c r="D750" t="s">
        <v>56</v>
      </c>
      <c r="F750" t="s">
        <v>1286</v>
      </c>
      <c r="G750" t="s">
        <v>900</v>
      </c>
      <c r="H750" t="s">
        <v>388</v>
      </c>
      <c r="I750" t="s">
        <v>2312</v>
      </c>
    </row>
    <row r="751" spans="1:9" x14ac:dyDescent="0.25">
      <c r="A751" t="s">
        <v>1134</v>
      </c>
      <c r="B751" t="s">
        <v>911</v>
      </c>
      <c r="C751" t="s">
        <v>1491</v>
      </c>
      <c r="D751" t="s">
        <v>56</v>
      </c>
      <c r="F751" t="s">
        <v>1227</v>
      </c>
      <c r="G751" t="s">
        <v>1228</v>
      </c>
      <c r="H751" t="s">
        <v>1319</v>
      </c>
      <c r="I751" t="s">
        <v>2311</v>
      </c>
    </row>
    <row r="752" spans="1:9" x14ac:dyDescent="0.25">
      <c r="A752" t="s">
        <v>1136</v>
      </c>
      <c r="B752" t="s">
        <v>911</v>
      </c>
      <c r="C752" t="s">
        <v>1491</v>
      </c>
      <c r="D752" t="s">
        <v>56</v>
      </c>
      <c r="F752" t="s">
        <v>1333</v>
      </c>
      <c r="G752" t="s">
        <v>900</v>
      </c>
      <c r="H752" t="s">
        <v>1279</v>
      </c>
      <c r="I752" t="s">
        <v>2314</v>
      </c>
    </row>
    <row r="753" spans="1:9" x14ac:dyDescent="0.25">
      <c r="A753" t="s">
        <v>1137</v>
      </c>
      <c r="B753" t="s">
        <v>911</v>
      </c>
      <c r="C753" t="s">
        <v>1491</v>
      </c>
      <c r="D753" t="s">
        <v>56</v>
      </c>
      <c r="F753" t="s">
        <v>1221</v>
      </c>
      <c r="G753" t="s">
        <v>900</v>
      </c>
      <c r="H753" t="s">
        <v>1344</v>
      </c>
      <c r="I753" t="s">
        <v>2315</v>
      </c>
    </row>
    <row r="754" spans="1:9" x14ac:dyDescent="0.25">
      <c r="A754" t="s">
        <v>3271</v>
      </c>
      <c r="B754" t="s">
        <v>911</v>
      </c>
      <c r="C754" t="s">
        <v>1180</v>
      </c>
      <c r="F754" t="s">
        <v>1229</v>
      </c>
      <c r="G754" t="s">
        <v>910</v>
      </c>
      <c r="H754" t="s">
        <v>1254</v>
      </c>
      <c r="I754" t="s">
        <v>2336</v>
      </c>
    </row>
    <row r="755" spans="1:9" x14ac:dyDescent="0.25">
      <c r="A755" t="s">
        <v>3270</v>
      </c>
      <c r="B755" t="s">
        <v>911</v>
      </c>
      <c r="C755" t="s">
        <v>1180</v>
      </c>
      <c r="F755" t="s">
        <v>1298</v>
      </c>
      <c r="G755" t="s">
        <v>900</v>
      </c>
      <c r="H755" t="s">
        <v>794</v>
      </c>
      <c r="I755" t="s">
        <v>2337</v>
      </c>
    </row>
    <row r="756" spans="1:9" x14ac:dyDescent="0.25">
      <c r="A756" t="s">
        <v>3269</v>
      </c>
      <c r="B756" t="s">
        <v>911</v>
      </c>
      <c r="C756" t="s">
        <v>1180</v>
      </c>
      <c r="F756" t="s">
        <v>1228</v>
      </c>
      <c r="G756" t="s">
        <v>1228</v>
      </c>
      <c r="H756" t="s">
        <v>612</v>
      </c>
      <c r="I756" t="s">
        <v>2344</v>
      </c>
    </row>
    <row r="757" spans="1:9" x14ac:dyDescent="0.25">
      <c r="A757" t="s">
        <v>3268</v>
      </c>
      <c r="B757" t="s">
        <v>911</v>
      </c>
      <c r="C757" t="s">
        <v>1180</v>
      </c>
      <c r="F757" t="s">
        <v>1286</v>
      </c>
      <c r="G757" t="s">
        <v>900</v>
      </c>
      <c r="H757" t="s">
        <v>278</v>
      </c>
      <c r="I757" t="s">
        <v>2342</v>
      </c>
    </row>
    <row r="758" spans="1:9" x14ac:dyDescent="0.25">
      <c r="A758" t="s">
        <v>3267</v>
      </c>
      <c r="B758" t="s">
        <v>911</v>
      </c>
      <c r="C758" t="s">
        <v>1180</v>
      </c>
      <c r="F758" t="s">
        <v>1227</v>
      </c>
      <c r="G758" t="s">
        <v>1228</v>
      </c>
      <c r="H758" t="s">
        <v>23</v>
      </c>
      <c r="I758" t="s">
        <v>2345</v>
      </c>
    </row>
    <row r="759" spans="1:9" x14ac:dyDescent="0.25">
      <c r="A759" t="s">
        <v>2980</v>
      </c>
      <c r="B759" t="s">
        <v>911</v>
      </c>
      <c r="C759" t="s">
        <v>1180</v>
      </c>
      <c r="F759" t="s">
        <v>8</v>
      </c>
      <c r="G759" t="s">
        <v>910</v>
      </c>
      <c r="H759" t="s">
        <v>562</v>
      </c>
      <c r="I759" t="s">
        <v>2338</v>
      </c>
    </row>
    <row r="760" spans="1:9" x14ac:dyDescent="0.25">
      <c r="A760" t="s">
        <v>3266</v>
      </c>
      <c r="B760" t="s">
        <v>911</v>
      </c>
      <c r="C760" t="s">
        <v>1180</v>
      </c>
      <c r="F760" t="s">
        <v>1331</v>
      </c>
      <c r="G760" t="s">
        <v>910</v>
      </c>
      <c r="H760" t="s">
        <v>308</v>
      </c>
      <c r="I760" t="s">
        <v>2339</v>
      </c>
    </row>
    <row r="761" spans="1:9" x14ac:dyDescent="0.25">
      <c r="A761" t="s">
        <v>3265</v>
      </c>
      <c r="B761" t="s">
        <v>911</v>
      </c>
      <c r="C761" t="s">
        <v>1180</v>
      </c>
      <c r="F761" t="s">
        <v>1333</v>
      </c>
      <c r="G761" t="s">
        <v>900</v>
      </c>
      <c r="H761" t="s">
        <v>1254</v>
      </c>
      <c r="I761" t="s">
        <v>2343</v>
      </c>
    </row>
    <row r="762" spans="1:9" x14ac:dyDescent="0.25">
      <c r="A762" t="s">
        <v>2979</v>
      </c>
      <c r="B762" t="s">
        <v>911</v>
      </c>
      <c r="C762" t="s">
        <v>1180</v>
      </c>
      <c r="F762" t="s">
        <v>1293</v>
      </c>
      <c r="G762" t="s">
        <v>910</v>
      </c>
      <c r="H762" t="s">
        <v>549</v>
      </c>
      <c r="I762" t="s">
        <v>2340</v>
      </c>
    </row>
    <row r="763" spans="1:9" x14ac:dyDescent="0.25">
      <c r="A763" t="s">
        <v>2978</v>
      </c>
      <c r="B763" t="s">
        <v>911</v>
      </c>
      <c r="C763" t="s">
        <v>1180</v>
      </c>
      <c r="F763" t="s">
        <v>1221</v>
      </c>
      <c r="G763" t="s">
        <v>910</v>
      </c>
      <c r="H763" t="s">
        <v>794</v>
      </c>
      <c r="I763" t="s">
        <v>2341</v>
      </c>
    </row>
    <row r="764" spans="1:9" x14ac:dyDescent="0.25">
      <c r="A764" t="s">
        <v>3903</v>
      </c>
      <c r="B764" t="s">
        <v>911</v>
      </c>
      <c r="C764" t="s">
        <v>1466</v>
      </c>
      <c r="F764" t="s">
        <v>1229</v>
      </c>
      <c r="G764" t="s">
        <v>910</v>
      </c>
      <c r="H764" t="s">
        <v>794</v>
      </c>
      <c r="I764" t="s">
        <v>2194</v>
      </c>
    </row>
    <row r="765" spans="1:9" x14ac:dyDescent="0.25">
      <c r="A765" t="s">
        <v>3902</v>
      </c>
      <c r="B765" t="s">
        <v>911</v>
      </c>
      <c r="C765" t="s">
        <v>1466</v>
      </c>
      <c r="F765" t="s">
        <v>1298</v>
      </c>
      <c r="G765" t="s">
        <v>900</v>
      </c>
      <c r="H765" t="s">
        <v>292</v>
      </c>
      <c r="I765" t="s">
        <v>2193</v>
      </c>
    </row>
    <row r="766" spans="1:9" x14ac:dyDescent="0.25">
      <c r="A766" t="s">
        <v>3901</v>
      </c>
      <c r="B766" t="s">
        <v>911</v>
      </c>
      <c r="C766" t="s">
        <v>1466</v>
      </c>
      <c r="F766" t="s">
        <v>1228</v>
      </c>
      <c r="G766" t="s">
        <v>1228</v>
      </c>
      <c r="H766" t="s">
        <v>64</v>
      </c>
      <c r="I766" t="s">
        <v>2191</v>
      </c>
    </row>
    <row r="767" spans="1:9" x14ac:dyDescent="0.25">
      <c r="A767" t="s">
        <v>3900</v>
      </c>
      <c r="B767" t="s">
        <v>911</v>
      </c>
      <c r="C767" t="s">
        <v>1466</v>
      </c>
      <c r="F767" t="s">
        <v>1286</v>
      </c>
      <c r="G767" t="s">
        <v>900</v>
      </c>
      <c r="H767" t="s">
        <v>472</v>
      </c>
      <c r="I767" t="s">
        <v>2192</v>
      </c>
    </row>
    <row r="768" spans="1:9" x14ac:dyDescent="0.25">
      <c r="A768" t="s">
        <v>1032</v>
      </c>
      <c r="B768" t="s">
        <v>911</v>
      </c>
      <c r="C768" t="s">
        <v>1466</v>
      </c>
      <c r="F768" t="s">
        <v>1227</v>
      </c>
      <c r="G768" t="s">
        <v>1228</v>
      </c>
      <c r="H768" t="s">
        <v>612</v>
      </c>
      <c r="I768" t="s">
        <v>2190</v>
      </c>
    </row>
    <row r="769" spans="1:9" x14ac:dyDescent="0.25">
      <c r="A769" t="s">
        <v>1031</v>
      </c>
      <c r="B769" t="s">
        <v>911</v>
      </c>
      <c r="C769" t="s">
        <v>1466</v>
      </c>
      <c r="F769" t="s">
        <v>8</v>
      </c>
      <c r="G769" t="s">
        <v>910</v>
      </c>
      <c r="H769" t="s">
        <v>549</v>
      </c>
      <c r="I769" t="s">
        <v>2189</v>
      </c>
    </row>
    <row r="770" spans="1:9" x14ac:dyDescent="0.25">
      <c r="A770" t="s">
        <v>3899</v>
      </c>
      <c r="B770" t="s">
        <v>911</v>
      </c>
      <c r="C770" t="s">
        <v>1466</v>
      </c>
      <c r="F770" t="s">
        <v>1331</v>
      </c>
      <c r="G770" t="s">
        <v>910</v>
      </c>
      <c r="H770" t="s">
        <v>1254</v>
      </c>
      <c r="I770" t="s">
        <v>2188</v>
      </c>
    </row>
    <row r="771" spans="1:9" x14ac:dyDescent="0.25">
      <c r="A771" t="s">
        <v>3898</v>
      </c>
      <c r="B771" t="s">
        <v>911</v>
      </c>
      <c r="C771" t="s">
        <v>1466</v>
      </c>
      <c r="F771" t="s">
        <v>1333</v>
      </c>
      <c r="G771" t="s">
        <v>900</v>
      </c>
      <c r="H771" t="s">
        <v>794</v>
      </c>
      <c r="I771" t="s">
        <v>2187</v>
      </c>
    </row>
    <row r="772" spans="1:9" x14ac:dyDescent="0.25">
      <c r="A772" t="s">
        <v>3897</v>
      </c>
      <c r="B772" t="s">
        <v>911</v>
      </c>
      <c r="C772" t="s">
        <v>1466</v>
      </c>
      <c r="F772" t="s">
        <v>1293</v>
      </c>
      <c r="G772" t="s">
        <v>910</v>
      </c>
      <c r="H772" t="s">
        <v>23</v>
      </c>
      <c r="I772" t="s">
        <v>2102</v>
      </c>
    </row>
    <row r="773" spans="1:9" x14ac:dyDescent="0.25">
      <c r="A773" t="s">
        <v>1030</v>
      </c>
      <c r="B773" t="s">
        <v>911</v>
      </c>
      <c r="C773" t="s">
        <v>1466</v>
      </c>
      <c r="F773" t="s">
        <v>1221</v>
      </c>
      <c r="G773" t="s">
        <v>910</v>
      </c>
      <c r="H773" t="s">
        <v>292</v>
      </c>
      <c r="I773" t="s">
        <v>2186</v>
      </c>
    </row>
    <row r="774" spans="1:9" x14ac:dyDescent="0.25">
      <c r="A774" t="s">
        <v>3861</v>
      </c>
      <c r="B774" t="s">
        <v>148</v>
      </c>
      <c r="C774" t="s">
        <v>1186</v>
      </c>
      <c r="D774" t="s">
        <v>27</v>
      </c>
      <c r="F774" t="s">
        <v>1229</v>
      </c>
      <c r="G774" t="s">
        <v>910</v>
      </c>
      <c r="H774" t="s">
        <v>153</v>
      </c>
      <c r="I774" t="s">
        <v>2299</v>
      </c>
    </row>
    <row r="775" spans="1:9" x14ac:dyDescent="0.25">
      <c r="A775" t="s">
        <v>3860</v>
      </c>
      <c r="B775" t="s">
        <v>148</v>
      </c>
      <c r="C775" t="s">
        <v>1186</v>
      </c>
      <c r="D775" t="s">
        <v>27</v>
      </c>
      <c r="F775" t="s">
        <v>1298</v>
      </c>
      <c r="G775" t="s">
        <v>900</v>
      </c>
      <c r="H775" t="s">
        <v>1266</v>
      </c>
      <c r="I775" t="s">
        <v>154</v>
      </c>
    </row>
    <row r="776" spans="1:9" x14ac:dyDescent="0.25">
      <c r="A776" t="s">
        <v>3859</v>
      </c>
      <c r="B776" t="s">
        <v>148</v>
      </c>
      <c r="C776" t="s">
        <v>1186</v>
      </c>
      <c r="D776" t="s">
        <v>27</v>
      </c>
      <c r="F776" t="s">
        <v>1228</v>
      </c>
      <c r="G776" t="s">
        <v>1228</v>
      </c>
      <c r="H776" t="s">
        <v>646</v>
      </c>
      <c r="I776" t="s">
        <v>2303</v>
      </c>
    </row>
    <row r="777" spans="1:9" x14ac:dyDescent="0.25">
      <c r="A777" t="s">
        <v>3858</v>
      </c>
      <c r="B777" t="s">
        <v>148</v>
      </c>
      <c r="C777" t="s">
        <v>1186</v>
      </c>
      <c r="D777" t="s">
        <v>27</v>
      </c>
      <c r="F777" t="s">
        <v>1286</v>
      </c>
      <c r="G777" t="s">
        <v>900</v>
      </c>
      <c r="H777" t="s">
        <v>229</v>
      </c>
      <c r="I777" t="s">
        <v>154</v>
      </c>
    </row>
    <row r="778" spans="1:9" x14ac:dyDescent="0.25">
      <c r="A778" t="s">
        <v>4133</v>
      </c>
      <c r="B778" t="s">
        <v>148</v>
      </c>
      <c r="C778" t="s">
        <v>1186</v>
      </c>
      <c r="D778" t="s">
        <v>27</v>
      </c>
      <c r="F778" t="s">
        <v>1227</v>
      </c>
      <c r="G778" t="s">
        <v>1228</v>
      </c>
      <c r="H778" t="s">
        <v>1560</v>
      </c>
      <c r="I778" t="s">
        <v>2304</v>
      </c>
    </row>
    <row r="779" spans="1:9" x14ac:dyDescent="0.25">
      <c r="A779" t="s">
        <v>3857</v>
      </c>
      <c r="B779" t="s">
        <v>148</v>
      </c>
      <c r="C779" t="s">
        <v>1186</v>
      </c>
      <c r="D779" t="s">
        <v>27</v>
      </c>
      <c r="F779" t="s">
        <v>8</v>
      </c>
      <c r="G779" t="s">
        <v>910</v>
      </c>
      <c r="H779" t="s">
        <v>150</v>
      </c>
      <c r="I779" t="s">
        <v>2301</v>
      </c>
    </row>
    <row r="780" spans="1:9" x14ac:dyDescent="0.25">
      <c r="A780" t="s">
        <v>4255</v>
      </c>
      <c r="B780" t="s">
        <v>148</v>
      </c>
      <c r="C780" t="s">
        <v>1186</v>
      </c>
      <c r="D780" t="s">
        <v>27</v>
      </c>
      <c r="F780" t="s">
        <v>1331</v>
      </c>
      <c r="G780" t="s">
        <v>910</v>
      </c>
      <c r="H780" t="s">
        <v>226</v>
      </c>
      <c r="I780" t="s">
        <v>2302</v>
      </c>
    </row>
    <row r="781" spans="1:9" x14ac:dyDescent="0.25">
      <c r="A781" t="s">
        <v>3856</v>
      </c>
      <c r="B781" t="s">
        <v>148</v>
      </c>
      <c r="C781" t="s">
        <v>1186</v>
      </c>
      <c r="D781" t="s">
        <v>27</v>
      </c>
      <c r="F781" t="s">
        <v>1293</v>
      </c>
      <c r="G781" t="s">
        <v>910</v>
      </c>
      <c r="H781" t="s">
        <v>494</v>
      </c>
      <c r="I781" t="s">
        <v>2299</v>
      </c>
    </row>
    <row r="782" spans="1:9" x14ac:dyDescent="0.25">
      <c r="A782" t="s">
        <v>2733</v>
      </c>
      <c r="B782" t="s">
        <v>148</v>
      </c>
      <c r="C782" t="s">
        <v>1186</v>
      </c>
      <c r="D782" t="s">
        <v>27</v>
      </c>
      <c r="F782" t="s">
        <v>1221</v>
      </c>
      <c r="G782" t="s">
        <v>910</v>
      </c>
      <c r="H782" t="s">
        <v>1266</v>
      </c>
      <c r="I782" t="s">
        <v>154</v>
      </c>
    </row>
    <row r="783" spans="1:9" x14ac:dyDescent="0.25">
      <c r="A783" t="s">
        <v>1120</v>
      </c>
      <c r="B783" t="s">
        <v>148</v>
      </c>
      <c r="C783" t="s">
        <v>1491</v>
      </c>
      <c r="D783" t="s">
        <v>27</v>
      </c>
      <c r="F783" t="s">
        <v>1229</v>
      </c>
      <c r="G783" t="s">
        <v>910</v>
      </c>
      <c r="H783" t="s">
        <v>1560</v>
      </c>
      <c r="I783" t="s">
        <v>2299</v>
      </c>
    </row>
    <row r="784" spans="1:9" x14ac:dyDescent="0.25">
      <c r="A784" t="s">
        <v>1126</v>
      </c>
      <c r="B784" t="s">
        <v>148</v>
      </c>
      <c r="C784" t="s">
        <v>1491</v>
      </c>
      <c r="D784" t="s">
        <v>27</v>
      </c>
      <c r="F784" t="s">
        <v>1228</v>
      </c>
      <c r="G784" t="s">
        <v>1228</v>
      </c>
      <c r="H784" t="s">
        <v>759</v>
      </c>
      <c r="I784" t="s">
        <v>2303</v>
      </c>
    </row>
    <row r="785" spans="1:9" x14ac:dyDescent="0.25">
      <c r="A785" t="s">
        <v>1128</v>
      </c>
      <c r="B785" t="s">
        <v>148</v>
      </c>
      <c r="C785" t="s">
        <v>1491</v>
      </c>
      <c r="D785" t="s">
        <v>27</v>
      </c>
      <c r="F785" t="s">
        <v>1286</v>
      </c>
      <c r="G785" t="s">
        <v>900</v>
      </c>
      <c r="H785" t="s">
        <v>414</v>
      </c>
      <c r="I785" t="s">
        <v>154</v>
      </c>
    </row>
    <row r="786" spans="1:9" x14ac:dyDescent="0.25">
      <c r="A786" t="s">
        <v>1127</v>
      </c>
      <c r="B786" t="s">
        <v>148</v>
      </c>
      <c r="C786" t="s">
        <v>1491</v>
      </c>
      <c r="D786" t="s">
        <v>27</v>
      </c>
      <c r="F786" t="s">
        <v>1227</v>
      </c>
      <c r="G786" t="s">
        <v>1228</v>
      </c>
      <c r="H786" t="s">
        <v>1266</v>
      </c>
      <c r="I786" t="s">
        <v>2304</v>
      </c>
    </row>
    <row r="787" spans="1:9" x14ac:dyDescent="0.25">
      <c r="A787" t="s">
        <v>1125</v>
      </c>
      <c r="B787" t="s">
        <v>148</v>
      </c>
      <c r="C787" t="s">
        <v>1491</v>
      </c>
      <c r="D787" t="s">
        <v>27</v>
      </c>
      <c r="F787" t="s">
        <v>8</v>
      </c>
      <c r="G787" t="s">
        <v>910</v>
      </c>
      <c r="H787" t="s">
        <v>226</v>
      </c>
      <c r="I787" t="s">
        <v>2301</v>
      </c>
    </row>
    <row r="788" spans="1:9" x14ac:dyDescent="0.25">
      <c r="A788" t="s">
        <v>1129</v>
      </c>
      <c r="B788" t="s">
        <v>148</v>
      </c>
      <c r="C788" t="s">
        <v>1491</v>
      </c>
      <c r="D788" t="s">
        <v>27</v>
      </c>
      <c r="F788" t="s">
        <v>1331</v>
      </c>
      <c r="G788" t="s">
        <v>910</v>
      </c>
      <c r="H788" t="s">
        <v>494</v>
      </c>
      <c r="I788" t="s">
        <v>2302</v>
      </c>
    </row>
    <row r="789" spans="1:9" x14ac:dyDescent="0.25">
      <c r="A789" t="s">
        <v>1130</v>
      </c>
      <c r="B789" t="s">
        <v>148</v>
      </c>
      <c r="C789" t="s">
        <v>1491</v>
      </c>
      <c r="D789" t="s">
        <v>27</v>
      </c>
      <c r="F789" t="s">
        <v>1293</v>
      </c>
      <c r="G789" t="s">
        <v>910</v>
      </c>
      <c r="H789" t="s">
        <v>153</v>
      </c>
      <c r="I789" t="s">
        <v>2299</v>
      </c>
    </row>
    <row r="790" spans="1:9" x14ac:dyDescent="0.25">
      <c r="A790" t="s">
        <v>1131</v>
      </c>
      <c r="B790" t="s">
        <v>148</v>
      </c>
      <c r="C790" t="s">
        <v>1491</v>
      </c>
      <c r="D790" t="s">
        <v>27</v>
      </c>
      <c r="F790" t="s">
        <v>1221</v>
      </c>
      <c r="G790" t="s">
        <v>910</v>
      </c>
      <c r="H790" t="s">
        <v>646</v>
      </c>
      <c r="I790" t="s">
        <v>154</v>
      </c>
    </row>
    <row r="791" spans="1:9" x14ac:dyDescent="0.25">
      <c r="A791" t="s">
        <v>2977</v>
      </c>
      <c r="B791" t="s">
        <v>176</v>
      </c>
      <c r="C791" t="s">
        <v>1180</v>
      </c>
      <c r="F791" t="s">
        <v>1229</v>
      </c>
      <c r="G791" t="s">
        <v>910</v>
      </c>
    </row>
    <row r="792" spans="1:9" x14ac:dyDescent="0.25">
      <c r="A792" t="s">
        <v>3896</v>
      </c>
      <c r="B792" t="s">
        <v>176</v>
      </c>
      <c r="C792" t="s">
        <v>1180</v>
      </c>
      <c r="F792" t="s">
        <v>1331</v>
      </c>
      <c r="G792" t="s">
        <v>910</v>
      </c>
    </row>
    <row r="793" spans="1:9" x14ac:dyDescent="0.25">
      <c r="A793" t="s">
        <v>2976</v>
      </c>
      <c r="B793" t="s">
        <v>176</v>
      </c>
      <c r="C793" t="s">
        <v>1180</v>
      </c>
      <c r="F793" t="s">
        <v>1229</v>
      </c>
      <c r="G793" t="s">
        <v>910</v>
      </c>
      <c r="H793" t="s">
        <v>545</v>
      </c>
      <c r="I793" t="s">
        <v>2286</v>
      </c>
    </row>
    <row r="794" spans="1:9" x14ac:dyDescent="0.25">
      <c r="A794" t="s">
        <v>3895</v>
      </c>
      <c r="B794" t="s">
        <v>176</v>
      </c>
      <c r="C794" t="s">
        <v>1180</v>
      </c>
      <c r="F794" t="s">
        <v>1228</v>
      </c>
      <c r="G794" t="s">
        <v>1228</v>
      </c>
      <c r="H794" t="s">
        <v>545</v>
      </c>
      <c r="I794" t="s">
        <v>2286</v>
      </c>
    </row>
    <row r="795" spans="1:9" x14ac:dyDescent="0.25">
      <c r="A795" t="s">
        <v>3894</v>
      </c>
      <c r="B795" t="s">
        <v>176</v>
      </c>
      <c r="C795" t="s">
        <v>1180</v>
      </c>
      <c r="F795" t="s">
        <v>1286</v>
      </c>
      <c r="G795" t="s">
        <v>900</v>
      </c>
      <c r="H795" t="s">
        <v>472</v>
      </c>
      <c r="I795" t="s">
        <v>2353</v>
      </c>
    </row>
    <row r="796" spans="1:9" x14ac:dyDescent="0.25">
      <c r="A796" t="s">
        <v>3893</v>
      </c>
      <c r="B796" t="s">
        <v>176</v>
      </c>
      <c r="C796" t="s">
        <v>1180</v>
      </c>
      <c r="F796" t="s">
        <v>1227</v>
      </c>
      <c r="G796" t="s">
        <v>1228</v>
      </c>
      <c r="H796" t="s">
        <v>105</v>
      </c>
      <c r="I796" t="s">
        <v>2240</v>
      </c>
    </row>
    <row r="797" spans="1:9" x14ac:dyDescent="0.25">
      <c r="A797" t="s">
        <v>2975</v>
      </c>
      <c r="B797" t="s">
        <v>176</v>
      </c>
      <c r="C797" t="s">
        <v>1180</v>
      </c>
      <c r="F797" t="s">
        <v>8</v>
      </c>
      <c r="G797" t="s">
        <v>910</v>
      </c>
      <c r="H797" t="s">
        <v>545</v>
      </c>
      <c r="I797" t="s">
        <v>2286</v>
      </c>
    </row>
    <row r="798" spans="1:9" x14ac:dyDescent="0.25">
      <c r="A798" t="s">
        <v>2974</v>
      </c>
      <c r="B798" t="s">
        <v>176</v>
      </c>
      <c r="C798" t="s">
        <v>1180</v>
      </c>
      <c r="F798" t="s">
        <v>1331</v>
      </c>
      <c r="G798" t="s">
        <v>910</v>
      </c>
      <c r="H798" t="s">
        <v>545</v>
      </c>
      <c r="I798" t="s">
        <v>2286</v>
      </c>
    </row>
    <row r="799" spans="1:9" x14ac:dyDescent="0.25">
      <c r="A799" t="s">
        <v>3278</v>
      </c>
      <c r="B799" t="s">
        <v>176</v>
      </c>
      <c r="C799" t="s">
        <v>1180</v>
      </c>
      <c r="F799" t="s">
        <v>1333</v>
      </c>
      <c r="G799" t="s">
        <v>900</v>
      </c>
      <c r="H799" t="s">
        <v>105</v>
      </c>
      <c r="I799" t="s">
        <v>2282</v>
      </c>
    </row>
    <row r="800" spans="1:9" x14ac:dyDescent="0.25">
      <c r="A800" t="s">
        <v>3277</v>
      </c>
      <c r="B800" t="s">
        <v>176</v>
      </c>
      <c r="C800" t="s">
        <v>1180</v>
      </c>
      <c r="F800" t="s">
        <v>1293</v>
      </c>
      <c r="G800" t="s">
        <v>910</v>
      </c>
      <c r="H800" t="s">
        <v>545</v>
      </c>
      <c r="I800" t="s">
        <v>2286</v>
      </c>
    </row>
    <row r="801" spans="1:9" x14ac:dyDescent="0.25">
      <c r="A801" t="s">
        <v>4262</v>
      </c>
      <c r="B801" t="s">
        <v>176</v>
      </c>
      <c r="C801" t="s">
        <v>1180</v>
      </c>
      <c r="F801" t="s">
        <v>1221</v>
      </c>
      <c r="G801" t="s">
        <v>910</v>
      </c>
      <c r="H801" t="s">
        <v>545</v>
      </c>
      <c r="I801" t="s">
        <v>2286</v>
      </c>
    </row>
    <row r="802" spans="1:9" x14ac:dyDescent="0.25">
      <c r="A802" t="s">
        <v>1063</v>
      </c>
      <c r="B802" t="s">
        <v>176</v>
      </c>
      <c r="C802" t="s">
        <v>1466</v>
      </c>
      <c r="F802" t="s">
        <v>1229</v>
      </c>
      <c r="G802" t="s">
        <v>910</v>
      </c>
      <c r="H802" t="s">
        <v>1523</v>
      </c>
      <c r="I802" t="s">
        <v>180</v>
      </c>
    </row>
    <row r="803" spans="1:9" x14ac:dyDescent="0.25">
      <c r="A803" t="s">
        <v>1062</v>
      </c>
      <c r="B803" t="s">
        <v>176</v>
      </c>
      <c r="C803" t="s">
        <v>1466</v>
      </c>
      <c r="F803" t="s">
        <v>8</v>
      </c>
      <c r="G803" t="s">
        <v>910</v>
      </c>
      <c r="H803" t="s">
        <v>1523</v>
      </c>
      <c r="I803" t="s">
        <v>180</v>
      </c>
    </row>
    <row r="804" spans="1:9" x14ac:dyDescent="0.25">
      <c r="A804" t="s">
        <v>1153</v>
      </c>
      <c r="B804" t="s">
        <v>176</v>
      </c>
      <c r="C804" t="s">
        <v>1466</v>
      </c>
      <c r="F804" t="s">
        <v>1331</v>
      </c>
      <c r="G804" t="s">
        <v>910</v>
      </c>
      <c r="H804" t="s">
        <v>1523</v>
      </c>
      <c r="I804" t="s">
        <v>180</v>
      </c>
    </row>
    <row r="805" spans="1:9" x14ac:dyDescent="0.25">
      <c r="A805" t="s">
        <v>1045</v>
      </c>
      <c r="B805" t="s">
        <v>176</v>
      </c>
      <c r="C805" t="s">
        <v>1466</v>
      </c>
      <c r="F805" t="s">
        <v>1229</v>
      </c>
      <c r="G805" t="s">
        <v>910</v>
      </c>
      <c r="H805" t="s">
        <v>508</v>
      </c>
      <c r="I805" t="s">
        <v>2080</v>
      </c>
    </row>
    <row r="806" spans="1:9" x14ac:dyDescent="0.25">
      <c r="A806" t="s">
        <v>1047</v>
      </c>
      <c r="B806" t="s">
        <v>176</v>
      </c>
      <c r="C806" t="s">
        <v>1466</v>
      </c>
      <c r="F806" t="s">
        <v>1298</v>
      </c>
      <c r="G806" t="s">
        <v>900</v>
      </c>
      <c r="H806" t="s">
        <v>1515</v>
      </c>
      <c r="I806" t="s">
        <v>2206</v>
      </c>
    </row>
    <row r="807" spans="1:9" x14ac:dyDescent="0.25">
      <c r="A807" t="s">
        <v>1048</v>
      </c>
      <c r="B807" t="s">
        <v>176</v>
      </c>
      <c r="C807" t="s">
        <v>1466</v>
      </c>
      <c r="F807" t="s">
        <v>1228</v>
      </c>
      <c r="G807" t="s">
        <v>1228</v>
      </c>
      <c r="H807" t="s">
        <v>77</v>
      </c>
      <c r="I807" t="s">
        <v>2208</v>
      </c>
    </row>
    <row r="808" spans="1:9" x14ac:dyDescent="0.25">
      <c r="A808" t="s">
        <v>3276</v>
      </c>
      <c r="B808" t="s">
        <v>176</v>
      </c>
      <c r="C808" t="s">
        <v>1466</v>
      </c>
      <c r="F808" t="s">
        <v>1286</v>
      </c>
      <c r="G808" t="s">
        <v>900</v>
      </c>
      <c r="H808" t="s">
        <v>1516</v>
      </c>
      <c r="I808" t="s">
        <v>2207</v>
      </c>
    </row>
    <row r="809" spans="1:9" x14ac:dyDescent="0.25">
      <c r="A809" t="s">
        <v>1049</v>
      </c>
      <c r="B809" t="s">
        <v>176</v>
      </c>
      <c r="C809" t="s">
        <v>1466</v>
      </c>
      <c r="F809" t="s">
        <v>1227</v>
      </c>
      <c r="G809" t="s">
        <v>1228</v>
      </c>
      <c r="H809" t="s">
        <v>1385</v>
      </c>
      <c r="I809" t="s">
        <v>2209</v>
      </c>
    </row>
    <row r="810" spans="1:9" x14ac:dyDescent="0.25">
      <c r="A810" t="s">
        <v>1050</v>
      </c>
      <c r="B810" t="s">
        <v>176</v>
      </c>
      <c r="C810" t="s">
        <v>1466</v>
      </c>
      <c r="F810" t="s">
        <v>8</v>
      </c>
      <c r="G810" t="s">
        <v>910</v>
      </c>
      <c r="H810" t="s">
        <v>1470</v>
      </c>
      <c r="I810" t="s">
        <v>2076</v>
      </c>
    </row>
    <row r="811" spans="1:9" x14ac:dyDescent="0.25">
      <c r="A811" t="s">
        <v>1051</v>
      </c>
      <c r="B811" t="s">
        <v>176</v>
      </c>
      <c r="C811" t="s">
        <v>1466</v>
      </c>
      <c r="F811" t="s">
        <v>1331</v>
      </c>
      <c r="G811" t="s">
        <v>910</v>
      </c>
      <c r="H811" t="s">
        <v>1511</v>
      </c>
      <c r="I811" t="s">
        <v>2211</v>
      </c>
    </row>
    <row r="812" spans="1:9" x14ac:dyDescent="0.25">
      <c r="A812" t="s">
        <v>1053</v>
      </c>
      <c r="B812" t="s">
        <v>176</v>
      </c>
      <c r="C812" t="s">
        <v>1466</v>
      </c>
      <c r="F812" t="s">
        <v>1293</v>
      </c>
      <c r="G812" t="s">
        <v>910</v>
      </c>
      <c r="H812" t="s">
        <v>268</v>
      </c>
      <c r="I812" t="s">
        <v>2216</v>
      </c>
    </row>
    <row r="813" spans="1:9" x14ac:dyDescent="0.25">
      <c r="A813" t="s">
        <v>1052</v>
      </c>
      <c r="B813" t="s">
        <v>176</v>
      </c>
      <c r="C813" t="s">
        <v>1466</v>
      </c>
      <c r="F813" t="s">
        <v>1221</v>
      </c>
      <c r="G813" t="s">
        <v>910</v>
      </c>
      <c r="H813" t="s">
        <v>77</v>
      </c>
      <c r="I813" t="s">
        <v>2081</v>
      </c>
    </row>
    <row r="814" spans="1:9" x14ac:dyDescent="0.25">
      <c r="A814" t="s">
        <v>993</v>
      </c>
      <c r="B814" t="s">
        <v>263</v>
      </c>
      <c r="C814" t="s">
        <v>1186</v>
      </c>
      <c r="D814" t="s">
        <v>27</v>
      </c>
      <c r="F814" t="s">
        <v>1229</v>
      </c>
      <c r="G814" t="s">
        <v>900</v>
      </c>
      <c r="H814" t="s">
        <v>1498</v>
      </c>
      <c r="I814" t="s">
        <v>2129</v>
      </c>
    </row>
    <row r="815" spans="1:9" x14ac:dyDescent="0.25">
      <c r="A815" t="s">
        <v>994</v>
      </c>
      <c r="B815" t="s">
        <v>263</v>
      </c>
      <c r="C815" t="s">
        <v>1186</v>
      </c>
      <c r="D815" t="s">
        <v>27</v>
      </c>
      <c r="F815" t="s">
        <v>1298</v>
      </c>
      <c r="G815" t="s">
        <v>900</v>
      </c>
      <c r="H815" t="s">
        <v>1498</v>
      </c>
      <c r="I815" t="s">
        <v>2129</v>
      </c>
    </row>
    <row r="816" spans="1:9" x14ac:dyDescent="0.25">
      <c r="A816" t="s">
        <v>996</v>
      </c>
      <c r="B816" t="s">
        <v>263</v>
      </c>
      <c r="C816" t="s">
        <v>1186</v>
      </c>
      <c r="D816" t="s">
        <v>27</v>
      </c>
      <c r="F816" t="s">
        <v>1228</v>
      </c>
      <c r="G816" t="s">
        <v>1228</v>
      </c>
      <c r="H816" t="s">
        <v>1498</v>
      </c>
      <c r="I816" t="s">
        <v>2129</v>
      </c>
    </row>
    <row r="817" spans="1:9" x14ac:dyDescent="0.25">
      <c r="A817" t="s">
        <v>999</v>
      </c>
      <c r="B817" t="s">
        <v>263</v>
      </c>
      <c r="C817" t="s">
        <v>1186</v>
      </c>
      <c r="D817" t="s">
        <v>27</v>
      </c>
      <c r="F817" t="s">
        <v>1286</v>
      </c>
      <c r="G817" t="s">
        <v>900</v>
      </c>
      <c r="H817" t="s">
        <v>1498</v>
      </c>
      <c r="I817" t="s">
        <v>2129</v>
      </c>
    </row>
    <row r="818" spans="1:9" x14ac:dyDescent="0.25">
      <c r="A818" t="s">
        <v>995</v>
      </c>
      <c r="B818" t="s">
        <v>263</v>
      </c>
      <c r="C818" t="s">
        <v>1186</v>
      </c>
      <c r="D818" t="s">
        <v>27</v>
      </c>
      <c r="F818" t="s">
        <v>1227</v>
      </c>
      <c r="G818" t="s">
        <v>1228</v>
      </c>
      <c r="H818" t="s">
        <v>1498</v>
      </c>
      <c r="I818" t="s">
        <v>2129</v>
      </c>
    </row>
    <row r="819" spans="1:9" x14ac:dyDescent="0.25">
      <c r="A819" t="s">
        <v>997</v>
      </c>
      <c r="B819" t="s">
        <v>263</v>
      </c>
      <c r="C819" t="s">
        <v>1186</v>
      </c>
      <c r="D819" t="s">
        <v>27</v>
      </c>
      <c r="F819" t="s">
        <v>1331</v>
      </c>
      <c r="G819" t="s">
        <v>900</v>
      </c>
      <c r="H819" t="s">
        <v>1498</v>
      </c>
      <c r="I819" t="s">
        <v>2129</v>
      </c>
    </row>
    <row r="820" spans="1:9" x14ac:dyDescent="0.25">
      <c r="A820" t="s">
        <v>998</v>
      </c>
      <c r="B820" t="s">
        <v>263</v>
      </c>
      <c r="C820" t="s">
        <v>1186</v>
      </c>
      <c r="D820" t="s">
        <v>27</v>
      </c>
      <c r="F820" t="s">
        <v>1333</v>
      </c>
      <c r="G820" t="s">
        <v>900</v>
      </c>
      <c r="H820" t="s">
        <v>1498</v>
      </c>
      <c r="I820" t="s">
        <v>2129</v>
      </c>
    </row>
    <row r="821" spans="1:9" x14ac:dyDescent="0.25">
      <c r="A821" t="s">
        <v>1001</v>
      </c>
      <c r="B821" t="s">
        <v>263</v>
      </c>
      <c r="C821" t="s">
        <v>1186</v>
      </c>
      <c r="D821" t="s">
        <v>27</v>
      </c>
      <c r="F821" t="s">
        <v>1293</v>
      </c>
      <c r="G821" t="s">
        <v>900</v>
      </c>
      <c r="H821" t="s">
        <v>1498</v>
      </c>
      <c r="I821" t="s">
        <v>2129</v>
      </c>
    </row>
    <row r="822" spans="1:9" x14ac:dyDescent="0.25">
      <c r="A822" t="s">
        <v>1000</v>
      </c>
      <c r="B822" t="s">
        <v>263</v>
      </c>
      <c r="C822" t="s">
        <v>1186</v>
      </c>
      <c r="D822" t="s">
        <v>27</v>
      </c>
      <c r="F822" t="s">
        <v>1221</v>
      </c>
      <c r="G822" t="s">
        <v>900</v>
      </c>
      <c r="H822" t="s">
        <v>1498</v>
      </c>
      <c r="I822" t="s">
        <v>2129</v>
      </c>
    </row>
    <row r="823" spans="1:9" x14ac:dyDescent="0.25">
      <c r="A823" t="s">
        <v>1110</v>
      </c>
      <c r="B823" t="s">
        <v>263</v>
      </c>
      <c r="C823" t="s">
        <v>1491</v>
      </c>
      <c r="D823" t="s">
        <v>27</v>
      </c>
      <c r="F823" t="s">
        <v>1229</v>
      </c>
      <c r="G823" t="s">
        <v>900</v>
      </c>
      <c r="H823" t="s">
        <v>1437</v>
      </c>
      <c r="I823" t="s">
        <v>2129</v>
      </c>
    </row>
    <row r="824" spans="1:9" x14ac:dyDescent="0.25">
      <c r="A824" t="s">
        <v>1111</v>
      </c>
      <c r="B824" t="s">
        <v>263</v>
      </c>
      <c r="C824" t="s">
        <v>1491</v>
      </c>
      <c r="D824" t="s">
        <v>27</v>
      </c>
      <c r="F824" t="s">
        <v>1298</v>
      </c>
      <c r="G824" t="s">
        <v>900</v>
      </c>
      <c r="H824" t="s">
        <v>508</v>
      </c>
      <c r="I824" t="s">
        <v>2287</v>
      </c>
    </row>
    <row r="825" spans="1:9" x14ac:dyDescent="0.25">
      <c r="A825" t="s">
        <v>1112</v>
      </c>
      <c r="B825" t="s">
        <v>263</v>
      </c>
      <c r="C825" t="s">
        <v>1491</v>
      </c>
      <c r="D825" t="s">
        <v>27</v>
      </c>
      <c r="F825" t="s">
        <v>1228</v>
      </c>
      <c r="G825" t="s">
        <v>1228</v>
      </c>
      <c r="H825" t="s">
        <v>246</v>
      </c>
      <c r="I825" t="s">
        <v>2288</v>
      </c>
    </row>
    <row r="826" spans="1:9" x14ac:dyDescent="0.25">
      <c r="A826" t="s">
        <v>1114</v>
      </c>
      <c r="B826" t="s">
        <v>263</v>
      </c>
      <c r="C826" t="s">
        <v>1491</v>
      </c>
      <c r="D826" t="s">
        <v>27</v>
      </c>
      <c r="F826" t="s">
        <v>1286</v>
      </c>
      <c r="G826" t="s">
        <v>900</v>
      </c>
      <c r="H826" t="s">
        <v>96</v>
      </c>
      <c r="I826" t="s">
        <v>2287</v>
      </c>
    </row>
    <row r="827" spans="1:9" x14ac:dyDescent="0.25">
      <c r="A827" t="s">
        <v>1113</v>
      </c>
      <c r="B827" t="s">
        <v>263</v>
      </c>
      <c r="C827" t="s">
        <v>1491</v>
      </c>
      <c r="D827" t="s">
        <v>27</v>
      </c>
      <c r="F827" t="s">
        <v>1227</v>
      </c>
      <c r="G827" t="s">
        <v>1228</v>
      </c>
      <c r="H827" t="s">
        <v>508</v>
      </c>
      <c r="I827" t="s">
        <v>2289</v>
      </c>
    </row>
    <row r="828" spans="1:9" x14ac:dyDescent="0.25">
      <c r="A828" t="s">
        <v>1115</v>
      </c>
      <c r="B828" t="s">
        <v>263</v>
      </c>
      <c r="C828" t="s">
        <v>1491</v>
      </c>
      <c r="D828" t="s">
        <v>27</v>
      </c>
      <c r="F828" t="s">
        <v>8</v>
      </c>
      <c r="G828" t="s">
        <v>900</v>
      </c>
      <c r="H828" t="s">
        <v>726</v>
      </c>
      <c r="I828" t="s">
        <v>2290</v>
      </c>
    </row>
    <row r="829" spans="1:9" x14ac:dyDescent="0.25">
      <c r="A829" t="s">
        <v>3892</v>
      </c>
      <c r="B829" t="s">
        <v>263</v>
      </c>
      <c r="C829" t="s">
        <v>1491</v>
      </c>
      <c r="D829" t="s">
        <v>27</v>
      </c>
      <c r="F829" t="s">
        <v>1333</v>
      </c>
      <c r="G829" t="s">
        <v>900</v>
      </c>
      <c r="H829" t="s">
        <v>268</v>
      </c>
      <c r="I829" t="s">
        <v>2291</v>
      </c>
    </row>
    <row r="830" spans="1:9" x14ac:dyDescent="0.25">
      <c r="A830" t="s">
        <v>1117</v>
      </c>
      <c r="B830" t="s">
        <v>263</v>
      </c>
      <c r="C830" t="s">
        <v>1491</v>
      </c>
      <c r="D830" t="s">
        <v>27</v>
      </c>
      <c r="F830" t="s">
        <v>1293</v>
      </c>
      <c r="G830" t="s">
        <v>900</v>
      </c>
      <c r="H830" t="s">
        <v>356</v>
      </c>
      <c r="I830" t="s">
        <v>2293</v>
      </c>
    </row>
    <row r="831" spans="1:9" x14ac:dyDescent="0.25">
      <c r="A831" t="s">
        <v>1116</v>
      </c>
      <c r="B831" t="s">
        <v>263</v>
      </c>
      <c r="C831" t="s">
        <v>1491</v>
      </c>
      <c r="D831" t="s">
        <v>27</v>
      </c>
      <c r="F831" t="s">
        <v>1221</v>
      </c>
      <c r="G831" t="s">
        <v>900</v>
      </c>
      <c r="H831" t="s">
        <v>508</v>
      </c>
      <c r="I831" t="s">
        <v>2292</v>
      </c>
    </row>
    <row r="832" spans="1:9" x14ac:dyDescent="0.25">
      <c r="A832" t="s">
        <v>3890</v>
      </c>
      <c r="B832" t="s">
        <v>263</v>
      </c>
      <c r="C832" t="s">
        <v>1487</v>
      </c>
      <c r="D832" t="s">
        <v>27</v>
      </c>
      <c r="F832" t="s">
        <v>1229</v>
      </c>
      <c r="G832" t="s">
        <v>910</v>
      </c>
      <c r="H832" t="s">
        <v>612</v>
      </c>
      <c r="I832" t="s">
        <v>3891</v>
      </c>
    </row>
    <row r="833" spans="1:9" x14ac:dyDescent="0.25">
      <c r="A833" t="s">
        <v>3889</v>
      </c>
      <c r="B833" t="s">
        <v>263</v>
      </c>
      <c r="C833" t="s">
        <v>1487</v>
      </c>
      <c r="D833" t="s">
        <v>27</v>
      </c>
      <c r="F833" t="s">
        <v>1298</v>
      </c>
      <c r="G833" t="s">
        <v>900</v>
      </c>
      <c r="H833" t="s">
        <v>64</v>
      </c>
      <c r="I833" t="s">
        <v>2225</v>
      </c>
    </row>
    <row r="834" spans="1:9" x14ac:dyDescent="0.25">
      <c r="A834" t="s">
        <v>3286</v>
      </c>
      <c r="B834" t="s">
        <v>263</v>
      </c>
      <c r="C834" t="s">
        <v>1487</v>
      </c>
      <c r="D834" t="s">
        <v>27</v>
      </c>
      <c r="F834" t="s">
        <v>8</v>
      </c>
      <c r="G834" t="s">
        <v>910</v>
      </c>
      <c r="H834" t="s">
        <v>1254</v>
      </c>
      <c r="I834" t="s">
        <v>2227</v>
      </c>
    </row>
    <row r="835" spans="1:9" x14ac:dyDescent="0.25">
      <c r="A835" t="s">
        <v>3285</v>
      </c>
      <c r="B835" t="s">
        <v>263</v>
      </c>
      <c r="C835" t="s">
        <v>1487</v>
      </c>
      <c r="D835" t="s">
        <v>27</v>
      </c>
      <c r="F835" t="s">
        <v>1221</v>
      </c>
      <c r="G835" t="s">
        <v>910</v>
      </c>
      <c r="H835" t="s">
        <v>64</v>
      </c>
      <c r="I835" t="s">
        <v>2226</v>
      </c>
    </row>
    <row r="836" spans="1:9" x14ac:dyDescent="0.25">
      <c r="A836" t="s">
        <v>2973</v>
      </c>
      <c r="B836" t="s">
        <v>441</v>
      </c>
      <c r="C836" t="s">
        <v>1183</v>
      </c>
      <c r="D836" t="s">
        <v>27</v>
      </c>
      <c r="F836" t="s">
        <v>1229</v>
      </c>
      <c r="G836" t="s">
        <v>910</v>
      </c>
      <c r="H836" t="s">
        <v>1582</v>
      </c>
      <c r="I836" t="s">
        <v>453</v>
      </c>
    </row>
    <row r="837" spans="1:9" x14ac:dyDescent="0.25">
      <c r="A837" t="s">
        <v>3284</v>
      </c>
      <c r="B837" t="s">
        <v>441</v>
      </c>
      <c r="C837" t="s">
        <v>1183</v>
      </c>
      <c r="D837" t="s">
        <v>27</v>
      </c>
      <c r="F837" t="s">
        <v>1298</v>
      </c>
      <c r="G837" t="s">
        <v>900</v>
      </c>
      <c r="H837" t="s">
        <v>794</v>
      </c>
      <c r="I837" t="s">
        <v>2041</v>
      </c>
    </row>
    <row r="838" spans="1:9" x14ac:dyDescent="0.25">
      <c r="A838" t="s">
        <v>3283</v>
      </c>
      <c r="B838" t="s">
        <v>441</v>
      </c>
      <c r="C838" t="s">
        <v>1183</v>
      </c>
      <c r="D838" t="s">
        <v>27</v>
      </c>
      <c r="F838" t="s">
        <v>1228</v>
      </c>
      <c r="G838" t="s">
        <v>1228</v>
      </c>
      <c r="H838" t="s">
        <v>612</v>
      </c>
      <c r="I838" t="s">
        <v>2044</v>
      </c>
    </row>
    <row r="839" spans="1:9" x14ac:dyDescent="0.25">
      <c r="A839" t="s">
        <v>3282</v>
      </c>
      <c r="B839" t="s">
        <v>441</v>
      </c>
      <c r="C839" t="s">
        <v>1183</v>
      </c>
      <c r="D839" t="s">
        <v>27</v>
      </c>
      <c r="F839" t="s">
        <v>1286</v>
      </c>
      <c r="G839" t="s">
        <v>900</v>
      </c>
      <c r="H839" t="s">
        <v>278</v>
      </c>
      <c r="I839" t="s">
        <v>2042</v>
      </c>
    </row>
    <row r="840" spans="1:9" x14ac:dyDescent="0.25">
      <c r="A840" t="s">
        <v>3281</v>
      </c>
      <c r="B840" t="s">
        <v>441</v>
      </c>
      <c r="C840" t="s">
        <v>1183</v>
      </c>
      <c r="D840" t="s">
        <v>27</v>
      </c>
      <c r="F840" t="s">
        <v>1227</v>
      </c>
      <c r="G840" t="s">
        <v>1228</v>
      </c>
      <c r="H840" t="s">
        <v>23</v>
      </c>
      <c r="I840" t="s">
        <v>2045</v>
      </c>
    </row>
    <row r="841" spans="1:9" x14ac:dyDescent="0.25">
      <c r="A841" t="s">
        <v>2972</v>
      </c>
      <c r="B841" t="s">
        <v>441</v>
      </c>
      <c r="C841" t="s">
        <v>1183</v>
      </c>
      <c r="D841" t="s">
        <v>27</v>
      </c>
      <c r="F841" t="s">
        <v>8</v>
      </c>
      <c r="G841" t="s">
        <v>910</v>
      </c>
      <c r="H841" t="s">
        <v>448</v>
      </c>
      <c r="I841" t="s">
        <v>449</v>
      </c>
    </row>
    <row r="842" spans="1:9" x14ac:dyDescent="0.25">
      <c r="A842" t="s">
        <v>4261</v>
      </c>
      <c r="B842" t="s">
        <v>441</v>
      </c>
      <c r="C842" t="s">
        <v>1183</v>
      </c>
      <c r="D842" t="s">
        <v>27</v>
      </c>
      <c r="F842" t="s">
        <v>1331</v>
      </c>
      <c r="G842" t="s">
        <v>910</v>
      </c>
      <c r="H842" t="s">
        <v>1583</v>
      </c>
      <c r="I842" t="s">
        <v>2290</v>
      </c>
    </row>
    <row r="843" spans="1:9" x14ac:dyDescent="0.25">
      <c r="A843" t="s">
        <v>3280</v>
      </c>
      <c r="B843" t="s">
        <v>441</v>
      </c>
      <c r="C843" t="s">
        <v>1183</v>
      </c>
      <c r="D843" t="s">
        <v>27</v>
      </c>
      <c r="F843" t="s">
        <v>1333</v>
      </c>
      <c r="G843" t="s">
        <v>900</v>
      </c>
      <c r="H843" t="s">
        <v>1254</v>
      </c>
      <c r="I843" t="s">
        <v>2043</v>
      </c>
    </row>
    <row r="844" spans="1:9" x14ac:dyDescent="0.25">
      <c r="A844" t="s">
        <v>3279</v>
      </c>
      <c r="B844" t="s">
        <v>441</v>
      </c>
      <c r="C844" t="s">
        <v>1183</v>
      </c>
      <c r="D844" t="s">
        <v>27</v>
      </c>
      <c r="F844" t="s">
        <v>1293</v>
      </c>
      <c r="G844" t="s">
        <v>910</v>
      </c>
      <c r="H844" t="s">
        <v>452</v>
      </c>
      <c r="I844" t="s">
        <v>2360</v>
      </c>
    </row>
    <row r="845" spans="1:9" x14ac:dyDescent="0.25">
      <c r="A845" t="s">
        <v>2692</v>
      </c>
      <c r="B845" t="s">
        <v>441</v>
      </c>
      <c r="C845" t="s">
        <v>1183</v>
      </c>
      <c r="D845" t="s">
        <v>27</v>
      </c>
      <c r="F845" t="s">
        <v>1221</v>
      </c>
      <c r="G845" t="s">
        <v>910</v>
      </c>
      <c r="H845" t="s">
        <v>794</v>
      </c>
      <c r="I845" t="s">
        <v>2361</v>
      </c>
    </row>
    <row r="846" spans="1:9" x14ac:dyDescent="0.25">
      <c r="A846" t="s">
        <v>968</v>
      </c>
      <c r="B846" t="s">
        <v>441</v>
      </c>
      <c r="C846" t="s">
        <v>1202</v>
      </c>
      <c r="D846" t="s">
        <v>27</v>
      </c>
      <c r="F846" t="s">
        <v>1229</v>
      </c>
      <c r="G846" t="s">
        <v>910</v>
      </c>
      <c r="H846" t="s">
        <v>1280</v>
      </c>
      <c r="I846" t="s">
        <v>453</v>
      </c>
    </row>
    <row r="847" spans="1:9" x14ac:dyDescent="0.25">
      <c r="A847" t="s">
        <v>969</v>
      </c>
      <c r="B847" t="s">
        <v>441</v>
      </c>
      <c r="C847" t="s">
        <v>1202</v>
      </c>
      <c r="D847" t="s">
        <v>27</v>
      </c>
      <c r="F847" t="s">
        <v>1298</v>
      </c>
      <c r="G847" t="s">
        <v>900</v>
      </c>
      <c r="H847" t="s">
        <v>1458</v>
      </c>
      <c r="I847" t="s">
        <v>2041</v>
      </c>
    </row>
    <row r="848" spans="1:9" x14ac:dyDescent="0.25">
      <c r="A848" t="s">
        <v>972</v>
      </c>
      <c r="B848" t="s">
        <v>441</v>
      </c>
      <c r="C848" t="s">
        <v>1202</v>
      </c>
      <c r="D848" t="s">
        <v>27</v>
      </c>
      <c r="F848" t="s">
        <v>1228</v>
      </c>
      <c r="G848" t="s">
        <v>1228</v>
      </c>
      <c r="H848" t="s">
        <v>1461</v>
      </c>
      <c r="I848" t="s">
        <v>2044</v>
      </c>
    </row>
    <row r="849" spans="1:9" x14ac:dyDescent="0.25">
      <c r="A849" t="s">
        <v>970</v>
      </c>
      <c r="B849" t="s">
        <v>441</v>
      </c>
      <c r="C849" t="s">
        <v>1202</v>
      </c>
      <c r="D849" t="s">
        <v>27</v>
      </c>
      <c r="F849" t="s">
        <v>1286</v>
      </c>
      <c r="G849" t="s">
        <v>900</v>
      </c>
      <c r="H849" t="s">
        <v>1459</v>
      </c>
      <c r="I849" t="s">
        <v>2042</v>
      </c>
    </row>
    <row r="850" spans="1:9" x14ac:dyDescent="0.25">
      <c r="A850" t="s">
        <v>973</v>
      </c>
      <c r="B850" t="s">
        <v>441</v>
      </c>
      <c r="C850" t="s">
        <v>1202</v>
      </c>
      <c r="D850" t="s">
        <v>27</v>
      </c>
      <c r="F850" t="s">
        <v>1227</v>
      </c>
      <c r="G850" t="s">
        <v>1228</v>
      </c>
      <c r="H850" t="s">
        <v>1462</v>
      </c>
      <c r="I850" t="s">
        <v>2045</v>
      </c>
    </row>
    <row r="851" spans="1:9" x14ac:dyDescent="0.25">
      <c r="A851" t="s">
        <v>967</v>
      </c>
      <c r="B851" t="s">
        <v>441</v>
      </c>
      <c r="C851" t="s">
        <v>1202</v>
      </c>
      <c r="D851" t="s">
        <v>27</v>
      </c>
      <c r="F851" t="s">
        <v>8</v>
      </c>
      <c r="G851" t="s">
        <v>910</v>
      </c>
      <c r="H851" t="s">
        <v>1457</v>
      </c>
      <c r="I851" t="s">
        <v>449</v>
      </c>
    </row>
    <row r="852" spans="1:9" x14ac:dyDescent="0.25">
      <c r="A852" t="s">
        <v>1156</v>
      </c>
      <c r="B852" t="s">
        <v>441</v>
      </c>
      <c r="C852" t="s">
        <v>1202</v>
      </c>
      <c r="D852" t="s">
        <v>27</v>
      </c>
      <c r="F852" t="s">
        <v>1331</v>
      </c>
      <c r="G852" t="s">
        <v>910</v>
      </c>
      <c r="H852" t="s">
        <v>837</v>
      </c>
      <c r="I852" t="s">
        <v>2290</v>
      </c>
    </row>
    <row r="853" spans="1:9" x14ac:dyDescent="0.25">
      <c r="A853" t="s">
        <v>971</v>
      </c>
      <c r="B853" t="s">
        <v>441</v>
      </c>
      <c r="C853" t="s">
        <v>1202</v>
      </c>
      <c r="D853" t="s">
        <v>27</v>
      </c>
      <c r="F853" t="s">
        <v>1333</v>
      </c>
      <c r="G853" t="s">
        <v>900</v>
      </c>
      <c r="H853" t="s">
        <v>1460</v>
      </c>
      <c r="I853" t="s">
        <v>2043</v>
      </c>
    </row>
    <row r="854" spans="1:9" x14ac:dyDescent="0.25">
      <c r="A854" t="s">
        <v>1155</v>
      </c>
      <c r="B854" t="s">
        <v>441</v>
      </c>
      <c r="C854" t="s">
        <v>1202</v>
      </c>
      <c r="D854" t="s">
        <v>27</v>
      </c>
      <c r="F854" t="s">
        <v>1293</v>
      </c>
      <c r="G854" t="s">
        <v>910</v>
      </c>
      <c r="H854" t="s">
        <v>1280</v>
      </c>
      <c r="I854" t="s">
        <v>2360</v>
      </c>
    </row>
    <row r="855" spans="1:9" x14ac:dyDescent="0.25">
      <c r="A855" t="s">
        <v>2971</v>
      </c>
      <c r="B855" t="s">
        <v>441</v>
      </c>
      <c r="C855" t="s">
        <v>1202</v>
      </c>
      <c r="D855" t="s">
        <v>27</v>
      </c>
      <c r="F855" t="s">
        <v>1221</v>
      </c>
      <c r="G855" t="s">
        <v>910</v>
      </c>
      <c r="H855" t="s">
        <v>1458</v>
      </c>
      <c r="I855" t="s">
        <v>2361</v>
      </c>
    </row>
    <row r="856" spans="1:9" x14ac:dyDescent="0.25">
      <c r="A856" t="s">
        <v>3888</v>
      </c>
      <c r="B856" t="s">
        <v>459</v>
      </c>
      <c r="C856" t="s">
        <v>1191</v>
      </c>
      <c r="D856" t="s">
        <v>91</v>
      </c>
      <c r="F856" t="s">
        <v>1298</v>
      </c>
      <c r="G856" t="s">
        <v>900</v>
      </c>
      <c r="H856" t="s">
        <v>1402</v>
      </c>
      <c r="I856" t="s">
        <v>1912</v>
      </c>
    </row>
    <row r="857" spans="1:9" x14ac:dyDescent="0.25">
      <c r="A857" t="s">
        <v>3887</v>
      </c>
      <c r="B857" t="s">
        <v>459</v>
      </c>
      <c r="C857" t="s">
        <v>1191</v>
      </c>
      <c r="D857" t="s">
        <v>91</v>
      </c>
      <c r="F857" t="s">
        <v>1298</v>
      </c>
      <c r="G857" t="s">
        <v>900</v>
      </c>
      <c r="H857" t="s">
        <v>1402</v>
      </c>
      <c r="I857" t="s">
        <v>1912</v>
      </c>
    </row>
    <row r="858" spans="1:9" x14ac:dyDescent="0.25">
      <c r="A858" t="s">
        <v>2970</v>
      </c>
      <c r="B858" t="s">
        <v>459</v>
      </c>
      <c r="C858" t="s">
        <v>1191</v>
      </c>
      <c r="D858" t="s">
        <v>91</v>
      </c>
      <c r="F858" t="s">
        <v>1286</v>
      </c>
      <c r="G858" t="s">
        <v>900</v>
      </c>
      <c r="H858" t="s">
        <v>265</v>
      </c>
      <c r="I858" t="s">
        <v>1913</v>
      </c>
    </row>
    <row r="859" spans="1:9" x14ac:dyDescent="0.25">
      <c r="A859" t="s">
        <v>2969</v>
      </c>
      <c r="B859" t="s">
        <v>459</v>
      </c>
      <c r="C859" t="s">
        <v>1191</v>
      </c>
      <c r="D859" t="s">
        <v>91</v>
      </c>
      <c r="F859" t="s">
        <v>1286</v>
      </c>
      <c r="G859" t="s">
        <v>900</v>
      </c>
      <c r="H859" t="s">
        <v>265</v>
      </c>
      <c r="I859" t="s">
        <v>1913</v>
      </c>
    </row>
    <row r="860" spans="1:9" x14ac:dyDescent="0.25">
      <c r="A860" t="s">
        <v>2968</v>
      </c>
      <c r="B860" t="s">
        <v>459</v>
      </c>
      <c r="C860" t="s">
        <v>1191</v>
      </c>
      <c r="D860" t="s">
        <v>91</v>
      </c>
      <c r="F860" t="s">
        <v>1227</v>
      </c>
      <c r="G860" t="s">
        <v>1228</v>
      </c>
      <c r="H860" t="s">
        <v>1401</v>
      </c>
      <c r="I860" t="s">
        <v>1911</v>
      </c>
    </row>
    <row r="861" spans="1:9" x14ac:dyDescent="0.25">
      <c r="A861" t="s">
        <v>3886</v>
      </c>
      <c r="B861" t="s">
        <v>459</v>
      </c>
      <c r="C861" t="s">
        <v>1191</v>
      </c>
      <c r="D861" t="s">
        <v>91</v>
      </c>
      <c r="F861" t="s">
        <v>1227</v>
      </c>
      <c r="G861" t="s">
        <v>1228</v>
      </c>
      <c r="H861" t="s">
        <v>1401</v>
      </c>
      <c r="I861" t="s">
        <v>1911</v>
      </c>
    </row>
    <row r="862" spans="1:9" x14ac:dyDescent="0.25">
      <c r="A862" t="s">
        <v>2754</v>
      </c>
      <c r="B862" t="s">
        <v>459</v>
      </c>
      <c r="C862" t="s">
        <v>1191</v>
      </c>
      <c r="D862" t="s">
        <v>91</v>
      </c>
      <c r="F862" t="s">
        <v>1221</v>
      </c>
      <c r="G862" t="s">
        <v>900</v>
      </c>
      <c r="H862" t="s">
        <v>1402</v>
      </c>
      <c r="I862" t="s">
        <v>1914</v>
      </c>
    </row>
    <row r="863" spans="1:9" x14ac:dyDescent="0.25">
      <c r="A863" t="s">
        <v>3885</v>
      </c>
      <c r="B863" t="s">
        <v>459</v>
      </c>
      <c r="C863" t="s">
        <v>1191</v>
      </c>
      <c r="D863" t="s">
        <v>91</v>
      </c>
      <c r="F863" t="s">
        <v>1221</v>
      </c>
      <c r="G863" t="s">
        <v>900</v>
      </c>
      <c r="H863" t="s">
        <v>1402</v>
      </c>
      <c r="I863" t="s">
        <v>1914</v>
      </c>
    </row>
    <row r="864" spans="1:9" x14ac:dyDescent="0.25">
      <c r="A864" t="s">
        <v>980</v>
      </c>
      <c r="B864" t="s">
        <v>459</v>
      </c>
      <c r="C864" t="s">
        <v>1465</v>
      </c>
      <c r="D864" t="s">
        <v>91</v>
      </c>
      <c r="F864" t="s">
        <v>1286</v>
      </c>
      <c r="G864" t="s">
        <v>900</v>
      </c>
      <c r="H864" t="s">
        <v>45</v>
      </c>
      <c r="I864" t="s">
        <v>2067</v>
      </c>
    </row>
    <row r="865" spans="1:9" x14ac:dyDescent="0.25">
      <c r="A865" t="s">
        <v>981</v>
      </c>
      <c r="B865" t="s">
        <v>459</v>
      </c>
      <c r="C865" t="s">
        <v>1465</v>
      </c>
      <c r="D865" t="s">
        <v>91</v>
      </c>
      <c r="F865" t="s">
        <v>1227</v>
      </c>
      <c r="G865" t="s">
        <v>1228</v>
      </c>
      <c r="H865" t="s">
        <v>716</v>
      </c>
      <c r="I865" t="s">
        <v>2068</v>
      </c>
    </row>
    <row r="866" spans="1:9" x14ac:dyDescent="0.25">
      <c r="A866" t="s">
        <v>982</v>
      </c>
      <c r="B866" t="s">
        <v>459</v>
      </c>
      <c r="C866" t="s">
        <v>1465</v>
      </c>
      <c r="D866" t="s">
        <v>91</v>
      </c>
      <c r="F866" t="s">
        <v>1221</v>
      </c>
      <c r="G866" t="s">
        <v>900</v>
      </c>
      <c r="H866" t="s">
        <v>265</v>
      </c>
      <c r="I866" t="s">
        <v>2069</v>
      </c>
    </row>
    <row r="867" spans="1:9" x14ac:dyDescent="0.25">
      <c r="A867" t="s">
        <v>4260</v>
      </c>
      <c r="B867" t="s">
        <v>505</v>
      </c>
      <c r="C867" t="s">
        <v>1191</v>
      </c>
      <c r="D867" t="s">
        <v>27</v>
      </c>
      <c r="F867" t="s">
        <v>1229</v>
      </c>
      <c r="G867" t="s">
        <v>910</v>
      </c>
      <c r="H867" t="s">
        <v>726</v>
      </c>
      <c r="I867" t="s">
        <v>364</v>
      </c>
    </row>
    <row r="868" spans="1:9" x14ac:dyDescent="0.25">
      <c r="A868" t="s">
        <v>3884</v>
      </c>
      <c r="B868" t="s">
        <v>505</v>
      </c>
      <c r="C868" t="s">
        <v>1191</v>
      </c>
      <c r="D868" t="s">
        <v>27</v>
      </c>
      <c r="F868" t="s">
        <v>1298</v>
      </c>
      <c r="G868" t="s">
        <v>900</v>
      </c>
      <c r="H868" t="s">
        <v>726</v>
      </c>
      <c r="I868" t="s">
        <v>2048</v>
      </c>
    </row>
    <row r="869" spans="1:9" x14ac:dyDescent="0.25">
      <c r="A869" t="s">
        <v>3883</v>
      </c>
      <c r="B869" t="s">
        <v>505</v>
      </c>
      <c r="C869" t="s">
        <v>1191</v>
      </c>
      <c r="D869" t="s">
        <v>27</v>
      </c>
      <c r="F869" t="s">
        <v>1228</v>
      </c>
      <c r="G869" t="s">
        <v>1228</v>
      </c>
      <c r="H869" t="s">
        <v>726</v>
      </c>
      <c r="I869" t="s">
        <v>364</v>
      </c>
    </row>
    <row r="870" spans="1:9" x14ac:dyDescent="0.25">
      <c r="A870" t="s">
        <v>3882</v>
      </c>
      <c r="B870" t="s">
        <v>505</v>
      </c>
      <c r="C870" t="s">
        <v>1191</v>
      </c>
      <c r="D870" t="s">
        <v>27</v>
      </c>
      <c r="F870" t="s">
        <v>1286</v>
      </c>
      <c r="G870" t="s">
        <v>1228</v>
      </c>
      <c r="H870" t="s">
        <v>339</v>
      </c>
      <c r="I870" t="s">
        <v>2185</v>
      </c>
    </row>
    <row r="871" spans="1:9" x14ac:dyDescent="0.25">
      <c r="A871" t="s">
        <v>3881</v>
      </c>
      <c r="B871" t="s">
        <v>505</v>
      </c>
      <c r="C871" t="s">
        <v>1191</v>
      </c>
      <c r="D871" t="s">
        <v>27</v>
      </c>
      <c r="F871" t="s">
        <v>1227</v>
      </c>
      <c r="G871" t="s">
        <v>1228</v>
      </c>
      <c r="H871" t="s">
        <v>356</v>
      </c>
      <c r="I871" t="s">
        <v>2257</v>
      </c>
    </row>
    <row r="872" spans="1:9" x14ac:dyDescent="0.25">
      <c r="A872" t="s">
        <v>4140</v>
      </c>
      <c r="B872" t="s">
        <v>505</v>
      </c>
      <c r="C872" t="s">
        <v>1191</v>
      </c>
      <c r="D872" t="s">
        <v>27</v>
      </c>
      <c r="F872" t="s">
        <v>8</v>
      </c>
      <c r="G872" t="s">
        <v>910</v>
      </c>
      <c r="H872" t="s">
        <v>726</v>
      </c>
      <c r="I872" t="s">
        <v>364</v>
      </c>
    </row>
    <row r="873" spans="1:9" x14ac:dyDescent="0.25">
      <c r="A873" t="s">
        <v>3880</v>
      </c>
      <c r="B873" t="s">
        <v>505</v>
      </c>
      <c r="C873" t="s">
        <v>1191</v>
      </c>
      <c r="D873" t="s">
        <v>27</v>
      </c>
      <c r="F873" t="s">
        <v>1331</v>
      </c>
      <c r="G873" t="s">
        <v>910</v>
      </c>
      <c r="H873" t="s">
        <v>726</v>
      </c>
      <c r="I873" t="s">
        <v>364</v>
      </c>
    </row>
    <row r="874" spans="1:9" x14ac:dyDescent="0.25">
      <c r="A874" t="s">
        <v>3879</v>
      </c>
      <c r="B874" t="s">
        <v>505</v>
      </c>
      <c r="C874" t="s">
        <v>1191</v>
      </c>
      <c r="D874" t="s">
        <v>27</v>
      </c>
      <c r="F874" t="s">
        <v>1333</v>
      </c>
      <c r="G874" t="s">
        <v>900</v>
      </c>
      <c r="H874" t="s">
        <v>726</v>
      </c>
      <c r="I874" t="s">
        <v>364</v>
      </c>
    </row>
    <row r="875" spans="1:9" x14ac:dyDescent="0.25">
      <c r="A875" t="s">
        <v>4139</v>
      </c>
      <c r="B875" t="s">
        <v>505</v>
      </c>
      <c r="C875" t="s">
        <v>1191</v>
      </c>
      <c r="D875" t="s">
        <v>27</v>
      </c>
      <c r="F875" t="s">
        <v>1293</v>
      </c>
      <c r="G875" t="s">
        <v>910</v>
      </c>
      <c r="H875" t="s">
        <v>726</v>
      </c>
      <c r="I875" t="s">
        <v>364</v>
      </c>
    </row>
    <row r="876" spans="1:9" x14ac:dyDescent="0.25">
      <c r="A876" t="s">
        <v>3878</v>
      </c>
      <c r="B876" t="s">
        <v>505</v>
      </c>
      <c r="C876" t="s">
        <v>1191</v>
      </c>
      <c r="D876" t="s">
        <v>27</v>
      </c>
      <c r="F876" t="s">
        <v>1221</v>
      </c>
      <c r="G876" t="s">
        <v>900</v>
      </c>
      <c r="H876" t="s">
        <v>726</v>
      </c>
      <c r="I876" t="s">
        <v>364</v>
      </c>
    </row>
    <row r="877" spans="1:9" x14ac:dyDescent="0.25">
      <c r="A877" t="s">
        <v>1064</v>
      </c>
      <c r="B877" t="s">
        <v>505</v>
      </c>
      <c r="C877" t="s">
        <v>1465</v>
      </c>
      <c r="D877" t="s">
        <v>27</v>
      </c>
      <c r="F877" t="s">
        <v>8</v>
      </c>
      <c r="G877" t="s">
        <v>910</v>
      </c>
      <c r="H877" t="s">
        <v>242</v>
      </c>
      <c r="I877" t="s">
        <v>519</v>
      </c>
    </row>
    <row r="878" spans="1:9" x14ac:dyDescent="0.25">
      <c r="A878" t="s">
        <v>1068</v>
      </c>
      <c r="B878" t="s">
        <v>505</v>
      </c>
      <c r="C878" t="s">
        <v>1465</v>
      </c>
      <c r="D878" t="s">
        <v>27</v>
      </c>
      <c r="F878" t="s">
        <v>1229</v>
      </c>
      <c r="G878" t="s">
        <v>910</v>
      </c>
      <c r="H878" t="s">
        <v>268</v>
      </c>
      <c r="I878" t="s">
        <v>2087</v>
      </c>
    </row>
    <row r="879" spans="1:9" x14ac:dyDescent="0.25">
      <c r="A879" t="s">
        <v>3294</v>
      </c>
      <c r="B879" t="s">
        <v>505</v>
      </c>
      <c r="C879" t="s">
        <v>1465</v>
      </c>
      <c r="D879" t="s">
        <v>27</v>
      </c>
      <c r="F879" t="s">
        <v>1298</v>
      </c>
      <c r="G879" t="s">
        <v>900</v>
      </c>
      <c r="H879" t="s">
        <v>339</v>
      </c>
      <c r="I879" t="s">
        <v>2048</v>
      </c>
    </row>
    <row r="880" spans="1:9" x14ac:dyDescent="0.25">
      <c r="A880" t="s">
        <v>3293</v>
      </c>
      <c r="B880" t="s">
        <v>505</v>
      </c>
      <c r="C880" t="s">
        <v>1465</v>
      </c>
      <c r="D880" t="s">
        <v>27</v>
      </c>
      <c r="F880" t="s">
        <v>1228</v>
      </c>
      <c r="G880" t="s">
        <v>1228</v>
      </c>
      <c r="H880" t="s">
        <v>339</v>
      </c>
      <c r="I880" t="s">
        <v>2258</v>
      </c>
    </row>
    <row r="881" spans="1:9" x14ac:dyDescent="0.25">
      <c r="A881" t="s">
        <v>3292</v>
      </c>
      <c r="B881" t="s">
        <v>505</v>
      </c>
      <c r="C881" t="s">
        <v>1465</v>
      </c>
      <c r="D881" t="s">
        <v>27</v>
      </c>
      <c r="F881" t="s">
        <v>1286</v>
      </c>
      <c r="G881" t="s">
        <v>900</v>
      </c>
      <c r="H881" t="s">
        <v>77</v>
      </c>
      <c r="I881" t="s">
        <v>2185</v>
      </c>
    </row>
    <row r="882" spans="1:9" x14ac:dyDescent="0.25">
      <c r="A882" t="s">
        <v>1073</v>
      </c>
      <c r="B882" t="s">
        <v>505</v>
      </c>
      <c r="C882" t="s">
        <v>1465</v>
      </c>
      <c r="D882" t="s">
        <v>27</v>
      </c>
      <c r="F882" t="s">
        <v>1227</v>
      </c>
      <c r="G882" t="s">
        <v>1228</v>
      </c>
      <c r="H882" t="s">
        <v>834</v>
      </c>
      <c r="I882" t="s">
        <v>2257</v>
      </c>
    </row>
    <row r="883" spans="1:9" x14ac:dyDescent="0.25">
      <c r="A883" t="s">
        <v>1072</v>
      </c>
      <c r="B883" t="s">
        <v>505</v>
      </c>
      <c r="C883" t="s">
        <v>1465</v>
      </c>
      <c r="D883" t="s">
        <v>27</v>
      </c>
      <c r="F883" t="s">
        <v>8</v>
      </c>
      <c r="G883" t="s">
        <v>910</v>
      </c>
      <c r="H883" t="s">
        <v>123</v>
      </c>
      <c r="I883" t="s">
        <v>364</v>
      </c>
    </row>
    <row r="884" spans="1:9" x14ac:dyDescent="0.25">
      <c r="A884" t="s">
        <v>3291</v>
      </c>
      <c r="B884" t="s">
        <v>505</v>
      </c>
      <c r="C884" t="s">
        <v>1465</v>
      </c>
      <c r="D884" t="s">
        <v>27</v>
      </c>
      <c r="F884" t="s">
        <v>1331</v>
      </c>
      <c r="G884" t="s">
        <v>910</v>
      </c>
      <c r="H884" t="s">
        <v>123</v>
      </c>
      <c r="I884" t="s">
        <v>2256</v>
      </c>
    </row>
    <row r="885" spans="1:9" x14ac:dyDescent="0.25">
      <c r="A885" t="s">
        <v>3290</v>
      </c>
      <c r="B885" t="s">
        <v>505</v>
      </c>
      <c r="C885" t="s">
        <v>1465</v>
      </c>
      <c r="D885" t="s">
        <v>27</v>
      </c>
      <c r="F885" t="s">
        <v>1333</v>
      </c>
      <c r="G885" t="s">
        <v>900</v>
      </c>
      <c r="H885" t="s">
        <v>339</v>
      </c>
      <c r="I885" t="s">
        <v>86</v>
      </c>
    </row>
    <row r="886" spans="1:9" x14ac:dyDescent="0.25">
      <c r="A886" t="s">
        <v>3289</v>
      </c>
      <c r="B886" t="s">
        <v>505</v>
      </c>
      <c r="C886" t="s">
        <v>1465</v>
      </c>
      <c r="D886" t="s">
        <v>27</v>
      </c>
      <c r="F886" t="s">
        <v>1293</v>
      </c>
      <c r="G886" t="s">
        <v>910</v>
      </c>
      <c r="H886" t="s">
        <v>1456</v>
      </c>
      <c r="I886" t="s">
        <v>519</v>
      </c>
    </row>
    <row r="887" spans="1:9" x14ac:dyDescent="0.25">
      <c r="A887" t="s">
        <v>1069</v>
      </c>
      <c r="B887" t="s">
        <v>505</v>
      </c>
      <c r="C887" t="s">
        <v>1465</v>
      </c>
      <c r="D887" t="s">
        <v>27</v>
      </c>
      <c r="F887" t="s">
        <v>1221</v>
      </c>
      <c r="G887" t="s">
        <v>900</v>
      </c>
      <c r="H887" t="s">
        <v>77</v>
      </c>
      <c r="I887" t="s">
        <v>2255</v>
      </c>
    </row>
    <row r="888" spans="1:9" x14ac:dyDescent="0.25">
      <c r="A888" t="s">
        <v>3323</v>
      </c>
      <c r="B888" t="s">
        <v>572</v>
      </c>
      <c r="C888" t="s">
        <v>1213</v>
      </c>
      <c r="F888" t="s">
        <v>1298</v>
      </c>
      <c r="G888" t="s">
        <v>910</v>
      </c>
      <c r="H888" t="s">
        <v>1408</v>
      </c>
      <c r="I888" t="s">
        <v>1942</v>
      </c>
    </row>
    <row r="889" spans="1:9" x14ac:dyDescent="0.25">
      <c r="A889" t="s">
        <v>947</v>
      </c>
      <c r="B889" t="s">
        <v>572</v>
      </c>
      <c r="C889" t="s">
        <v>1213</v>
      </c>
      <c r="F889" t="s">
        <v>1298</v>
      </c>
      <c r="G889" t="s">
        <v>910</v>
      </c>
      <c r="H889" t="s">
        <v>1408</v>
      </c>
      <c r="I889" t="s">
        <v>1942</v>
      </c>
    </row>
    <row r="890" spans="1:9" x14ac:dyDescent="0.25">
      <c r="A890" t="s">
        <v>3322</v>
      </c>
      <c r="B890" t="s">
        <v>572</v>
      </c>
      <c r="C890" t="s">
        <v>1213</v>
      </c>
      <c r="F890" t="s">
        <v>1286</v>
      </c>
      <c r="G890" t="s">
        <v>900</v>
      </c>
      <c r="H890" t="s">
        <v>1408</v>
      </c>
      <c r="I890" t="s">
        <v>1942</v>
      </c>
    </row>
    <row r="891" spans="1:9" x14ac:dyDescent="0.25">
      <c r="A891" t="s">
        <v>949</v>
      </c>
      <c r="B891" t="s">
        <v>572</v>
      </c>
      <c r="C891" t="s">
        <v>1213</v>
      </c>
      <c r="F891" t="s">
        <v>1286</v>
      </c>
      <c r="G891" t="s">
        <v>900</v>
      </c>
      <c r="H891" t="s">
        <v>1408</v>
      </c>
      <c r="I891" t="s">
        <v>1942</v>
      </c>
    </row>
    <row r="892" spans="1:9" x14ac:dyDescent="0.25">
      <c r="A892" t="s">
        <v>4132</v>
      </c>
      <c r="B892" t="s">
        <v>572</v>
      </c>
      <c r="C892" t="s">
        <v>1213</v>
      </c>
      <c r="F892" t="s">
        <v>1227</v>
      </c>
      <c r="G892" t="s">
        <v>1228</v>
      </c>
      <c r="H892" t="s">
        <v>1408</v>
      </c>
      <c r="I892" t="s">
        <v>1942</v>
      </c>
    </row>
    <row r="893" spans="1:9" x14ac:dyDescent="0.25">
      <c r="A893" t="s">
        <v>948</v>
      </c>
      <c r="B893" t="s">
        <v>572</v>
      </c>
      <c r="C893" t="s">
        <v>1213</v>
      </c>
      <c r="F893" t="s">
        <v>1227</v>
      </c>
      <c r="G893" t="s">
        <v>1228</v>
      </c>
      <c r="H893" t="s">
        <v>1408</v>
      </c>
      <c r="I893" t="s">
        <v>1942</v>
      </c>
    </row>
    <row r="894" spans="1:9" x14ac:dyDescent="0.25">
      <c r="A894" t="s">
        <v>4254</v>
      </c>
      <c r="B894" t="s">
        <v>572</v>
      </c>
      <c r="C894" t="s">
        <v>1213</v>
      </c>
      <c r="F894" t="s">
        <v>1221</v>
      </c>
      <c r="G894" t="s">
        <v>900</v>
      </c>
      <c r="H894" t="s">
        <v>1408</v>
      </c>
      <c r="I894" t="s">
        <v>1942</v>
      </c>
    </row>
    <row r="895" spans="1:9" x14ac:dyDescent="0.25">
      <c r="A895" t="s">
        <v>950</v>
      </c>
      <c r="B895" t="s">
        <v>572</v>
      </c>
      <c r="C895" t="s">
        <v>1213</v>
      </c>
      <c r="F895" t="s">
        <v>1221</v>
      </c>
      <c r="G895" t="s">
        <v>900</v>
      </c>
      <c r="H895" t="s">
        <v>1408</v>
      </c>
      <c r="I895" t="s">
        <v>1942</v>
      </c>
    </row>
    <row r="896" spans="1:9" x14ac:dyDescent="0.25">
      <c r="A896" t="s">
        <v>1122</v>
      </c>
      <c r="B896" t="s">
        <v>572</v>
      </c>
      <c r="C896" t="s">
        <v>1213</v>
      </c>
      <c r="D896" t="s">
        <v>1561</v>
      </c>
      <c r="F896" t="s">
        <v>1229</v>
      </c>
      <c r="G896" t="s">
        <v>910</v>
      </c>
      <c r="H896" t="s">
        <v>442</v>
      </c>
      <c r="I896" t="s">
        <v>2305</v>
      </c>
    </row>
    <row r="897" spans="1:9" x14ac:dyDescent="0.25">
      <c r="A897" t="s">
        <v>1123</v>
      </c>
      <c r="B897" t="s">
        <v>572</v>
      </c>
      <c r="C897" t="s">
        <v>1213</v>
      </c>
      <c r="D897" t="s">
        <v>1561</v>
      </c>
      <c r="F897" t="s">
        <v>8</v>
      </c>
      <c r="G897" t="s">
        <v>910</v>
      </c>
      <c r="H897" t="s">
        <v>1319</v>
      </c>
      <c r="I897" t="s">
        <v>2306</v>
      </c>
    </row>
    <row r="898" spans="1:9" x14ac:dyDescent="0.25">
      <c r="A898" t="s">
        <v>1124</v>
      </c>
      <c r="B898" t="s">
        <v>572</v>
      </c>
      <c r="C898" t="s">
        <v>1213</v>
      </c>
      <c r="D898" t="s">
        <v>1561</v>
      </c>
      <c r="F898" t="s">
        <v>1293</v>
      </c>
      <c r="G898" t="s">
        <v>900</v>
      </c>
      <c r="H898" t="s">
        <v>1319</v>
      </c>
      <c r="I898" t="s">
        <v>2307</v>
      </c>
    </row>
    <row r="899" spans="1:9" x14ac:dyDescent="0.25">
      <c r="A899" t="s">
        <v>2753</v>
      </c>
      <c r="B899" t="s">
        <v>592</v>
      </c>
      <c r="C899" t="s">
        <v>1196</v>
      </c>
      <c r="D899" t="s">
        <v>84</v>
      </c>
      <c r="F899" t="s">
        <v>1298</v>
      </c>
      <c r="G899" t="s">
        <v>900</v>
      </c>
      <c r="H899" t="s">
        <v>303</v>
      </c>
      <c r="I899" t="s">
        <v>1915</v>
      </c>
    </row>
    <row r="900" spans="1:9" x14ac:dyDescent="0.25">
      <c r="A900" t="s">
        <v>3288</v>
      </c>
      <c r="B900" t="s">
        <v>592</v>
      </c>
      <c r="C900" t="s">
        <v>1196</v>
      </c>
      <c r="D900" t="s">
        <v>84</v>
      </c>
      <c r="F900" t="s">
        <v>1286</v>
      </c>
      <c r="G900" t="s">
        <v>900</v>
      </c>
      <c r="H900" t="s">
        <v>1533</v>
      </c>
      <c r="I900" t="s">
        <v>1916</v>
      </c>
    </row>
    <row r="901" spans="1:9" x14ac:dyDescent="0.25">
      <c r="A901" t="s">
        <v>4259</v>
      </c>
      <c r="B901" t="s">
        <v>592</v>
      </c>
      <c r="C901" t="s">
        <v>1196</v>
      </c>
      <c r="D901" t="s">
        <v>84</v>
      </c>
      <c r="F901" t="s">
        <v>1227</v>
      </c>
      <c r="G901" t="s">
        <v>1228</v>
      </c>
      <c r="H901" t="s">
        <v>1243</v>
      </c>
      <c r="I901" t="s">
        <v>1918</v>
      </c>
    </row>
    <row r="902" spans="1:9" x14ac:dyDescent="0.25">
      <c r="A902" t="s">
        <v>4138</v>
      </c>
      <c r="B902" t="s">
        <v>592</v>
      </c>
      <c r="C902" t="s">
        <v>1196</v>
      </c>
      <c r="D902" t="s">
        <v>84</v>
      </c>
      <c r="F902" t="s">
        <v>1221</v>
      </c>
      <c r="G902" t="s">
        <v>900</v>
      </c>
      <c r="H902" t="s">
        <v>303</v>
      </c>
      <c r="I902" t="s">
        <v>1917</v>
      </c>
    </row>
    <row r="903" spans="1:9" x14ac:dyDescent="0.25">
      <c r="A903" t="s">
        <v>1102</v>
      </c>
      <c r="B903" t="s">
        <v>592</v>
      </c>
      <c r="C903" t="s">
        <v>1191</v>
      </c>
      <c r="D903" t="s">
        <v>27</v>
      </c>
      <c r="F903" t="s">
        <v>1229</v>
      </c>
      <c r="G903" t="s">
        <v>910</v>
      </c>
      <c r="H903" t="s">
        <v>69</v>
      </c>
      <c r="I903" t="s">
        <v>1774</v>
      </c>
    </row>
    <row r="904" spans="1:9" x14ac:dyDescent="0.25">
      <c r="A904" t="s">
        <v>1149</v>
      </c>
      <c r="B904" t="s">
        <v>592</v>
      </c>
      <c r="C904" t="s">
        <v>1191</v>
      </c>
      <c r="D904" t="s">
        <v>27</v>
      </c>
      <c r="F904" t="s">
        <v>1298</v>
      </c>
      <c r="G904" t="s">
        <v>910</v>
      </c>
      <c r="H904" t="s">
        <v>69</v>
      </c>
      <c r="I904" t="s">
        <v>1774</v>
      </c>
    </row>
    <row r="905" spans="1:9" x14ac:dyDescent="0.25">
      <c r="A905" t="s">
        <v>1105</v>
      </c>
      <c r="B905" t="s">
        <v>592</v>
      </c>
      <c r="C905" t="s">
        <v>1191</v>
      </c>
      <c r="D905" t="s">
        <v>27</v>
      </c>
      <c r="F905" t="s">
        <v>1228</v>
      </c>
      <c r="G905" t="s">
        <v>1228</v>
      </c>
      <c r="H905" t="s">
        <v>69</v>
      </c>
      <c r="I905" t="s">
        <v>1774</v>
      </c>
    </row>
    <row r="906" spans="1:9" x14ac:dyDescent="0.25">
      <c r="A906" t="s">
        <v>3287</v>
      </c>
      <c r="B906" t="s">
        <v>592</v>
      </c>
      <c r="C906" t="s">
        <v>1191</v>
      </c>
      <c r="D906" t="s">
        <v>27</v>
      </c>
      <c r="F906" t="s">
        <v>1286</v>
      </c>
      <c r="G906" t="s">
        <v>900</v>
      </c>
      <c r="H906" t="s">
        <v>650</v>
      </c>
      <c r="I906" t="s">
        <v>2248</v>
      </c>
    </row>
    <row r="907" spans="1:9" x14ac:dyDescent="0.25">
      <c r="A907" t="s">
        <v>1103</v>
      </c>
      <c r="B907" t="s">
        <v>592</v>
      </c>
      <c r="C907" t="s">
        <v>1191</v>
      </c>
      <c r="D907" t="s">
        <v>27</v>
      </c>
      <c r="F907" t="s">
        <v>8</v>
      </c>
      <c r="G907" t="s">
        <v>910</v>
      </c>
      <c r="H907" t="s">
        <v>69</v>
      </c>
      <c r="I907" t="s">
        <v>1774</v>
      </c>
    </row>
    <row r="908" spans="1:9" x14ac:dyDescent="0.25">
      <c r="A908" t="s">
        <v>1107</v>
      </c>
      <c r="B908" t="s">
        <v>592</v>
      </c>
      <c r="C908" t="s">
        <v>1191</v>
      </c>
      <c r="D908" t="s">
        <v>27</v>
      </c>
      <c r="F908" t="s">
        <v>1331</v>
      </c>
      <c r="G908" t="s">
        <v>910</v>
      </c>
      <c r="H908" t="s">
        <v>69</v>
      </c>
      <c r="I908" t="s">
        <v>1774</v>
      </c>
    </row>
    <row r="909" spans="1:9" x14ac:dyDescent="0.25">
      <c r="A909" t="s">
        <v>1147</v>
      </c>
      <c r="B909" t="s">
        <v>592</v>
      </c>
      <c r="C909" t="s">
        <v>1191</v>
      </c>
      <c r="D909" t="s">
        <v>27</v>
      </c>
      <c r="F909" t="s">
        <v>1333</v>
      </c>
      <c r="G909" t="s">
        <v>900</v>
      </c>
      <c r="H909" t="s">
        <v>69</v>
      </c>
      <c r="I909" t="s">
        <v>1774</v>
      </c>
    </row>
    <row r="910" spans="1:9" x14ac:dyDescent="0.25">
      <c r="A910" t="s">
        <v>1106</v>
      </c>
      <c r="B910" t="s">
        <v>592</v>
      </c>
      <c r="C910" t="s">
        <v>1191</v>
      </c>
      <c r="D910" t="s">
        <v>27</v>
      </c>
      <c r="F910" t="s">
        <v>1293</v>
      </c>
      <c r="G910" t="s">
        <v>910</v>
      </c>
      <c r="H910" t="s">
        <v>69</v>
      </c>
      <c r="I910" t="s">
        <v>1774</v>
      </c>
    </row>
    <row r="911" spans="1:9" x14ac:dyDescent="0.25">
      <c r="A911" t="s">
        <v>1151</v>
      </c>
      <c r="B911" t="s">
        <v>592</v>
      </c>
      <c r="C911" t="s">
        <v>1191</v>
      </c>
      <c r="D911" t="s">
        <v>27</v>
      </c>
      <c r="F911" t="s">
        <v>1221</v>
      </c>
      <c r="G911" t="s">
        <v>900</v>
      </c>
      <c r="H911" t="s">
        <v>69</v>
      </c>
      <c r="I911" t="s">
        <v>1774</v>
      </c>
    </row>
    <row r="912" spans="1:9" x14ac:dyDescent="0.25">
      <c r="A912" t="s">
        <v>1065</v>
      </c>
      <c r="B912" t="s">
        <v>592</v>
      </c>
      <c r="C912" t="s">
        <v>1465</v>
      </c>
      <c r="D912" t="s">
        <v>27</v>
      </c>
      <c r="F912" t="s">
        <v>8</v>
      </c>
      <c r="G912" t="s">
        <v>910</v>
      </c>
      <c r="H912" t="s">
        <v>69</v>
      </c>
      <c r="I912" t="s">
        <v>1774</v>
      </c>
    </row>
    <row r="913" spans="1:9" x14ac:dyDescent="0.25">
      <c r="A913" t="s">
        <v>3877</v>
      </c>
      <c r="B913" t="s">
        <v>592</v>
      </c>
      <c r="C913" t="s">
        <v>1468</v>
      </c>
      <c r="D913" t="s">
        <v>84</v>
      </c>
      <c r="F913" t="s">
        <v>1298</v>
      </c>
      <c r="G913" t="s">
        <v>900</v>
      </c>
      <c r="H913" t="s">
        <v>327</v>
      </c>
      <c r="I913" t="s">
        <v>2070</v>
      </c>
    </row>
    <row r="914" spans="1:9" x14ac:dyDescent="0.25">
      <c r="A914" t="s">
        <v>1082</v>
      </c>
      <c r="B914" t="s">
        <v>592</v>
      </c>
      <c r="C914" t="s">
        <v>1468</v>
      </c>
      <c r="D914" t="s">
        <v>84</v>
      </c>
      <c r="F914" t="s">
        <v>1286</v>
      </c>
      <c r="G914" t="s">
        <v>900</v>
      </c>
      <c r="H914" t="s">
        <v>1530</v>
      </c>
      <c r="I914" t="s">
        <v>2071</v>
      </c>
    </row>
    <row r="915" spans="1:9" x14ac:dyDescent="0.25">
      <c r="A915" t="s">
        <v>1083</v>
      </c>
      <c r="B915" t="s">
        <v>592</v>
      </c>
      <c r="C915" t="s">
        <v>1468</v>
      </c>
      <c r="D915" t="s">
        <v>84</v>
      </c>
      <c r="F915" t="s">
        <v>1227</v>
      </c>
      <c r="G915" t="s">
        <v>1228</v>
      </c>
      <c r="H915" t="s">
        <v>1531</v>
      </c>
      <c r="I915" t="s">
        <v>2073</v>
      </c>
    </row>
    <row r="916" spans="1:9" x14ac:dyDescent="0.25">
      <c r="A916" t="s">
        <v>3876</v>
      </c>
      <c r="B916" t="s">
        <v>592</v>
      </c>
      <c r="C916" t="s">
        <v>1468</v>
      </c>
      <c r="D916" t="s">
        <v>84</v>
      </c>
      <c r="F916" t="s">
        <v>1221</v>
      </c>
      <c r="G916" t="s">
        <v>900</v>
      </c>
      <c r="H916" t="s">
        <v>327</v>
      </c>
      <c r="I916" t="s">
        <v>2072</v>
      </c>
    </row>
    <row r="917" spans="1:9" x14ac:dyDescent="0.25">
      <c r="A917" t="s">
        <v>1057</v>
      </c>
      <c r="B917" t="s">
        <v>592</v>
      </c>
      <c r="C917" t="s">
        <v>1465</v>
      </c>
      <c r="D917" t="s">
        <v>27</v>
      </c>
      <c r="F917" t="s">
        <v>1229</v>
      </c>
      <c r="G917" t="s">
        <v>910</v>
      </c>
      <c r="H917" t="s">
        <v>1502</v>
      </c>
      <c r="I917" t="s">
        <v>1864</v>
      </c>
    </row>
    <row r="918" spans="1:9" x14ac:dyDescent="0.25">
      <c r="A918" t="s">
        <v>1058</v>
      </c>
      <c r="B918" t="s">
        <v>592</v>
      </c>
      <c r="C918" t="s">
        <v>1465</v>
      </c>
      <c r="D918" t="s">
        <v>27</v>
      </c>
      <c r="F918" t="s">
        <v>1298</v>
      </c>
      <c r="G918" t="s">
        <v>900</v>
      </c>
      <c r="H918" t="s">
        <v>513</v>
      </c>
      <c r="I918" t="s">
        <v>2242</v>
      </c>
    </row>
    <row r="919" spans="1:9" x14ac:dyDescent="0.25">
      <c r="A919" t="s">
        <v>3875</v>
      </c>
      <c r="B919" t="s">
        <v>592</v>
      </c>
      <c r="C919" t="s">
        <v>1465</v>
      </c>
      <c r="D919" t="s">
        <v>27</v>
      </c>
      <c r="F919" t="s">
        <v>1228</v>
      </c>
      <c r="G919" t="s">
        <v>1228</v>
      </c>
      <c r="H919" t="s">
        <v>1356</v>
      </c>
      <c r="I919" t="s">
        <v>2247</v>
      </c>
    </row>
    <row r="920" spans="1:9" x14ac:dyDescent="0.25">
      <c r="A920" t="s">
        <v>3874</v>
      </c>
      <c r="B920" t="s">
        <v>592</v>
      </c>
      <c r="C920" t="s">
        <v>1465</v>
      </c>
      <c r="D920" t="s">
        <v>27</v>
      </c>
      <c r="F920" t="s">
        <v>1286</v>
      </c>
      <c r="G920" t="s">
        <v>900</v>
      </c>
      <c r="H920" t="s">
        <v>1504</v>
      </c>
      <c r="I920" t="s">
        <v>2248</v>
      </c>
    </row>
    <row r="921" spans="1:9" x14ac:dyDescent="0.25">
      <c r="A921" t="s">
        <v>1060</v>
      </c>
      <c r="B921" t="s">
        <v>592</v>
      </c>
      <c r="C921" t="s">
        <v>1465</v>
      </c>
      <c r="D921" t="s">
        <v>27</v>
      </c>
      <c r="F921" t="s">
        <v>1227</v>
      </c>
      <c r="G921" t="s">
        <v>1228</v>
      </c>
      <c r="H921" t="s">
        <v>1501</v>
      </c>
      <c r="I921" t="s">
        <v>2246</v>
      </c>
    </row>
    <row r="922" spans="1:9" x14ac:dyDescent="0.25">
      <c r="A922" t="s">
        <v>4137</v>
      </c>
      <c r="B922" t="s">
        <v>592</v>
      </c>
      <c r="C922" t="s">
        <v>1465</v>
      </c>
      <c r="D922" t="s">
        <v>27</v>
      </c>
      <c r="F922" t="s">
        <v>8</v>
      </c>
      <c r="G922" t="s">
        <v>910</v>
      </c>
      <c r="H922" t="s">
        <v>1370</v>
      </c>
      <c r="I922" t="s">
        <v>2245</v>
      </c>
    </row>
    <row r="923" spans="1:9" x14ac:dyDescent="0.25">
      <c r="A923" t="s">
        <v>3873</v>
      </c>
      <c r="B923" t="s">
        <v>592</v>
      </c>
      <c r="C923" t="s">
        <v>1465</v>
      </c>
      <c r="D923" t="s">
        <v>27</v>
      </c>
      <c r="F923" t="s">
        <v>1331</v>
      </c>
      <c r="G923" t="s">
        <v>910</v>
      </c>
      <c r="H923" t="s">
        <v>119</v>
      </c>
      <c r="I923" t="s">
        <v>2061</v>
      </c>
    </row>
    <row r="924" spans="1:9" x14ac:dyDescent="0.25">
      <c r="A924" t="s">
        <v>3872</v>
      </c>
      <c r="B924" t="s">
        <v>592</v>
      </c>
      <c r="C924" t="s">
        <v>1465</v>
      </c>
      <c r="D924" t="s">
        <v>27</v>
      </c>
      <c r="F924" t="s">
        <v>1333</v>
      </c>
      <c r="G924" t="s">
        <v>900</v>
      </c>
      <c r="H924" t="s">
        <v>1356</v>
      </c>
      <c r="I924" t="s">
        <v>2244</v>
      </c>
    </row>
    <row r="925" spans="1:9" x14ac:dyDescent="0.25">
      <c r="A925" t="s">
        <v>3871</v>
      </c>
      <c r="B925" t="s">
        <v>592</v>
      </c>
      <c r="C925" t="s">
        <v>1465</v>
      </c>
      <c r="D925" t="s">
        <v>27</v>
      </c>
      <c r="F925" t="s">
        <v>1293</v>
      </c>
      <c r="G925" t="s">
        <v>910</v>
      </c>
      <c r="H925" t="s">
        <v>1516</v>
      </c>
      <c r="I925" t="s">
        <v>1774</v>
      </c>
    </row>
    <row r="926" spans="1:9" x14ac:dyDescent="0.25">
      <c r="A926" t="s">
        <v>1059</v>
      </c>
      <c r="B926" t="s">
        <v>592</v>
      </c>
      <c r="C926" t="s">
        <v>1465</v>
      </c>
      <c r="D926" t="s">
        <v>27</v>
      </c>
      <c r="F926" t="s">
        <v>1221</v>
      </c>
      <c r="G926" t="s">
        <v>910</v>
      </c>
      <c r="H926" t="s">
        <v>1356</v>
      </c>
      <c r="I926" t="s">
        <v>2243</v>
      </c>
    </row>
    <row r="927" spans="1:9" x14ac:dyDescent="0.25">
      <c r="A927" t="s">
        <v>4130</v>
      </c>
      <c r="B927" t="s">
        <v>664</v>
      </c>
      <c r="C927" t="s">
        <v>1199</v>
      </c>
      <c r="D927" t="s">
        <v>3559</v>
      </c>
      <c r="G927" t="s">
        <v>910</v>
      </c>
      <c r="H927" t="s">
        <v>697</v>
      </c>
      <c r="I927" t="s">
        <v>4131</v>
      </c>
    </row>
    <row r="928" spans="1:9" x14ac:dyDescent="0.25">
      <c r="A928" t="s">
        <v>3320</v>
      </c>
      <c r="B928" t="s">
        <v>664</v>
      </c>
      <c r="C928" t="s">
        <v>1199</v>
      </c>
      <c r="D928" t="s">
        <v>56</v>
      </c>
      <c r="G928" t="s">
        <v>910</v>
      </c>
      <c r="H928" t="s">
        <v>77</v>
      </c>
      <c r="I928" t="s">
        <v>3321</v>
      </c>
    </row>
    <row r="929" spans="1:9" x14ac:dyDescent="0.25">
      <c r="A929" t="s">
        <v>4136</v>
      </c>
      <c r="B929" t="s">
        <v>678</v>
      </c>
      <c r="C929" t="s">
        <v>1196</v>
      </c>
      <c r="D929" t="s">
        <v>84</v>
      </c>
      <c r="F929" t="s">
        <v>1298</v>
      </c>
      <c r="G929" t="s">
        <v>900</v>
      </c>
      <c r="H929" t="s">
        <v>363</v>
      </c>
      <c r="I929" t="s">
        <v>1915</v>
      </c>
    </row>
    <row r="930" spans="1:9" x14ac:dyDescent="0.25">
      <c r="A930" t="s">
        <v>3870</v>
      </c>
      <c r="B930" t="s">
        <v>678</v>
      </c>
      <c r="C930" t="s">
        <v>1196</v>
      </c>
      <c r="D930" t="s">
        <v>84</v>
      </c>
      <c r="F930" t="s">
        <v>1298</v>
      </c>
      <c r="G930" t="s">
        <v>900</v>
      </c>
      <c r="H930" t="s">
        <v>363</v>
      </c>
      <c r="I930" t="s">
        <v>1915</v>
      </c>
    </row>
    <row r="931" spans="1:9" x14ac:dyDescent="0.25">
      <c r="A931" t="s">
        <v>4135</v>
      </c>
      <c r="B931" t="s">
        <v>678</v>
      </c>
      <c r="C931" t="s">
        <v>1196</v>
      </c>
      <c r="D931" t="s">
        <v>84</v>
      </c>
      <c r="F931" t="s">
        <v>1286</v>
      </c>
      <c r="G931" t="s">
        <v>900</v>
      </c>
      <c r="H931" t="s">
        <v>825</v>
      </c>
      <c r="I931" t="s">
        <v>1916</v>
      </c>
    </row>
    <row r="932" spans="1:9" x14ac:dyDescent="0.25">
      <c r="A932" t="s">
        <v>3302</v>
      </c>
      <c r="B932" t="s">
        <v>678</v>
      </c>
      <c r="C932" t="s">
        <v>1196</v>
      </c>
      <c r="D932" t="s">
        <v>84</v>
      </c>
      <c r="F932" t="s">
        <v>1286</v>
      </c>
      <c r="G932" t="s">
        <v>900</v>
      </c>
      <c r="H932" t="s">
        <v>825</v>
      </c>
      <c r="I932" t="s">
        <v>1916</v>
      </c>
    </row>
    <row r="933" spans="1:9" x14ac:dyDescent="0.25">
      <c r="A933" t="s">
        <v>2752</v>
      </c>
      <c r="B933" t="s">
        <v>678</v>
      </c>
      <c r="C933" t="s">
        <v>1196</v>
      </c>
      <c r="D933" t="s">
        <v>84</v>
      </c>
      <c r="F933" t="s">
        <v>1227</v>
      </c>
      <c r="G933" t="s">
        <v>1228</v>
      </c>
      <c r="H933" t="s">
        <v>1285</v>
      </c>
      <c r="I933" t="s">
        <v>1918</v>
      </c>
    </row>
    <row r="934" spans="1:9" x14ac:dyDescent="0.25">
      <c r="A934" t="s">
        <v>4134</v>
      </c>
      <c r="B934" t="s">
        <v>678</v>
      </c>
      <c r="C934" t="s">
        <v>1196</v>
      </c>
      <c r="D934" t="s">
        <v>84</v>
      </c>
      <c r="F934" t="s">
        <v>1227</v>
      </c>
      <c r="G934" t="s">
        <v>1228</v>
      </c>
      <c r="H934" t="s">
        <v>1285</v>
      </c>
      <c r="I934" t="s">
        <v>1918</v>
      </c>
    </row>
    <row r="935" spans="1:9" x14ac:dyDescent="0.25">
      <c r="A935" t="s">
        <v>2988</v>
      </c>
      <c r="B935" t="s">
        <v>678</v>
      </c>
      <c r="C935" t="s">
        <v>1196</v>
      </c>
      <c r="D935" t="s">
        <v>84</v>
      </c>
      <c r="F935" t="s">
        <v>1221</v>
      </c>
      <c r="G935" t="s">
        <v>900</v>
      </c>
      <c r="H935" t="s">
        <v>363</v>
      </c>
      <c r="I935" t="s">
        <v>1917</v>
      </c>
    </row>
    <row r="936" spans="1:9" x14ac:dyDescent="0.25">
      <c r="A936" t="s">
        <v>2987</v>
      </c>
      <c r="B936" t="s">
        <v>678</v>
      </c>
      <c r="C936" t="s">
        <v>1196</v>
      </c>
      <c r="D936" t="s">
        <v>84</v>
      </c>
      <c r="F936" t="s">
        <v>1221</v>
      </c>
      <c r="G936" t="s">
        <v>900</v>
      </c>
      <c r="H936" t="s">
        <v>363</v>
      </c>
      <c r="I936" t="s">
        <v>1917</v>
      </c>
    </row>
    <row r="937" spans="1:9" x14ac:dyDescent="0.25">
      <c r="A937" t="s">
        <v>2986</v>
      </c>
      <c r="B937" t="s">
        <v>678</v>
      </c>
      <c r="C937" t="s">
        <v>1191</v>
      </c>
      <c r="D937" t="s">
        <v>27</v>
      </c>
      <c r="F937" t="s">
        <v>1229</v>
      </c>
      <c r="G937" t="s">
        <v>910</v>
      </c>
      <c r="H937" t="s">
        <v>292</v>
      </c>
      <c r="I937" t="s">
        <v>1772</v>
      </c>
    </row>
    <row r="938" spans="1:9" x14ac:dyDescent="0.25">
      <c r="A938" t="s">
        <v>3301</v>
      </c>
      <c r="B938" t="s">
        <v>678</v>
      </c>
      <c r="C938" t="s">
        <v>1191</v>
      </c>
      <c r="D938" t="s">
        <v>27</v>
      </c>
      <c r="F938" t="s">
        <v>1298</v>
      </c>
      <c r="G938" t="s">
        <v>900</v>
      </c>
      <c r="H938" t="s">
        <v>123</v>
      </c>
      <c r="I938" t="s">
        <v>2093</v>
      </c>
    </row>
    <row r="939" spans="1:9" x14ac:dyDescent="0.25">
      <c r="A939" t="s">
        <v>3300</v>
      </c>
      <c r="B939" t="s">
        <v>678</v>
      </c>
      <c r="C939" t="s">
        <v>1191</v>
      </c>
      <c r="D939" t="s">
        <v>27</v>
      </c>
      <c r="F939" t="s">
        <v>1228</v>
      </c>
      <c r="G939" t="s">
        <v>1228</v>
      </c>
      <c r="H939" t="s">
        <v>501</v>
      </c>
      <c r="I939" t="s">
        <v>2094</v>
      </c>
    </row>
    <row r="940" spans="1:9" x14ac:dyDescent="0.25">
      <c r="A940" t="s">
        <v>3299</v>
      </c>
      <c r="B940" t="s">
        <v>678</v>
      </c>
      <c r="C940" t="s">
        <v>1191</v>
      </c>
      <c r="D940" t="s">
        <v>27</v>
      </c>
      <c r="F940" t="s">
        <v>1286</v>
      </c>
      <c r="G940" t="s">
        <v>900</v>
      </c>
      <c r="H940" t="s">
        <v>1470</v>
      </c>
      <c r="I940" t="s">
        <v>2096</v>
      </c>
    </row>
    <row r="941" spans="1:9" x14ac:dyDescent="0.25">
      <c r="A941" t="s">
        <v>3298</v>
      </c>
      <c r="B941" t="s">
        <v>678</v>
      </c>
      <c r="C941" t="s">
        <v>1191</v>
      </c>
      <c r="D941" t="s">
        <v>27</v>
      </c>
      <c r="F941" t="s">
        <v>1227</v>
      </c>
      <c r="G941" t="s">
        <v>1228</v>
      </c>
      <c r="H941" t="s">
        <v>545</v>
      </c>
      <c r="I941" t="s">
        <v>2095</v>
      </c>
    </row>
    <row r="942" spans="1:9" x14ac:dyDescent="0.25">
      <c r="A942" t="s">
        <v>3297</v>
      </c>
      <c r="B942" t="s">
        <v>678</v>
      </c>
      <c r="C942" t="s">
        <v>1191</v>
      </c>
      <c r="D942" t="s">
        <v>27</v>
      </c>
      <c r="F942" t="s">
        <v>8</v>
      </c>
      <c r="G942" t="s">
        <v>910</v>
      </c>
      <c r="H942" t="s">
        <v>23</v>
      </c>
      <c r="I942" t="s">
        <v>2102</v>
      </c>
    </row>
    <row r="943" spans="1:9" x14ac:dyDescent="0.25">
      <c r="A943" t="s">
        <v>3296</v>
      </c>
      <c r="B943" t="s">
        <v>678</v>
      </c>
      <c r="C943" t="s">
        <v>1191</v>
      </c>
      <c r="D943" t="s">
        <v>27</v>
      </c>
      <c r="F943" t="s">
        <v>1331</v>
      </c>
      <c r="G943" t="s">
        <v>910</v>
      </c>
      <c r="H943" t="s">
        <v>549</v>
      </c>
      <c r="I943" t="s">
        <v>2103</v>
      </c>
    </row>
    <row r="944" spans="1:9" x14ac:dyDescent="0.25">
      <c r="A944" t="s">
        <v>2985</v>
      </c>
      <c r="B944" t="s">
        <v>678</v>
      </c>
      <c r="C944" t="s">
        <v>1191</v>
      </c>
      <c r="D944" t="s">
        <v>27</v>
      </c>
      <c r="F944" t="s">
        <v>1333</v>
      </c>
      <c r="G944" t="s">
        <v>900</v>
      </c>
      <c r="H944" t="s">
        <v>545</v>
      </c>
      <c r="I944" t="s">
        <v>2101</v>
      </c>
    </row>
    <row r="945" spans="1:9" x14ac:dyDescent="0.25">
      <c r="A945" t="s">
        <v>3295</v>
      </c>
      <c r="B945" t="s">
        <v>678</v>
      </c>
      <c r="C945" t="s">
        <v>1191</v>
      </c>
      <c r="D945" t="s">
        <v>27</v>
      </c>
      <c r="F945" t="s">
        <v>1293</v>
      </c>
      <c r="G945" t="s">
        <v>910</v>
      </c>
      <c r="H945" t="s">
        <v>612</v>
      </c>
      <c r="I945" t="s">
        <v>2092</v>
      </c>
    </row>
    <row r="946" spans="1:9" x14ac:dyDescent="0.25">
      <c r="A946" t="s">
        <v>4258</v>
      </c>
      <c r="B946" t="s">
        <v>678</v>
      </c>
      <c r="C946" t="s">
        <v>1191</v>
      </c>
      <c r="D946" t="s">
        <v>27</v>
      </c>
      <c r="F946" t="s">
        <v>1221</v>
      </c>
      <c r="G946" t="s">
        <v>910</v>
      </c>
      <c r="H946" t="s">
        <v>278</v>
      </c>
      <c r="I946" t="s">
        <v>2091</v>
      </c>
    </row>
    <row r="947" spans="1:9" x14ac:dyDescent="0.25">
      <c r="A947" t="s">
        <v>983</v>
      </c>
      <c r="B947" t="s">
        <v>678</v>
      </c>
      <c r="C947" t="s">
        <v>1468</v>
      </c>
      <c r="D947" t="s">
        <v>84</v>
      </c>
      <c r="F947" t="s">
        <v>1298</v>
      </c>
      <c r="G947" t="s">
        <v>900</v>
      </c>
      <c r="H947" t="s">
        <v>330</v>
      </c>
      <c r="I947" t="s">
        <v>2070</v>
      </c>
    </row>
    <row r="948" spans="1:9" x14ac:dyDescent="0.25">
      <c r="A948" t="s">
        <v>984</v>
      </c>
      <c r="B948" t="s">
        <v>678</v>
      </c>
      <c r="C948" t="s">
        <v>1468</v>
      </c>
      <c r="D948" t="s">
        <v>84</v>
      </c>
      <c r="F948" t="s">
        <v>1286</v>
      </c>
      <c r="G948" t="s">
        <v>900</v>
      </c>
      <c r="H948" t="s">
        <v>395</v>
      </c>
      <c r="I948" t="s">
        <v>2071</v>
      </c>
    </row>
    <row r="949" spans="1:9" x14ac:dyDescent="0.25">
      <c r="A949" t="s">
        <v>986</v>
      </c>
      <c r="B949" t="s">
        <v>678</v>
      </c>
      <c r="C949" t="s">
        <v>1468</v>
      </c>
      <c r="D949" t="s">
        <v>84</v>
      </c>
      <c r="F949" t="s">
        <v>1227</v>
      </c>
      <c r="G949" t="s">
        <v>1228</v>
      </c>
      <c r="H949" t="s">
        <v>363</v>
      </c>
      <c r="I949" t="s">
        <v>2073</v>
      </c>
    </row>
    <row r="950" spans="1:9" x14ac:dyDescent="0.25">
      <c r="A950" t="s">
        <v>985</v>
      </c>
      <c r="B950" t="s">
        <v>678</v>
      </c>
      <c r="C950" t="s">
        <v>1468</v>
      </c>
      <c r="D950" t="s">
        <v>84</v>
      </c>
      <c r="F950" t="s">
        <v>1221</v>
      </c>
      <c r="G950" t="s">
        <v>900</v>
      </c>
      <c r="H950" t="s">
        <v>330</v>
      </c>
      <c r="I950" t="s">
        <v>2072</v>
      </c>
    </row>
    <row r="951" spans="1:9" x14ac:dyDescent="0.25">
      <c r="A951" t="s">
        <v>1037</v>
      </c>
      <c r="B951" t="s">
        <v>678</v>
      </c>
      <c r="C951" t="s">
        <v>1465</v>
      </c>
      <c r="D951" t="s">
        <v>27</v>
      </c>
      <c r="F951" t="s">
        <v>1229</v>
      </c>
      <c r="G951" t="s">
        <v>910</v>
      </c>
      <c r="H951" t="s">
        <v>472</v>
      </c>
      <c r="I951" t="s">
        <v>1772</v>
      </c>
    </row>
    <row r="952" spans="1:9" x14ac:dyDescent="0.25">
      <c r="A952" t="s">
        <v>1039</v>
      </c>
      <c r="B952" t="s">
        <v>678</v>
      </c>
      <c r="C952" t="s">
        <v>1465</v>
      </c>
      <c r="D952" t="s">
        <v>27</v>
      </c>
      <c r="F952" t="s">
        <v>1228</v>
      </c>
      <c r="G952" t="s">
        <v>1228</v>
      </c>
      <c r="H952" t="s">
        <v>726</v>
      </c>
      <c r="I952" t="s">
        <v>2094</v>
      </c>
    </row>
    <row r="953" spans="1:9" x14ac:dyDescent="0.25">
      <c r="A953" t="s">
        <v>1038</v>
      </c>
      <c r="B953" t="s">
        <v>678</v>
      </c>
      <c r="C953" t="s">
        <v>1465</v>
      </c>
      <c r="D953" t="s">
        <v>27</v>
      </c>
      <c r="F953" t="s">
        <v>1286</v>
      </c>
      <c r="G953" t="s">
        <v>900</v>
      </c>
      <c r="H953" t="s">
        <v>77</v>
      </c>
      <c r="I953" t="s">
        <v>2096</v>
      </c>
    </row>
    <row r="954" spans="1:9" x14ac:dyDescent="0.25">
      <c r="A954" t="s">
        <v>1040</v>
      </c>
      <c r="B954" t="s">
        <v>678</v>
      </c>
      <c r="C954" t="s">
        <v>1465</v>
      </c>
      <c r="D954" t="s">
        <v>27</v>
      </c>
      <c r="F954" t="s">
        <v>1227</v>
      </c>
      <c r="G954" t="s">
        <v>1228</v>
      </c>
      <c r="H954" t="s">
        <v>1437</v>
      </c>
      <c r="I954" t="s">
        <v>2095</v>
      </c>
    </row>
    <row r="955" spans="1:9" x14ac:dyDescent="0.25">
      <c r="A955" t="s">
        <v>1041</v>
      </c>
      <c r="B955" t="s">
        <v>678</v>
      </c>
      <c r="C955" t="s">
        <v>1465</v>
      </c>
      <c r="D955" t="s">
        <v>27</v>
      </c>
      <c r="F955" t="s">
        <v>8</v>
      </c>
      <c r="G955" t="s">
        <v>910</v>
      </c>
      <c r="H955" t="s">
        <v>545</v>
      </c>
      <c r="I955" t="s">
        <v>2102</v>
      </c>
    </row>
    <row r="956" spans="1:9" x14ac:dyDescent="0.25">
      <c r="A956" t="s">
        <v>1042</v>
      </c>
      <c r="B956" t="s">
        <v>678</v>
      </c>
      <c r="C956" t="s">
        <v>1465</v>
      </c>
      <c r="D956" t="s">
        <v>27</v>
      </c>
      <c r="F956" t="s">
        <v>1331</v>
      </c>
      <c r="G956" t="s">
        <v>910</v>
      </c>
      <c r="H956" t="s">
        <v>501</v>
      </c>
      <c r="I956" t="s">
        <v>2103</v>
      </c>
    </row>
    <row r="957" spans="1:9" x14ac:dyDescent="0.25">
      <c r="A957" t="s">
        <v>1044</v>
      </c>
      <c r="B957" t="s">
        <v>678</v>
      </c>
      <c r="C957" t="s">
        <v>1465</v>
      </c>
      <c r="D957" t="s">
        <v>27</v>
      </c>
      <c r="F957" t="s">
        <v>1293</v>
      </c>
      <c r="G957" t="s">
        <v>910</v>
      </c>
      <c r="H957" t="s">
        <v>278</v>
      </c>
      <c r="I957" t="s">
        <v>2092</v>
      </c>
    </row>
    <row r="958" spans="1:9" x14ac:dyDescent="0.25">
      <c r="A958" t="s">
        <v>1043</v>
      </c>
      <c r="B958" t="s">
        <v>678</v>
      </c>
      <c r="C958" t="s">
        <v>1465</v>
      </c>
      <c r="D958" t="s">
        <v>27</v>
      </c>
      <c r="F958" t="s">
        <v>1221</v>
      </c>
      <c r="G958" t="s">
        <v>910</v>
      </c>
      <c r="H958" t="s">
        <v>123</v>
      </c>
      <c r="I958" t="s">
        <v>2091</v>
      </c>
    </row>
    <row r="959" spans="1:9" x14ac:dyDescent="0.25">
      <c r="A959" t="s">
        <v>3318</v>
      </c>
      <c r="B959" t="s">
        <v>908</v>
      </c>
      <c r="C959" t="s">
        <v>1477</v>
      </c>
      <c r="D959" t="s">
        <v>203</v>
      </c>
      <c r="G959" t="s">
        <v>910</v>
      </c>
      <c r="H959" t="s">
        <v>491</v>
      </c>
      <c r="I959" t="s">
        <v>3319</v>
      </c>
    </row>
    <row r="960" spans="1:9" x14ac:dyDescent="0.25">
      <c r="A960" t="s">
        <v>2815</v>
      </c>
      <c r="B960" t="s">
        <v>913</v>
      </c>
      <c r="C960" t="s">
        <v>1197</v>
      </c>
      <c r="F960" t="s">
        <v>1227</v>
      </c>
      <c r="G960" t="s">
        <v>1228</v>
      </c>
      <c r="H960" t="s">
        <v>1324</v>
      </c>
      <c r="I960" t="s">
        <v>1753</v>
      </c>
    </row>
    <row r="961" spans="1:9" x14ac:dyDescent="0.25">
      <c r="A961" t="s">
        <v>3917</v>
      </c>
      <c r="B961" t="s">
        <v>913</v>
      </c>
      <c r="C961" t="s">
        <v>1197</v>
      </c>
      <c r="F961" t="s">
        <v>1227</v>
      </c>
      <c r="G961" t="s">
        <v>1228</v>
      </c>
      <c r="H961" t="s">
        <v>1324</v>
      </c>
      <c r="I961" t="s">
        <v>1753</v>
      </c>
    </row>
    <row r="962" spans="1:9" x14ac:dyDescent="0.25">
      <c r="A962" t="s">
        <v>2954</v>
      </c>
      <c r="B962" t="s">
        <v>913</v>
      </c>
      <c r="C962" t="s">
        <v>1463</v>
      </c>
      <c r="F962" t="s">
        <v>1227</v>
      </c>
      <c r="G962" t="s">
        <v>1228</v>
      </c>
      <c r="H962" t="s">
        <v>380</v>
      </c>
      <c r="I962" t="s">
        <v>1753</v>
      </c>
    </row>
    <row r="963" spans="1:9" x14ac:dyDescent="0.25">
      <c r="A963" t="s">
        <v>3316</v>
      </c>
      <c r="B963" t="s">
        <v>815</v>
      </c>
      <c r="C963" t="s">
        <v>1199</v>
      </c>
      <c r="D963" t="s">
        <v>586</v>
      </c>
      <c r="G963" t="s">
        <v>910</v>
      </c>
      <c r="H963" t="s">
        <v>1534</v>
      </c>
      <c r="I963" t="s">
        <v>3317</v>
      </c>
    </row>
    <row r="964" spans="1:9" x14ac:dyDescent="0.25">
      <c r="A964" t="s">
        <v>957</v>
      </c>
      <c r="B964" t="s">
        <v>822</v>
      </c>
      <c r="C964" t="s">
        <v>1191</v>
      </c>
      <c r="D964" t="s">
        <v>15</v>
      </c>
      <c r="F964" t="s">
        <v>1229</v>
      </c>
      <c r="G964" t="s">
        <v>910</v>
      </c>
      <c r="H964" t="s">
        <v>1441</v>
      </c>
      <c r="I964" t="s">
        <v>1764</v>
      </c>
    </row>
    <row r="965" spans="1:9" x14ac:dyDescent="0.25">
      <c r="A965" t="s">
        <v>3869</v>
      </c>
      <c r="B965" t="s">
        <v>822</v>
      </c>
      <c r="C965" t="s">
        <v>1191</v>
      </c>
      <c r="D965" t="s">
        <v>15</v>
      </c>
      <c r="F965" t="s">
        <v>1228</v>
      </c>
      <c r="G965" t="s">
        <v>1228</v>
      </c>
      <c r="H965" t="s">
        <v>1441</v>
      </c>
      <c r="I965" t="s">
        <v>1764</v>
      </c>
    </row>
    <row r="966" spans="1:9" x14ac:dyDescent="0.25">
      <c r="A966" t="s">
        <v>1100</v>
      </c>
      <c r="B966" t="s">
        <v>822</v>
      </c>
      <c r="C966" t="s">
        <v>1191</v>
      </c>
      <c r="D966" t="s">
        <v>15</v>
      </c>
      <c r="F966" t="s">
        <v>1331</v>
      </c>
      <c r="G966" t="s">
        <v>910</v>
      </c>
      <c r="H966" t="s">
        <v>1441</v>
      </c>
      <c r="I966" t="s">
        <v>1764</v>
      </c>
    </row>
    <row r="967" spans="1:9" x14ac:dyDescent="0.25">
      <c r="A967" t="s">
        <v>1014</v>
      </c>
      <c r="B967" t="s">
        <v>822</v>
      </c>
      <c r="C967" t="s">
        <v>1191</v>
      </c>
      <c r="D967" t="s">
        <v>15</v>
      </c>
      <c r="F967" t="s">
        <v>1333</v>
      </c>
      <c r="G967" t="s">
        <v>900</v>
      </c>
      <c r="H967" t="s">
        <v>1441</v>
      </c>
      <c r="I967" t="s">
        <v>1764</v>
      </c>
    </row>
    <row r="968" spans="1:9" x14ac:dyDescent="0.25">
      <c r="A968" t="s">
        <v>1101</v>
      </c>
      <c r="B968" t="s">
        <v>822</v>
      </c>
      <c r="C968" t="s">
        <v>1191</v>
      </c>
      <c r="D968" t="s">
        <v>15</v>
      </c>
      <c r="F968" t="s">
        <v>1293</v>
      </c>
      <c r="G968" t="s">
        <v>910</v>
      </c>
      <c r="H968" t="s">
        <v>1441</v>
      </c>
      <c r="I968" t="s">
        <v>1764</v>
      </c>
    </row>
    <row r="969" spans="1:9" x14ac:dyDescent="0.25">
      <c r="A969" t="s">
        <v>938</v>
      </c>
      <c r="B969" t="s">
        <v>822</v>
      </c>
      <c r="C969" t="s">
        <v>1191</v>
      </c>
      <c r="D969" t="s">
        <v>15</v>
      </c>
      <c r="F969" t="s">
        <v>1229</v>
      </c>
      <c r="G969" t="s">
        <v>910</v>
      </c>
      <c r="H969" t="s">
        <v>1379</v>
      </c>
      <c r="I969" t="s">
        <v>1848</v>
      </c>
    </row>
    <row r="970" spans="1:9" x14ac:dyDescent="0.25">
      <c r="A970" t="s">
        <v>3868</v>
      </c>
      <c r="B970" t="s">
        <v>822</v>
      </c>
      <c r="C970" t="s">
        <v>1191</v>
      </c>
      <c r="D970" t="s">
        <v>15</v>
      </c>
      <c r="F970" t="s">
        <v>1298</v>
      </c>
      <c r="G970" t="s">
        <v>900</v>
      </c>
      <c r="H970" t="s">
        <v>105</v>
      </c>
      <c r="I970" t="s">
        <v>2199</v>
      </c>
    </row>
    <row r="971" spans="1:9" x14ac:dyDescent="0.25">
      <c r="A971" t="s">
        <v>1088</v>
      </c>
      <c r="B971" t="s">
        <v>822</v>
      </c>
      <c r="C971" t="s">
        <v>1191</v>
      </c>
      <c r="D971" t="s">
        <v>15</v>
      </c>
      <c r="F971" t="s">
        <v>1228</v>
      </c>
      <c r="G971" t="s">
        <v>1228</v>
      </c>
      <c r="H971" t="s">
        <v>1379</v>
      </c>
      <c r="I971" t="s">
        <v>1848</v>
      </c>
    </row>
    <row r="972" spans="1:9" x14ac:dyDescent="0.25">
      <c r="A972" t="s">
        <v>2751</v>
      </c>
      <c r="B972" t="s">
        <v>822</v>
      </c>
      <c r="C972" t="s">
        <v>1191</v>
      </c>
      <c r="D972" t="s">
        <v>15</v>
      </c>
      <c r="F972" t="s">
        <v>1286</v>
      </c>
      <c r="G972" t="s">
        <v>900</v>
      </c>
      <c r="H972" t="s">
        <v>246</v>
      </c>
      <c r="I972" t="s">
        <v>2155</v>
      </c>
    </row>
    <row r="973" spans="1:9" x14ac:dyDescent="0.25">
      <c r="A973" t="s">
        <v>4257</v>
      </c>
      <c r="B973" t="s">
        <v>822</v>
      </c>
      <c r="C973" t="s">
        <v>1191</v>
      </c>
      <c r="D973" t="s">
        <v>15</v>
      </c>
      <c r="F973" t="s">
        <v>1227</v>
      </c>
      <c r="G973" t="s">
        <v>1228</v>
      </c>
      <c r="H973" t="s">
        <v>278</v>
      </c>
      <c r="I973" t="s">
        <v>2205</v>
      </c>
    </row>
    <row r="974" spans="1:9" x14ac:dyDescent="0.25">
      <c r="A974" t="s">
        <v>1085</v>
      </c>
      <c r="B974" t="s">
        <v>822</v>
      </c>
      <c r="C974" t="s">
        <v>1191</v>
      </c>
      <c r="D974" t="s">
        <v>15</v>
      </c>
      <c r="F974" t="s">
        <v>8</v>
      </c>
      <c r="G974" t="s">
        <v>910</v>
      </c>
      <c r="H974" t="s">
        <v>1379</v>
      </c>
      <c r="I974" t="s">
        <v>1848</v>
      </c>
    </row>
    <row r="975" spans="1:9" x14ac:dyDescent="0.25">
      <c r="A975" t="s">
        <v>937</v>
      </c>
      <c r="B975" t="s">
        <v>822</v>
      </c>
      <c r="C975" t="s">
        <v>1191</v>
      </c>
      <c r="D975" t="s">
        <v>15</v>
      </c>
      <c r="F975" t="s">
        <v>1331</v>
      </c>
      <c r="G975" t="s">
        <v>910</v>
      </c>
      <c r="H975" t="s">
        <v>1379</v>
      </c>
      <c r="I975" t="s">
        <v>1848</v>
      </c>
    </row>
    <row r="976" spans="1:9" x14ac:dyDescent="0.25">
      <c r="A976" t="s">
        <v>1084</v>
      </c>
      <c r="B976" t="s">
        <v>822</v>
      </c>
      <c r="C976" t="s">
        <v>1191</v>
      </c>
      <c r="D976" t="s">
        <v>15</v>
      </c>
      <c r="F976" t="s">
        <v>1293</v>
      </c>
      <c r="G976" t="s">
        <v>910</v>
      </c>
      <c r="H976" t="s">
        <v>1379</v>
      </c>
      <c r="I976" t="s">
        <v>1848</v>
      </c>
    </row>
    <row r="977" spans="1:9" x14ac:dyDescent="0.25">
      <c r="A977" t="s">
        <v>1152</v>
      </c>
      <c r="B977" t="s">
        <v>822</v>
      </c>
      <c r="C977" t="s">
        <v>1191</v>
      </c>
      <c r="D977" t="s">
        <v>15</v>
      </c>
      <c r="F977" t="s">
        <v>1221</v>
      </c>
      <c r="G977" t="s">
        <v>900</v>
      </c>
      <c r="H977" t="s">
        <v>1379</v>
      </c>
      <c r="I977" t="s">
        <v>1848</v>
      </c>
    </row>
    <row r="978" spans="1:9" x14ac:dyDescent="0.25">
      <c r="A978" t="s">
        <v>3867</v>
      </c>
      <c r="B978" t="s">
        <v>822</v>
      </c>
      <c r="C978" t="s">
        <v>1465</v>
      </c>
      <c r="D978" t="s">
        <v>15</v>
      </c>
      <c r="F978" t="s">
        <v>1229</v>
      </c>
      <c r="G978" t="s">
        <v>910</v>
      </c>
      <c r="H978" t="s">
        <v>726</v>
      </c>
      <c r="I978" t="s">
        <v>2198</v>
      </c>
    </row>
    <row r="979" spans="1:9" x14ac:dyDescent="0.25">
      <c r="A979" t="s">
        <v>3866</v>
      </c>
      <c r="B979" t="s">
        <v>822</v>
      </c>
      <c r="C979" t="s">
        <v>1465</v>
      </c>
      <c r="D979" t="s">
        <v>15</v>
      </c>
      <c r="F979" t="s">
        <v>1298</v>
      </c>
      <c r="G979" t="s">
        <v>900</v>
      </c>
      <c r="H979" t="s">
        <v>77</v>
      </c>
      <c r="I979" t="s">
        <v>2199</v>
      </c>
    </row>
    <row r="980" spans="1:9" x14ac:dyDescent="0.25">
      <c r="A980" t="s">
        <v>3865</v>
      </c>
      <c r="B980" t="s">
        <v>822</v>
      </c>
      <c r="C980" t="s">
        <v>1465</v>
      </c>
      <c r="D980" t="s">
        <v>15</v>
      </c>
      <c r="F980" t="s">
        <v>1228</v>
      </c>
      <c r="G980" t="s">
        <v>1228</v>
      </c>
      <c r="H980" t="s">
        <v>356</v>
      </c>
      <c r="I980" t="s">
        <v>2082</v>
      </c>
    </row>
    <row r="981" spans="1:9" x14ac:dyDescent="0.25">
      <c r="A981" t="s">
        <v>3864</v>
      </c>
      <c r="B981" t="s">
        <v>822</v>
      </c>
      <c r="C981" t="s">
        <v>1465</v>
      </c>
      <c r="D981" t="s">
        <v>15</v>
      </c>
      <c r="F981" t="s">
        <v>1286</v>
      </c>
      <c r="G981" t="s">
        <v>900</v>
      </c>
      <c r="H981" t="s">
        <v>555</v>
      </c>
      <c r="I981" t="s">
        <v>2155</v>
      </c>
    </row>
    <row r="982" spans="1:9" x14ac:dyDescent="0.25">
      <c r="A982" t="s">
        <v>1178</v>
      </c>
      <c r="B982" t="s">
        <v>822</v>
      </c>
      <c r="C982" t="s">
        <v>1465</v>
      </c>
      <c r="D982" t="s">
        <v>15</v>
      </c>
      <c r="F982" t="s">
        <v>1227</v>
      </c>
      <c r="G982" t="s">
        <v>1228</v>
      </c>
      <c r="H982" t="s">
        <v>1511</v>
      </c>
      <c r="I982" t="s">
        <v>2205</v>
      </c>
    </row>
    <row r="983" spans="1:9" x14ac:dyDescent="0.25">
      <c r="A983" t="s">
        <v>1036</v>
      </c>
      <c r="B983" t="s">
        <v>822</v>
      </c>
      <c r="C983" t="s">
        <v>1465</v>
      </c>
      <c r="D983" t="s">
        <v>15</v>
      </c>
      <c r="F983" t="s">
        <v>8</v>
      </c>
      <c r="G983" t="s">
        <v>910</v>
      </c>
      <c r="H983" t="s">
        <v>111</v>
      </c>
      <c r="I983" t="s">
        <v>1764</v>
      </c>
    </row>
    <row r="984" spans="1:9" x14ac:dyDescent="0.25">
      <c r="A984" t="s">
        <v>3863</v>
      </c>
      <c r="B984" t="s">
        <v>822</v>
      </c>
      <c r="C984" t="s">
        <v>1465</v>
      </c>
      <c r="D984" t="s">
        <v>15</v>
      </c>
      <c r="F984" t="s">
        <v>1331</v>
      </c>
      <c r="G984" t="s">
        <v>910</v>
      </c>
      <c r="H984" t="s">
        <v>108</v>
      </c>
      <c r="I984" t="s">
        <v>2202</v>
      </c>
    </row>
    <row r="985" spans="1:9" x14ac:dyDescent="0.25">
      <c r="A985" t="s">
        <v>3314</v>
      </c>
      <c r="B985" t="s">
        <v>822</v>
      </c>
      <c r="C985" t="s">
        <v>1465</v>
      </c>
      <c r="D985" t="s">
        <v>15</v>
      </c>
      <c r="F985" t="s">
        <v>1333</v>
      </c>
      <c r="G985" t="s">
        <v>900</v>
      </c>
      <c r="H985" t="s">
        <v>1511</v>
      </c>
      <c r="I985" t="s">
        <v>2203</v>
      </c>
    </row>
    <row r="986" spans="1:9" x14ac:dyDescent="0.25">
      <c r="A986" t="s">
        <v>3313</v>
      </c>
      <c r="B986" t="s">
        <v>822</v>
      </c>
      <c r="C986" t="s">
        <v>1465</v>
      </c>
      <c r="D986" t="s">
        <v>15</v>
      </c>
      <c r="F986" t="s">
        <v>1293</v>
      </c>
      <c r="G986" t="s">
        <v>910</v>
      </c>
      <c r="H986" t="s">
        <v>105</v>
      </c>
      <c r="I986" t="s">
        <v>2066</v>
      </c>
    </row>
    <row r="987" spans="1:9" x14ac:dyDescent="0.25">
      <c r="A987" t="s">
        <v>4256</v>
      </c>
      <c r="B987" t="s">
        <v>822</v>
      </c>
      <c r="C987" t="s">
        <v>1465</v>
      </c>
      <c r="D987" t="s">
        <v>15</v>
      </c>
      <c r="F987" t="s">
        <v>1221</v>
      </c>
      <c r="G987" t="s">
        <v>910</v>
      </c>
      <c r="H987" t="s">
        <v>1470</v>
      </c>
      <c r="I987" t="s">
        <v>2110</v>
      </c>
    </row>
    <row r="988" spans="1:9" x14ac:dyDescent="0.25">
      <c r="A988" t="s">
        <v>1089</v>
      </c>
      <c r="B988" t="s">
        <v>822</v>
      </c>
      <c r="C988" t="s">
        <v>1465</v>
      </c>
      <c r="F988" t="s">
        <v>1229</v>
      </c>
      <c r="G988" t="s">
        <v>910</v>
      </c>
      <c r="H988" t="s">
        <v>1537</v>
      </c>
      <c r="I988" t="s">
        <v>1848</v>
      </c>
    </row>
    <row r="989" spans="1:9" x14ac:dyDescent="0.25">
      <c r="A989" t="s">
        <v>1090</v>
      </c>
      <c r="B989" t="s">
        <v>822</v>
      </c>
      <c r="C989" t="s">
        <v>1465</v>
      </c>
      <c r="F989" t="s">
        <v>8</v>
      </c>
      <c r="G989" t="s">
        <v>910</v>
      </c>
      <c r="H989" t="s">
        <v>1537</v>
      </c>
      <c r="I989" t="s">
        <v>1848</v>
      </c>
    </row>
    <row r="990" spans="1:9" x14ac:dyDescent="0.25">
      <c r="A990" t="s">
        <v>3312</v>
      </c>
      <c r="B990" t="s">
        <v>822</v>
      </c>
      <c r="C990" t="s">
        <v>1465</v>
      </c>
      <c r="F990" t="s">
        <v>1293</v>
      </c>
      <c r="G990" t="s">
        <v>910</v>
      </c>
      <c r="H990" t="s">
        <v>1537</v>
      </c>
      <c r="I990" t="s">
        <v>1848</v>
      </c>
    </row>
    <row r="991" spans="1:9" x14ac:dyDescent="0.25">
      <c r="A991" t="s">
        <v>3311</v>
      </c>
      <c r="B991" t="s">
        <v>822</v>
      </c>
      <c r="C991" t="s">
        <v>1465</v>
      </c>
      <c r="F991" t="s">
        <v>1221</v>
      </c>
      <c r="G991" t="s">
        <v>900</v>
      </c>
      <c r="H991" t="s">
        <v>1537</v>
      </c>
      <c r="I991" t="s">
        <v>1848</v>
      </c>
    </row>
    <row r="992" spans="1:9" x14ac:dyDescent="0.25">
      <c r="A992" t="s">
        <v>1108</v>
      </c>
      <c r="B992" t="s">
        <v>856</v>
      </c>
      <c r="C992" t="s">
        <v>1180</v>
      </c>
      <c r="F992" t="s">
        <v>1333</v>
      </c>
      <c r="G992" t="s">
        <v>900</v>
      </c>
      <c r="H992" t="s">
        <v>1551</v>
      </c>
      <c r="I992" t="s">
        <v>1753</v>
      </c>
    </row>
    <row r="993" spans="1:9" x14ac:dyDescent="0.25">
      <c r="A993" t="s">
        <v>2953</v>
      </c>
      <c r="B993" t="s">
        <v>856</v>
      </c>
      <c r="C993" t="s">
        <v>1180</v>
      </c>
      <c r="F993" t="s">
        <v>1298</v>
      </c>
      <c r="G993" t="s">
        <v>900</v>
      </c>
      <c r="H993" t="s">
        <v>1319</v>
      </c>
      <c r="I993" t="s">
        <v>1932</v>
      </c>
    </row>
    <row r="994" spans="1:9" x14ac:dyDescent="0.25">
      <c r="A994" t="s">
        <v>2952</v>
      </c>
      <c r="B994" t="s">
        <v>856</v>
      </c>
      <c r="C994" t="s">
        <v>1180</v>
      </c>
      <c r="F994" t="s">
        <v>1298</v>
      </c>
      <c r="G994" t="s">
        <v>900</v>
      </c>
      <c r="H994" t="s">
        <v>1319</v>
      </c>
      <c r="I994" t="s">
        <v>1932</v>
      </c>
    </row>
    <row r="995" spans="1:9" x14ac:dyDescent="0.25">
      <c r="A995" t="s">
        <v>2756</v>
      </c>
      <c r="B995" t="s">
        <v>856</v>
      </c>
      <c r="C995" t="s">
        <v>1180</v>
      </c>
      <c r="F995" t="s">
        <v>1286</v>
      </c>
      <c r="G995" t="s">
        <v>900</v>
      </c>
      <c r="H995" t="s">
        <v>1402</v>
      </c>
      <c r="I995" t="s">
        <v>1933</v>
      </c>
    </row>
    <row r="996" spans="1:9" x14ac:dyDescent="0.25">
      <c r="A996" t="s">
        <v>3916</v>
      </c>
      <c r="B996" t="s">
        <v>856</v>
      </c>
      <c r="C996" t="s">
        <v>1180</v>
      </c>
      <c r="F996" t="s">
        <v>1286</v>
      </c>
      <c r="G996" t="s">
        <v>900</v>
      </c>
      <c r="H996" t="s">
        <v>1402</v>
      </c>
      <c r="I996" t="s">
        <v>1933</v>
      </c>
    </row>
    <row r="997" spans="1:9" x14ac:dyDescent="0.25">
      <c r="A997" t="s">
        <v>3915</v>
      </c>
      <c r="B997" t="s">
        <v>856</v>
      </c>
      <c r="C997" t="s">
        <v>1180</v>
      </c>
      <c r="F997" t="s">
        <v>1333</v>
      </c>
      <c r="G997" t="s">
        <v>900</v>
      </c>
      <c r="H997" t="s">
        <v>1344</v>
      </c>
      <c r="I997" t="s">
        <v>1931</v>
      </c>
    </row>
    <row r="998" spans="1:9" x14ac:dyDescent="0.25">
      <c r="A998" t="s">
        <v>3914</v>
      </c>
      <c r="B998" t="s">
        <v>856</v>
      </c>
      <c r="C998" t="s">
        <v>1180</v>
      </c>
      <c r="F998" t="s">
        <v>1333</v>
      </c>
      <c r="G998" t="s">
        <v>900</v>
      </c>
      <c r="H998" t="s">
        <v>1344</v>
      </c>
      <c r="I998" t="s">
        <v>1931</v>
      </c>
    </row>
    <row r="999" spans="1:9" x14ac:dyDescent="0.25">
      <c r="A999" t="s">
        <v>4264</v>
      </c>
      <c r="B999" t="s">
        <v>856</v>
      </c>
      <c r="C999" t="s">
        <v>1180</v>
      </c>
      <c r="F999" t="s">
        <v>1221</v>
      </c>
      <c r="G999" t="s">
        <v>900</v>
      </c>
      <c r="H999" t="s">
        <v>388</v>
      </c>
      <c r="I999" t="s">
        <v>1934</v>
      </c>
    </row>
    <row r="1000" spans="1:9" x14ac:dyDescent="0.25">
      <c r="A1000" t="s">
        <v>2951</v>
      </c>
      <c r="B1000" t="s">
        <v>856</v>
      </c>
      <c r="C1000" t="s">
        <v>1180</v>
      </c>
      <c r="F1000" t="s">
        <v>1221</v>
      </c>
      <c r="G1000" t="s">
        <v>900</v>
      </c>
      <c r="H1000" t="s">
        <v>388</v>
      </c>
      <c r="I1000" t="s">
        <v>1934</v>
      </c>
    </row>
    <row r="1001" spans="1:9" x14ac:dyDescent="0.25">
      <c r="A1001" t="s">
        <v>956</v>
      </c>
      <c r="B1001" t="s">
        <v>856</v>
      </c>
      <c r="C1001" t="s">
        <v>1197</v>
      </c>
      <c r="F1001" t="s">
        <v>1229</v>
      </c>
      <c r="G1001" t="s">
        <v>900</v>
      </c>
      <c r="H1001" t="s">
        <v>589</v>
      </c>
      <c r="I1001" t="s">
        <v>1849</v>
      </c>
    </row>
    <row r="1002" spans="1:9" x14ac:dyDescent="0.25">
      <c r="A1002" t="s">
        <v>1148</v>
      </c>
      <c r="B1002" t="s">
        <v>856</v>
      </c>
      <c r="C1002" t="s">
        <v>1197</v>
      </c>
      <c r="F1002" t="s">
        <v>1228</v>
      </c>
      <c r="G1002" t="s">
        <v>900</v>
      </c>
      <c r="H1002" t="s">
        <v>589</v>
      </c>
      <c r="I1002" t="s">
        <v>1849</v>
      </c>
    </row>
    <row r="1003" spans="1:9" x14ac:dyDescent="0.25">
      <c r="A1003" t="s">
        <v>1095</v>
      </c>
      <c r="B1003" t="s">
        <v>856</v>
      </c>
      <c r="C1003" t="s">
        <v>1197</v>
      </c>
      <c r="F1003" t="s">
        <v>1293</v>
      </c>
      <c r="G1003" t="s">
        <v>900</v>
      </c>
      <c r="H1003" t="s">
        <v>589</v>
      </c>
      <c r="I1003" t="s">
        <v>1849</v>
      </c>
    </row>
    <row r="1004" spans="1:9" x14ac:dyDescent="0.25">
      <c r="A1004" t="s">
        <v>1067</v>
      </c>
      <c r="B1004" t="s">
        <v>856</v>
      </c>
      <c r="C1004" t="s">
        <v>1197</v>
      </c>
      <c r="F1004" t="s">
        <v>1221</v>
      </c>
      <c r="G1004" t="s">
        <v>900</v>
      </c>
      <c r="H1004" t="s">
        <v>589</v>
      </c>
      <c r="I1004" t="s">
        <v>1849</v>
      </c>
    </row>
    <row r="1005" spans="1:9" x14ac:dyDescent="0.25">
      <c r="A1005" t="s">
        <v>4147</v>
      </c>
      <c r="B1005" t="s">
        <v>856</v>
      </c>
      <c r="C1005" t="s">
        <v>1197</v>
      </c>
      <c r="F1005" t="s">
        <v>1229</v>
      </c>
      <c r="G1005" t="s">
        <v>900</v>
      </c>
      <c r="H1005" t="s">
        <v>37</v>
      </c>
      <c r="I1005" t="s">
        <v>2049</v>
      </c>
    </row>
    <row r="1006" spans="1:9" x14ac:dyDescent="0.25">
      <c r="A1006" t="s">
        <v>3913</v>
      </c>
      <c r="B1006" t="s">
        <v>856</v>
      </c>
      <c r="C1006" t="s">
        <v>1197</v>
      </c>
      <c r="F1006" t="s">
        <v>1298</v>
      </c>
      <c r="G1006" t="s">
        <v>900</v>
      </c>
      <c r="H1006" t="s">
        <v>33</v>
      </c>
      <c r="I1006" t="s">
        <v>2050</v>
      </c>
    </row>
    <row r="1007" spans="1:9" x14ac:dyDescent="0.25">
      <c r="A1007" t="s">
        <v>3912</v>
      </c>
      <c r="B1007" t="s">
        <v>856</v>
      </c>
      <c r="C1007" t="s">
        <v>1197</v>
      </c>
      <c r="F1007" t="s">
        <v>1228</v>
      </c>
      <c r="G1007" t="s">
        <v>1228</v>
      </c>
      <c r="H1007" t="s">
        <v>327</v>
      </c>
      <c r="I1007" t="s">
        <v>2058</v>
      </c>
    </row>
    <row r="1008" spans="1:9" x14ac:dyDescent="0.25">
      <c r="A1008" t="s">
        <v>3264</v>
      </c>
      <c r="B1008" t="s">
        <v>856</v>
      </c>
      <c r="C1008" t="s">
        <v>1197</v>
      </c>
      <c r="F1008" t="s">
        <v>1286</v>
      </c>
      <c r="G1008" t="s">
        <v>900</v>
      </c>
      <c r="H1008" t="s">
        <v>1254</v>
      </c>
      <c r="I1008" t="s">
        <v>2056</v>
      </c>
    </row>
    <row r="1009" spans="1:9" x14ac:dyDescent="0.25">
      <c r="A1009" t="s">
        <v>3263</v>
      </c>
      <c r="B1009" t="s">
        <v>856</v>
      </c>
      <c r="C1009" t="s">
        <v>1197</v>
      </c>
      <c r="F1009" t="s">
        <v>1227</v>
      </c>
      <c r="G1009" t="s">
        <v>1228</v>
      </c>
      <c r="H1009" t="s">
        <v>37</v>
      </c>
      <c r="I1009" t="s">
        <v>2059</v>
      </c>
    </row>
    <row r="1010" spans="1:9" x14ac:dyDescent="0.25">
      <c r="A1010" t="s">
        <v>3262</v>
      </c>
      <c r="B1010" t="s">
        <v>856</v>
      </c>
      <c r="C1010" t="s">
        <v>1197</v>
      </c>
      <c r="F1010" t="s">
        <v>8</v>
      </c>
      <c r="G1010" t="s">
        <v>900</v>
      </c>
      <c r="H1010" t="s">
        <v>1287</v>
      </c>
      <c r="I1010" t="s">
        <v>2052</v>
      </c>
    </row>
    <row r="1011" spans="1:9" x14ac:dyDescent="0.25">
      <c r="A1011" t="s">
        <v>3261</v>
      </c>
      <c r="B1011" t="s">
        <v>856</v>
      </c>
      <c r="C1011" t="s">
        <v>1197</v>
      </c>
      <c r="F1011" t="s">
        <v>1331</v>
      </c>
      <c r="G1011" t="s">
        <v>900</v>
      </c>
      <c r="H1011" t="s">
        <v>778</v>
      </c>
      <c r="I1011" t="s">
        <v>2053</v>
      </c>
    </row>
    <row r="1012" spans="1:9" x14ac:dyDescent="0.25">
      <c r="A1012" t="s">
        <v>3260</v>
      </c>
      <c r="B1012" t="s">
        <v>856</v>
      </c>
      <c r="C1012" t="s">
        <v>1197</v>
      </c>
      <c r="F1012" t="s">
        <v>1333</v>
      </c>
      <c r="G1012" t="s">
        <v>900</v>
      </c>
      <c r="H1012" t="s">
        <v>115</v>
      </c>
      <c r="I1012" t="s">
        <v>2057</v>
      </c>
    </row>
    <row r="1013" spans="1:9" x14ac:dyDescent="0.25">
      <c r="A1013" t="s">
        <v>3259</v>
      </c>
      <c r="B1013" t="s">
        <v>856</v>
      </c>
      <c r="C1013" t="s">
        <v>1197</v>
      </c>
      <c r="F1013" t="s">
        <v>1293</v>
      </c>
      <c r="G1013" t="s">
        <v>900</v>
      </c>
      <c r="H1013" t="s">
        <v>744</v>
      </c>
      <c r="I1013" t="s">
        <v>2054</v>
      </c>
    </row>
    <row r="1014" spans="1:9" x14ac:dyDescent="0.25">
      <c r="A1014" t="s">
        <v>3258</v>
      </c>
      <c r="B1014" t="s">
        <v>856</v>
      </c>
      <c r="C1014" t="s">
        <v>1197</v>
      </c>
      <c r="F1014" t="s">
        <v>1221</v>
      </c>
      <c r="G1014" t="s">
        <v>900</v>
      </c>
      <c r="H1014" t="s">
        <v>92</v>
      </c>
      <c r="I1014" t="s">
        <v>2055</v>
      </c>
    </row>
    <row r="1015" spans="1:9" x14ac:dyDescent="0.25">
      <c r="A1015" t="s">
        <v>1061</v>
      </c>
      <c r="B1015" t="s">
        <v>856</v>
      </c>
      <c r="C1015" t="s">
        <v>1463</v>
      </c>
      <c r="F1015" t="s">
        <v>8</v>
      </c>
      <c r="G1015" t="s">
        <v>900</v>
      </c>
      <c r="H1015" t="s">
        <v>589</v>
      </c>
      <c r="I1015" t="s">
        <v>1849</v>
      </c>
    </row>
    <row r="1016" spans="1:9" x14ac:dyDescent="0.25">
      <c r="A1016" t="s">
        <v>1033</v>
      </c>
      <c r="B1016" t="s">
        <v>856</v>
      </c>
      <c r="C1016" t="s">
        <v>1466</v>
      </c>
      <c r="F1016" t="s">
        <v>1298</v>
      </c>
      <c r="G1016" t="s">
        <v>900</v>
      </c>
      <c r="H1016" t="s">
        <v>388</v>
      </c>
      <c r="I1016" t="s">
        <v>2064</v>
      </c>
    </row>
    <row r="1017" spans="1:9" x14ac:dyDescent="0.25">
      <c r="A1017" t="s">
        <v>3257</v>
      </c>
      <c r="B1017" t="s">
        <v>856</v>
      </c>
      <c r="C1017" t="s">
        <v>1466</v>
      </c>
      <c r="F1017" t="s">
        <v>1286</v>
      </c>
      <c r="G1017" t="s">
        <v>900</v>
      </c>
      <c r="H1017" t="s">
        <v>632</v>
      </c>
      <c r="I1017" t="s">
        <v>2195</v>
      </c>
    </row>
    <row r="1018" spans="1:9" x14ac:dyDescent="0.25">
      <c r="A1018" t="s">
        <v>1034</v>
      </c>
      <c r="B1018" t="s">
        <v>856</v>
      </c>
      <c r="C1018" t="s">
        <v>1466</v>
      </c>
      <c r="F1018" t="s">
        <v>1333</v>
      </c>
      <c r="G1018" t="s">
        <v>900</v>
      </c>
      <c r="H1018" t="s">
        <v>712</v>
      </c>
      <c r="I1018" t="s">
        <v>2196</v>
      </c>
    </row>
    <row r="1019" spans="1:9" x14ac:dyDescent="0.25">
      <c r="A1019" t="s">
        <v>1035</v>
      </c>
      <c r="B1019" t="s">
        <v>856</v>
      </c>
      <c r="C1019" t="s">
        <v>1466</v>
      </c>
      <c r="F1019" t="s">
        <v>1221</v>
      </c>
      <c r="G1019" t="s">
        <v>900</v>
      </c>
      <c r="H1019" t="s">
        <v>442</v>
      </c>
      <c r="I1019" t="s">
        <v>2197</v>
      </c>
    </row>
    <row r="1020" spans="1:9" x14ac:dyDescent="0.25">
      <c r="A1020" t="s">
        <v>3256</v>
      </c>
      <c r="B1020" t="s">
        <v>856</v>
      </c>
      <c r="C1020" t="s">
        <v>1463</v>
      </c>
      <c r="F1020" t="s">
        <v>1229</v>
      </c>
      <c r="G1020" t="s">
        <v>900</v>
      </c>
      <c r="H1020" t="s">
        <v>297</v>
      </c>
      <c r="I1020" t="s">
        <v>2049</v>
      </c>
    </row>
    <row r="1021" spans="1:9" x14ac:dyDescent="0.25">
      <c r="A1021" t="s">
        <v>974</v>
      </c>
      <c r="B1021" t="s">
        <v>856</v>
      </c>
      <c r="C1021" t="s">
        <v>1463</v>
      </c>
      <c r="F1021" t="s">
        <v>1298</v>
      </c>
      <c r="G1021" t="s">
        <v>900</v>
      </c>
      <c r="H1021" t="s">
        <v>28</v>
      </c>
      <c r="I1021" t="s">
        <v>2050</v>
      </c>
    </row>
    <row r="1022" spans="1:9" x14ac:dyDescent="0.25">
      <c r="A1022" t="s">
        <v>3255</v>
      </c>
      <c r="B1022" t="s">
        <v>856</v>
      </c>
      <c r="C1022" t="s">
        <v>1463</v>
      </c>
      <c r="F1022" t="s">
        <v>1228</v>
      </c>
      <c r="G1022" t="s">
        <v>1228</v>
      </c>
      <c r="H1022" t="s">
        <v>37</v>
      </c>
      <c r="I1022" t="s">
        <v>2058</v>
      </c>
    </row>
    <row r="1023" spans="1:9" x14ac:dyDescent="0.25">
      <c r="A1023" t="s">
        <v>975</v>
      </c>
      <c r="B1023" t="s">
        <v>856</v>
      </c>
      <c r="C1023" t="s">
        <v>1463</v>
      </c>
      <c r="F1023" t="s">
        <v>1286</v>
      </c>
      <c r="G1023" t="s">
        <v>900</v>
      </c>
      <c r="H1023" t="s">
        <v>612</v>
      </c>
      <c r="I1023" t="s">
        <v>2056</v>
      </c>
    </row>
    <row r="1024" spans="1:9" x14ac:dyDescent="0.25">
      <c r="A1024" t="s">
        <v>3254</v>
      </c>
      <c r="B1024" t="s">
        <v>856</v>
      </c>
      <c r="C1024" t="s">
        <v>1463</v>
      </c>
      <c r="F1024" t="s">
        <v>1227</v>
      </c>
      <c r="G1024" t="s">
        <v>1228</v>
      </c>
      <c r="H1024" t="s">
        <v>92</v>
      </c>
      <c r="I1024" t="s">
        <v>2059</v>
      </c>
    </row>
    <row r="1025" spans="1:9" x14ac:dyDescent="0.25">
      <c r="A1025" t="s">
        <v>3911</v>
      </c>
      <c r="B1025" t="s">
        <v>856</v>
      </c>
      <c r="C1025" t="s">
        <v>1463</v>
      </c>
      <c r="F1025" t="s">
        <v>8</v>
      </c>
      <c r="G1025" t="s">
        <v>900</v>
      </c>
      <c r="H1025" t="s">
        <v>327</v>
      </c>
      <c r="I1025" t="s">
        <v>2052</v>
      </c>
    </row>
    <row r="1026" spans="1:9" x14ac:dyDescent="0.25">
      <c r="A1026" t="s">
        <v>3910</v>
      </c>
      <c r="B1026" t="s">
        <v>856</v>
      </c>
      <c r="C1026" t="s">
        <v>1463</v>
      </c>
      <c r="F1026" t="s">
        <v>1331</v>
      </c>
      <c r="G1026" t="s">
        <v>900</v>
      </c>
      <c r="H1026" t="s">
        <v>778</v>
      </c>
      <c r="I1026" t="s">
        <v>2053</v>
      </c>
    </row>
    <row r="1027" spans="1:9" x14ac:dyDescent="0.25">
      <c r="A1027" t="s">
        <v>976</v>
      </c>
      <c r="B1027" t="s">
        <v>856</v>
      </c>
      <c r="C1027" t="s">
        <v>1463</v>
      </c>
      <c r="F1027" t="s">
        <v>1333</v>
      </c>
      <c r="G1027" t="s">
        <v>900</v>
      </c>
      <c r="H1027" t="s">
        <v>100</v>
      </c>
      <c r="I1027" t="s">
        <v>2057</v>
      </c>
    </row>
    <row r="1028" spans="1:9" x14ac:dyDescent="0.25">
      <c r="A1028" t="s">
        <v>3909</v>
      </c>
      <c r="B1028" t="s">
        <v>856</v>
      </c>
      <c r="C1028" t="s">
        <v>1463</v>
      </c>
      <c r="F1028" t="s">
        <v>1293</v>
      </c>
      <c r="G1028" t="s">
        <v>900</v>
      </c>
      <c r="H1028" t="s">
        <v>589</v>
      </c>
      <c r="I1028" t="s">
        <v>2054</v>
      </c>
    </row>
    <row r="1029" spans="1:9" x14ac:dyDescent="0.25">
      <c r="A1029" t="s">
        <v>3908</v>
      </c>
      <c r="B1029" t="s">
        <v>856</v>
      </c>
      <c r="C1029" t="s">
        <v>1463</v>
      </c>
      <c r="F1029" t="s">
        <v>1221</v>
      </c>
      <c r="G1029" t="s">
        <v>900</v>
      </c>
      <c r="H1029" t="s">
        <v>115</v>
      </c>
      <c r="I1029" t="s">
        <v>2055</v>
      </c>
    </row>
    <row r="1030" spans="1:9" x14ac:dyDescent="0.25">
      <c r="A1030" t="s">
        <v>1002</v>
      </c>
      <c r="B1030" t="s">
        <v>263</v>
      </c>
      <c r="C1030" t="s">
        <v>1186</v>
      </c>
      <c r="D1030" t="s">
        <v>27</v>
      </c>
      <c r="F1030" t="s">
        <v>8</v>
      </c>
      <c r="G1030" t="s">
        <v>900</v>
      </c>
      <c r="H1030" t="s">
        <v>1498</v>
      </c>
      <c r="I1030" t="s">
        <v>2129</v>
      </c>
    </row>
    <row r="1031" spans="1:9" x14ac:dyDescent="0.25">
      <c r="A1031" t="s">
        <v>1121</v>
      </c>
      <c r="B1031" t="s">
        <v>592</v>
      </c>
      <c r="C1031" t="s">
        <v>1191</v>
      </c>
      <c r="D1031" t="s">
        <v>27</v>
      </c>
      <c r="F1031" t="s">
        <v>1229</v>
      </c>
      <c r="G1031" t="s">
        <v>910</v>
      </c>
      <c r="H1031" t="s">
        <v>69</v>
      </c>
      <c r="I1031" t="s">
        <v>1774</v>
      </c>
    </row>
    <row r="1032" spans="1:9" x14ac:dyDescent="0.25">
      <c r="A1032" t="s">
        <v>1104</v>
      </c>
      <c r="B1032" t="s">
        <v>592</v>
      </c>
      <c r="C1032" t="s">
        <v>1191</v>
      </c>
      <c r="D1032" t="s">
        <v>27</v>
      </c>
      <c r="F1032" t="s">
        <v>8</v>
      </c>
      <c r="G1032" t="s">
        <v>910</v>
      </c>
      <c r="H1032" t="s">
        <v>69</v>
      </c>
      <c r="I1032" t="s">
        <v>1774</v>
      </c>
    </row>
    <row r="1033" spans="1:9" x14ac:dyDescent="0.25">
      <c r="A1033" t="s">
        <v>939</v>
      </c>
      <c r="B1033" t="s">
        <v>822</v>
      </c>
      <c r="C1033" t="s">
        <v>1191</v>
      </c>
      <c r="D1033" t="s">
        <v>15</v>
      </c>
      <c r="F1033" t="s">
        <v>8</v>
      </c>
      <c r="G1033" t="s">
        <v>910</v>
      </c>
      <c r="H1033" t="s">
        <v>837</v>
      </c>
      <c r="I1033" t="s">
        <v>1764</v>
      </c>
    </row>
    <row r="1034" spans="1:9" x14ac:dyDescent="0.25">
      <c r="A1034" t="s">
        <v>4433</v>
      </c>
      <c r="B1034" t="s">
        <v>176</v>
      </c>
      <c r="C1034" t="s">
        <v>1180</v>
      </c>
      <c r="E1034" t="s">
        <v>1289</v>
      </c>
      <c r="F1034" t="s">
        <v>1221</v>
      </c>
      <c r="G1034" t="s">
        <v>910</v>
      </c>
      <c r="H1034" t="s">
        <v>308</v>
      </c>
      <c r="I1034" t="s">
        <v>2447</v>
      </c>
    </row>
    <row r="1035" spans="1:9" x14ac:dyDescent="0.25">
      <c r="A1035" t="s">
        <v>2601</v>
      </c>
      <c r="B1035" t="s">
        <v>592</v>
      </c>
      <c r="C1035" t="s">
        <v>1191</v>
      </c>
      <c r="D1035" t="s">
        <v>56</v>
      </c>
      <c r="E1035" t="s">
        <v>1249</v>
      </c>
      <c r="F1035" t="s">
        <v>1221</v>
      </c>
      <c r="G1035" t="s">
        <v>910</v>
      </c>
      <c r="H1035" t="s">
        <v>555</v>
      </c>
      <c r="I1035" t="s">
        <v>2602</v>
      </c>
    </row>
    <row r="1036" spans="1:9" x14ac:dyDescent="0.25">
      <c r="A1036" t="s">
        <v>916</v>
      </c>
      <c r="B1036" t="s">
        <v>592</v>
      </c>
      <c r="C1036" t="s">
        <v>1180</v>
      </c>
      <c r="D1036" t="s">
        <v>1215</v>
      </c>
      <c r="E1036" t="s">
        <v>1289</v>
      </c>
      <c r="F1036" t="s">
        <v>1221</v>
      </c>
      <c r="G1036" t="s">
        <v>910</v>
      </c>
      <c r="H1036" t="s">
        <v>1290</v>
      </c>
      <c r="I1036" t="s">
        <v>1711</v>
      </c>
    </row>
    <row r="1037" spans="1:9" x14ac:dyDescent="0.25">
      <c r="A1037" t="s">
        <v>2583</v>
      </c>
      <c r="B1037" t="s">
        <v>678</v>
      </c>
      <c r="C1037" t="s">
        <v>1191</v>
      </c>
      <c r="D1037" t="s">
        <v>56</v>
      </c>
      <c r="E1037" t="s">
        <v>1233</v>
      </c>
      <c r="F1037" t="s">
        <v>1221</v>
      </c>
      <c r="G1037" t="s">
        <v>910</v>
      </c>
      <c r="H1037" t="s">
        <v>356</v>
      </c>
      <c r="I1037" t="s">
        <v>2448</v>
      </c>
    </row>
    <row r="1038" spans="1:9" x14ac:dyDescent="0.25">
      <c r="A1038" t="s">
        <v>1138</v>
      </c>
      <c r="B1038" t="s">
        <v>505</v>
      </c>
      <c r="C1038" t="s">
        <v>1197</v>
      </c>
      <c r="D1038" t="s">
        <v>21</v>
      </c>
      <c r="F1038" t="s">
        <v>1229</v>
      </c>
      <c r="G1038" t="s">
        <v>910</v>
      </c>
      <c r="H1038" t="s">
        <v>242</v>
      </c>
      <c r="I1038" t="s">
        <v>2317</v>
      </c>
    </row>
    <row r="1039" spans="1:9" x14ac:dyDescent="0.25">
      <c r="A1039" t="s">
        <v>3315</v>
      </c>
      <c r="B1039" t="s">
        <v>505</v>
      </c>
      <c r="C1039" t="s">
        <v>1197</v>
      </c>
      <c r="D1039" t="s">
        <v>21</v>
      </c>
      <c r="F1039" t="s">
        <v>1286</v>
      </c>
      <c r="G1039" t="s">
        <v>900</v>
      </c>
      <c r="H1039" t="s">
        <v>272</v>
      </c>
      <c r="I1039" t="s">
        <v>2316</v>
      </c>
    </row>
    <row r="1040" spans="1:9" x14ac:dyDescent="0.25">
      <c r="A1040" t="s">
        <v>1139</v>
      </c>
      <c r="B1040" t="s">
        <v>505</v>
      </c>
      <c r="C1040" t="s">
        <v>1197</v>
      </c>
      <c r="D1040" t="s">
        <v>21</v>
      </c>
      <c r="F1040" t="s">
        <v>8</v>
      </c>
      <c r="G1040" t="s">
        <v>910</v>
      </c>
      <c r="H1040" t="s">
        <v>242</v>
      </c>
      <c r="I1040" t="s">
        <v>2317</v>
      </c>
    </row>
    <row r="1041" spans="1:9" x14ac:dyDescent="0.25">
      <c r="A1041" t="s">
        <v>1140</v>
      </c>
      <c r="B1041" t="s">
        <v>505</v>
      </c>
      <c r="C1041" t="s">
        <v>1197</v>
      </c>
      <c r="D1041" t="s">
        <v>21</v>
      </c>
      <c r="F1041" t="s">
        <v>1331</v>
      </c>
      <c r="G1041" t="s">
        <v>910</v>
      </c>
      <c r="H1041" t="s">
        <v>242</v>
      </c>
      <c r="I1041" t="s">
        <v>2317</v>
      </c>
    </row>
    <row r="1042" spans="1:9" x14ac:dyDescent="0.25">
      <c r="A1042" t="s">
        <v>1141</v>
      </c>
      <c r="B1042" t="s">
        <v>505</v>
      </c>
      <c r="C1042" t="s">
        <v>1197</v>
      </c>
      <c r="D1042" t="s">
        <v>21</v>
      </c>
      <c r="F1042" t="s">
        <v>1293</v>
      </c>
      <c r="G1042" t="s">
        <v>910</v>
      </c>
      <c r="H1042" t="s">
        <v>242</v>
      </c>
      <c r="I1042" t="s">
        <v>2317</v>
      </c>
    </row>
    <row r="1043" spans="1:9" x14ac:dyDescent="0.25">
      <c r="A1043" t="s">
        <v>1150</v>
      </c>
      <c r="B1043" t="s">
        <v>505</v>
      </c>
      <c r="C1043" t="s">
        <v>1197</v>
      </c>
      <c r="D1043" t="s">
        <v>21</v>
      </c>
      <c r="F1043" t="s">
        <v>1221</v>
      </c>
      <c r="G1043" t="s">
        <v>900</v>
      </c>
      <c r="H1043" t="s">
        <v>242</v>
      </c>
      <c r="I1043" t="s">
        <v>2317</v>
      </c>
    </row>
    <row r="1044" spans="1:9" x14ac:dyDescent="0.25">
      <c r="A1044" t="s">
        <v>3843</v>
      </c>
      <c r="B1044" t="s">
        <v>148</v>
      </c>
      <c r="C1044" t="s">
        <v>1491</v>
      </c>
      <c r="F1044" t="s">
        <v>1229</v>
      </c>
      <c r="G1044" t="s">
        <v>910</v>
      </c>
      <c r="H1044" t="s">
        <v>3081</v>
      </c>
      <c r="I1044" t="s">
        <v>2117</v>
      </c>
    </row>
    <row r="1045" spans="1:9" x14ac:dyDescent="0.25">
      <c r="A1045" t="s">
        <v>3842</v>
      </c>
      <c r="B1045" t="s">
        <v>148</v>
      </c>
      <c r="C1045" t="s">
        <v>1491</v>
      </c>
      <c r="F1045" t="s">
        <v>1227</v>
      </c>
      <c r="G1045" t="s">
        <v>1227</v>
      </c>
      <c r="H1045" t="s">
        <v>3002</v>
      </c>
      <c r="I1045" t="s">
        <v>2119</v>
      </c>
    </row>
    <row r="1046" spans="1:9" x14ac:dyDescent="0.25">
      <c r="A1046" t="s">
        <v>3841</v>
      </c>
      <c r="B1046" t="s">
        <v>148</v>
      </c>
      <c r="C1046" t="s">
        <v>1491</v>
      </c>
      <c r="F1046" t="s">
        <v>8</v>
      </c>
      <c r="G1046" t="s">
        <v>910</v>
      </c>
      <c r="H1046" t="s">
        <v>565</v>
      </c>
      <c r="I1046" t="s">
        <v>2121</v>
      </c>
    </row>
    <row r="1047" spans="1:9" x14ac:dyDescent="0.25">
      <c r="A1047" t="s">
        <v>992</v>
      </c>
      <c r="B1047" t="s">
        <v>148</v>
      </c>
      <c r="C1047" t="s">
        <v>1491</v>
      </c>
      <c r="F1047" t="s">
        <v>1488</v>
      </c>
      <c r="G1047" t="s">
        <v>910</v>
      </c>
      <c r="H1047" t="s">
        <v>2665</v>
      </c>
      <c r="I1047" t="s">
        <v>2120</v>
      </c>
    </row>
    <row r="1048" spans="1:9" x14ac:dyDescent="0.25">
      <c r="A1048" t="s">
        <v>3001</v>
      </c>
      <c r="B1048" t="s">
        <v>148</v>
      </c>
      <c r="C1048" t="s">
        <v>1491</v>
      </c>
      <c r="F1048" t="s">
        <v>1221</v>
      </c>
      <c r="G1048" t="s">
        <v>910</v>
      </c>
      <c r="H1048" t="s">
        <v>3002</v>
      </c>
      <c r="I1048" t="s">
        <v>2118</v>
      </c>
    </row>
    <row r="1049" spans="1:9" x14ac:dyDescent="0.25">
      <c r="A1049" t="s">
        <v>3855</v>
      </c>
      <c r="B1049" t="s">
        <v>176</v>
      </c>
      <c r="C1049" t="s">
        <v>1466</v>
      </c>
      <c r="F1049" t="s">
        <v>1229</v>
      </c>
      <c r="G1049" t="s">
        <v>910</v>
      </c>
      <c r="H1049" t="s">
        <v>189</v>
      </c>
      <c r="I1049" t="s">
        <v>2111</v>
      </c>
    </row>
    <row r="1050" spans="1:9" x14ac:dyDescent="0.25">
      <c r="A1050" t="s">
        <v>3854</v>
      </c>
      <c r="B1050" t="s">
        <v>176</v>
      </c>
      <c r="C1050" t="s">
        <v>1466</v>
      </c>
      <c r="F1050" t="s">
        <v>1227</v>
      </c>
      <c r="G1050" t="s">
        <v>1227</v>
      </c>
      <c r="H1050" t="s">
        <v>2787</v>
      </c>
      <c r="I1050" t="s">
        <v>2115</v>
      </c>
    </row>
    <row r="1051" spans="1:9" x14ac:dyDescent="0.25">
      <c r="A1051" t="s">
        <v>3853</v>
      </c>
      <c r="B1051" t="s">
        <v>176</v>
      </c>
      <c r="C1051" t="s">
        <v>1466</v>
      </c>
      <c r="F1051" t="s">
        <v>8</v>
      </c>
      <c r="G1051" t="s">
        <v>910</v>
      </c>
      <c r="H1051" t="s">
        <v>159</v>
      </c>
      <c r="I1051" t="s">
        <v>2113</v>
      </c>
    </row>
    <row r="1052" spans="1:9" x14ac:dyDescent="0.25">
      <c r="A1052" t="s">
        <v>3852</v>
      </c>
      <c r="B1052" t="s">
        <v>176</v>
      </c>
      <c r="C1052" t="s">
        <v>1466</v>
      </c>
      <c r="F1052" t="s">
        <v>1488</v>
      </c>
      <c r="G1052" t="s">
        <v>910</v>
      </c>
      <c r="H1052" t="s">
        <v>189</v>
      </c>
      <c r="I1052" t="s">
        <v>2116</v>
      </c>
    </row>
    <row r="1053" spans="1:9" x14ac:dyDescent="0.25">
      <c r="A1053" t="s">
        <v>4129</v>
      </c>
      <c r="B1053" t="s">
        <v>176</v>
      </c>
      <c r="C1053" t="s">
        <v>1466</v>
      </c>
      <c r="F1053" t="s">
        <v>1221</v>
      </c>
      <c r="G1053" t="s">
        <v>910</v>
      </c>
      <c r="H1053" t="s">
        <v>2787</v>
      </c>
      <c r="I1053" t="s">
        <v>2114</v>
      </c>
    </row>
    <row r="1054" spans="1:9" x14ac:dyDescent="0.25">
      <c r="A1054" t="s">
        <v>3851</v>
      </c>
      <c r="B1054" t="s">
        <v>263</v>
      </c>
      <c r="C1054" t="s">
        <v>1487</v>
      </c>
      <c r="F1054" t="s">
        <v>1229</v>
      </c>
      <c r="G1054" t="s">
        <v>910</v>
      </c>
      <c r="H1054" t="s">
        <v>2787</v>
      </c>
      <c r="I1054" t="s">
        <v>2105</v>
      </c>
    </row>
    <row r="1055" spans="1:9" x14ac:dyDescent="0.25">
      <c r="A1055" t="s">
        <v>4128</v>
      </c>
      <c r="B1055" t="s">
        <v>263</v>
      </c>
      <c r="C1055" t="s">
        <v>1487</v>
      </c>
      <c r="F1055" t="s">
        <v>1227</v>
      </c>
      <c r="G1055" t="s">
        <v>910</v>
      </c>
      <c r="H1055" t="s">
        <v>2787</v>
      </c>
      <c r="I1055" t="s">
        <v>2106</v>
      </c>
    </row>
    <row r="1056" spans="1:9" x14ac:dyDescent="0.25">
      <c r="A1056" t="s">
        <v>3850</v>
      </c>
      <c r="B1056" t="s">
        <v>263</v>
      </c>
      <c r="C1056" t="s">
        <v>1487</v>
      </c>
      <c r="F1056" t="s">
        <v>8</v>
      </c>
      <c r="G1056" t="s">
        <v>910</v>
      </c>
      <c r="H1056" t="s">
        <v>159</v>
      </c>
      <c r="I1056" t="s">
        <v>2107</v>
      </c>
    </row>
    <row r="1057" spans="1:9" x14ac:dyDescent="0.25">
      <c r="A1057" t="s">
        <v>3849</v>
      </c>
      <c r="B1057" t="s">
        <v>263</v>
      </c>
      <c r="C1057" t="s">
        <v>1487</v>
      </c>
      <c r="F1057" t="s">
        <v>1488</v>
      </c>
      <c r="G1057" t="s">
        <v>910</v>
      </c>
      <c r="H1057" t="s">
        <v>2787</v>
      </c>
      <c r="I1057" t="s">
        <v>2109</v>
      </c>
    </row>
    <row r="1058" spans="1:9" x14ac:dyDescent="0.25">
      <c r="A1058" t="s">
        <v>3848</v>
      </c>
      <c r="B1058" t="s">
        <v>263</v>
      </c>
      <c r="C1058" t="s">
        <v>1487</v>
      </c>
      <c r="F1058" t="s">
        <v>1221</v>
      </c>
      <c r="G1058" t="s">
        <v>910</v>
      </c>
      <c r="H1058" t="s">
        <v>2787</v>
      </c>
      <c r="I1058" t="s">
        <v>2108</v>
      </c>
    </row>
    <row r="1059" spans="1:9" x14ac:dyDescent="0.25">
      <c r="A1059" t="s">
        <v>3847</v>
      </c>
      <c r="B1059" t="s">
        <v>505</v>
      </c>
      <c r="C1059" t="s">
        <v>1465</v>
      </c>
      <c r="F1059" t="s">
        <v>1229</v>
      </c>
      <c r="G1059" t="s">
        <v>910</v>
      </c>
      <c r="H1059" t="s">
        <v>497</v>
      </c>
      <c r="I1059" t="s">
        <v>2105</v>
      </c>
    </row>
    <row r="1060" spans="1:9" x14ac:dyDescent="0.25">
      <c r="A1060" t="s">
        <v>4127</v>
      </c>
      <c r="B1060" t="s">
        <v>505</v>
      </c>
      <c r="C1060" t="s">
        <v>1465</v>
      </c>
      <c r="F1060" t="s">
        <v>1227</v>
      </c>
      <c r="G1060" t="s">
        <v>1227</v>
      </c>
      <c r="H1060" t="s">
        <v>842</v>
      </c>
      <c r="I1060" t="s">
        <v>2106</v>
      </c>
    </row>
    <row r="1061" spans="1:9" x14ac:dyDescent="0.25">
      <c r="A1061" t="s">
        <v>3846</v>
      </c>
      <c r="B1061" t="s">
        <v>505</v>
      </c>
      <c r="C1061" t="s">
        <v>1465</v>
      </c>
      <c r="F1061" t="s">
        <v>8</v>
      </c>
      <c r="G1061" t="s">
        <v>910</v>
      </c>
      <c r="H1061" t="s">
        <v>1554</v>
      </c>
      <c r="I1061" t="s">
        <v>2107</v>
      </c>
    </row>
    <row r="1062" spans="1:9" x14ac:dyDescent="0.25">
      <c r="A1062" t="s">
        <v>3845</v>
      </c>
      <c r="B1062" t="s">
        <v>505</v>
      </c>
      <c r="C1062" t="s">
        <v>1465</v>
      </c>
      <c r="F1062" t="s">
        <v>1488</v>
      </c>
      <c r="G1062" t="s">
        <v>910</v>
      </c>
      <c r="H1062" t="s">
        <v>173</v>
      </c>
      <c r="I1062" t="s">
        <v>2109</v>
      </c>
    </row>
    <row r="1063" spans="1:9" x14ac:dyDescent="0.25">
      <c r="A1063" t="s">
        <v>3844</v>
      </c>
      <c r="B1063" t="s">
        <v>505</v>
      </c>
      <c r="C1063" t="s">
        <v>1465</v>
      </c>
      <c r="F1063" t="s">
        <v>1229</v>
      </c>
      <c r="G1063" t="s">
        <v>910</v>
      </c>
      <c r="H1063" t="s">
        <v>2787</v>
      </c>
      <c r="I1063" t="s">
        <v>2117</v>
      </c>
    </row>
    <row r="1064" spans="1:9" x14ac:dyDescent="0.25">
      <c r="A1064" t="s">
        <v>3339</v>
      </c>
      <c r="B1064" t="s">
        <v>505</v>
      </c>
      <c r="C1064" t="s">
        <v>1465</v>
      </c>
      <c r="F1064" t="s">
        <v>1227</v>
      </c>
      <c r="G1064" t="s">
        <v>1227</v>
      </c>
      <c r="H1064" t="s">
        <v>2911</v>
      </c>
      <c r="I1064" t="s">
        <v>2119</v>
      </c>
    </row>
    <row r="1065" spans="1:9" x14ac:dyDescent="0.25">
      <c r="A1065" t="s">
        <v>3338</v>
      </c>
      <c r="B1065" t="s">
        <v>505</v>
      </c>
      <c r="C1065" t="s">
        <v>1465</v>
      </c>
      <c r="F1065" t="s">
        <v>8</v>
      </c>
      <c r="G1065" t="s">
        <v>910</v>
      </c>
      <c r="H1065" t="s">
        <v>3150</v>
      </c>
      <c r="I1065" t="s">
        <v>2121</v>
      </c>
    </row>
    <row r="1066" spans="1:9" x14ac:dyDescent="0.25">
      <c r="A1066" t="s">
        <v>3337</v>
      </c>
      <c r="B1066" t="s">
        <v>505</v>
      </c>
      <c r="C1066" t="s">
        <v>1465</v>
      </c>
      <c r="F1066" t="s">
        <v>1488</v>
      </c>
      <c r="G1066" t="s">
        <v>910</v>
      </c>
      <c r="H1066" t="s">
        <v>2787</v>
      </c>
      <c r="I1066" t="s">
        <v>2120</v>
      </c>
    </row>
    <row r="1067" spans="1:9" x14ac:dyDescent="0.25">
      <c r="A1067" t="s">
        <v>3336</v>
      </c>
      <c r="B1067" t="s">
        <v>505</v>
      </c>
      <c r="C1067" t="s">
        <v>1465</v>
      </c>
      <c r="F1067" t="s">
        <v>1221</v>
      </c>
      <c r="G1067" t="s">
        <v>910</v>
      </c>
      <c r="H1067" t="s">
        <v>2911</v>
      </c>
      <c r="I1067" t="s">
        <v>2118</v>
      </c>
    </row>
    <row r="1068" spans="1:9" x14ac:dyDescent="0.25">
      <c r="A1068" t="s">
        <v>3335</v>
      </c>
      <c r="B1068" t="s">
        <v>592</v>
      </c>
      <c r="C1068" t="s">
        <v>1465</v>
      </c>
      <c r="F1068" t="s">
        <v>1229</v>
      </c>
      <c r="G1068" t="s">
        <v>910</v>
      </c>
      <c r="H1068" t="s">
        <v>2665</v>
      </c>
      <c r="I1068" t="s">
        <v>2117</v>
      </c>
    </row>
    <row r="1069" spans="1:9" x14ac:dyDescent="0.25">
      <c r="A1069" t="s">
        <v>4126</v>
      </c>
      <c r="B1069" t="s">
        <v>592</v>
      </c>
      <c r="C1069" t="s">
        <v>1465</v>
      </c>
      <c r="F1069" t="s">
        <v>1227</v>
      </c>
      <c r="G1069" t="s">
        <v>1227</v>
      </c>
      <c r="H1069" t="s">
        <v>2665</v>
      </c>
      <c r="I1069" t="s">
        <v>2119</v>
      </c>
    </row>
    <row r="1070" spans="1:9" x14ac:dyDescent="0.25">
      <c r="A1070" t="s">
        <v>3005</v>
      </c>
      <c r="B1070" t="s">
        <v>592</v>
      </c>
      <c r="C1070" t="s">
        <v>1465</v>
      </c>
      <c r="F1070" t="s">
        <v>8</v>
      </c>
      <c r="G1070" t="s">
        <v>910</v>
      </c>
      <c r="H1070" t="s">
        <v>3006</v>
      </c>
      <c r="I1070" t="s">
        <v>2121</v>
      </c>
    </row>
    <row r="1071" spans="1:9" x14ac:dyDescent="0.25">
      <c r="A1071" t="s">
        <v>3334</v>
      </c>
      <c r="B1071" t="s">
        <v>592</v>
      </c>
      <c r="C1071" t="s">
        <v>1465</v>
      </c>
      <c r="F1071" t="s">
        <v>1488</v>
      </c>
      <c r="G1071" t="s">
        <v>910</v>
      </c>
      <c r="H1071" t="s">
        <v>807</v>
      </c>
      <c r="I1071" t="s">
        <v>2120</v>
      </c>
    </row>
    <row r="1072" spans="1:9" x14ac:dyDescent="0.25">
      <c r="A1072" t="s">
        <v>3333</v>
      </c>
      <c r="B1072" t="s">
        <v>592</v>
      </c>
      <c r="C1072" t="s">
        <v>1465</v>
      </c>
      <c r="F1072" t="s">
        <v>1221</v>
      </c>
      <c r="G1072" t="s">
        <v>910</v>
      </c>
      <c r="H1072" t="s">
        <v>2665</v>
      </c>
      <c r="I1072" t="s">
        <v>2118</v>
      </c>
    </row>
    <row r="1073" spans="1:9" x14ac:dyDescent="0.25">
      <c r="A1073" t="s">
        <v>3332</v>
      </c>
      <c r="B1073" t="s">
        <v>678</v>
      </c>
      <c r="C1073" t="s">
        <v>1465</v>
      </c>
      <c r="F1073" t="s">
        <v>1229</v>
      </c>
      <c r="G1073" t="s">
        <v>910</v>
      </c>
      <c r="H1073" t="s">
        <v>58</v>
      </c>
      <c r="I1073" t="s">
        <v>2117</v>
      </c>
    </row>
    <row r="1074" spans="1:9" x14ac:dyDescent="0.25">
      <c r="A1074" t="s">
        <v>3331</v>
      </c>
      <c r="B1074" t="s">
        <v>678</v>
      </c>
      <c r="C1074" t="s">
        <v>1465</v>
      </c>
      <c r="F1074" t="s">
        <v>1227</v>
      </c>
      <c r="G1074" t="s">
        <v>1227</v>
      </c>
      <c r="H1074" t="s">
        <v>189</v>
      </c>
      <c r="I1074" t="s">
        <v>2119</v>
      </c>
    </row>
    <row r="1075" spans="1:9" x14ac:dyDescent="0.25">
      <c r="A1075" t="s">
        <v>3330</v>
      </c>
      <c r="B1075" t="s">
        <v>678</v>
      </c>
      <c r="C1075" t="s">
        <v>1465</v>
      </c>
      <c r="F1075" t="s">
        <v>8</v>
      </c>
      <c r="G1075" t="s">
        <v>910</v>
      </c>
      <c r="H1075" t="s">
        <v>2614</v>
      </c>
      <c r="I1075" t="s">
        <v>2121</v>
      </c>
    </row>
    <row r="1076" spans="1:9" x14ac:dyDescent="0.25">
      <c r="A1076" t="s">
        <v>3329</v>
      </c>
      <c r="B1076" t="s">
        <v>678</v>
      </c>
      <c r="C1076" t="s">
        <v>1465</v>
      </c>
      <c r="F1076" t="s">
        <v>1488</v>
      </c>
      <c r="G1076" t="s">
        <v>910</v>
      </c>
      <c r="H1076" t="s">
        <v>58</v>
      </c>
      <c r="I1076" t="s">
        <v>2120</v>
      </c>
    </row>
    <row r="1077" spans="1:9" x14ac:dyDescent="0.25">
      <c r="A1077" t="s">
        <v>3328</v>
      </c>
      <c r="B1077" t="s">
        <v>678</v>
      </c>
      <c r="C1077" t="s">
        <v>1465</v>
      </c>
      <c r="F1077" t="s">
        <v>1221</v>
      </c>
      <c r="G1077" t="s">
        <v>910</v>
      </c>
      <c r="H1077" t="s">
        <v>189</v>
      </c>
      <c r="I1077" t="s">
        <v>2118</v>
      </c>
    </row>
    <row r="1078" spans="1:9" x14ac:dyDescent="0.25">
      <c r="A1078" t="s">
        <v>3327</v>
      </c>
      <c r="B1078" t="s">
        <v>822</v>
      </c>
      <c r="C1078" t="s">
        <v>1465</v>
      </c>
      <c r="F1078" t="s">
        <v>1229</v>
      </c>
      <c r="G1078" t="s">
        <v>910</v>
      </c>
      <c r="H1078" t="s">
        <v>3004</v>
      </c>
      <c r="I1078" t="s">
        <v>2117</v>
      </c>
    </row>
    <row r="1079" spans="1:9" x14ac:dyDescent="0.25">
      <c r="A1079" t="s">
        <v>3003</v>
      </c>
      <c r="B1079" t="s">
        <v>822</v>
      </c>
      <c r="C1079" t="s">
        <v>1465</v>
      </c>
      <c r="F1079" t="s">
        <v>1227</v>
      </c>
      <c r="G1079" t="s">
        <v>1227</v>
      </c>
      <c r="H1079" t="s">
        <v>3004</v>
      </c>
      <c r="I1079" t="s">
        <v>2119</v>
      </c>
    </row>
    <row r="1080" spans="1:9" x14ac:dyDescent="0.25">
      <c r="A1080" t="s">
        <v>3326</v>
      </c>
      <c r="B1080" t="s">
        <v>822</v>
      </c>
      <c r="C1080" t="s">
        <v>1465</v>
      </c>
      <c r="F1080" t="s">
        <v>8</v>
      </c>
      <c r="G1080" t="s">
        <v>910</v>
      </c>
      <c r="H1080" t="s">
        <v>850</v>
      </c>
      <c r="I1080" t="s">
        <v>2121</v>
      </c>
    </row>
    <row r="1081" spans="1:9" x14ac:dyDescent="0.25">
      <c r="A1081" t="s">
        <v>3325</v>
      </c>
      <c r="B1081" t="s">
        <v>822</v>
      </c>
      <c r="C1081" t="s">
        <v>1465</v>
      </c>
      <c r="F1081" t="s">
        <v>1488</v>
      </c>
      <c r="G1081" t="s">
        <v>910</v>
      </c>
      <c r="H1081" t="s">
        <v>3004</v>
      </c>
      <c r="I1081" t="s">
        <v>2120</v>
      </c>
    </row>
    <row r="1082" spans="1:9" x14ac:dyDescent="0.25">
      <c r="A1082" t="s">
        <v>3324</v>
      </c>
      <c r="B1082" t="s">
        <v>822</v>
      </c>
      <c r="C1082" t="s">
        <v>1465</v>
      </c>
      <c r="F1082" t="s">
        <v>1221</v>
      </c>
      <c r="G1082" t="s">
        <v>910</v>
      </c>
      <c r="H1082" t="s">
        <v>3004</v>
      </c>
      <c r="I1082" t="s">
        <v>2118</v>
      </c>
    </row>
    <row r="1083" spans="1:9" x14ac:dyDescent="0.25">
      <c r="A1083" t="s">
        <v>3840</v>
      </c>
      <c r="B1083" t="s">
        <v>176</v>
      </c>
      <c r="C1083" t="s">
        <v>1204</v>
      </c>
      <c r="E1083" t="s">
        <v>1414</v>
      </c>
      <c r="F1083" t="s">
        <v>1229</v>
      </c>
      <c r="G1083" t="s">
        <v>910</v>
      </c>
      <c r="H1083" t="s">
        <v>183</v>
      </c>
      <c r="I1083" t="s">
        <v>2295</v>
      </c>
    </row>
    <row r="1084" spans="1:9" x14ac:dyDescent="0.25">
      <c r="A1084" t="s">
        <v>1118</v>
      </c>
      <c r="B1084" t="s">
        <v>176</v>
      </c>
      <c r="C1084" t="s">
        <v>1204</v>
      </c>
      <c r="E1084" t="s">
        <v>1414</v>
      </c>
      <c r="F1084" t="s">
        <v>8</v>
      </c>
      <c r="G1084" t="s">
        <v>910</v>
      </c>
      <c r="H1084" t="s">
        <v>183</v>
      </c>
      <c r="I1084" t="s">
        <v>2295</v>
      </c>
    </row>
    <row r="1085" spans="1:9" x14ac:dyDescent="0.25">
      <c r="A1085" t="s">
        <v>3839</v>
      </c>
      <c r="B1085" t="s">
        <v>822</v>
      </c>
      <c r="C1085" t="s">
        <v>1196</v>
      </c>
      <c r="D1085" t="s">
        <v>197</v>
      </c>
      <c r="E1085" t="s">
        <v>1231</v>
      </c>
      <c r="F1085" t="s">
        <v>1229</v>
      </c>
      <c r="G1085" t="s">
        <v>910</v>
      </c>
      <c r="H1085" t="s">
        <v>2863</v>
      </c>
      <c r="I1085" t="s">
        <v>2296</v>
      </c>
    </row>
    <row r="1086" spans="1:9" x14ac:dyDescent="0.25">
      <c r="A1086" t="s">
        <v>2750</v>
      </c>
      <c r="B1086" t="s">
        <v>13</v>
      </c>
      <c r="C1086" t="s">
        <v>1197</v>
      </c>
      <c r="D1086" t="s">
        <v>21</v>
      </c>
      <c r="E1086" t="s">
        <v>1292</v>
      </c>
      <c r="F1086" t="s">
        <v>1251</v>
      </c>
      <c r="G1086" t="s">
        <v>900</v>
      </c>
      <c r="H1086" t="s">
        <v>23</v>
      </c>
      <c r="I1086" t="s">
        <v>1715</v>
      </c>
    </row>
    <row r="1087" spans="1:9" x14ac:dyDescent="0.25">
      <c r="A1087" t="s">
        <v>2569</v>
      </c>
      <c r="B1087" t="s">
        <v>13</v>
      </c>
      <c r="C1087" t="s">
        <v>1197</v>
      </c>
      <c r="D1087" t="s">
        <v>21</v>
      </c>
      <c r="E1087" t="s">
        <v>1292</v>
      </c>
      <c r="F1087" t="s">
        <v>8</v>
      </c>
      <c r="G1087" t="s">
        <v>900</v>
      </c>
      <c r="H1087" t="s">
        <v>23</v>
      </c>
      <c r="I1087" t="s">
        <v>1715</v>
      </c>
    </row>
    <row r="1088" spans="1:9" x14ac:dyDescent="0.25">
      <c r="A1088" t="s">
        <v>2732</v>
      </c>
      <c r="B1088" t="s">
        <v>13</v>
      </c>
      <c r="C1088" t="s">
        <v>1197</v>
      </c>
      <c r="D1088" t="s">
        <v>21</v>
      </c>
      <c r="E1088" t="s">
        <v>1292</v>
      </c>
      <c r="F1088" t="s">
        <v>1331</v>
      </c>
      <c r="G1088" t="s">
        <v>900</v>
      </c>
      <c r="H1088" t="s">
        <v>23</v>
      </c>
      <c r="I1088" t="s">
        <v>1715</v>
      </c>
    </row>
    <row r="1089" spans="1:9" x14ac:dyDescent="0.25">
      <c r="A1089" t="s">
        <v>2998</v>
      </c>
      <c r="B1089" t="s">
        <v>13</v>
      </c>
      <c r="C1089" t="s">
        <v>1197</v>
      </c>
      <c r="D1089" t="s">
        <v>21</v>
      </c>
      <c r="E1089" t="s">
        <v>1292</v>
      </c>
      <c r="F1089" t="s">
        <v>1323</v>
      </c>
      <c r="G1089" t="s">
        <v>900</v>
      </c>
      <c r="H1089" t="s">
        <v>23</v>
      </c>
      <c r="I1089" t="s">
        <v>1715</v>
      </c>
    </row>
    <row r="1090" spans="1:9" x14ac:dyDescent="0.25">
      <c r="A1090" t="s">
        <v>2691</v>
      </c>
      <c r="B1090" t="s">
        <v>13</v>
      </c>
      <c r="C1090" t="s">
        <v>1197</v>
      </c>
      <c r="D1090" t="s">
        <v>21</v>
      </c>
      <c r="E1090" t="s">
        <v>1292</v>
      </c>
      <c r="F1090" t="s">
        <v>1293</v>
      </c>
      <c r="G1090" t="s">
        <v>900</v>
      </c>
      <c r="H1090" t="s">
        <v>23</v>
      </c>
      <c r="I1090" t="s">
        <v>1715</v>
      </c>
    </row>
    <row r="1091" spans="1:9" x14ac:dyDescent="0.25">
      <c r="A1091" t="s">
        <v>3355</v>
      </c>
      <c r="B1091" t="s">
        <v>13</v>
      </c>
      <c r="C1091" t="s">
        <v>1182</v>
      </c>
      <c r="D1091" t="s">
        <v>27</v>
      </c>
      <c r="E1091" t="s">
        <v>1234</v>
      </c>
      <c r="F1091" t="s">
        <v>1293</v>
      </c>
      <c r="G1091" t="s">
        <v>900</v>
      </c>
      <c r="H1091" t="s">
        <v>28</v>
      </c>
      <c r="I1091" t="s">
        <v>1877</v>
      </c>
    </row>
    <row r="1092" spans="1:9" x14ac:dyDescent="0.25">
      <c r="A1092" t="s">
        <v>2749</v>
      </c>
      <c r="B1092" t="s">
        <v>13</v>
      </c>
      <c r="C1092" t="s">
        <v>1182</v>
      </c>
      <c r="D1092" t="s">
        <v>27</v>
      </c>
      <c r="E1092" t="s">
        <v>1234</v>
      </c>
      <c r="F1092" t="s">
        <v>1251</v>
      </c>
      <c r="G1092" t="s">
        <v>900</v>
      </c>
      <c r="H1092" t="s">
        <v>28</v>
      </c>
      <c r="I1092" t="s">
        <v>1877</v>
      </c>
    </row>
    <row r="1093" spans="1:9" x14ac:dyDescent="0.25">
      <c r="A1093" t="s">
        <v>2847</v>
      </c>
      <c r="B1093" t="s">
        <v>13</v>
      </c>
      <c r="C1093" t="s">
        <v>1182</v>
      </c>
      <c r="D1093" t="s">
        <v>27</v>
      </c>
      <c r="E1093" t="s">
        <v>1234</v>
      </c>
      <c r="F1093" t="s">
        <v>8</v>
      </c>
      <c r="G1093" t="s">
        <v>900</v>
      </c>
      <c r="H1093" t="s">
        <v>28</v>
      </c>
      <c r="I1093" t="s">
        <v>1877</v>
      </c>
    </row>
    <row r="1094" spans="1:9" x14ac:dyDescent="0.25">
      <c r="A1094" t="s">
        <v>2688</v>
      </c>
      <c r="B1094" t="s">
        <v>75</v>
      </c>
      <c r="C1094" t="s">
        <v>1180</v>
      </c>
      <c r="D1094" t="s">
        <v>84</v>
      </c>
      <c r="E1094" t="s">
        <v>1250</v>
      </c>
      <c r="F1094" t="s">
        <v>1229</v>
      </c>
      <c r="G1094" t="s">
        <v>910</v>
      </c>
      <c r="H1094" t="s">
        <v>88</v>
      </c>
      <c r="I1094" t="s">
        <v>2328</v>
      </c>
    </row>
    <row r="1095" spans="1:9" x14ac:dyDescent="0.25">
      <c r="A1095" t="s">
        <v>2637</v>
      </c>
      <c r="B1095" t="s">
        <v>75</v>
      </c>
      <c r="C1095" t="s">
        <v>1180</v>
      </c>
      <c r="D1095" t="s">
        <v>84</v>
      </c>
      <c r="E1095" t="s">
        <v>1250</v>
      </c>
      <c r="F1095" t="s">
        <v>8</v>
      </c>
      <c r="G1095" t="s">
        <v>910</v>
      </c>
      <c r="H1095" t="s">
        <v>88</v>
      </c>
      <c r="I1095" t="s">
        <v>2328</v>
      </c>
    </row>
    <row r="1096" spans="1:9" x14ac:dyDescent="0.25">
      <c r="A1096" t="s">
        <v>3017</v>
      </c>
      <c r="B1096" t="s">
        <v>75</v>
      </c>
      <c r="C1096" t="s">
        <v>1180</v>
      </c>
      <c r="D1096" t="s">
        <v>84</v>
      </c>
      <c r="E1096" t="s">
        <v>1250</v>
      </c>
      <c r="F1096" t="s">
        <v>1323</v>
      </c>
      <c r="G1096" t="s">
        <v>900</v>
      </c>
      <c r="H1096" t="s">
        <v>88</v>
      </c>
      <c r="I1096" t="s">
        <v>2328</v>
      </c>
    </row>
    <row r="1097" spans="1:9" x14ac:dyDescent="0.25">
      <c r="A1097" t="s">
        <v>3359</v>
      </c>
      <c r="B1097" t="s">
        <v>75</v>
      </c>
      <c r="C1097" t="s">
        <v>1180</v>
      </c>
      <c r="D1097" t="s">
        <v>84</v>
      </c>
      <c r="E1097" t="s">
        <v>1250</v>
      </c>
      <c r="F1097" t="s">
        <v>1293</v>
      </c>
      <c r="G1097" t="s">
        <v>910</v>
      </c>
      <c r="H1097" t="s">
        <v>88</v>
      </c>
      <c r="I1097" t="s">
        <v>2328</v>
      </c>
    </row>
    <row r="1098" spans="1:9" x14ac:dyDescent="0.25">
      <c r="A1098" t="s">
        <v>3354</v>
      </c>
      <c r="B1098" t="s">
        <v>95</v>
      </c>
      <c r="C1098" t="s">
        <v>1180</v>
      </c>
      <c r="E1098" t="s">
        <v>1375</v>
      </c>
      <c r="F1098" t="s">
        <v>1331</v>
      </c>
      <c r="G1098" t="s">
        <v>900</v>
      </c>
      <c r="I1098" t="s">
        <v>1836</v>
      </c>
    </row>
    <row r="1099" spans="1:9" x14ac:dyDescent="0.25">
      <c r="A1099" t="s">
        <v>2997</v>
      </c>
      <c r="B1099" t="s">
        <v>95</v>
      </c>
      <c r="C1099" t="s">
        <v>1180</v>
      </c>
      <c r="E1099" t="s">
        <v>1375</v>
      </c>
      <c r="F1099" t="s">
        <v>1293</v>
      </c>
      <c r="G1099" t="s">
        <v>900</v>
      </c>
      <c r="I1099" t="s">
        <v>1836</v>
      </c>
    </row>
    <row r="1100" spans="1:9" x14ac:dyDescent="0.25">
      <c r="A1100" t="s">
        <v>2996</v>
      </c>
      <c r="B1100" t="s">
        <v>95</v>
      </c>
      <c r="C1100" t="s">
        <v>1180</v>
      </c>
      <c r="E1100" t="s">
        <v>1375</v>
      </c>
      <c r="F1100" t="s">
        <v>1251</v>
      </c>
      <c r="G1100" t="s">
        <v>900</v>
      </c>
      <c r="I1100" t="s">
        <v>1836</v>
      </c>
    </row>
    <row r="1101" spans="1:9" x14ac:dyDescent="0.25">
      <c r="A1101" t="s">
        <v>3353</v>
      </c>
      <c r="B1101" t="s">
        <v>95</v>
      </c>
      <c r="C1101" t="s">
        <v>1180</v>
      </c>
      <c r="E1101" t="s">
        <v>1375</v>
      </c>
      <c r="F1101" t="s">
        <v>8</v>
      </c>
      <c r="G1101" t="s">
        <v>900</v>
      </c>
      <c r="I1101" t="s">
        <v>1836</v>
      </c>
    </row>
    <row r="1102" spans="1:9" x14ac:dyDescent="0.25">
      <c r="A1102" t="s">
        <v>3352</v>
      </c>
      <c r="B1102" t="s">
        <v>95</v>
      </c>
      <c r="C1102" t="s">
        <v>1180</v>
      </c>
      <c r="E1102" t="s">
        <v>1375</v>
      </c>
      <c r="F1102" t="s">
        <v>1323</v>
      </c>
      <c r="G1102" t="s">
        <v>900</v>
      </c>
      <c r="I1102" t="s">
        <v>1836</v>
      </c>
    </row>
    <row r="1103" spans="1:9" x14ac:dyDescent="0.25">
      <c r="A1103" t="s">
        <v>2730</v>
      </c>
      <c r="B1103" t="s">
        <v>132</v>
      </c>
      <c r="C1103" t="s">
        <v>1180</v>
      </c>
      <c r="D1103" t="s">
        <v>75</v>
      </c>
      <c r="E1103" t="s">
        <v>1358</v>
      </c>
      <c r="F1103" t="s">
        <v>1229</v>
      </c>
      <c r="G1103" t="s">
        <v>910</v>
      </c>
      <c r="H1103" t="s">
        <v>2731</v>
      </c>
      <c r="I1103" t="s">
        <v>1797</v>
      </c>
    </row>
    <row r="1104" spans="1:9" x14ac:dyDescent="0.25">
      <c r="A1104" t="s">
        <v>3016</v>
      </c>
      <c r="B1104" t="s">
        <v>143</v>
      </c>
      <c r="C1104" t="s">
        <v>1184</v>
      </c>
      <c r="D1104" t="s">
        <v>27</v>
      </c>
      <c r="E1104" t="s">
        <v>1303</v>
      </c>
      <c r="F1104" t="s">
        <v>1323</v>
      </c>
      <c r="G1104" t="s">
        <v>900</v>
      </c>
      <c r="H1104" t="s">
        <v>145</v>
      </c>
      <c r="I1104" t="s">
        <v>1872</v>
      </c>
    </row>
    <row r="1105" spans="1:9" x14ac:dyDescent="0.25">
      <c r="A1105" t="s">
        <v>3015</v>
      </c>
      <c r="B1105" t="s">
        <v>143</v>
      </c>
      <c r="C1105" t="s">
        <v>1184</v>
      </c>
      <c r="D1105" t="s">
        <v>27</v>
      </c>
      <c r="E1105" t="s">
        <v>1303</v>
      </c>
      <c r="F1105" t="s">
        <v>1293</v>
      </c>
      <c r="G1105" t="s">
        <v>910</v>
      </c>
      <c r="H1105" t="s">
        <v>145</v>
      </c>
      <c r="I1105" t="s">
        <v>1872</v>
      </c>
    </row>
    <row r="1106" spans="1:9" x14ac:dyDescent="0.25">
      <c r="A1106" t="s">
        <v>2995</v>
      </c>
      <c r="B1106" t="s">
        <v>114</v>
      </c>
      <c r="C1106" t="s">
        <v>1184</v>
      </c>
      <c r="E1106" t="s">
        <v>1252</v>
      </c>
      <c r="F1106" t="s">
        <v>1229</v>
      </c>
      <c r="G1106" t="s">
        <v>910</v>
      </c>
      <c r="H1106" t="s">
        <v>268</v>
      </c>
      <c r="I1106" t="s">
        <v>1879</v>
      </c>
    </row>
    <row r="1107" spans="1:9" x14ac:dyDescent="0.25">
      <c r="A1107" t="s">
        <v>2846</v>
      </c>
      <c r="B1107" t="s">
        <v>114</v>
      </c>
      <c r="C1107" t="s">
        <v>1184</v>
      </c>
      <c r="E1107" t="s">
        <v>1464</v>
      </c>
      <c r="F1107" t="s">
        <v>1229</v>
      </c>
      <c r="G1107" t="s">
        <v>910</v>
      </c>
      <c r="H1107" t="s">
        <v>119</v>
      </c>
      <c r="I1107" t="s">
        <v>2051</v>
      </c>
    </row>
    <row r="1108" spans="1:9" x14ac:dyDescent="0.25">
      <c r="A1108" t="s">
        <v>2994</v>
      </c>
      <c r="B1108" t="s">
        <v>114</v>
      </c>
      <c r="C1108" t="s">
        <v>1184</v>
      </c>
      <c r="E1108" t="s">
        <v>1464</v>
      </c>
      <c r="F1108" t="s">
        <v>8</v>
      </c>
      <c r="G1108" t="s">
        <v>910</v>
      </c>
      <c r="H1108" t="s">
        <v>119</v>
      </c>
      <c r="I1108" t="s">
        <v>2051</v>
      </c>
    </row>
    <row r="1109" spans="1:9" x14ac:dyDescent="0.25">
      <c r="A1109" t="s">
        <v>3351</v>
      </c>
      <c r="B1109" t="s">
        <v>114</v>
      </c>
      <c r="C1109" t="s">
        <v>1184</v>
      </c>
      <c r="E1109" t="s">
        <v>1464</v>
      </c>
      <c r="F1109" t="s">
        <v>1323</v>
      </c>
      <c r="G1109" t="s">
        <v>900</v>
      </c>
      <c r="H1109" t="s">
        <v>119</v>
      </c>
      <c r="I1109" t="s">
        <v>2051</v>
      </c>
    </row>
    <row r="1110" spans="1:9" x14ac:dyDescent="0.25">
      <c r="A1110" t="s">
        <v>3350</v>
      </c>
      <c r="B1110" t="s">
        <v>114</v>
      </c>
      <c r="C1110" t="s">
        <v>1184</v>
      </c>
      <c r="E1110" t="s">
        <v>1464</v>
      </c>
      <c r="F1110" t="s">
        <v>1293</v>
      </c>
      <c r="G1110" t="s">
        <v>910</v>
      </c>
      <c r="H1110" t="s">
        <v>119</v>
      </c>
      <c r="I1110" t="s">
        <v>2051</v>
      </c>
    </row>
    <row r="1111" spans="1:9" x14ac:dyDescent="0.25">
      <c r="A1111" t="s">
        <v>4402</v>
      </c>
      <c r="B1111" t="s">
        <v>196</v>
      </c>
      <c r="C1111" t="s">
        <v>1198</v>
      </c>
      <c r="D1111" t="s">
        <v>197</v>
      </c>
      <c r="E1111" t="s">
        <v>1364</v>
      </c>
      <c r="F1111" t="s">
        <v>1229</v>
      </c>
      <c r="G1111" t="s">
        <v>910</v>
      </c>
      <c r="H1111" t="s">
        <v>199</v>
      </c>
      <c r="I1111" t="s">
        <v>1871</v>
      </c>
    </row>
    <row r="1112" spans="1:9" x14ac:dyDescent="0.25">
      <c r="A1112" t="s">
        <v>3358</v>
      </c>
      <c r="B1112" t="s">
        <v>196</v>
      </c>
      <c r="C1112" t="s">
        <v>1198</v>
      </c>
      <c r="D1112" t="s">
        <v>197</v>
      </c>
      <c r="E1112" t="s">
        <v>1364</v>
      </c>
      <c r="F1112" t="s">
        <v>8</v>
      </c>
      <c r="G1112" t="s">
        <v>910</v>
      </c>
      <c r="H1112" t="s">
        <v>199</v>
      </c>
      <c r="I1112" t="s">
        <v>1871</v>
      </c>
    </row>
    <row r="1113" spans="1:9" x14ac:dyDescent="0.25">
      <c r="A1113" t="s">
        <v>3357</v>
      </c>
      <c r="B1113" t="s">
        <v>196</v>
      </c>
      <c r="C1113" t="s">
        <v>1198</v>
      </c>
      <c r="D1113" t="s">
        <v>197</v>
      </c>
      <c r="E1113" t="s">
        <v>1364</v>
      </c>
      <c r="F1113" t="s">
        <v>1323</v>
      </c>
      <c r="G1113" t="s">
        <v>900</v>
      </c>
      <c r="H1113" t="s">
        <v>199</v>
      </c>
      <c r="I1113" t="s">
        <v>1871</v>
      </c>
    </row>
    <row r="1114" spans="1:9" x14ac:dyDescent="0.25">
      <c r="A1114" t="s">
        <v>3815</v>
      </c>
      <c r="B1114" t="s">
        <v>216</v>
      </c>
      <c r="C1114" t="s">
        <v>1180</v>
      </c>
      <c r="D1114" t="s">
        <v>15</v>
      </c>
      <c r="E1114" t="s">
        <v>1250</v>
      </c>
      <c r="F1114" t="s">
        <v>1323</v>
      </c>
      <c r="G1114" t="s">
        <v>900</v>
      </c>
      <c r="I1114" t="s">
        <v>2184</v>
      </c>
    </row>
    <row r="1115" spans="1:9" x14ac:dyDescent="0.25">
      <c r="A1115" t="s">
        <v>3814</v>
      </c>
      <c r="B1115" t="s">
        <v>216</v>
      </c>
      <c r="C1115" t="s">
        <v>1180</v>
      </c>
      <c r="D1115" t="s">
        <v>15</v>
      </c>
      <c r="E1115" t="s">
        <v>1250</v>
      </c>
      <c r="F1115" t="s">
        <v>1293</v>
      </c>
      <c r="G1115" t="s">
        <v>910</v>
      </c>
      <c r="I1115" t="s">
        <v>2184</v>
      </c>
    </row>
    <row r="1116" spans="1:9" x14ac:dyDescent="0.25">
      <c r="A1116" t="s">
        <v>1029</v>
      </c>
      <c r="B1116" t="s">
        <v>216</v>
      </c>
      <c r="C1116" t="s">
        <v>1180</v>
      </c>
      <c r="D1116" t="s">
        <v>15</v>
      </c>
      <c r="E1116" t="s">
        <v>1250</v>
      </c>
      <c r="F1116" t="s">
        <v>1229</v>
      </c>
      <c r="G1116" t="s">
        <v>910</v>
      </c>
      <c r="H1116" t="s">
        <v>2787</v>
      </c>
      <c r="I1116" t="s">
        <v>2184</v>
      </c>
    </row>
    <row r="1117" spans="1:9" x14ac:dyDescent="0.25">
      <c r="A1117" t="s">
        <v>4251</v>
      </c>
      <c r="B1117" t="s">
        <v>216</v>
      </c>
      <c r="C1117" t="s">
        <v>1180</v>
      </c>
      <c r="D1117" t="s">
        <v>15</v>
      </c>
      <c r="E1117" t="s">
        <v>1250</v>
      </c>
      <c r="F1117" t="s">
        <v>8</v>
      </c>
      <c r="G1117" t="s">
        <v>910</v>
      </c>
      <c r="H1117" t="s">
        <v>2787</v>
      </c>
      <c r="I1117" t="s">
        <v>2184</v>
      </c>
    </row>
    <row r="1118" spans="1:9" x14ac:dyDescent="0.25">
      <c r="A1118" t="s">
        <v>2993</v>
      </c>
      <c r="B1118" t="s">
        <v>222</v>
      </c>
      <c r="C1118" t="s">
        <v>1180</v>
      </c>
      <c r="E1118" t="s">
        <v>1327</v>
      </c>
      <c r="F1118" t="s">
        <v>1229</v>
      </c>
      <c r="G1118" t="s">
        <v>910</v>
      </c>
      <c r="H1118" t="s">
        <v>360</v>
      </c>
      <c r="I1118" t="s">
        <v>1896</v>
      </c>
    </row>
    <row r="1119" spans="1:9" x14ac:dyDescent="0.25">
      <c r="A1119" t="s">
        <v>2992</v>
      </c>
      <c r="B1119" t="s">
        <v>222</v>
      </c>
      <c r="C1119" t="s">
        <v>1180</v>
      </c>
      <c r="E1119" t="s">
        <v>1327</v>
      </c>
      <c r="F1119" t="s">
        <v>8</v>
      </c>
      <c r="G1119" t="s">
        <v>910</v>
      </c>
      <c r="H1119" t="s">
        <v>360</v>
      </c>
      <c r="I1119" t="s">
        <v>1896</v>
      </c>
    </row>
    <row r="1120" spans="1:9" x14ac:dyDescent="0.25">
      <c r="A1120" t="s">
        <v>3349</v>
      </c>
      <c r="B1120" t="s">
        <v>222</v>
      </c>
      <c r="C1120" t="s">
        <v>1180</v>
      </c>
      <c r="E1120" t="s">
        <v>1327</v>
      </c>
      <c r="F1120" t="s">
        <v>1331</v>
      </c>
      <c r="G1120" t="s">
        <v>910</v>
      </c>
      <c r="H1120" t="s">
        <v>360</v>
      </c>
      <c r="I1120" t="s">
        <v>1896</v>
      </c>
    </row>
    <row r="1121" spans="1:9" x14ac:dyDescent="0.25">
      <c r="A1121" t="s">
        <v>3348</v>
      </c>
      <c r="B1121" t="s">
        <v>222</v>
      </c>
      <c r="C1121" t="s">
        <v>1180</v>
      </c>
      <c r="E1121" t="s">
        <v>1327</v>
      </c>
      <c r="F1121" t="s">
        <v>1323</v>
      </c>
      <c r="G1121" t="s">
        <v>900</v>
      </c>
      <c r="H1121" t="s">
        <v>360</v>
      </c>
      <c r="I1121" t="s">
        <v>1896</v>
      </c>
    </row>
    <row r="1122" spans="1:9" x14ac:dyDescent="0.25">
      <c r="A1122" t="s">
        <v>3347</v>
      </c>
      <c r="B1122" t="s">
        <v>222</v>
      </c>
      <c r="C1122" t="s">
        <v>1180</v>
      </c>
      <c r="E1122" t="s">
        <v>1327</v>
      </c>
      <c r="F1122" t="s">
        <v>1293</v>
      </c>
      <c r="G1122" t="s">
        <v>910</v>
      </c>
      <c r="H1122" t="s">
        <v>360</v>
      </c>
      <c r="I1122" t="s">
        <v>1896</v>
      </c>
    </row>
    <row r="1123" spans="1:9" x14ac:dyDescent="0.25">
      <c r="A1123" t="s">
        <v>4432</v>
      </c>
      <c r="B1123" t="s">
        <v>277</v>
      </c>
      <c r="C1123" t="s">
        <v>1180</v>
      </c>
      <c r="D1123" t="s">
        <v>27</v>
      </c>
      <c r="E1123" t="s">
        <v>1242</v>
      </c>
      <c r="F1123" t="s">
        <v>1251</v>
      </c>
      <c r="G1123" t="s">
        <v>900</v>
      </c>
      <c r="H1123" t="s">
        <v>278</v>
      </c>
      <c r="I1123" t="s">
        <v>1740</v>
      </c>
    </row>
    <row r="1124" spans="1:9" x14ac:dyDescent="0.25">
      <c r="A1124" t="s">
        <v>2561</v>
      </c>
      <c r="B1124" t="s">
        <v>277</v>
      </c>
      <c r="C1124" t="s">
        <v>1180</v>
      </c>
      <c r="D1124" t="s">
        <v>27</v>
      </c>
      <c r="E1124" t="s">
        <v>1242</v>
      </c>
      <c r="F1124" t="s">
        <v>8</v>
      </c>
      <c r="G1124" t="s">
        <v>900</v>
      </c>
      <c r="H1124" t="s">
        <v>278</v>
      </c>
      <c r="I1124" t="s">
        <v>1740</v>
      </c>
    </row>
    <row r="1125" spans="1:9" x14ac:dyDescent="0.25">
      <c r="A1125" t="s">
        <v>2845</v>
      </c>
      <c r="B1125" t="s">
        <v>277</v>
      </c>
      <c r="C1125" t="s">
        <v>1180</v>
      </c>
      <c r="D1125" t="s">
        <v>27</v>
      </c>
      <c r="E1125" t="s">
        <v>1242</v>
      </c>
      <c r="F1125" t="s">
        <v>1331</v>
      </c>
      <c r="G1125" t="s">
        <v>900</v>
      </c>
      <c r="H1125" t="s">
        <v>278</v>
      </c>
      <c r="I1125" t="s">
        <v>1740</v>
      </c>
    </row>
    <row r="1126" spans="1:9" x14ac:dyDescent="0.25">
      <c r="A1126" t="s">
        <v>2844</v>
      </c>
      <c r="B1126" t="s">
        <v>277</v>
      </c>
      <c r="C1126" t="s">
        <v>1180</v>
      </c>
      <c r="D1126" t="s">
        <v>27</v>
      </c>
      <c r="E1126" t="s">
        <v>1242</v>
      </c>
      <c r="F1126" t="s">
        <v>1323</v>
      </c>
      <c r="G1126" t="s">
        <v>900</v>
      </c>
      <c r="H1126" t="s">
        <v>278</v>
      </c>
      <c r="I1126" t="s">
        <v>1740</v>
      </c>
    </row>
    <row r="1127" spans="1:9" x14ac:dyDescent="0.25">
      <c r="A1127" t="s">
        <v>2843</v>
      </c>
      <c r="B1127" t="s">
        <v>277</v>
      </c>
      <c r="C1127" t="s">
        <v>1180</v>
      </c>
      <c r="D1127" t="s">
        <v>27</v>
      </c>
      <c r="E1127" t="s">
        <v>1242</v>
      </c>
      <c r="F1127" t="s">
        <v>1293</v>
      </c>
      <c r="G1127" t="s">
        <v>900</v>
      </c>
      <c r="H1127" t="s">
        <v>278</v>
      </c>
      <c r="I1127" t="s">
        <v>1740</v>
      </c>
    </row>
    <row r="1128" spans="1:9" x14ac:dyDescent="0.25">
      <c r="A1128" t="s">
        <v>2991</v>
      </c>
      <c r="B1128" t="s">
        <v>290</v>
      </c>
      <c r="C1128" t="s">
        <v>1185</v>
      </c>
      <c r="D1128" t="s">
        <v>15</v>
      </c>
      <c r="E1128" t="s">
        <v>1396</v>
      </c>
      <c r="F1128" t="s">
        <v>1293</v>
      </c>
      <c r="G1128" t="s">
        <v>900</v>
      </c>
      <c r="H1128" t="s">
        <v>292</v>
      </c>
      <c r="I1128" t="s">
        <v>1891</v>
      </c>
    </row>
    <row r="1129" spans="1:9" x14ac:dyDescent="0.25">
      <c r="A1129" t="s">
        <v>2842</v>
      </c>
      <c r="B1129" t="s">
        <v>290</v>
      </c>
      <c r="C1129" t="s">
        <v>1185</v>
      </c>
      <c r="D1129" t="s">
        <v>15</v>
      </c>
      <c r="E1129" t="s">
        <v>1396</v>
      </c>
      <c r="F1129" t="s">
        <v>1251</v>
      </c>
      <c r="G1129" t="s">
        <v>900</v>
      </c>
      <c r="H1129" t="s">
        <v>292</v>
      </c>
      <c r="I1129" t="s">
        <v>1891</v>
      </c>
    </row>
    <row r="1130" spans="1:9" x14ac:dyDescent="0.25">
      <c r="A1130" t="s">
        <v>2841</v>
      </c>
      <c r="B1130" t="s">
        <v>290</v>
      </c>
      <c r="C1130" t="s">
        <v>1185</v>
      </c>
      <c r="D1130" t="s">
        <v>15</v>
      </c>
      <c r="E1130" t="s">
        <v>1396</v>
      </c>
      <c r="F1130" t="s">
        <v>8</v>
      </c>
      <c r="G1130" t="s">
        <v>900</v>
      </c>
      <c r="H1130" t="s">
        <v>292</v>
      </c>
      <c r="I1130" t="s">
        <v>1891</v>
      </c>
    </row>
    <row r="1131" spans="1:9" x14ac:dyDescent="0.25">
      <c r="A1131" t="s">
        <v>3346</v>
      </c>
      <c r="B1131" t="s">
        <v>290</v>
      </c>
      <c r="C1131" t="s">
        <v>1205</v>
      </c>
      <c r="D1131" t="s">
        <v>15</v>
      </c>
      <c r="E1131" t="s">
        <v>1378</v>
      </c>
      <c r="F1131" t="s">
        <v>1293</v>
      </c>
      <c r="G1131" t="s">
        <v>900</v>
      </c>
      <c r="H1131" t="s">
        <v>297</v>
      </c>
      <c r="I1131" t="s">
        <v>1840</v>
      </c>
    </row>
    <row r="1132" spans="1:9" x14ac:dyDescent="0.25">
      <c r="A1132" t="s">
        <v>3014</v>
      </c>
      <c r="B1132" t="s">
        <v>398</v>
      </c>
      <c r="C1132" t="s">
        <v>1180</v>
      </c>
      <c r="D1132" t="s">
        <v>197</v>
      </c>
      <c r="E1132" t="s">
        <v>1250</v>
      </c>
      <c r="F1132" t="s">
        <v>1229</v>
      </c>
      <c r="G1132" t="s">
        <v>910</v>
      </c>
      <c r="H1132" t="s">
        <v>3013</v>
      </c>
      <c r="I1132" t="s">
        <v>1823</v>
      </c>
    </row>
    <row r="1133" spans="1:9" x14ac:dyDescent="0.25">
      <c r="A1133" t="s">
        <v>3012</v>
      </c>
      <c r="B1133" t="s">
        <v>398</v>
      </c>
      <c r="C1133" t="s">
        <v>1180</v>
      </c>
      <c r="D1133" t="s">
        <v>197</v>
      </c>
      <c r="E1133" t="s">
        <v>1250</v>
      </c>
      <c r="F1133" t="s">
        <v>8</v>
      </c>
      <c r="G1133" t="s">
        <v>910</v>
      </c>
      <c r="H1133" t="s">
        <v>3013</v>
      </c>
      <c r="I1133" t="s">
        <v>1823</v>
      </c>
    </row>
    <row r="1134" spans="1:9" x14ac:dyDescent="0.25">
      <c r="A1134" t="s">
        <v>3813</v>
      </c>
      <c r="B1134" t="s">
        <v>398</v>
      </c>
      <c r="C1134" t="s">
        <v>1180</v>
      </c>
      <c r="D1134" t="s">
        <v>197</v>
      </c>
      <c r="E1134" t="s">
        <v>1250</v>
      </c>
      <c r="F1134" t="s">
        <v>1323</v>
      </c>
      <c r="G1134" t="s">
        <v>900</v>
      </c>
      <c r="H1134" t="s">
        <v>3013</v>
      </c>
      <c r="I1134" t="s">
        <v>1823</v>
      </c>
    </row>
    <row r="1135" spans="1:9" x14ac:dyDescent="0.25">
      <c r="A1135" t="s">
        <v>3812</v>
      </c>
      <c r="B1135" t="s">
        <v>398</v>
      </c>
      <c r="C1135" t="s">
        <v>1180</v>
      </c>
      <c r="D1135" t="s">
        <v>197</v>
      </c>
      <c r="E1135" t="s">
        <v>1250</v>
      </c>
      <c r="F1135" t="s">
        <v>1293</v>
      </c>
      <c r="G1135" t="s">
        <v>910</v>
      </c>
      <c r="H1135" t="s">
        <v>3013</v>
      </c>
      <c r="I1135" t="s">
        <v>1823</v>
      </c>
    </row>
    <row r="1136" spans="1:9" x14ac:dyDescent="0.25">
      <c r="A1136" t="s">
        <v>2990</v>
      </c>
      <c r="B1136" t="s">
        <v>306</v>
      </c>
      <c r="C1136" t="s">
        <v>1203</v>
      </c>
      <c r="D1136" t="s">
        <v>56</v>
      </c>
      <c r="E1136" t="s">
        <v>1327</v>
      </c>
      <c r="F1136" t="s">
        <v>8</v>
      </c>
      <c r="G1136" t="s">
        <v>900</v>
      </c>
      <c r="H1136" t="s">
        <v>308</v>
      </c>
      <c r="I1136" t="s">
        <v>1955</v>
      </c>
    </row>
    <row r="1137" spans="1:9" x14ac:dyDescent="0.25">
      <c r="A1137" t="s">
        <v>2989</v>
      </c>
      <c r="B1137" t="s">
        <v>306</v>
      </c>
      <c r="C1137" t="s">
        <v>1203</v>
      </c>
      <c r="D1137" t="s">
        <v>56</v>
      </c>
      <c r="E1137" t="s">
        <v>1327</v>
      </c>
      <c r="F1137" t="s">
        <v>1293</v>
      </c>
      <c r="G1137" t="s">
        <v>900</v>
      </c>
      <c r="H1137" t="s">
        <v>308</v>
      </c>
      <c r="I1137" t="s">
        <v>1955</v>
      </c>
    </row>
    <row r="1138" spans="1:9" x14ac:dyDescent="0.25">
      <c r="A1138" t="s">
        <v>2840</v>
      </c>
      <c r="B1138" t="s">
        <v>315</v>
      </c>
      <c r="C1138" t="s">
        <v>1192</v>
      </c>
      <c r="D1138" t="s">
        <v>15</v>
      </c>
      <c r="F1138" t="s">
        <v>8</v>
      </c>
      <c r="G1138" t="s">
        <v>900</v>
      </c>
      <c r="H1138" t="s">
        <v>246</v>
      </c>
      <c r="I1138" t="s">
        <v>324</v>
      </c>
    </row>
    <row r="1139" spans="1:9" x14ac:dyDescent="0.25">
      <c r="A1139" t="s">
        <v>4125</v>
      </c>
      <c r="B1139" t="s">
        <v>315</v>
      </c>
      <c r="C1139" t="s">
        <v>1192</v>
      </c>
      <c r="D1139" t="s">
        <v>84</v>
      </c>
      <c r="E1139" t="s">
        <v>1327</v>
      </c>
      <c r="F1139" t="s">
        <v>8</v>
      </c>
      <c r="G1139" t="s">
        <v>900</v>
      </c>
      <c r="H1139" t="s">
        <v>312</v>
      </c>
      <c r="I1139" t="s">
        <v>2012</v>
      </c>
    </row>
    <row r="1140" spans="1:9" x14ac:dyDescent="0.25">
      <c r="A1140" t="s">
        <v>2839</v>
      </c>
      <c r="B1140" t="s">
        <v>315</v>
      </c>
      <c r="C1140" t="s">
        <v>1192</v>
      </c>
      <c r="D1140" t="s">
        <v>84</v>
      </c>
      <c r="E1140" t="s">
        <v>1327</v>
      </c>
      <c r="F1140" t="s">
        <v>1331</v>
      </c>
      <c r="G1140" t="s">
        <v>900</v>
      </c>
      <c r="H1140" t="s">
        <v>312</v>
      </c>
      <c r="I1140" t="s">
        <v>2012</v>
      </c>
    </row>
    <row r="1141" spans="1:9" x14ac:dyDescent="0.25">
      <c r="A1141" t="s">
        <v>4124</v>
      </c>
      <c r="B1141" t="s">
        <v>337</v>
      </c>
      <c r="C1141" t="s">
        <v>1192</v>
      </c>
      <c r="D1141" t="s">
        <v>84</v>
      </c>
      <c r="E1141" t="s">
        <v>1341</v>
      </c>
      <c r="F1141" t="s">
        <v>1331</v>
      </c>
      <c r="G1141" t="s">
        <v>900</v>
      </c>
      <c r="H1141" t="s">
        <v>28</v>
      </c>
      <c r="I1141" t="s">
        <v>1881</v>
      </c>
    </row>
    <row r="1142" spans="1:9" x14ac:dyDescent="0.25">
      <c r="A1142" t="s">
        <v>4123</v>
      </c>
      <c r="B1142" t="s">
        <v>337</v>
      </c>
      <c r="C1142" t="s">
        <v>1192</v>
      </c>
      <c r="D1142" t="s">
        <v>84</v>
      </c>
      <c r="E1142" t="s">
        <v>1341</v>
      </c>
      <c r="F1142" t="s">
        <v>1293</v>
      </c>
      <c r="G1142" t="s">
        <v>900</v>
      </c>
      <c r="H1142" t="s">
        <v>28</v>
      </c>
      <c r="I1142" t="s">
        <v>1881</v>
      </c>
    </row>
    <row r="1143" spans="1:9" x14ac:dyDescent="0.25">
      <c r="A1143" t="s">
        <v>2690</v>
      </c>
      <c r="B1143" t="s">
        <v>337</v>
      </c>
      <c r="C1143" t="s">
        <v>1192</v>
      </c>
      <c r="D1143" t="s">
        <v>84</v>
      </c>
      <c r="E1143" t="s">
        <v>1341</v>
      </c>
      <c r="F1143" t="s">
        <v>1251</v>
      </c>
      <c r="G1143" t="s">
        <v>900</v>
      </c>
      <c r="H1143" t="s">
        <v>28</v>
      </c>
      <c r="I1143" t="s">
        <v>1881</v>
      </c>
    </row>
    <row r="1144" spans="1:9" x14ac:dyDescent="0.25">
      <c r="A1144" t="s">
        <v>2530</v>
      </c>
      <c r="B1144" t="s">
        <v>337</v>
      </c>
      <c r="C1144" t="s">
        <v>1192</v>
      </c>
      <c r="D1144" t="s">
        <v>84</v>
      </c>
      <c r="E1144" t="s">
        <v>1341</v>
      </c>
      <c r="F1144" t="s">
        <v>8</v>
      </c>
      <c r="G1144" t="s">
        <v>900</v>
      </c>
      <c r="H1144" t="s">
        <v>28</v>
      </c>
      <c r="I1144" t="s">
        <v>1881</v>
      </c>
    </row>
    <row r="1145" spans="1:9" x14ac:dyDescent="0.25">
      <c r="A1145" t="s">
        <v>3345</v>
      </c>
      <c r="B1145" t="s">
        <v>337</v>
      </c>
      <c r="C1145" t="s">
        <v>1192</v>
      </c>
      <c r="D1145" t="s">
        <v>84</v>
      </c>
      <c r="E1145" t="s">
        <v>1341</v>
      </c>
      <c r="F1145" t="s">
        <v>1323</v>
      </c>
      <c r="G1145" t="s">
        <v>900</v>
      </c>
      <c r="H1145" t="s">
        <v>28</v>
      </c>
      <c r="I1145" t="s">
        <v>1881</v>
      </c>
    </row>
    <row r="1146" spans="1:9" x14ac:dyDescent="0.25">
      <c r="A1146" t="s">
        <v>2838</v>
      </c>
      <c r="B1146" t="s">
        <v>337</v>
      </c>
      <c r="C1146" t="s">
        <v>1192</v>
      </c>
      <c r="D1146" t="s">
        <v>15</v>
      </c>
      <c r="E1146" t="s">
        <v>1443</v>
      </c>
      <c r="F1146" t="s">
        <v>1251</v>
      </c>
      <c r="G1146" t="s">
        <v>900</v>
      </c>
      <c r="H1146" t="s">
        <v>339</v>
      </c>
      <c r="I1146" t="s">
        <v>340</v>
      </c>
    </row>
    <row r="1147" spans="1:9" x14ac:dyDescent="0.25">
      <c r="A1147" t="s">
        <v>2837</v>
      </c>
      <c r="B1147" t="s">
        <v>337</v>
      </c>
      <c r="C1147" t="s">
        <v>1192</v>
      </c>
      <c r="D1147" t="s">
        <v>15</v>
      </c>
      <c r="E1147" t="s">
        <v>1443</v>
      </c>
      <c r="F1147" t="s">
        <v>8</v>
      </c>
      <c r="G1147" t="s">
        <v>900</v>
      </c>
      <c r="H1147" t="s">
        <v>339</v>
      </c>
      <c r="I1147" t="s">
        <v>340</v>
      </c>
    </row>
    <row r="1148" spans="1:9" x14ac:dyDescent="0.25">
      <c r="A1148" t="s">
        <v>3344</v>
      </c>
      <c r="B1148" t="s">
        <v>337</v>
      </c>
      <c r="C1148" t="s">
        <v>1192</v>
      </c>
      <c r="D1148" t="s">
        <v>15</v>
      </c>
      <c r="E1148" t="s">
        <v>1443</v>
      </c>
      <c r="F1148" t="s">
        <v>1323</v>
      </c>
      <c r="G1148" t="s">
        <v>900</v>
      </c>
      <c r="H1148" t="s">
        <v>339</v>
      </c>
      <c r="I1148" t="s">
        <v>340</v>
      </c>
    </row>
    <row r="1149" spans="1:9" x14ac:dyDescent="0.25">
      <c r="A1149" t="s">
        <v>4122</v>
      </c>
      <c r="B1149" t="s">
        <v>413</v>
      </c>
      <c r="C1149" t="s">
        <v>1180</v>
      </c>
      <c r="D1149" t="s">
        <v>1216</v>
      </c>
      <c r="E1149" t="s">
        <v>1377</v>
      </c>
      <c r="F1149" t="s">
        <v>1227</v>
      </c>
      <c r="G1149" t="s">
        <v>1228</v>
      </c>
      <c r="H1149" t="s">
        <v>1388</v>
      </c>
      <c r="I1149" t="s">
        <v>2239</v>
      </c>
    </row>
    <row r="1150" spans="1:9" x14ac:dyDescent="0.25">
      <c r="A1150" t="s">
        <v>3011</v>
      </c>
      <c r="B1150" t="s">
        <v>421</v>
      </c>
      <c r="C1150" t="s">
        <v>1180</v>
      </c>
      <c r="D1150" t="s">
        <v>15</v>
      </c>
      <c r="E1150" t="s">
        <v>1301</v>
      </c>
      <c r="F1150" t="s">
        <v>1229</v>
      </c>
      <c r="G1150" t="s">
        <v>910</v>
      </c>
      <c r="H1150" t="s">
        <v>426</v>
      </c>
      <c r="I1150" t="s">
        <v>1968</v>
      </c>
    </row>
    <row r="1151" spans="1:9" x14ac:dyDescent="0.25">
      <c r="A1151" t="s">
        <v>3010</v>
      </c>
      <c r="B1151" t="s">
        <v>421</v>
      </c>
      <c r="C1151" t="s">
        <v>1180</v>
      </c>
      <c r="D1151" t="s">
        <v>15</v>
      </c>
      <c r="E1151" t="s">
        <v>1301</v>
      </c>
      <c r="F1151" t="s">
        <v>8</v>
      </c>
      <c r="G1151" t="s">
        <v>910</v>
      </c>
      <c r="H1151" t="s">
        <v>426</v>
      </c>
      <c r="I1151" t="s">
        <v>1968</v>
      </c>
    </row>
    <row r="1152" spans="1:9" x14ac:dyDescent="0.25">
      <c r="A1152" t="s">
        <v>3811</v>
      </c>
      <c r="B1152" t="s">
        <v>421</v>
      </c>
      <c r="C1152" t="s">
        <v>1180</v>
      </c>
      <c r="D1152" t="s">
        <v>15</v>
      </c>
      <c r="E1152" t="s">
        <v>1301</v>
      </c>
      <c r="F1152" t="s">
        <v>1323</v>
      </c>
      <c r="G1152" t="s">
        <v>900</v>
      </c>
      <c r="H1152" t="s">
        <v>426</v>
      </c>
      <c r="I1152" t="s">
        <v>1968</v>
      </c>
    </row>
    <row r="1153" spans="1:9" x14ac:dyDescent="0.25">
      <c r="A1153" t="s">
        <v>3342</v>
      </c>
      <c r="B1153" t="s">
        <v>3217</v>
      </c>
      <c r="C1153" t="s">
        <v>1180</v>
      </c>
      <c r="D1153" t="s">
        <v>21</v>
      </c>
      <c r="E1153" t="s">
        <v>1226</v>
      </c>
      <c r="F1153" t="s">
        <v>1229</v>
      </c>
      <c r="G1153" t="s">
        <v>910</v>
      </c>
      <c r="H1153" t="s">
        <v>1511</v>
      </c>
      <c r="I1153" t="s">
        <v>3343</v>
      </c>
    </row>
    <row r="1154" spans="1:9" x14ac:dyDescent="0.25">
      <c r="A1154" t="s">
        <v>3341</v>
      </c>
      <c r="B1154" t="s">
        <v>441</v>
      </c>
      <c r="C1154" t="s">
        <v>1183</v>
      </c>
      <c r="D1154" t="s">
        <v>21</v>
      </c>
      <c r="E1154" t="s">
        <v>1271</v>
      </c>
      <c r="F1154" t="s">
        <v>1229</v>
      </c>
      <c r="G1154" t="s">
        <v>910</v>
      </c>
      <c r="H1154" t="s">
        <v>562</v>
      </c>
      <c r="I1154" t="s">
        <v>1841</v>
      </c>
    </row>
    <row r="1155" spans="1:9" x14ac:dyDescent="0.25">
      <c r="A1155" t="s">
        <v>4121</v>
      </c>
      <c r="B1155" t="s">
        <v>441</v>
      </c>
      <c r="C1155" t="s">
        <v>1183</v>
      </c>
      <c r="D1155" t="s">
        <v>21</v>
      </c>
      <c r="E1155" t="s">
        <v>1271</v>
      </c>
      <c r="F1155" t="s">
        <v>8</v>
      </c>
      <c r="G1155" t="s">
        <v>910</v>
      </c>
      <c r="H1155" t="s">
        <v>562</v>
      </c>
      <c r="I1155" t="s">
        <v>1841</v>
      </c>
    </row>
    <row r="1156" spans="1:9" x14ac:dyDescent="0.25">
      <c r="A1156" t="s">
        <v>3340</v>
      </c>
      <c r="B1156" t="s">
        <v>441</v>
      </c>
      <c r="C1156" t="s">
        <v>1183</v>
      </c>
      <c r="D1156" t="s">
        <v>21</v>
      </c>
      <c r="E1156" t="s">
        <v>1271</v>
      </c>
      <c r="F1156" t="s">
        <v>1293</v>
      </c>
      <c r="G1156" t="s">
        <v>910</v>
      </c>
      <c r="H1156" t="s">
        <v>562</v>
      </c>
      <c r="I1156" t="s">
        <v>1841</v>
      </c>
    </row>
    <row r="1157" spans="1:9" x14ac:dyDescent="0.25">
      <c r="A1157" t="s">
        <v>4317</v>
      </c>
      <c r="B1157" t="s">
        <v>479</v>
      </c>
      <c r="C1157" t="s">
        <v>1180</v>
      </c>
      <c r="D1157" t="s">
        <v>21</v>
      </c>
      <c r="E1157" t="s">
        <v>1275</v>
      </c>
      <c r="F1157" t="s">
        <v>8</v>
      </c>
      <c r="G1157" t="s">
        <v>910</v>
      </c>
      <c r="H1157" t="s">
        <v>85</v>
      </c>
      <c r="I1157" t="s">
        <v>1944</v>
      </c>
    </row>
    <row r="1158" spans="1:9" x14ac:dyDescent="0.25">
      <c r="A1158" t="s">
        <v>4403</v>
      </c>
      <c r="B1158" t="s">
        <v>479</v>
      </c>
      <c r="C1158" t="s">
        <v>1180</v>
      </c>
      <c r="D1158" t="s">
        <v>21</v>
      </c>
      <c r="E1158" t="s">
        <v>1275</v>
      </c>
      <c r="F1158" t="s">
        <v>1293</v>
      </c>
      <c r="G1158" t="s">
        <v>910</v>
      </c>
      <c r="H1158" t="s">
        <v>85</v>
      </c>
      <c r="I1158" t="s">
        <v>1944</v>
      </c>
    </row>
    <row r="1159" spans="1:9" x14ac:dyDescent="0.25">
      <c r="A1159" t="s">
        <v>3830</v>
      </c>
      <c r="B1159" t="s">
        <v>505</v>
      </c>
      <c r="C1159" t="s">
        <v>1183</v>
      </c>
      <c r="D1159" t="s">
        <v>27</v>
      </c>
      <c r="E1159" t="s">
        <v>1396</v>
      </c>
      <c r="F1159" t="s">
        <v>1323</v>
      </c>
      <c r="G1159" t="s">
        <v>900</v>
      </c>
      <c r="H1159" t="s">
        <v>257</v>
      </c>
      <c r="I1159" t="s">
        <v>1845</v>
      </c>
    </row>
    <row r="1160" spans="1:9" x14ac:dyDescent="0.25">
      <c r="A1160" t="s">
        <v>4119</v>
      </c>
      <c r="B1160" t="s">
        <v>4120</v>
      </c>
      <c r="C1160" t="s">
        <v>1185</v>
      </c>
      <c r="D1160" t="s">
        <v>15</v>
      </c>
      <c r="F1160" t="s">
        <v>1293</v>
      </c>
      <c r="G1160" t="s">
        <v>900</v>
      </c>
      <c r="H1160" t="s">
        <v>321</v>
      </c>
      <c r="I1160" t="s">
        <v>2259</v>
      </c>
    </row>
    <row r="1161" spans="1:9" x14ac:dyDescent="0.25">
      <c r="A1161" t="s">
        <v>4118</v>
      </c>
      <c r="B1161" t="s">
        <v>552</v>
      </c>
      <c r="C1161" t="s">
        <v>1183</v>
      </c>
      <c r="D1161" t="s">
        <v>27</v>
      </c>
      <c r="E1161" t="s">
        <v>1341</v>
      </c>
      <c r="F1161" t="s">
        <v>1293</v>
      </c>
      <c r="G1161" t="s">
        <v>910</v>
      </c>
      <c r="H1161" t="s">
        <v>257</v>
      </c>
      <c r="I1161" t="s">
        <v>1845</v>
      </c>
    </row>
    <row r="1162" spans="1:9" x14ac:dyDescent="0.25">
      <c r="A1162" t="s">
        <v>3810</v>
      </c>
      <c r="B1162" t="s">
        <v>568</v>
      </c>
      <c r="C1162" t="s">
        <v>1195</v>
      </c>
      <c r="D1162" t="s">
        <v>1216</v>
      </c>
      <c r="E1162" t="s">
        <v>1435</v>
      </c>
      <c r="F1162" t="s">
        <v>1229</v>
      </c>
      <c r="G1162" t="s">
        <v>910</v>
      </c>
      <c r="H1162" t="s">
        <v>3009</v>
      </c>
      <c r="I1162" t="s">
        <v>2021</v>
      </c>
    </row>
    <row r="1163" spans="1:9" x14ac:dyDescent="0.25">
      <c r="A1163" t="s">
        <v>3809</v>
      </c>
      <c r="B1163" t="s">
        <v>568</v>
      </c>
      <c r="C1163" t="s">
        <v>1195</v>
      </c>
      <c r="D1163" t="s">
        <v>1216</v>
      </c>
      <c r="E1163" t="s">
        <v>1435</v>
      </c>
      <c r="F1163" t="s">
        <v>8</v>
      </c>
      <c r="G1163" t="s">
        <v>910</v>
      </c>
      <c r="H1163" t="s">
        <v>3009</v>
      </c>
      <c r="I1163" t="s">
        <v>2021</v>
      </c>
    </row>
    <row r="1164" spans="1:9" x14ac:dyDescent="0.25">
      <c r="A1164" t="s">
        <v>3008</v>
      </c>
      <c r="B1164" t="s">
        <v>568</v>
      </c>
      <c r="C1164" t="s">
        <v>1195</v>
      </c>
      <c r="D1164" t="s">
        <v>1216</v>
      </c>
      <c r="E1164" t="s">
        <v>1435</v>
      </c>
      <c r="F1164" t="s">
        <v>1323</v>
      </c>
      <c r="G1164" t="s">
        <v>900</v>
      </c>
      <c r="H1164" t="s">
        <v>3009</v>
      </c>
      <c r="I1164" t="s">
        <v>2021</v>
      </c>
    </row>
    <row r="1165" spans="1:9" x14ac:dyDescent="0.25">
      <c r="A1165" t="s">
        <v>3808</v>
      </c>
      <c r="B1165" t="s">
        <v>572</v>
      </c>
      <c r="C1165" t="s">
        <v>1180</v>
      </c>
      <c r="D1165" t="s">
        <v>1216</v>
      </c>
      <c r="E1165" t="s">
        <v>1359</v>
      </c>
      <c r="F1165" t="s">
        <v>1229</v>
      </c>
      <c r="G1165" t="s">
        <v>910</v>
      </c>
      <c r="H1165" t="s">
        <v>583</v>
      </c>
      <c r="I1165" t="s">
        <v>1799</v>
      </c>
    </row>
    <row r="1166" spans="1:9" x14ac:dyDescent="0.25">
      <c r="A1166" t="s">
        <v>3807</v>
      </c>
      <c r="B1166" t="s">
        <v>572</v>
      </c>
      <c r="C1166" t="s">
        <v>1180</v>
      </c>
      <c r="D1166" t="s">
        <v>1216</v>
      </c>
      <c r="E1166" t="s">
        <v>1359</v>
      </c>
      <c r="F1166" t="s">
        <v>8</v>
      </c>
      <c r="G1166" t="s">
        <v>910</v>
      </c>
      <c r="H1166" t="s">
        <v>583</v>
      </c>
      <c r="I1166" t="s">
        <v>1799</v>
      </c>
    </row>
    <row r="1167" spans="1:9" x14ac:dyDescent="0.25">
      <c r="A1167" t="s">
        <v>3806</v>
      </c>
      <c r="B1167" t="s">
        <v>572</v>
      </c>
      <c r="C1167" t="s">
        <v>1180</v>
      </c>
      <c r="D1167" t="s">
        <v>1216</v>
      </c>
      <c r="E1167" t="s">
        <v>1359</v>
      </c>
      <c r="F1167" t="s">
        <v>1323</v>
      </c>
      <c r="G1167" t="s">
        <v>900</v>
      </c>
      <c r="H1167" t="s">
        <v>583</v>
      </c>
      <c r="I1167" t="s">
        <v>1799</v>
      </c>
    </row>
    <row r="1168" spans="1:9" x14ac:dyDescent="0.25">
      <c r="A1168" t="s">
        <v>3007</v>
      </c>
      <c r="B1168" t="s">
        <v>572</v>
      </c>
      <c r="C1168" t="s">
        <v>1180</v>
      </c>
      <c r="D1168" t="s">
        <v>1216</v>
      </c>
      <c r="E1168" t="s">
        <v>1359</v>
      </c>
      <c r="F1168" t="s">
        <v>1331</v>
      </c>
      <c r="G1168" t="s">
        <v>910</v>
      </c>
      <c r="H1168" t="s">
        <v>583</v>
      </c>
      <c r="I1168" t="s">
        <v>1799</v>
      </c>
    </row>
    <row r="1169" spans="1:9" x14ac:dyDescent="0.25">
      <c r="A1169" t="s">
        <v>4250</v>
      </c>
      <c r="B1169" t="s">
        <v>572</v>
      </c>
      <c r="C1169" t="s">
        <v>1180</v>
      </c>
      <c r="D1169" t="s">
        <v>1216</v>
      </c>
      <c r="E1169" t="s">
        <v>1359</v>
      </c>
      <c r="F1169" t="s">
        <v>1293</v>
      </c>
      <c r="G1169" t="s">
        <v>910</v>
      </c>
      <c r="H1169" t="s">
        <v>583</v>
      </c>
      <c r="I1169" t="s">
        <v>1799</v>
      </c>
    </row>
    <row r="1170" spans="1:9" x14ac:dyDescent="0.25">
      <c r="A1170" t="s">
        <v>4117</v>
      </c>
      <c r="B1170" t="s">
        <v>586</v>
      </c>
      <c r="C1170" t="s">
        <v>1191</v>
      </c>
      <c r="D1170" t="s">
        <v>84</v>
      </c>
      <c r="E1170" t="s">
        <v>1392</v>
      </c>
      <c r="F1170" t="s">
        <v>1293</v>
      </c>
      <c r="G1170" t="s">
        <v>900</v>
      </c>
      <c r="H1170" t="s">
        <v>327</v>
      </c>
      <c r="I1170" t="s">
        <v>1882</v>
      </c>
    </row>
    <row r="1171" spans="1:9" x14ac:dyDescent="0.25">
      <c r="A1171" t="s">
        <v>4316</v>
      </c>
      <c r="B1171" t="s">
        <v>586</v>
      </c>
      <c r="C1171" t="s">
        <v>1191</v>
      </c>
      <c r="D1171" t="s">
        <v>84</v>
      </c>
      <c r="E1171" t="s">
        <v>1392</v>
      </c>
      <c r="F1171" t="s">
        <v>8</v>
      </c>
      <c r="G1171" t="s">
        <v>900</v>
      </c>
      <c r="H1171" t="s">
        <v>327</v>
      </c>
      <c r="I1171" t="s">
        <v>1882</v>
      </c>
    </row>
    <row r="1172" spans="1:9" x14ac:dyDescent="0.25">
      <c r="A1172" t="s">
        <v>3829</v>
      </c>
      <c r="B1172" t="s">
        <v>586</v>
      </c>
      <c r="C1172" t="s">
        <v>1180</v>
      </c>
      <c r="D1172" t="s">
        <v>1216</v>
      </c>
      <c r="E1172" t="s">
        <v>1346</v>
      </c>
      <c r="F1172" t="s">
        <v>1227</v>
      </c>
      <c r="G1172" t="s">
        <v>1228</v>
      </c>
      <c r="H1172" t="s">
        <v>1439</v>
      </c>
      <c r="I1172" t="s">
        <v>2238</v>
      </c>
    </row>
    <row r="1173" spans="1:9" x14ac:dyDescent="0.25">
      <c r="A1173" t="s">
        <v>3838</v>
      </c>
      <c r="B1173" t="s">
        <v>621</v>
      </c>
      <c r="C1173" t="s">
        <v>1180</v>
      </c>
      <c r="E1173" t="s">
        <v>1374</v>
      </c>
      <c r="F1173" t="s">
        <v>1251</v>
      </c>
      <c r="G1173" t="s">
        <v>900</v>
      </c>
      <c r="H1173" t="s">
        <v>28</v>
      </c>
      <c r="I1173" t="s">
        <v>1832</v>
      </c>
    </row>
    <row r="1174" spans="1:9" x14ac:dyDescent="0.25">
      <c r="A1174" t="s">
        <v>3837</v>
      </c>
      <c r="B1174" t="s">
        <v>621</v>
      </c>
      <c r="C1174" t="s">
        <v>1180</v>
      </c>
      <c r="E1174" t="s">
        <v>1374</v>
      </c>
      <c r="F1174" t="s">
        <v>8</v>
      </c>
      <c r="G1174" t="s">
        <v>900</v>
      </c>
      <c r="H1174" t="s">
        <v>28</v>
      </c>
      <c r="I1174" t="s">
        <v>1832</v>
      </c>
    </row>
    <row r="1175" spans="1:9" x14ac:dyDescent="0.25">
      <c r="A1175" t="s">
        <v>3836</v>
      </c>
      <c r="B1175" t="s">
        <v>621</v>
      </c>
      <c r="C1175" t="s">
        <v>1180</v>
      </c>
      <c r="E1175" t="s">
        <v>1374</v>
      </c>
      <c r="F1175" t="s">
        <v>1323</v>
      </c>
      <c r="G1175" t="s">
        <v>900</v>
      </c>
      <c r="H1175" t="s">
        <v>28</v>
      </c>
      <c r="I1175" t="s">
        <v>1832</v>
      </c>
    </row>
    <row r="1176" spans="1:9" x14ac:dyDescent="0.25">
      <c r="A1176" t="s">
        <v>3835</v>
      </c>
      <c r="B1176" t="s">
        <v>621</v>
      </c>
      <c r="C1176" t="s">
        <v>1180</v>
      </c>
      <c r="E1176" t="s">
        <v>1374</v>
      </c>
      <c r="F1176" t="s">
        <v>1331</v>
      </c>
      <c r="G1176" t="s">
        <v>900</v>
      </c>
      <c r="H1176" t="s">
        <v>28</v>
      </c>
      <c r="I1176" t="s">
        <v>1832</v>
      </c>
    </row>
    <row r="1177" spans="1:9" x14ac:dyDescent="0.25">
      <c r="A1177" t="s">
        <v>3000</v>
      </c>
      <c r="B1177" t="s">
        <v>621</v>
      </c>
      <c r="C1177" t="s">
        <v>1180</v>
      </c>
      <c r="E1177" t="s">
        <v>1374</v>
      </c>
      <c r="F1177" t="s">
        <v>1293</v>
      </c>
      <c r="G1177" t="s">
        <v>900</v>
      </c>
      <c r="H1177" t="s">
        <v>28</v>
      </c>
      <c r="I1177" t="s">
        <v>1832</v>
      </c>
    </row>
    <row r="1178" spans="1:9" x14ac:dyDescent="0.25">
      <c r="A1178" t="s">
        <v>4110</v>
      </c>
      <c r="B1178" t="s">
        <v>664</v>
      </c>
      <c r="C1178" t="s">
        <v>1449</v>
      </c>
      <c r="D1178" t="s">
        <v>1216</v>
      </c>
      <c r="E1178" t="s">
        <v>1301</v>
      </c>
      <c r="F1178" t="s">
        <v>1229</v>
      </c>
      <c r="G1178" t="s">
        <v>910</v>
      </c>
      <c r="H1178" t="s">
        <v>3387</v>
      </c>
      <c r="I1178" t="s">
        <v>673</v>
      </c>
    </row>
    <row r="1179" spans="1:9" x14ac:dyDescent="0.25">
      <c r="A1179" t="s">
        <v>3388</v>
      </c>
      <c r="B1179" t="s">
        <v>664</v>
      </c>
      <c r="C1179" t="s">
        <v>1449</v>
      </c>
      <c r="D1179" t="s">
        <v>1216</v>
      </c>
      <c r="E1179" t="s">
        <v>1301</v>
      </c>
      <c r="F1179" t="s">
        <v>8</v>
      </c>
      <c r="G1179" t="s">
        <v>910</v>
      </c>
      <c r="H1179" t="s">
        <v>3387</v>
      </c>
      <c r="I1179" t="s">
        <v>673</v>
      </c>
    </row>
    <row r="1180" spans="1:9" x14ac:dyDescent="0.25">
      <c r="A1180" t="s">
        <v>3805</v>
      </c>
      <c r="B1180" t="s">
        <v>664</v>
      </c>
      <c r="C1180" t="s">
        <v>1449</v>
      </c>
      <c r="D1180" t="s">
        <v>1216</v>
      </c>
      <c r="E1180" t="s">
        <v>1301</v>
      </c>
      <c r="F1180" t="s">
        <v>1323</v>
      </c>
      <c r="G1180" t="s">
        <v>900</v>
      </c>
      <c r="H1180" t="s">
        <v>3387</v>
      </c>
      <c r="I1180" t="s">
        <v>673</v>
      </c>
    </row>
    <row r="1181" spans="1:9" x14ac:dyDescent="0.25">
      <c r="A1181" t="s">
        <v>3386</v>
      </c>
      <c r="B1181" t="s">
        <v>664</v>
      </c>
      <c r="C1181" t="s">
        <v>1449</v>
      </c>
      <c r="D1181" t="s">
        <v>1216</v>
      </c>
      <c r="E1181" t="s">
        <v>1301</v>
      </c>
      <c r="F1181" t="s">
        <v>1293</v>
      </c>
      <c r="G1181" t="s">
        <v>910</v>
      </c>
      <c r="H1181" t="s">
        <v>3387</v>
      </c>
      <c r="I1181" t="s">
        <v>673</v>
      </c>
    </row>
    <row r="1182" spans="1:9" x14ac:dyDescent="0.25">
      <c r="A1182" t="s">
        <v>3828</v>
      </c>
      <c r="B1182" t="s">
        <v>655</v>
      </c>
      <c r="C1182" t="s">
        <v>1182</v>
      </c>
      <c r="D1182" t="s">
        <v>62</v>
      </c>
      <c r="E1182" t="s">
        <v>1260</v>
      </c>
      <c r="F1182" t="s">
        <v>8</v>
      </c>
      <c r="G1182" t="s">
        <v>900</v>
      </c>
      <c r="H1182" t="s">
        <v>303</v>
      </c>
      <c r="I1182" t="s">
        <v>1921</v>
      </c>
    </row>
    <row r="1183" spans="1:9" x14ac:dyDescent="0.25">
      <c r="A1183" t="s">
        <v>4116</v>
      </c>
      <c r="B1183" t="s">
        <v>655</v>
      </c>
      <c r="C1183" t="s">
        <v>1182</v>
      </c>
      <c r="D1183" t="s">
        <v>62</v>
      </c>
      <c r="E1183" t="s">
        <v>1260</v>
      </c>
      <c r="F1183" t="s">
        <v>1331</v>
      </c>
      <c r="G1183" t="s">
        <v>900</v>
      </c>
      <c r="H1183" t="s">
        <v>303</v>
      </c>
      <c r="I1183" t="s">
        <v>1921</v>
      </c>
    </row>
    <row r="1184" spans="1:9" x14ac:dyDescent="0.25">
      <c r="A1184" t="s">
        <v>3827</v>
      </c>
      <c r="B1184" t="s">
        <v>655</v>
      </c>
      <c r="C1184" t="s">
        <v>1182</v>
      </c>
      <c r="D1184" t="s">
        <v>62</v>
      </c>
      <c r="E1184" t="s">
        <v>1260</v>
      </c>
      <c r="F1184" t="s">
        <v>1293</v>
      </c>
      <c r="G1184" t="s">
        <v>900</v>
      </c>
      <c r="H1184" t="s">
        <v>303</v>
      </c>
      <c r="I1184" t="s">
        <v>1921</v>
      </c>
    </row>
    <row r="1185" spans="1:9" x14ac:dyDescent="0.25">
      <c r="A1185" t="s">
        <v>3826</v>
      </c>
      <c r="B1185" t="s">
        <v>659</v>
      </c>
      <c r="C1185" t="s">
        <v>1189</v>
      </c>
      <c r="D1185" t="s">
        <v>197</v>
      </c>
      <c r="E1185" t="s">
        <v>1400</v>
      </c>
      <c r="F1185" t="s">
        <v>1229</v>
      </c>
      <c r="G1185" t="s">
        <v>910</v>
      </c>
      <c r="H1185" t="s">
        <v>3825</v>
      </c>
      <c r="I1185" t="s">
        <v>1900</v>
      </c>
    </row>
    <row r="1186" spans="1:9" x14ac:dyDescent="0.25">
      <c r="A1186" t="s">
        <v>3824</v>
      </c>
      <c r="B1186" t="s">
        <v>659</v>
      </c>
      <c r="C1186" t="s">
        <v>1189</v>
      </c>
      <c r="D1186" t="s">
        <v>197</v>
      </c>
      <c r="E1186" t="s">
        <v>1400</v>
      </c>
      <c r="F1186" t="s">
        <v>8</v>
      </c>
      <c r="G1186" t="s">
        <v>910</v>
      </c>
      <c r="H1186" t="s">
        <v>3825</v>
      </c>
      <c r="I1186" t="s">
        <v>1900</v>
      </c>
    </row>
    <row r="1187" spans="1:9" x14ac:dyDescent="0.25">
      <c r="A1187" t="s">
        <v>4115</v>
      </c>
      <c r="B1187" t="s">
        <v>659</v>
      </c>
      <c r="C1187" t="s">
        <v>1190</v>
      </c>
      <c r="D1187" t="s">
        <v>203</v>
      </c>
      <c r="E1187" t="s">
        <v>1340</v>
      </c>
      <c r="F1187" t="s">
        <v>1229</v>
      </c>
      <c r="G1187" t="s">
        <v>910</v>
      </c>
      <c r="H1187" t="s">
        <v>661</v>
      </c>
      <c r="I1187" t="s">
        <v>1770</v>
      </c>
    </row>
    <row r="1188" spans="1:9" x14ac:dyDescent="0.25">
      <c r="A1188" t="s">
        <v>2836</v>
      </c>
      <c r="B1188" t="s">
        <v>659</v>
      </c>
      <c r="C1188" t="s">
        <v>1190</v>
      </c>
      <c r="D1188" t="s">
        <v>203</v>
      </c>
      <c r="E1188" t="s">
        <v>1340</v>
      </c>
      <c r="F1188" t="s">
        <v>8</v>
      </c>
      <c r="G1188" t="s">
        <v>910</v>
      </c>
      <c r="H1188" t="s">
        <v>661</v>
      </c>
      <c r="I1188" t="s">
        <v>1770</v>
      </c>
    </row>
    <row r="1189" spans="1:9" x14ac:dyDescent="0.25">
      <c r="A1189" t="s">
        <v>4315</v>
      </c>
      <c r="B1189" t="s">
        <v>659</v>
      </c>
      <c r="C1189" t="s">
        <v>1190</v>
      </c>
      <c r="D1189" t="s">
        <v>203</v>
      </c>
      <c r="E1189" t="s">
        <v>1340</v>
      </c>
      <c r="F1189" t="s">
        <v>1331</v>
      </c>
      <c r="G1189" t="s">
        <v>910</v>
      </c>
      <c r="H1189" t="s">
        <v>661</v>
      </c>
      <c r="I1189" t="s">
        <v>1770</v>
      </c>
    </row>
    <row r="1190" spans="1:9" x14ac:dyDescent="0.25">
      <c r="A1190" t="s">
        <v>3823</v>
      </c>
      <c r="B1190" t="s">
        <v>659</v>
      </c>
      <c r="C1190" t="s">
        <v>1190</v>
      </c>
      <c r="D1190" t="s">
        <v>203</v>
      </c>
      <c r="E1190" t="s">
        <v>1340</v>
      </c>
      <c r="F1190" t="s">
        <v>1323</v>
      </c>
      <c r="G1190" t="s">
        <v>900</v>
      </c>
      <c r="H1190" t="s">
        <v>661</v>
      </c>
      <c r="I1190" t="s">
        <v>1770</v>
      </c>
    </row>
    <row r="1191" spans="1:9" x14ac:dyDescent="0.25">
      <c r="A1191" t="s">
        <v>4114</v>
      </c>
      <c r="B1191" t="s">
        <v>659</v>
      </c>
      <c r="C1191" t="s">
        <v>1190</v>
      </c>
      <c r="D1191" t="s">
        <v>203</v>
      </c>
      <c r="E1191" t="s">
        <v>1340</v>
      </c>
      <c r="F1191" t="s">
        <v>1293</v>
      </c>
      <c r="G1191" t="s">
        <v>910</v>
      </c>
      <c r="H1191" t="s">
        <v>661</v>
      </c>
      <c r="I1191" t="s">
        <v>1770</v>
      </c>
    </row>
    <row r="1192" spans="1:9" x14ac:dyDescent="0.25">
      <c r="A1192" t="s">
        <v>3822</v>
      </c>
      <c r="B1192" t="s">
        <v>678</v>
      </c>
      <c r="C1192" t="s">
        <v>1191</v>
      </c>
      <c r="D1192" t="s">
        <v>27</v>
      </c>
      <c r="E1192" t="s">
        <v>1377</v>
      </c>
      <c r="F1192" t="s">
        <v>1229</v>
      </c>
      <c r="G1192" t="s">
        <v>910</v>
      </c>
      <c r="H1192" t="s">
        <v>308</v>
      </c>
      <c r="I1192" t="s">
        <v>1839</v>
      </c>
    </row>
    <row r="1193" spans="1:9" x14ac:dyDescent="0.25">
      <c r="A1193" t="s">
        <v>2835</v>
      </c>
      <c r="B1193" t="s">
        <v>678</v>
      </c>
      <c r="C1193" t="s">
        <v>1191</v>
      </c>
      <c r="D1193" t="s">
        <v>27</v>
      </c>
      <c r="E1193" t="s">
        <v>1377</v>
      </c>
      <c r="F1193" t="s">
        <v>8</v>
      </c>
      <c r="G1193" t="s">
        <v>910</v>
      </c>
      <c r="H1193" t="s">
        <v>308</v>
      </c>
      <c r="I1193" t="s">
        <v>1839</v>
      </c>
    </row>
    <row r="1194" spans="1:9" x14ac:dyDescent="0.25">
      <c r="A1194" t="s">
        <v>3821</v>
      </c>
      <c r="B1194" t="s">
        <v>678</v>
      </c>
      <c r="C1194" t="s">
        <v>1191</v>
      </c>
      <c r="D1194" t="s">
        <v>27</v>
      </c>
      <c r="E1194" t="s">
        <v>1377</v>
      </c>
      <c r="F1194" t="s">
        <v>1293</v>
      </c>
      <c r="G1194" t="s">
        <v>910</v>
      </c>
      <c r="H1194" t="s">
        <v>308</v>
      </c>
      <c r="I1194" t="s">
        <v>1839</v>
      </c>
    </row>
    <row r="1195" spans="1:9" x14ac:dyDescent="0.25">
      <c r="A1195" t="s">
        <v>4113</v>
      </c>
      <c r="B1195" t="s">
        <v>678</v>
      </c>
      <c r="C1195" t="s">
        <v>1180</v>
      </c>
      <c r="D1195" t="s">
        <v>62</v>
      </c>
      <c r="E1195" t="s">
        <v>1250</v>
      </c>
      <c r="F1195" t="s">
        <v>8</v>
      </c>
      <c r="G1195" t="s">
        <v>910</v>
      </c>
      <c r="H1195" t="s">
        <v>1296</v>
      </c>
      <c r="I1195" t="s">
        <v>1767</v>
      </c>
    </row>
    <row r="1196" spans="1:9" x14ac:dyDescent="0.25">
      <c r="A1196" t="s">
        <v>3820</v>
      </c>
      <c r="B1196" t="s">
        <v>678</v>
      </c>
      <c r="C1196" t="s">
        <v>1180</v>
      </c>
      <c r="D1196" t="s">
        <v>62</v>
      </c>
      <c r="E1196" t="s">
        <v>1250</v>
      </c>
      <c r="F1196" t="s">
        <v>1323</v>
      </c>
      <c r="G1196" t="s">
        <v>900</v>
      </c>
      <c r="H1196" t="s">
        <v>1296</v>
      </c>
      <c r="I1196" t="s">
        <v>1767</v>
      </c>
    </row>
    <row r="1197" spans="1:9" x14ac:dyDescent="0.25">
      <c r="A1197" t="s">
        <v>4112</v>
      </c>
      <c r="B1197" t="s">
        <v>678</v>
      </c>
      <c r="C1197" t="s">
        <v>1180</v>
      </c>
      <c r="D1197" t="s">
        <v>62</v>
      </c>
      <c r="E1197" t="s">
        <v>1250</v>
      </c>
      <c r="F1197" t="s">
        <v>1293</v>
      </c>
      <c r="G1197" t="s">
        <v>910</v>
      </c>
      <c r="H1197" t="s">
        <v>1296</v>
      </c>
      <c r="I1197" t="s">
        <v>1767</v>
      </c>
    </row>
    <row r="1198" spans="1:9" x14ac:dyDescent="0.25">
      <c r="A1198" t="s">
        <v>3819</v>
      </c>
      <c r="B1198" t="s">
        <v>711</v>
      </c>
      <c r="C1198" t="s">
        <v>1182</v>
      </c>
      <c r="D1198" t="s">
        <v>62</v>
      </c>
      <c r="E1198" t="s">
        <v>1288</v>
      </c>
      <c r="F1198" t="s">
        <v>1323</v>
      </c>
      <c r="G1198" t="s">
        <v>900</v>
      </c>
      <c r="H1198" t="s">
        <v>1294</v>
      </c>
      <c r="I1198" t="s">
        <v>1989</v>
      </c>
    </row>
    <row r="1199" spans="1:9" x14ac:dyDescent="0.25">
      <c r="A1199" t="s">
        <v>2582</v>
      </c>
      <c r="B1199" t="s">
        <v>749</v>
      </c>
      <c r="C1199" t="s">
        <v>1180</v>
      </c>
      <c r="D1199" t="s">
        <v>27</v>
      </c>
      <c r="E1199" t="s">
        <v>1300</v>
      </c>
      <c r="F1199" t="s">
        <v>1229</v>
      </c>
      <c r="G1199" t="s">
        <v>910</v>
      </c>
      <c r="H1199" t="s">
        <v>750</v>
      </c>
      <c r="I1199" t="s">
        <v>1771</v>
      </c>
    </row>
    <row r="1200" spans="1:9" x14ac:dyDescent="0.25">
      <c r="A1200" t="s">
        <v>2689</v>
      </c>
      <c r="B1200" t="s">
        <v>749</v>
      </c>
      <c r="C1200" t="s">
        <v>1180</v>
      </c>
      <c r="D1200" t="s">
        <v>27</v>
      </c>
      <c r="E1200" t="s">
        <v>1300</v>
      </c>
      <c r="F1200" t="s">
        <v>8</v>
      </c>
      <c r="G1200" t="s">
        <v>910</v>
      </c>
      <c r="H1200" t="s">
        <v>750</v>
      </c>
      <c r="I1200" t="s">
        <v>1771</v>
      </c>
    </row>
    <row r="1201" spans="1:9" x14ac:dyDescent="0.25">
      <c r="A1201" t="s">
        <v>3818</v>
      </c>
      <c r="B1201" t="s">
        <v>749</v>
      </c>
      <c r="C1201" t="s">
        <v>1180</v>
      </c>
      <c r="D1201" t="s">
        <v>27</v>
      </c>
      <c r="E1201" t="s">
        <v>1300</v>
      </c>
      <c r="F1201" t="s">
        <v>1323</v>
      </c>
      <c r="G1201" t="s">
        <v>900</v>
      </c>
      <c r="H1201" t="s">
        <v>750</v>
      </c>
      <c r="I1201" t="s">
        <v>1771</v>
      </c>
    </row>
    <row r="1202" spans="1:9" x14ac:dyDescent="0.25">
      <c r="A1202" t="s">
        <v>2834</v>
      </c>
      <c r="B1202" t="s">
        <v>749</v>
      </c>
      <c r="C1202" t="s">
        <v>1180</v>
      </c>
      <c r="D1202" t="s">
        <v>27</v>
      </c>
      <c r="E1202" t="s">
        <v>1300</v>
      </c>
      <c r="F1202" t="s">
        <v>1293</v>
      </c>
      <c r="G1202" t="s">
        <v>910</v>
      </c>
      <c r="H1202" t="s">
        <v>750</v>
      </c>
      <c r="I1202" t="s">
        <v>1771</v>
      </c>
    </row>
    <row r="1203" spans="1:9" x14ac:dyDescent="0.25">
      <c r="A1203" t="s">
        <v>2833</v>
      </c>
      <c r="B1203" t="s">
        <v>773</v>
      </c>
      <c r="C1203" t="s">
        <v>1182</v>
      </c>
      <c r="D1203" t="s">
        <v>91</v>
      </c>
      <c r="E1203" t="s">
        <v>1360</v>
      </c>
      <c r="F1203" t="s">
        <v>1229</v>
      </c>
      <c r="G1203" t="s">
        <v>910</v>
      </c>
      <c r="H1203" t="s">
        <v>108</v>
      </c>
      <c r="I1203" t="s">
        <v>1801</v>
      </c>
    </row>
    <row r="1204" spans="1:9" x14ac:dyDescent="0.25">
      <c r="A1204" t="s">
        <v>3817</v>
      </c>
      <c r="B1204" t="s">
        <v>773</v>
      </c>
      <c r="C1204" t="s">
        <v>1182</v>
      </c>
      <c r="D1204" t="s">
        <v>91</v>
      </c>
      <c r="E1204" t="s">
        <v>1360</v>
      </c>
      <c r="F1204" t="s">
        <v>8</v>
      </c>
      <c r="G1204" t="s">
        <v>910</v>
      </c>
      <c r="H1204" t="s">
        <v>108</v>
      </c>
      <c r="I1204" t="s">
        <v>1801</v>
      </c>
    </row>
    <row r="1205" spans="1:9" x14ac:dyDescent="0.25">
      <c r="A1205" t="s">
        <v>4111</v>
      </c>
      <c r="B1205" t="s">
        <v>773</v>
      </c>
      <c r="C1205" t="s">
        <v>1182</v>
      </c>
      <c r="D1205" t="s">
        <v>91</v>
      </c>
      <c r="E1205" t="s">
        <v>1360</v>
      </c>
      <c r="F1205" t="s">
        <v>1331</v>
      </c>
      <c r="G1205" t="s">
        <v>910</v>
      </c>
      <c r="H1205" t="s">
        <v>108</v>
      </c>
      <c r="I1205" t="s">
        <v>1801</v>
      </c>
    </row>
    <row r="1206" spans="1:9" x14ac:dyDescent="0.25">
      <c r="A1206" t="s">
        <v>3816</v>
      </c>
      <c r="B1206" t="s">
        <v>773</v>
      </c>
      <c r="C1206" t="s">
        <v>1182</v>
      </c>
      <c r="D1206" t="s">
        <v>91</v>
      </c>
      <c r="E1206" t="s">
        <v>1360</v>
      </c>
      <c r="F1206" t="s">
        <v>1323</v>
      </c>
      <c r="G1206" t="s">
        <v>900</v>
      </c>
      <c r="H1206" t="s">
        <v>108</v>
      </c>
      <c r="I1206" t="s">
        <v>1801</v>
      </c>
    </row>
    <row r="1207" spans="1:9" x14ac:dyDescent="0.25">
      <c r="A1207" t="s">
        <v>3372</v>
      </c>
      <c r="B1207" t="s">
        <v>773</v>
      </c>
      <c r="C1207" t="s">
        <v>1182</v>
      </c>
      <c r="D1207" t="s">
        <v>91</v>
      </c>
      <c r="E1207" t="s">
        <v>1360</v>
      </c>
      <c r="F1207" t="s">
        <v>1293</v>
      </c>
      <c r="G1207" t="s">
        <v>910</v>
      </c>
      <c r="H1207" t="s">
        <v>108</v>
      </c>
      <c r="I1207" t="s">
        <v>1801</v>
      </c>
    </row>
    <row r="1208" spans="1:9" x14ac:dyDescent="0.25">
      <c r="A1208" t="s">
        <v>3371</v>
      </c>
      <c r="B1208" t="s">
        <v>773</v>
      </c>
      <c r="C1208" t="s">
        <v>1182</v>
      </c>
      <c r="D1208" t="s">
        <v>91</v>
      </c>
      <c r="E1208" t="s">
        <v>1360</v>
      </c>
      <c r="F1208" t="s">
        <v>8</v>
      </c>
      <c r="G1208" t="s">
        <v>910</v>
      </c>
      <c r="H1208" t="s">
        <v>108</v>
      </c>
      <c r="I1208" t="s">
        <v>1801</v>
      </c>
    </row>
    <row r="1209" spans="1:9" x14ac:dyDescent="0.25">
      <c r="A1209" t="s">
        <v>2832</v>
      </c>
      <c r="B1209" t="s">
        <v>773</v>
      </c>
      <c r="C1209" t="s">
        <v>1182</v>
      </c>
      <c r="D1209" t="s">
        <v>91</v>
      </c>
      <c r="E1209" t="s">
        <v>1360</v>
      </c>
      <c r="F1209" t="s">
        <v>1229</v>
      </c>
      <c r="G1209" t="s">
        <v>910</v>
      </c>
      <c r="H1209" t="s">
        <v>612</v>
      </c>
      <c r="I1209" t="s">
        <v>1800</v>
      </c>
    </row>
    <row r="1210" spans="1:9" x14ac:dyDescent="0.25">
      <c r="A1210" t="s">
        <v>3370</v>
      </c>
      <c r="B1210" t="s">
        <v>773</v>
      </c>
      <c r="C1210" t="s">
        <v>1182</v>
      </c>
      <c r="D1210" t="s">
        <v>91</v>
      </c>
      <c r="E1210" t="s">
        <v>1360</v>
      </c>
      <c r="F1210" t="s">
        <v>8</v>
      </c>
      <c r="G1210" t="s">
        <v>910</v>
      </c>
      <c r="H1210" t="s">
        <v>612</v>
      </c>
      <c r="I1210" t="s">
        <v>1800</v>
      </c>
    </row>
    <row r="1211" spans="1:9" x14ac:dyDescent="0.25">
      <c r="A1211" t="s">
        <v>4252</v>
      </c>
      <c r="B1211" t="s">
        <v>773</v>
      </c>
      <c r="C1211" t="s">
        <v>1182</v>
      </c>
      <c r="D1211" t="s">
        <v>91</v>
      </c>
      <c r="E1211" t="s">
        <v>1360</v>
      </c>
      <c r="F1211" t="s">
        <v>1331</v>
      </c>
      <c r="G1211" t="s">
        <v>910</v>
      </c>
      <c r="H1211" t="s">
        <v>612</v>
      </c>
      <c r="I1211" t="s">
        <v>1800</v>
      </c>
    </row>
    <row r="1212" spans="1:9" x14ac:dyDescent="0.25">
      <c r="A1212" t="s">
        <v>3024</v>
      </c>
      <c r="B1212" t="s">
        <v>773</v>
      </c>
      <c r="C1212" t="s">
        <v>1182</v>
      </c>
      <c r="D1212" t="s">
        <v>91</v>
      </c>
      <c r="E1212" t="s">
        <v>1360</v>
      </c>
      <c r="F1212" t="s">
        <v>1323</v>
      </c>
      <c r="G1212" t="s">
        <v>900</v>
      </c>
      <c r="H1212" t="s">
        <v>612</v>
      </c>
      <c r="I1212" t="s">
        <v>1800</v>
      </c>
    </row>
    <row r="1213" spans="1:9" x14ac:dyDescent="0.25">
      <c r="A1213" t="s">
        <v>3369</v>
      </c>
      <c r="B1213" t="s">
        <v>773</v>
      </c>
      <c r="C1213" t="s">
        <v>1182</v>
      </c>
      <c r="D1213" t="s">
        <v>91</v>
      </c>
      <c r="E1213" t="s">
        <v>1360</v>
      </c>
      <c r="F1213" t="s">
        <v>1293</v>
      </c>
      <c r="G1213" t="s">
        <v>910</v>
      </c>
      <c r="H1213" t="s">
        <v>612</v>
      </c>
      <c r="I1213" t="s">
        <v>1800</v>
      </c>
    </row>
    <row r="1214" spans="1:9" x14ac:dyDescent="0.25">
      <c r="A1214" t="s">
        <v>3368</v>
      </c>
      <c r="B1214" t="s">
        <v>773</v>
      </c>
      <c r="C1214" t="s">
        <v>1182</v>
      </c>
      <c r="D1214" t="s">
        <v>91</v>
      </c>
      <c r="E1214" t="s">
        <v>1360</v>
      </c>
      <c r="F1214" t="s">
        <v>8</v>
      </c>
      <c r="G1214" t="s">
        <v>910</v>
      </c>
      <c r="H1214" t="s">
        <v>64</v>
      </c>
      <c r="I1214" t="s">
        <v>1800</v>
      </c>
    </row>
    <row r="1215" spans="1:9" x14ac:dyDescent="0.25">
      <c r="A1215" t="s">
        <v>3023</v>
      </c>
      <c r="B1215" t="s">
        <v>773</v>
      </c>
      <c r="C1215" t="s">
        <v>1182</v>
      </c>
      <c r="D1215" t="s">
        <v>84</v>
      </c>
      <c r="E1215" t="s">
        <v>1334</v>
      </c>
      <c r="F1215" t="s">
        <v>1229</v>
      </c>
      <c r="G1215" t="s">
        <v>910</v>
      </c>
      <c r="H1215" t="s">
        <v>246</v>
      </c>
      <c r="I1215" t="s">
        <v>1920</v>
      </c>
    </row>
    <row r="1216" spans="1:9" x14ac:dyDescent="0.25">
      <c r="A1216" t="s">
        <v>3367</v>
      </c>
      <c r="B1216" t="s">
        <v>773</v>
      </c>
      <c r="C1216" t="s">
        <v>1182</v>
      </c>
      <c r="D1216" t="s">
        <v>84</v>
      </c>
      <c r="E1216" t="s">
        <v>1334</v>
      </c>
      <c r="F1216" t="s">
        <v>8</v>
      </c>
      <c r="G1216" t="s">
        <v>910</v>
      </c>
      <c r="H1216" t="s">
        <v>246</v>
      </c>
      <c r="I1216" t="s">
        <v>1920</v>
      </c>
    </row>
    <row r="1217" spans="1:9" x14ac:dyDescent="0.25">
      <c r="A1217" t="s">
        <v>3366</v>
      </c>
      <c r="B1217" t="s">
        <v>773</v>
      </c>
      <c r="C1217" t="s">
        <v>1182</v>
      </c>
      <c r="D1217" t="s">
        <v>84</v>
      </c>
      <c r="E1217" t="s">
        <v>1334</v>
      </c>
      <c r="F1217" t="s">
        <v>1331</v>
      </c>
      <c r="G1217" t="s">
        <v>910</v>
      </c>
      <c r="H1217" t="s">
        <v>246</v>
      </c>
      <c r="I1217" t="s">
        <v>1920</v>
      </c>
    </row>
    <row r="1218" spans="1:9" x14ac:dyDescent="0.25">
      <c r="A1218" t="s">
        <v>3365</v>
      </c>
      <c r="B1218" t="s">
        <v>773</v>
      </c>
      <c r="C1218" t="s">
        <v>1182</v>
      </c>
      <c r="D1218" t="s">
        <v>84</v>
      </c>
      <c r="E1218" t="s">
        <v>1334</v>
      </c>
      <c r="F1218" t="s">
        <v>1323</v>
      </c>
      <c r="G1218" t="s">
        <v>900</v>
      </c>
      <c r="H1218" t="s">
        <v>246</v>
      </c>
      <c r="I1218" t="s">
        <v>1920</v>
      </c>
    </row>
    <row r="1219" spans="1:9" x14ac:dyDescent="0.25">
      <c r="A1219" t="s">
        <v>3364</v>
      </c>
      <c r="B1219" t="s">
        <v>773</v>
      </c>
      <c r="C1219" t="s">
        <v>1182</v>
      </c>
      <c r="D1219" t="s">
        <v>84</v>
      </c>
      <c r="E1219" t="s">
        <v>1334</v>
      </c>
      <c r="F1219" t="s">
        <v>1293</v>
      </c>
      <c r="G1219" t="s">
        <v>910</v>
      </c>
      <c r="H1219" t="s">
        <v>246</v>
      </c>
      <c r="I1219" t="s">
        <v>1920</v>
      </c>
    </row>
    <row r="1220" spans="1:9" x14ac:dyDescent="0.25">
      <c r="A1220" t="s">
        <v>3022</v>
      </c>
      <c r="B1220" t="s">
        <v>793</v>
      </c>
      <c r="C1220" t="s">
        <v>1180</v>
      </c>
      <c r="D1220" t="s">
        <v>84</v>
      </c>
      <c r="E1220" t="s">
        <v>1250</v>
      </c>
      <c r="F1220" t="s">
        <v>1229</v>
      </c>
      <c r="G1220" t="s">
        <v>910</v>
      </c>
      <c r="H1220" t="s">
        <v>1391</v>
      </c>
      <c r="I1220" t="s">
        <v>795</v>
      </c>
    </row>
    <row r="1221" spans="1:9" x14ac:dyDescent="0.25">
      <c r="A1221" t="s">
        <v>3363</v>
      </c>
      <c r="B1221" t="s">
        <v>793</v>
      </c>
      <c r="C1221" t="s">
        <v>1180</v>
      </c>
      <c r="D1221" t="s">
        <v>84</v>
      </c>
      <c r="E1221" t="s">
        <v>1250</v>
      </c>
      <c r="F1221" t="s">
        <v>8</v>
      </c>
      <c r="G1221" t="s">
        <v>910</v>
      </c>
      <c r="H1221" t="s">
        <v>1391</v>
      </c>
      <c r="I1221" t="s">
        <v>795</v>
      </c>
    </row>
    <row r="1222" spans="1:9" x14ac:dyDescent="0.25">
      <c r="A1222" t="s">
        <v>3362</v>
      </c>
      <c r="B1222" t="s">
        <v>793</v>
      </c>
      <c r="C1222" t="s">
        <v>1180</v>
      </c>
      <c r="D1222" t="s">
        <v>84</v>
      </c>
      <c r="E1222" t="s">
        <v>1250</v>
      </c>
      <c r="F1222" t="s">
        <v>1323</v>
      </c>
      <c r="G1222" t="s">
        <v>900</v>
      </c>
      <c r="H1222" t="s">
        <v>1391</v>
      </c>
      <c r="I1222" t="s">
        <v>795</v>
      </c>
    </row>
    <row r="1223" spans="1:9" x14ac:dyDescent="0.25">
      <c r="A1223" t="s">
        <v>3021</v>
      </c>
      <c r="B1223" t="s">
        <v>793</v>
      </c>
      <c r="C1223" t="s">
        <v>1180</v>
      </c>
      <c r="D1223" t="s">
        <v>84</v>
      </c>
      <c r="E1223" t="s">
        <v>1250</v>
      </c>
      <c r="F1223" t="s">
        <v>1293</v>
      </c>
      <c r="G1223" t="s">
        <v>910</v>
      </c>
      <c r="H1223" t="s">
        <v>1391</v>
      </c>
      <c r="I1223" t="s">
        <v>795</v>
      </c>
    </row>
    <row r="1224" spans="1:9" x14ac:dyDescent="0.25">
      <c r="A1224" t="s">
        <v>3804</v>
      </c>
      <c r="B1224" t="s">
        <v>815</v>
      </c>
      <c r="C1224" t="s">
        <v>1195</v>
      </c>
      <c r="D1224" t="s">
        <v>1216</v>
      </c>
      <c r="E1224" t="s">
        <v>1496</v>
      </c>
      <c r="F1224" t="s">
        <v>1229</v>
      </c>
      <c r="G1224" t="s">
        <v>910</v>
      </c>
      <c r="H1224" t="s">
        <v>3385</v>
      </c>
      <c r="I1224" t="s">
        <v>2127</v>
      </c>
    </row>
    <row r="1225" spans="1:9" x14ac:dyDescent="0.25">
      <c r="A1225" t="s">
        <v>3384</v>
      </c>
      <c r="B1225" t="s">
        <v>815</v>
      </c>
      <c r="C1225" t="s">
        <v>1195</v>
      </c>
      <c r="D1225" t="s">
        <v>1216</v>
      </c>
      <c r="E1225" t="s">
        <v>1496</v>
      </c>
      <c r="F1225" t="s">
        <v>8</v>
      </c>
      <c r="G1225" t="s">
        <v>910</v>
      </c>
      <c r="H1225" t="s">
        <v>3385</v>
      </c>
      <c r="I1225" t="s">
        <v>2127</v>
      </c>
    </row>
    <row r="1226" spans="1:9" x14ac:dyDescent="0.25">
      <c r="A1226" t="s">
        <v>3803</v>
      </c>
      <c r="B1226" t="s">
        <v>815</v>
      </c>
      <c r="C1226" t="s">
        <v>1195</v>
      </c>
      <c r="D1226" t="s">
        <v>1216</v>
      </c>
      <c r="E1226" t="s">
        <v>1496</v>
      </c>
      <c r="F1226" t="s">
        <v>1323</v>
      </c>
      <c r="G1226" t="s">
        <v>900</v>
      </c>
      <c r="H1226" t="s">
        <v>3385</v>
      </c>
      <c r="I1226" t="s">
        <v>2127</v>
      </c>
    </row>
    <row r="1227" spans="1:9" x14ac:dyDescent="0.25">
      <c r="A1227" t="s">
        <v>4404</v>
      </c>
      <c r="B1227" t="s">
        <v>799</v>
      </c>
      <c r="C1227" t="s">
        <v>1184</v>
      </c>
      <c r="E1227" t="s">
        <v>1339</v>
      </c>
      <c r="F1227" t="s">
        <v>1251</v>
      </c>
      <c r="G1227" t="s">
        <v>900</v>
      </c>
      <c r="H1227" t="s">
        <v>501</v>
      </c>
      <c r="I1227" t="s">
        <v>1769</v>
      </c>
    </row>
    <row r="1228" spans="1:9" x14ac:dyDescent="0.25">
      <c r="A1228" t="s">
        <v>2999</v>
      </c>
      <c r="B1228" t="s">
        <v>799</v>
      </c>
      <c r="C1228" t="s">
        <v>1184</v>
      </c>
      <c r="E1228" t="s">
        <v>1339</v>
      </c>
      <c r="F1228" t="s">
        <v>8</v>
      </c>
      <c r="G1228" t="s">
        <v>900</v>
      </c>
      <c r="H1228" t="s">
        <v>501</v>
      </c>
      <c r="I1228" t="s">
        <v>1769</v>
      </c>
    </row>
    <row r="1229" spans="1:9" x14ac:dyDescent="0.25">
      <c r="A1229" t="s">
        <v>4253</v>
      </c>
      <c r="B1229" t="s">
        <v>799</v>
      </c>
      <c r="C1229" t="s">
        <v>1184</v>
      </c>
      <c r="E1229" t="s">
        <v>1339</v>
      </c>
      <c r="F1229" t="s">
        <v>1331</v>
      </c>
      <c r="G1229" t="s">
        <v>900</v>
      </c>
      <c r="H1229" t="s">
        <v>501</v>
      </c>
      <c r="I1229" t="s">
        <v>1769</v>
      </c>
    </row>
    <row r="1230" spans="1:9" x14ac:dyDescent="0.25">
      <c r="A1230" t="s">
        <v>3834</v>
      </c>
      <c r="B1230" t="s">
        <v>799</v>
      </c>
      <c r="C1230" t="s">
        <v>1184</v>
      </c>
      <c r="E1230" t="s">
        <v>1339</v>
      </c>
      <c r="F1230" t="s">
        <v>1323</v>
      </c>
      <c r="G1230" t="s">
        <v>900</v>
      </c>
      <c r="H1230" t="s">
        <v>501</v>
      </c>
      <c r="I1230" t="s">
        <v>1769</v>
      </c>
    </row>
    <row r="1231" spans="1:9" x14ac:dyDescent="0.25">
      <c r="A1231" t="s">
        <v>3833</v>
      </c>
      <c r="B1231" t="s">
        <v>799</v>
      </c>
      <c r="C1231" t="s">
        <v>1184</v>
      </c>
      <c r="E1231" t="s">
        <v>1339</v>
      </c>
      <c r="F1231" t="s">
        <v>1293</v>
      </c>
      <c r="G1231" t="s">
        <v>900</v>
      </c>
      <c r="H1231" t="s">
        <v>501</v>
      </c>
      <c r="I1231" t="s">
        <v>1769</v>
      </c>
    </row>
    <row r="1232" spans="1:9" x14ac:dyDescent="0.25">
      <c r="A1232" t="s">
        <v>3020</v>
      </c>
      <c r="B1232" t="s">
        <v>822</v>
      </c>
      <c r="C1232" t="s">
        <v>1191</v>
      </c>
      <c r="D1232" t="s">
        <v>27</v>
      </c>
      <c r="E1232" t="s">
        <v>1336</v>
      </c>
      <c r="F1232" t="s">
        <v>1229</v>
      </c>
      <c r="G1232" t="s">
        <v>910</v>
      </c>
      <c r="H1232" t="s">
        <v>1337</v>
      </c>
      <c r="I1232" t="s">
        <v>1768</v>
      </c>
    </row>
    <row r="1233" spans="1:9" x14ac:dyDescent="0.25">
      <c r="A1233" t="s">
        <v>3361</v>
      </c>
      <c r="B1233" t="s">
        <v>822</v>
      </c>
      <c r="C1233" t="s">
        <v>1191</v>
      </c>
      <c r="D1233" t="s">
        <v>27</v>
      </c>
      <c r="E1233" t="s">
        <v>1336</v>
      </c>
      <c r="F1233" t="s">
        <v>8</v>
      </c>
      <c r="G1233" t="s">
        <v>910</v>
      </c>
      <c r="H1233" t="s">
        <v>1337</v>
      </c>
      <c r="I1233" t="s">
        <v>1768</v>
      </c>
    </row>
    <row r="1234" spans="1:9" x14ac:dyDescent="0.25">
      <c r="A1234" t="s">
        <v>3019</v>
      </c>
      <c r="B1234" t="s">
        <v>822</v>
      </c>
      <c r="C1234" t="s">
        <v>1191</v>
      </c>
      <c r="D1234" t="s">
        <v>27</v>
      </c>
      <c r="E1234" t="s">
        <v>1336</v>
      </c>
      <c r="F1234" t="s">
        <v>1331</v>
      </c>
      <c r="G1234" t="s">
        <v>910</v>
      </c>
      <c r="H1234" t="s">
        <v>1337</v>
      </c>
      <c r="I1234" t="s">
        <v>1768</v>
      </c>
    </row>
    <row r="1235" spans="1:9" x14ac:dyDescent="0.25">
      <c r="A1235" t="s">
        <v>3018</v>
      </c>
      <c r="B1235" t="s">
        <v>822</v>
      </c>
      <c r="C1235" t="s">
        <v>1191</v>
      </c>
      <c r="D1235" t="s">
        <v>27</v>
      </c>
      <c r="E1235" t="s">
        <v>1336</v>
      </c>
      <c r="F1235" t="s">
        <v>1323</v>
      </c>
      <c r="G1235" t="s">
        <v>900</v>
      </c>
      <c r="H1235" t="s">
        <v>1337</v>
      </c>
      <c r="I1235" t="s">
        <v>1768</v>
      </c>
    </row>
    <row r="1236" spans="1:9" x14ac:dyDescent="0.25">
      <c r="A1236" t="s">
        <v>3360</v>
      </c>
      <c r="B1236" t="s">
        <v>822</v>
      </c>
      <c r="C1236" t="s">
        <v>1191</v>
      </c>
      <c r="D1236" t="s">
        <v>27</v>
      </c>
      <c r="E1236" t="s">
        <v>1336</v>
      </c>
      <c r="F1236" t="s">
        <v>1293</v>
      </c>
      <c r="G1236" t="s">
        <v>910</v>
      </c>
      <c r="H1236" t="s">
        <v>1337</v>
      </c>
      <c r="I1236" t="s">
        <v>1768</v>
      </c>
    </row>
    <row r="1237" spans="1:9" x14ac:dyDescent="0.25">
      <c r="A1237" t="s">
        <v>3832</v>
      </c>
      <c r="B1237" t="s">
        <v>856</v>
      </c>
      <c r="C1237" t="s">
        <v>1197</v>
      </c>
      <c r="E1237" t="s">
        <v>1381</v>
      </c>
      <c r="F1237" t="s">
        <v>1229</v>
      </c>
      <c r="G1237" t="s">
        <v>910</v>
      </c>
      <c r="H1237" t="s">
        <v>330</v>
      </c>
      <c r="I1237" t="s">
        <v>1856</v>
      </c>
    </row>
    <row r="1238" spans="1:9" x14ac:dyDescent="0.25">
      <c r="A1238" t="s">
        <v>3831</v>
      </c>
      <c r="B1238" t="s">
        <v>856</v>
      </c>
      <c r="C1238" t="s">
        <v>1197</v>
      </c>
      <c r="E1238" t="s">
        <v>1381</v>
      </c>
      <c r="F1238" t="s">
        <v>8</v>
      </c>
      <c r="G1238" t="s">
        <v>910</v>
      </c>
      <c r="H1238" t="s">
        <v>330</v>
      </c>
      <c r="I1238" t="s">
        <v>1856</v>
      </c>
    </row>
    <row r="1239" spans="1:9" x14ac:dyDescent="0.25">
      <c r="A1239" t="s">
        <v>3356</v>
      </c>
      <c r="B1239" t="s">
        <v>856</v>
      </c>
      <c r="C1239" t="s">
        <v>1197</v>
      </c>
      <c r="E1239" t="s">
        <v>1381</v>
      </c>
      <c r="F1239" t="s">
        <v>1323</v>
      </c>
      <c r="G1239" t="s">
        <v>900</v>
      </c>
      <c r="H1239" t="s">
        <v>330</v>
      </c>
      <c r="I1239" t="s">
        <v>1856</v>
      </c>
    </row>
    <row r="1240" spans="1:9" x14ac:dyDescent="0.25">
      <c r="A1240" t="s">
        <v>4314</v>
      </c>
      <c r="B1240" t="s">
        <v>114</v>
      </c>
      <c r="C1240" t="s">
        <v>1181</v>
      </c>
      <c r="E1240" t="s">
        <v>1338</v>
      </c>
      <c r="F1240" t="s">
        <v>1229</v>
      </c>
      <c r="G1240" t="s">
        <v>910</v>
      </c>
      <c r="H1240" t="s">
        <v>126</v>
      </c>
      <c r="I1240" t="s">
        <v>4512</v>
      </c>
    </row>
    <row r="1241" spans="1:9" x14ac:dyDescent="0.25">
      <c r="A1241" t="s">
        <v>2729</v>
      </c>
      <c r="B1241" t="s">
        <v>114</v>
      </c>
      <c r="C1241" t="s">
        <v>1181</v>
      </c>
      <c r="E1241" t="s">
        <v>1338</v>
      </c>
      <c r="F1241" t="s">
        <v>8</v>
      </c>
      <c r="G1241" t="s">
        <v>910</v>
      </c>
      <c r="H1241" t="s">
        <v>126</v>
      </c>
      <c r="I1241" t="s">
        <v>4512</v>
      </c>
    </row>
    <row r="1242" spans="1:9" x14ac:dyDescent="0.25">
      <c r="A1242" t="s">
        <v>3383</v>
      </c>
      <c r="B1242" t="s">
        <v>114</v>
      </c>
      <c r="C1242" t="s">
        <v>1181</v>
      </c>
      <c r="E1242" t="s">
        <v>1338</v>
      </c>
      <c r="F1242" t="s">
        <v>1323</v>
      </c>
      <c r="G1242" t="s">
        <v>910</v>
      </c>
      <c r="H1242" t="s">
        <v>126</v>
      </c>
      <c r="I1242" t="s">
        <v>4512</v>
      </c>
    </row>
    <row r="1243" spans="1:9" x14ac:dyDescent="0.25">
      <c r="A1243" t="s">
        <v>2634</v>
      </c>
      <c r="B1243" t="s">
        <v>148</v>
      </c>
      <c r="C1243" t="s">
        <v>1183</v>
      </c>
      <c r="D1243" t="s">
        <v>21</v>
      </c>
      <c r="E1243" t="s">
        <v>1242</v>
      </c>
      <c r="F1243" t="s">
        <v>1229</v>
      </c>
      <c r="G1243" t="s">
        <v>910</v>
      </c>
      <c r="H1243" t="s">
        <v>159</v>
      </c>
      <c r="I1243" t="s">
        <v>1739</v>
      </c>
    </row>
    <row r="1244" spans="1:9" x14ac:dyDescent="0.25">
      <c r="A1244" t="s">
        <v>2619</v>
      </c>
      <c r="B1244" t="s">
        <v>148</v>
      </c>
      <c r="C1244" t="s">
        <v>1183</v>
      </c>
      <c r="D1244" t="s">
        <v>21</v>
      </c>
      <c r="E1244" t="s">
        <v>1242</v>
      </c>
      <c r="F1244" t="s">
        <v>8</v>
      </c>
      <c r="G1244" t="s">
        <v>910</v>
      </c>
      <c r="H1244" t="s">
        <v>159</v>
      </c>
      <c r="I1244" t="s">
        <v>1739</v>
      </c>
    </row>
    <row r="1245" spans="1:9" x14ac:dyDescent="0.25">
      <c r="A1245" t="s">
        <v>3801</v>
      </c>
      <c r="B1245" t="s">
        <v>148</v>
      </c>
      <c r="C1245" t="s">
        <v>1183</v>
      </c>
      <c r="D1245" t="s">
        <v>21</v>
      </c>
      <c r="E1245" t="s">
        <v>1242</v>
      </c>
      <c r="F1245" t="s">
        <v>1323</v>
      </c>
      <c r="G1245" t="s">
        <v>910</v>
      </c>
      <c r="H1245" t="s">
        <v>159</v>
      </c>
      <c r="I1245" t="s">
        <v>1739</v>
      </c>
    </row>
    <row r="1246" spans="1:9" x14ac:dyDescent="0.25">
      <c r="A1246" t="s">
        <v>2524</v>
      </c>
      <c r="B1246" t="s">
        <v>176</v>
      </c>
      <c r="C1246" t="s">
        <v>1183</v>
      </c>
      <c r="E1246" t="s">
        <v>1467</v>
      </c>
      <c r="F1246" t="s">
        <v>1229</v>
      </c>
      <c r="G1246" t="s">
        <v>910</v>
      </c>
      <c r="H1246" t="s">
        <v>189</v>
      </c>
      <c r="I1246" t="s">
        <v>2065</v>
      </c>
    </row>
    <row r="1247" spans="1:9" x14ac:dyDescent="0.25">
      <c r="A1247" t="s">
        <v>2728</v>
      </c>
      <c r="B1247" t="s">
        <v>176</v>
      </c>
      <c r="C1247" t="s">
        <v>1183</v>
      </c>
      <c r="E1247" t="s">
        <v>1467</v>
      </c>
      <c r="F1247" t="s">
        <v>8</v>
      </c>
      <c r="G1247" t="s">
        <v>910</v>
      </c>
      <c r="H1247" t="s">
        <v>189</v>
      </c>
      <c r="I1247" t="s">
        <v>2065</v>
      </c>
    </row>
    <row r="1248" spans="1:9" x14ac:dyDescent="0.25">
      <c r="A1248" t="s">
        <v>4109</v>
      </c>
      <c r="B1248" t="s">
        <v>176</v>
      </c>
      <c r="C1248" t="s">
        <v>1183</v>
      </c>
      <c r="E1248" t="s">
        <v>1467</v>
      </c>
      <c r="F1248" t="s">
        <v>1323</v>
      </c>
      <c r="G1248" t="s">
        <v>910</v>
      </c>
      <c r="H1248" t="s">
        <v>189</v>
      </c>
      <c r="I1248" t="s">
        <v>2065</v>
      </c>
    </row>
    <row r="1249" spans="1:9" x14ac:dyDescent="0.25">
      <c r="A1249" t="s">
        <v>4484</v>
      </c>
      <c r="B1249" t="s">
        <v>359</v>
      </c>
      <c r="C1249" t="s">
        <v>1183</v>
      </c>
      <c r="D1249" t="s">
        <v>15</v>
      </c>
      <c r="E1249" t="s">
        <v>1264</v>
      </c>
      <c r="F1249" t="s">
        <v>1251</v>
      </c>
      <c r="G1249" t="s">
        <v>900</v>
      </c>
      <c r="H1249" t="s">
        <v>366</v>
      </c>
      <c r="I1249" t="s">
        <v>367</v>
      </c>
    </row>
    <row r="1250" spans="1:9" x14ac:dyDescent="0.25">
      <c r="A1250" t="s">
        <v>4483</v>
      </c>
      <c r="B1250" t="s">
        <v>359</v>
      </c>
      <c r="C1250" t="s">
        <v>1183</v>
      </c>
      <c r="D1250" t="s">
        <v>15</v>
      </c>
      <c r="E1250" t="s">
        <v>1264</v>
      </c>
      <c r="F1250" t="s">
        <v>8</v>
      </c>
      <c r="G1250" t="s">
        <v>900</v>
      </c>
      <c r="H1250" t="s">
        <v>366</v>
      </c>
      <c r="I1250" t="s">
        <v>367</v>
      </c>
    </row>
    <row r="1251" spans="1:9" x14ac:dyDescent="0.25">
      <c r="A1251" t="s">
        <v>3382</v>
      </c>
      <c r="B1251" t="s">
        <v>359</v>
      </c>
      <c r="C1251" t="s">
        <v>1183</v>
      </c>
      <c r="D1251" t="s">
        <v>15</v>
      </c>
      <c r="E1251" t="s">
        <v>1264</v>
      </c>
      <c r="F1251" t="s">
        <v>1331</v>
      </c>
      <c r="G1251" t="s">
        <v>900</v>
      </c>
      <c r="H1251" t="s">
        <v>366</v>
      </c>
      <c r="I1251" t="s">
        <v>367</v>
      </c>
    </row>
    <row r="1252" spans="1:9" x14ac:dyDescent="0.25">
      <c r="A1252" t="s">
        <v>4249</v>
      </c>
      <c r="B1252" t="s">
        <v>359</v>
      </c>
      <c r="C1252" t="s">
        <v>1183</v>
      </c>
      <c r="D1252" t="s">
        <v>15</v>
      </c>
      <c r="E1252" t="s">
        <v>1264</v>
      </c>
      <c r="F1252" t="s">
        <v>1323</v>
      </c>
      <c r="G1252" t="s">
        <v>900</v>
      </c>
      <c r="H1252" t="s">
        <v>366</v>
      </c>
      <c r="I1252" t="s">
        <v>367</v>
      </c>
    </row>
    <row r="1253" spans="1:9" x14ac:dyDescent="0.25">
      <c r="A1253" t="s">
        <v>3381</v>
      </c>
      <c r="B1253" t="s">
        <v>359</v>
      </c>
      <c r="C1253" t="s">
        <v>1183</v>
      </c>
      <c r="D1253" t="s">
        <v>15</v>
      </c>
      <c r="E1253" t="s">
        <v>1264</v>
      </c>
      <c r="F1253" t="s">
        <v>1293</v>
      </c>
      <c r="G1253" t="s">
        <v>900</v>
      </c>
      <c r="H1253" t="s">
        <v>366</v>
      </c>
      <c r="I1253" t="s">
        <v>367</v>
      </c>
    </row>
    <row r="1254" spans="1:9" x14ac:dyDescent="0.25">
      <c r="A1254" t="s">
        <v>4248</v>
      </c>
      <c r="B1254" t="s">
        <v>413</v>
      </c>
      <c r="C1254" t="s">
        <v>1180</v>
      </c>
      <c r="D1254" t="s">
        <v>1216</v>
      </c>
      <c r="E1254" t="s">
        <v>1377</v>
      </c>
      <c r="F1254" t="s">
        <v>1227</v>
      </c>
      <c r="G1254" t="s">
        <v>1228</v>
      </c>
      <c r="I1254" t="s">
        <v>1878</v>
      </c>
    </row>
    <row r="1255" spans="1:9" x14ac:dyDescent="0.25">
      <c r="A1255" t="s">
        <v>4108</v>
      </c>
      <c r="B1255" t="s">
        <v>413</v>
      </c>
      <c r="C1255" t="s">
        <v>1180</v>
      </c>
      <c r="D1255" t="s">
        <v>1216</v>
      </c>
      <c r="E1255" t="s">
        <v>1377</v>
      </c>
      <c r="F1255" t="s">
        <v>1227</v>
      </c>
      <c r="G1255" t="s">
        <v>1228</v>
      </c>
      <c r="I1255" t="s">
        <v>1878</v>
      </c>
    </row>
    <row r="1256" spans="1:9" x14ac:dyDescent="0.25">
      <c r="A1256" t="s">
        <v>4401</v>
      </c>
      <c r="B1256" t="s">
        <v>413</v>
      </c>
      <c r="C1256" t="s">
        <v>1180</v>
      </c>
      <c r="D1256" t="s">
        <v>1216</v>
      </c>
      <c r="E1256" t="s">
        <v>1377</v>
      </c>
      <c r="F1256" t="s">
        <v>1221</v>
      </c>
      <c r="G1256" t="s">
        <v>900</v>
      </c>
      <c r="I1256" t="s">
        <v>1878</v>
      </c>
    </row>
    <row r="1257" spans="1:9" x14ac:dyDescent="0.25">
      <c r="A1257" t="s">
        <v>4313</v>
      </c>
      <c r="B1257" t="s">
        <v>413</v>
      </c>
      <c r="C1257" t="s">
        <v>1180</v>
      </c>
      <c r="D1257" t="s">
        <v>1216</v>
      </c>
      <c r="E1257" t="s">
        <v>1377</v>
      </c>
      <c r="F1257" t="s">
        <v>1221</v>
      </c>
      <c r="G1257" t="s">
        <v>900</v>
      </c>
      <c r="I1257" t="s">
        <v>1878</v>
      </c>
    </row>
    <row r="1258" spans="1:9" x14ac:dyDescent="0.25">
      <c r="A1258" t="s">
        <v>4312</v>
      </c>
      <c r="B1258" t="s">
        <v>441</v>
      </c>
      <c r="C1258" t="s">
        <v>1191</v>
      </c>
      <c r="E1258" t="s">
        <v>1332</v>
      </c>
      <c r="F1258" t="s">
        <v>1229</v>
      </c>
      <c r="G1258" t="s">
        <v>910</v>
      </c>
      <c r="H1258" t="s">
        <v>233</v>
      </c>
      <c r="I1258" t="s">
        <v>1763</v>
      </c>
    </row>
    <row r="1259" spans="1:9" x14ac:dyDescent="0.25">
      <c r="A1259" t="s">
        <v>2636</v>
      </c>
      <c r="B1259" t="s">
        <v>441</v>
      </c>
      <c r="C1259" t="s">
        <v>1191</v>
      </c>
      <c r="E1259" t="s">
        <v>1332</v>
      </c>
      <c r="F1259" t="s">
        <v>8</v>
      </c>
      <c r="G1259" t="s">
        <v>910</v>
      </c>
      <c r="H1259" t="s">
        <v>233</v>
      </c>
      <c r="I1259" t="s">
        <v>1763</v>
      </c>
    </row>
    <row r="1260" spans="1:9" x14ac:dyDescent="0.25">
      <c r="A1260" t="s">
        <v>979</v>
      </c>
      <c r="B1260" t="s">
        <v>441</v>
      </c>
      <c r="C1260" t="s">
        <v>1191</v>
      </c>
      <c r="E1260" t="s">
        <v>1332</v>
      </c>
      <c r="F1260" t="s">
        <v>1323</v>
      </c>
      <c r="G1260" t="s">
        <v>910</v>
      </c>
      <c r="H1260" t="s">
        <v>233</v>
      </c>
      <c r="I1260" t="s">
        <v>1763</v>
      </c>
    </row>
    <row r="1261" spans="1:9" x14ac:dyDescent="0.25">
      <c r="A1261" t="s">
        <v>2727</v>
      </c>
      <c r="B1261" t="s">
        <v>465</v>
      </c>
      <c r="C1261" t="s">
        <v>1181</v>
      </c>
      <c r="D1261" t="s">
        <v>21</v>
      </c>
      <c r="E1261" t="s">
        <v>1381</v>
      </c>
      <c r="F1261" t="s">
        <v>1293</v>
      </c>
      <c r="G1261" t="s">
        <v>910</v>
      </c>
      <c r="H1261" t="s">
        <v>414</v>
      </c>
      <c r="I1261" t="s">
        <v>1887</v>
      </c>
    </row>
    <row r="1262" spans="1:9" x14ac:dyDescent="0.25">
      <c r="A1262" t="s">
        <v>2560</v>
      </c>
      <c r="B1262" t="s">
        <v>465</v>
      </c>
      <c r="C1262" t="s">
        <v>1181</v>
      </c>
      <c r="D1262" t="s">
        <v>21</v>
      </c>
      <c r="E1262" t="s">
        <v>1381</v>
      </c>
      <c r="F1262" t="s">
        <v>1229</v>
      </c>
      <c r="G1262" t="s">
        <v>910</v>
      </c>
      <c r="H1262" t="s">
        <v>414</v>
      </c>
      <c r="I1262" t="s">
        <v>1887</v>
      </c>
    </row>
    <row r="1263" spans="1:9" x14ac:dyDescent="0.25">
      <c r="A1263" t="s">
        <v>2687</v>
      </c>
      <c r="B1263" t="s">
        <v>465</v>
      </c>
      <c r="C1263" t="s">
        <v>1181</v>
      </c>
      <c r="D1263" t="s">
        <v>21</v>
      </c>
      <c r="E1263" t="s">
        <v>1381</v>
      </c>
      <c r="F1263" t="s">
        <v>8</v>
      </c>
      <c r="G1263" t="s">
        <v>910</v>
      </c>
      <c r="H1263" t="s">
        <v>414</v>
      </c>
      <c r="I1263" t="s">
        <v>1887</v>
      </c>
    </row>
    <row r="1264" spans="1:9" x14ac:dyDescent="0.25">
      <c r="A1264" t="s">
        <v>4107</v>
      </c>
      <c r="B1264" t="s">
        <v>465</v>
      </c>
      <c r="C1264" t="s">
        <v>1181</v>
      </c>
      <c r="D1264" t="s">
        <v>21</v>
      </c>
      <c r="E1264" t="s">
        <v>1381</v>
      </c>
      <c r="F1264" t="s">
        <v>1323</v>
      </c>
      <c r="G1264" t="s">
        <v>910</v>
      </c>
      <c r="H1264" t="s">
        <v>414</v>
      </c>
      <c r="I1264" t="s">
        <v>1887</v>
      </c>
    </row>
    <row r="1265" spans="1:9" x14ac:dyDescent="0.25">
      <c r="A1265" t="s">
        <v>1012</v>
      </c>
      <c r="B1265" t="s">
        <v>475</v>
      </c>
      <c r="C1265" t="s">
        <v>1186</v>
      </c>
      <c r="D1265" t="s">
        <v>21</v>
      </c>
      <c r="E1265" t="s">
        <v>1506</v>
      </c>
      <c r="F1265" t="s">
        <v>1229</v>
      </c>
      <c r="G1265" t="s">
        <v>910</v>
      </c>
      <c r="H1265" t="s">
        <v>476</v>
      </c>
      <c r="I1265" t="s">
        <v>2166</v>
      </c>
    </row>
    <row r="1266" spans="1:9" x14ac:dyDescent="0.25">
      <c r="A1266" t="s">
        <v>1176</v>
      </c>
      <c r="B1266" t="s">
        <v>475</v>
      </c>
      <c r="C1266" t="s">
        <v>1186</v>
      </c>
      <c r="D1266" t="s">
        <v>21</v>
      </c>
      <c r="E1266" t="s">
        <v>1506</v>
      </c>
      <c r="F1266" t="s">
        <v>8</v>
      </c>
      <c r="G1266" t="s">
        <v>910</v>
      </c>
      <c r="H1266" t="s">
        <v>476</v>
      </c>
      <c r="I1266" t="s">
        <v>2166</v>
      </c>
    </row>
    <row r="1267" spans="1:9" x14ac:dyDescent="0.25">
      <c r="A1267" t="s">
        <v>1013</v>
      </c>
      <c r="B1267" t="s">
        <v>475</v>
      </c>
      <c r="C1267" t="s">
        <v>1186</v>
      </c>
      <c r="D1267" t="s">
        <v>21</v>
      </c>
      <c r="E1267" t="s">
        <v>1506</v>
      </c>
      <c r="F1267" t="s">
        <v>1323</v>
      </c>
      <c r="G1267" t="s">
        <v>910</v>
      </c>
      <c r="H1267" t="s">
        <v>476</v>
      </c>
      <c r="I1267" t="s">
        <v>2166</v>
      </c>
    </row>
    <row r="1268" spans="1:9" x14ac:dyDescent="0.25">
      <c r="A1268" t="s">
        <v>4431</v>
      </c>
      <c r="B1268" t="s">
        <v>479</v>
      </c>
      <c r="C1268" t="s">
        <v>1180</v>
      </c>
      <c r="D1268" t="s">
        <v>21</v>
      </c>
      <c r="E1268" t="s">
        <v>1226</v>
      </c>
      <c r="F1268" t="s">
        <v>1229</v>
      </c>
      <c r="G1268" t="s">
        <v>910</v>
      </c>
      <c r="H1268" t="s">
        <v>770</v>
      </c>
      <c r="I1268" t="s">
        <v>1687</v>
      </c>
    </row>
    <row r="1269" spans="1:9" x14ac:dyDescent="0.25">
      <c r="A1269" t="s">
        <v>2600</v>
      </c>
      <c r="B1269" t="s">
        <v>479</v>
      </c>
      <c r="C1269" t="s">
        <v>1180</v>
      </c>
      <c r="D1269" t="s">
        <v>21</v>
      </c>
      <c r="E1269" t="s">
        <v>1226</v>
      </c>
      <c r="F1269" t="s">
        <v>8</v>
      </c>
      <c r="G1269" t="s">
        <v>910</v>
      </c>
      <c r="H1269" t="s">
        <v>770</v>
      </c>
      <c r="I1269" t="s">
        <v>1687</v>
      </c>
    </row>
    <row r="1270" spans="1:9" x14ac:dyDescent="0.25">
      <c r="A1270" t="s">
        <v>4311</v>
      </c>
      <c r="B1270" t="s">
        <v>479</v>
      </c>
      <c r="C1270" t="s">
        <v>1180</v>
      </c>
      <c r="D1270" t="s">
        <v>21</v>
      </c>
      <c r="E1270" t="s">
        <v>1226</v>
      </c>
      <c r="F1270" t="s">
        <v>1323</v>
      </c>
      <c r="G1270" t="s">
        <v>910</v>
      </c>
      <c r="H1270" t="s">
        <v>770</v>
      </c>
      <c r="I1270" t="s">
        <v>1687</v>
      </c>
    </row>
    <row r="1271" spans="1:9" x14ac:dyDescent="0.25">
      <c r="A1271" t="s">
        <v>4400</v>
      </c>
      <c r="B1271" t="s">
        <v>505</v>
      </c>
      <c r="C1271" t="s">
        <v>1191</v>
      </c>
      <c r="D1271" t="s">
        <v>27</v>
      </c>
      <c r="E1271" t="s">
        <v>1275</v>
      </c>
      <c r="F1271" t="s">
        <v>1229</v>
      </c>
      <c r="G1271" t="s">
        <v>910</v>
      </c>
      <c r="H1271" t="s">
        <v>523</v>
      </c>
      <c r="I1271" t="s">
        <v>1889</v>
      </c>
    </row>
    <row r="1272" spans="1:9" x14ac:dyDescent="0.25">
      <c r="A1272" t="s">
        <v>4310</v>
      </c>
      <c r="B1272" t="s">
        <v>505</v>
      </c>
      <c r="C1272" t="s">
        <v>1191</v>
      </c>
      <c r="D1272" t="s">
        <v>27</v>
      </c>
      <c r="E1272" t="s">
        <v>1275</v>
      </c>
      <c r="F1272" t="s">
        <v>8</v>
      </c>
      <c r="G1272" t="s">
        <v>910</v>
      </c>
      <c r="H1272" t="s">
        <v>523</v>
      </c>
      <c r="I1272" t="s">
        <v>1889</v>
      </c>
    </row>
    <row r="1273" spans="1:9" x14ac:dyDescent="0.25">
      <c r="A1273" t="s">
        <v>3380</v>
      </c>
      <c r="B1273" t="s">
        <v>505</v>
      </c>
      <c r="C1273" t="s">
        <v>1191</v>
      </c>
      <c r="D1273" t="s">
        <v>27</v>
      </c>
      <c r="E1273" t="s">
        <v>1275</v>
      </c>
      <c r="F1273" t="s">
        <v>1323</v>
      </c>
      <c r="G1273" t="s">
        <v>910</v>
      </c>
      <c r="H1273" t="s">
        <v>523</v>
      </c>
      <c r="I1273" t="s">
        <v>1889</v>
      </c>
    </row>
    <row r="1274" spans="1:9" x14ac:dyDescent="0.25">
      <c r="A1274" t="s">
        <v>2686</v>
      </c>
      <c r="B1274" t="s">
        <v>586</v>
      </c>
      <c r="C1274" t="s">
        <v>1191</v>
      </c>
      <c r="D1274" t="s">
        <v>84</v>
      </c>
      <c r="E1274" t="s">
        <v>1403</v>
      </c>
      <c r="F1274" t="s">
        <v>1251</v>
      </c>
      <c r="G1274" t="s">
        <v>900</v>
      </c>
      <c r="H1274" t="s">
        <v>589</v>
      </c>
      <c r="I1274" t="s">
        <v>1919</v>
      </c>
    </row>
    <row r="1275" spans="1:9" x14ac:dyDescent="0.25">
      <c r="A1275" t="s">
        <v>4309</v>
      </c>
      <c r="B1275" t="s">
        <v>586</v>
      </c>
      <c r="C1275" t="s">
        <v>1191</v>
      </c>
      <c r="D1275" t="s">
        <v>84</v>
      </c>
      <c r="E1275" t="s">
        <v>1403</v>
      </c>
      <c r="F1275" t="s">
        <v>8</v>
      </c>
      <c r="G1275" t="s">
        <v>900</v>
      </c>
      <c r="H1275" t="s">
        <v>589</v>
      </c>
      <c r="I1275" t="s">
        <v>1919</v>
      </c>
    </row>
    <row r="1276" spans="1:9" x14ac:dyDescent="0.25">
      <c r="A1276" t="s">
        <v>4106</v>
      </c>
      <c r="B1276" t="s">
        <v>586</v>
      </c>
      <c r="C1276" t="s">
        <v>1191</v>
      </c>
      <c r="D1276" t="s">
        <v>84</v>
      </c>
      <c r="E1276" t="s">
        <v>1403</v>
      </c>
      <c r="F1276" t="s">
        <v>1331</v>
      </c>
      <c r="G1276" t="s">
        <v>900</v>
      </c>
      <c r="H1276" t="s">
        <v>589</v>
      </c>
      <c r="I1276" t="s">
        <v>1919</v>
      </c>
    </row>
    <row r="1277" spans="1:9" x14ac:dyDescent="0.25">
      <c r="A1277" t="s">
        <v>3379</v>
      </c>
      <c r="B1277" t="s">
        <v>586</v>
      </c>
      <c r="C1277" t="s">
        <v>1191</v>
      </c>
      <c r="D1277" t="s">
        <v>84</v>
      </c>
      <c r="E1277" t="s">
        <v>1403</v>
      </c>
      <c r="F1277" t="s">
        <v>1323</v>
      </c>
      <c r="G1277" t="s">
        <v>900</v>
      </c>
      <c r="H1277" t="s">
        <v>589</v>
      </c>
      <c r="I1277" t="s">
        <v>1919</v>
      </c>
    </row>
    <row r="1278" spans="1:9" x14ac:dyDescent="0.25">
      <c r="A1278" t="s">
        <v>4247</v>
      </c>
      <c r="B1278" t="s">
        <v>586</v>
      </c>
      <c r="C1278" t="s">
        <v>1191</v>
      </c>
      <c r="D1278" t="s">
        <v>84</v>
      </c>
      <c r="E1278" t="s">
        <v>1403</v>
      </c>
      <c r="F1278" t="s">
        <v>1293</v>
      </c>
      <c r="G1278" t="s">
        <v>900</v>
      </c>
      <c r="H1278" t="s">
        <v>589</v>
      </c>
      <c r="I1278" t="s">
        <v>1919</v>
      </c>
    </row>
    <row r="1279" spans="1:9" x14ac:dyDescent="0.25">
      <c r="A1279" t="s">
        <v>4105</v>
      </c>
      <c r="B1279" t="s">
        <v>586</v>
      </c>
      <c r="C1279" t="s">
        <v>1180</v>
      </c>
      <c r="D1279" t="s">
        <v>1216</v>
      </c>
      <c r="E1279" t="s">
        <v>1358</v>
      </c>
      <c r="F1279" t="s">
        <v>1227</v>
      </c>
      <c r="G1279" t="s">
        <v>1228</v>
      </c>
      <c r="I1279" t="s">
        <v>1875</v>
      </c>
    </row>
    <row r="1280" spans="1:9" x14ac:dyDescent="0.25">
      <c r="A1280" t="s">
        <v>3378</v>
      </c>
      <c r="B1280" t="s">
        <v>586</v>
      </c>
      <c r="C1280" t="s">
        <v>1180</v>
      </c>
      <c r="D1280" t="s">
        <v>1216</v>
      </c>
      <c r="E1280" t="s">
        <v>1358</v>
      </c>
      <c r="F1280" t="s">
        <v>1227</v>
      </c>
      <c r="G1280" t="s">
        <v>1228</v>
      </c>
      <c r="I1280" t="s">
        <v>1875</v>
      </c>
    </row>
    <row r="1281" spans="1:9" x14ac:dyDescent="0.25">
      <c r="A1281" t="s">
        <v>2726</v>
      </c>
      <c r="B1281" t="s">
        <v>586</v>
      </c>
      <c r="C1281" t="s">
        <v>1180</v>
      </c>
      <c r="D1281" t="s">
        <v>1216</v>
      </c>
      <c r="E1281" t="s">
        <v>1358</v>
      </c>
      <c r="F1281" t="s">
        <v>1221</v>
      </c>
      <c r="G1281" t="s">
        <v>900</v>
      </c>
      <c r="I1281" t="s">
        <v>1875</v>
      </c>
    </row>
    <row r="1282" spans="1:9" x14ac:dyDescent="0.25">
      <c r="A1282" t="s">
        <v>3377</v>
      </c>
      <c r="B1282" t="s">
        <v>586</v>
      </c>
      <c r="C1282" t="s">
        <v>1180</v>
      </c>
      <c r="D1282" t="s">
        <v>1216</v>
      </c>
      <c r="E1282" t="s">
        <v>1358</v>
      </c>
      <c r="F1282" t="s">
        <v>1221</v>
      </c>
      <c r="G1282" t="s">
        <v>900</v>
      </c>
      <c r="I1282" t="s">
        <v>1875</v>
      </c>
    </row>
    <row r="1283" spans="1:9" x14ac:dyDescent="0.25">
      <c r="A1283" t="s">
        <v>2635</v>
      </c>
      <c r="B1283" t="s">
        <v>592</v>
      </c>
      <c r="C1283" t="s">
        <v>1191</v>
      </c>
      <c r="D1283" t="s">
        <v>56</v>
      </c>
      <c r="E1283" t="s">
        <v>1364</v>
      </c>
      <c r="F1283" t="s">
        <v>1229</v>
      </c>
      <c r="G1283" t="s">
        <v>910</v>
      </c>
      <c r="H1283" t="s">
        <v>523</v>
      </c>
      <c r="I1283" t="s">
        <v>473</v>
      </c>
    </row>
    <row r="1284" spans="1:9" x14ac:dyDescent="0.25">
      <c r="A1284" t="s">
        <v>2581</v>
      </c>
      <c r="B1284" t="s">
        <v>592</v>
      </c>
      <c r="C1284" t="s">
        <v>1191</v>
      </c>
      <c r="D1284" t="s">
        <v>56</v>
      </c>
      <c r="E1284" t="s">
        <v>1364</v>
      </c>
      <c r="F1284" t="s">
        <v>8</v>
      </c>
      <c r="G1284" t="s">
        <v>910</v>
      </c>
      <c r="H1284" t="s">
        <v>523</v>
      </c>
      <c r="I1284" t="s">
        <v>473</v>
      </c>
    </row>
    <row r="1285" spans="1:9" x14ac:dyDescent="0.25">
      <c r="A1285" t="s">
        <v>4308</v>
      </c>
      <c r="B1285" t="s">
        <v>592</v>
      </c>
      <c r="C1285" t="s">
        <v>1191</v>
      </c>
      <c r="D1285" t="s">
        <v>56</v>
      </c>
      <c r="E1285" t="s">
        <v>1364</v>
      </c>
      <c r="F1285" t="s">
        <v>1331</v>
      </c>
      <c r="G1285" t="s">
        <v>910</v>
      </c>
      <c r="H1285" t="s">
        <v>523</v>
      </c>
      <c r="I1285" t="s">
        <v>473</v>
      </c>
    </row>
    <row r="1286" spans="1:9" x14ac:dyDescent="0.25">
      <c r="A1286" t="s">
        <v>3376</v>
      </c>
      <c r="B1286" t="s">
        <v>592</v>
      </c>
      <c r="C1286" t="s">
        <v>1191</v>
      </c>
      <c r="D1286" t="s">
        <v>56</v>
      </c>
      <c r="E1286" t="s">
        <v>1364</v>
      </c>
      <c r="F1286" t="s">
        <v>1323</v>
      </c>
      <c r="G1286" t="s">
        <v>910</v>
      </c>
      <c r="H1286" t="s">
        <v>523</v>
      </c>
      <c r="I1286" t="s">
        <v>473</v>
      </c>
    </row>
    <row r="1287" spans="1:9" x14ac:dyDescent="0.25">
      <c r="A1287" t="s">
        <v>3375</v>
      </c>
      <c r="B1287" t="s">
        <v>592</v>
      </c>
      <c r="C1287" t="s">
        <v>1191</v>
      </c>
      <c r="D1287" t="s">
        <v>56</v>
      </c>
      <c r="E1287" t="s">
        <v>1364</v>
      </c>
      <c r="F1287" t="s">
        <v>1293</v>
      </c>
      <c r="G1287" t="s">
        <v>910</v>
      </c>
      <c r="H1287" t="s">
        <v>523</v>
      </c>
      <c r="I1287" t="s">
        <v>473</v>
      </c>
    </row>
    <row r="1288" spans="1:9" x14ac:dyDescent="0.25">
      <c r="A1288" t="s">
        <v>2624</v>
      </c>
      <c r="B1288" t="s">
        <v>641</v>
      </c>
      <c r="C1288" t="s">
        <v>1183</v>
      </c>
      <c r="D1288" t="s">
        <v>21</v>
      </c>
      <c r="E1288" t="s">
        <v>1234</v>
      </c>
      <c r="F1288" t="s">
        <v>1251</v>
      </c>
      <c r="G1288" t="s">
        <v>900</v>
      </c>
      <c r="H1288" t="s">
        <v>2623</v>
      </c>
      <c r="I1288" t="s">
        <v>1884</v>
      </c>
    </row>
    <row r="1289" spans="1:9" x14ac:dyDescent="0.25">
      <c r="A1289" t="s">
        <v>2622</v>
      </c>
      <c r="B1289" t="s">
        <v>641</v>
      </c>
      <c r="C1289" t="s">
        <v>1183</v>
      </c>
      <c r="D1289" t="s">
        <v>21</v>
      </c>
      <c r="E1289" t="s">
        <v>1234</v>
      </c>
      <c r="F1289" t="s">
        <v>8</v>
      </c>
      <c r="G1289" t="s">
        <v>900</v>
      </c>
      <c r="H1289" t="s">
        <v>2623</v>
      </c>
      <c r="I1289" t="s">
        <v>1884</v>
      </c>
    </row>
    <row r="1290" spans="1:9" x14ac:dyDescent="0.25">
      <c r="A1290" t="s">
        <v>4246</v>
      </c>
      <c r="B1290" t="s">
        <v>641</v>
      </c>
      <c r="C1290" t="s">
        <v>1183</v>
      </c>
      <c r="D1290" t="s">
        <v>21</v>
      </c>
      <c r="E1290" t="s">
        <v>1234</v>
      </c>
      <c r="F1290" t="s">
        <v>1323</v>
      </c>
      <c r="G1290" t="s">
        <v>900</v>
      </c>
      <c r="H1290" t="s">
        <v>2623</v>
      </c>
      <c r="I1290" t="s">
        <v>1884</v>
      </c>
    </row>
    <row r="1291" spans="1:9" x14ac:dyDescent="0.25">
      <c r="A1291" t="s">
        <v>2551</v>
      </c>
      <c r="B1291" t="s">
        <v>678</v>
      </c>
      <c r="C1291" t="s">
        <v>1191</v>
      </c>
      <c r="D1291" t="s">
        <v>27</v>
      </c>
      <c r="E1291" t="s">
        <v>1352</v>
      </c>
      <c r="F1291" t="s">
        <v>1229</v>
      </c>
      <c r="G1291" t="s">
        <v>910</v>
      </c>
      <c r="H1291" t="s">
        <v>150</v>
      </c>
      <c r="I1291" t="s">
        <v>1785</v>
      </c>
    </row>
    <row r="1292" spans="1:9" x14ac:dyDescent="0.25">
      <c r="A1292" t="s">
        <v>4399</v>
      </c>
      <c r="B1292" t="s">
        <v>678</v>
      </c>
      <c r="C1292" t="s">
        <v>1191</v>
      </c>
      <c r="D1292" t="s">
        <v>27</v>
      </c>
      <c r="E1292" t="s">
        <v>1352</v>
      </c>
      <c r="F1292" t="s">
        <v>8</v>
      </c>
      <c r="G1292" t="s">
        <v>910</v>
      </c>
      <c r="H1292" t="s">
        <v>150</v>
      </c>
      <c r="I1292" t="s">
        <v>1785</v>
      </c>
    </row>
    <row r="1293" spans="1:9" x14ac:dyDescent="0.25">
      <c r="A1293" t="s">
        <v>4307</v>
      </c>
      <c r="B1293" t="s">
        <v>678</v>
      </c>
      <c r="C1293" t="s">
        <v>1191</v>
      </c>
      <c r="D1293" t="s">
        <v>27</v>
      </c>
      <c r="E1293" t="s">
        <v>1352</v>
      </c>
      <c r="F1293" t="s">
        <v>1323</v>
      </c>
      <c r="G1293" t="s">
        <v>910</v>
      </c>
      <c r="H1293" t="s">
        <v>150</v>
      </c>
      <c r="I1293" t="s">
        <v>1785</v>
      </c>
    </row>
    <row r="1294" spans="1:9" x14ac:dyDescent="0.25">
      <c r="A1294" t="s">
        <v>4245</v>
      </c>
      <c r="B1294" t="s">
        <v>678</v>
      </c>
      <c r="C1294" t="s">
        <v>1191</v>
      </c>
      <c r="D1294" t="s">
        <v>27</v>
      </c>
      <c r="E1294" t="s">
        <v>1352</v>
      </c>
      <c r="F1294" t="s">
        <v>1293</v>
      </c>
      <c r="G1294" t="s">
        <v>910</v>
      </c>
      <c r="H1294" t="s">
        <v>150</v>
      </c>
      <c r="I1294" t="s">
        <v>1785</v>
      </c>
    </row>
    <row r="1295" spans="1:9" x14ac:dyDescent="0.25">
      <c r="A1295" t="s">
        <v>2725</v>
      </c>
      <c r="B1295" t="s">
        <v>741</v>
      </c>
      <c r="C1295" t="s">
        <v>1180</v>
      </c>
      <c r="D1295" t="s">
        <v>1216</v>
      </c>
      <c r="E1295" t="s">
        <v>1326</v>
      </c>
      <c r="F1295" t="s">
        <v>1227</v>
      </c>
      <c r="G1295" t="s">
        <v>1228</v>
      </c>
      <c r="I1295" t="s">
        <v>1755</v>
      </c>
    </row>
    <row r="1296" spans="1:9" x14ac:dyDescent="0.25">
      <c r="A1296" t="s">
        <v>3374</v>
      </c>
      <c r="B1296" t="s">
        <v>741</v>
      </c>
      <c r="C1296" t="s">
        <v>1180</v>
      </c>
      <c r="D1296" t="s">
        <v>1216</v>
      </c>
      <c r="E1296" t="s">
        <v>1326</v>
      </c>
      <c r="F1296" t="s">
        <v>1227</v>
      </c>
      <c r="G1296" t="s">
        <v>1228</v>
      </c>
      <c r="I1296" t="s">
        <v>1755</v>
      </c>
    </row>
    <row r="1297" spans="1:9" x14ac:dyDescent="0.25">
      <c r="A1297" t="s">
        <v>2685</v>
      </c>
      <c r="B1297" t="s">
        <v>741</v>
      </c>
      <c r="C1297" t="s">
        <v>1180</v>
      </c>
      <c r="D1297" t="s">
        <v>1216</v>
      </c>
      <c r="E1297" t="s">
        <v>1326</v>
      </c>
      <c r="F1297" t="s">
        <v>1221</v>
      </c>
      <c r="G1297" t="s">
        <v>900</v>
      </c>
      <c r="I1297" t="s">
        <v>1755</v>
      </c>
    </row>
    <row r="1298" spans="1:9" x14ac:dyDescent="0.25">
      <c r="A1298" t="s">
        <v>3373</v>
      </c>
      <c r="B1298" t="s">
        <v>741</v>
      </c>
      <c r="C1298" t="s">
        <v>1180</v>
      </c>
      <c r="D1298" t="s">
        <v>1216</v>
      </c>
      <c r="E1298" t="s">
        <v>1326</v>
      </c>
      <c r="F1298" t="s">
        <v>1221</v>
      </c>
      <c r="G1298" t="s">
        <v>900</v>
      </c>
      <c r="I1298" t="s">
        <v>1755</v>
      </c>
    </row>
    <row r="1299" spans="1:9" x14ac:dyDescent="0.25">
      <c r="A1299" t="s">
        <v>2621</v>
      </c>
      <c r="B1299" t="s">
        <v>822</v>
      </c>
      <c r="C1299" t="s">
        <v>1191</v>
      </c>
      <c r="D1299" t="s">
        <v>197</v>
      </c>
      <c r="E1299" t="s">
        <v>1307</v>
      </c>
      <c r="F1299" t="s">
        <v>1229</v>
      </c>
      <c r="G1299" t="s">
        <v>910</v>
      </c>
      <c r="H1299" t="s">
        <v>159</v>
      </c>
      <c r="I1299" t="s">
        <v>1734</v>
      </c>
    </row>
    <row r="1300" spans="1:9" x14ac:dyDescent="0.25">
      <c r="A1300" t="s">
        <v>2620</v>
      </c>
      <c r="B1300" t="s">
        <v>822</v>
      </c>
      <c r="C1300" t="s">
        <v>1191</v>
      </c>
      <c r="D1300" t="s">
        <v>197</v>
      </c>
      <c r="E1300" t="s">
        <v>1307</v>
      </c>
      <c r="F1300" t="s">
        <v>8</v>
      </c>
      <c r="G1300" t="s">
        <v>910</v>
      </c>
      <c r="H1300" t="s">
        <v>159</v>
      </c>
      <c r="I1300" t="s">
        <v>1734</v>
      </c>
    </row>
    <row r="1301" spans="1:9" x14ac:dyDescent="0.25">
      <c r="A1301" t="s">
        <v>3802</v>
      </c>
      <c r="B1301" t="s">
        <v>822</v>
      </c>
      <c r="C1301" t="s">
        <v>1191</v>
      </c>
      <c r="D1301" t="s">
        <v>197</v>
      </c>
      <c r="E1301" t="s">
        <v>1307</v>
      </c>
      <c r="F1301" t="s">
        <v>1323</v>
      </c>
      <c r="G1301" t="s">
        <v>910</v>
      </c>
      <c r="H1301" t="s">
        <v>159</v>
      </c>
      <c r="I1301" t="s">
        <v>1734</v>
      </c>
    </row>
    <row r="1302" spans="1:9" x14ac:dyDescent="0.25">
      <c r="A1302" t="s">
        <v>920</v>
      </c>
      <c r="B1302" t="s">
        <v>54</v>
      </c>
      <c r="C1302" t="s">
        <v>1198</v>
      </c>
      <c r="D1302" t="s">
        <v>56</v>
      </c>
      <c r="E1302" t="s">
        <v>1310</v>
      </c>
      <c r="F1302" t="s">
        <v>1229</v>
      </c>
      <c r="G1302" t="s">
        <v>910</v>
      </c>
      <c r="H1302" t="s">
        <v>58</v>
      </c>
      <c r="I1302" t="s">
        <v>1741</v>
      </c>
    </row>
    <row r="1303" spans="1:9" x14ac:dyDescent="0.25">
      <c r="A1303" t="s">
        <v>1161</v>
      </c>
      <c r="B1303" t="s">
        <v>54</v>
      </c>
      <c r="C1303" t="s">
        <v>1198</v>
      </c>
      <c r="D1303" t="s">
        <v>56</v>
      </c>
      <c r="E1303" t="s">
        <v>1310</v>
      </c>
      <c r="F1303" t="s">
        <v>8</v>
      </c>
      <c r="G1303" t="s">
        <v>910</v>
      </c>
      <c r="H1303" t="s">
        <v>58</v>
      </c>
      <c r="I1303" t="s">
        <v>1741</v>
      </c>
    </row>
    <row r="1304" spans="1:9" x14ac:dyDescent="0.25">
      <c r="A1304" t="s">
        <v>977</v>
      </c>
      <c r="B1304" t="s">
        <v>54</v>
      </c>
      <c r="C1304" t="s">
        <v>1198</v>
      </c>
      <c r="D1304" t="s">
        <v>56</v>
      </c>
      <c r="E1304" t="s">
        <v>1310</v>
      </c>
      <c r="F1304" t="s">
        <v>1323</v>
      </c>
      <c r="G1304" t="s">
        <v>910</v>
      </c>
      <c r="H1304" t="s">
        <v>58</v>
      </c>
      <c r="I1304" t="s">
        <v>1741</v>
      </c>
    </row>
    <row r="1305" spans="1:9" x14ac:dyDescent="0.25">
      <c r="A1305" t="s">
        <v>2566</v>
      </c>
      <c r="B1305" t="s">
        <v>202</v>
      </c>
      <c r="C1305" t="s">
        <v>1198</v>
      </c>
      <c r="D1305" t="s">
        <v>203</v>
      </c>
      <c r="E1305" t="s">
        <v>1242</v>
      </c>
      <c r="F1305" t="s">
        <v>1229</v>
      </c>
      <c r="G1305" t="s">
        <v>910</v>
      </c>
      <c r="H1305" t="s">
        <v>2567</v>
      </c>
      <c r="I1305" t="s">
        <v>1726</v>
      </c>
    </row>
    <row r="1306" spans="1:9" x14ac:dyDescent="0.25">
      <c r="A1306" t="s">
        <v>2599</v>
      </c>
      <c r="B1306" t="s">
        <v>202</v>
      </c>
      <c r="C1306" t="s">
        <v>1198</v>
      </c>
      <c r="D1306" t="s">
        <v>203</v>
      </c>
      <c r="E1306" t="s">
        <v>1242</v>
      </c>
      <c r="F1306" t="s">
        <v>8</v>
      </c>
      <c r="G1306" t="s">
        <v>910</v>
      </c>
      <c r="H1306" t="s">
        <v>2567</v>
      </c>
      <c r="I1306" t="s">
        <v>1726</v>
      </c>
    </row>
    <row r="1307" spans="1:9" x14ac:dyDescent="0.25">
      <c r="A1307" t="s">
        <v>3797</v>
      </c>
      <c r="B1307" t="s">
        <v>202</v>
      </c>
      <c r="C1307" t="s">
        <v>1198</v>
      </c>
      <c r="D1307" t="s">
        <v>203</v>
      </c>
      <c r="E1307" t="s">
        <v>1242</v>
      </c>
      <c r="F1307" t="s">
        <v>1323</v>
      </c>
      <c r="G1307" t="s">
        <v>910</v>
      </c>
      <c r="H1307" t="s">
        <v>2567</v>
      </c>
      <c r="I1307" t="s">
        <v>1726</v>
      </c>
    </row>
    <row r="1308" spans="1:9" x14ac:dyDescent="0.25">
      <c r="A1308" t="s">
        <v>923</v>
      </c>
      <c r="B1308" t="s">
        <v>202</v>
      </c>
      <c r="C1308" t="s">
        <v>1198</v>
      </c>
      <c r="D1308" t="s">
        <v>203</v>
      </c>
      <c r="E1308" t="s">
        <v>1242</v>
      </c>
      <c r="F1308" t="s">
        <v>1229</v>
      </c>
      <c r="G1308" t="s">
        <v>910</v>
      </c>
      <c r="H1308" t="s">
        <v>2567</v>
      </c>
      <c r="I1308" t="s">
        <v>1726</v>
      </c>
    </row>
    <row r="1309" spans="1:9" x14ac:dyDescent="0.25">
      <c r="A1309" t="s">
        <v>922</v>
      </c>
      <c r="B1309" t="s">
        <v>202</v>
      </c>
      <c r="C1309" t="s">
        <v>1198</v>
      </c>
      <c r="D1309" t="s">
        <v>203</v>
      </c>
      <c r="E1309" t="s">
        <v>1242</v>
      </c>
      <c r="F1309" t="s">
        <v>8</v>
      </c>
      <c r="G1309" t="s">
        <v>910</v>
      </c>
      <c r="H1309" t="s">
        <v>2567</v>
      </c>
      <c r="I1309" t="s">
        <v>1726</v>
      </c>
    </row>
    <row r="1310" spans="1:9" x14ac:dyDescent="0.25">
      <c r="A1310" t="s">
        <v>931</v>
      </c>
      <c r="B1310" t="s">
        <v>202</v>
      </c>
      <c r="C1310" t="s">
        <v>1198</v>
      </c>
      <c r="D1310" t="s">
        <v>203</v>
      </c>
      <c r="E1310" t="s">
        <v>1242</v>
      </c>
      <c r="F1310" t="s">
        <v>1323</v>
      </c>
      <c r="G1310" t="s">
        <v>910</v>
      </c>
      <c r="H1310" t="s">
        <v>2567</v>
      </c>
      <c r="I1310" t="s">
        <v>1726</v>
      </c>
    </row>
    <row r="1311" spans="1:9" x14ac:dyDescent="0.25">
      <c r="A1311" t="s">
        <v>4104</v>
      </c>
      <c r="B1311" t="s">
        <v>290</v>
      </c>
      <c r="C1311" t="s">
        <v>1185</v>
      </c>
      <c r="D1311" t="s">
        <v>15</v>
      </c>
      <c r="E1311" t="s">
        <v>1341</v>
      </c>
      <c r="F1311" t="s">
        <v>1331</v>
      </c>
      <c r="G1311" t="s">
        <v>900</v>
      </c>
      <c r="H1311" t="s">
        <v>28</v>
      </c>
      <c r="I1311" t="s">
        <v>300</v>
      </c>
    </row>
    <row r="1312" spans="1:9" x14ac:dyDescent="0.25">
      <c r="A1312" t="s">
        <v>2724</v>
      </c>
      <c r="B1312" t="s">
        <v>290</v>
      </c>
      <c r="C1312" t="s">
        <v>1185</v>
      </c>
      <c r="D1312" t="s">
        <v>15</v>
      </c>
      <c r="E1312" t="s">
        <v>1341</v>
      </c>
      <c r="F1312" t="s">
        <v>1293</v>
      </c>
      <c r="G1312" t="s">
        <v>900</v>
      </c>
      <c r="H1312" t="s">
        <v>28</v>
      </c>
      <c r="I1312" t="s">
        <v>300</v>
      </c>
    </row>
    <row r="1313" spans="1:9" x14ac:dyDescent="0.25">
      <c r="A1313" t="s">
        <v>2633</v>
      </c>
      <c r="B1313" t="s">
        <v>290</v>
      </c>
      <c r="C1313" t="s">
        <v>1185</v>
      </c>
      <c r="D1313" t="s">
        <v>15</v>
      </c>
      <c r="E1313" t="s">
        <v>1341</v>
      </c>
      <c r="F1313" t="s">
        <v>1251</v>
      </c>
      <c r="G1313" t="s">
        <v>900</v>
      </c>
      <c r="H1313" t="s">
        <v>28</v>
      </c>
      <c r="I1313" t="s">
        <v>300</v>
      </c>
    </row>
    <row r="1314" spans="1:9" x14ac:dyDescent="0.25">
      <c r="A1314" t="s">
        <v>2568</v>
      </c>
      <c r="B1314" t="s">
        <v>290</v>
      </c>
      <c r="C1314" t="s">
        <v>1185</v>
      </c>
      <c r="D1314" t="s">
        <v>15</v>
      </c>
      <c r="E1314" t="s">
        <v>1341</v>
      </c>
      <c r="F1314" t="s">
        <v>8</v>
      </c>
      <c r="G1314" t="s">
        <v>900</v>
      </c>
      <c r="H1314" t="s">
        <v>28</v>
      </c>
      <c r="I1314" t="s">
        <v>300</v>
      </c>
    </row>
    <row r="1315" spans="1:9" x14ac:dyDescent="0.25">
      <c r="A1315" t="s">
        <v>4103</v>
      </c>
      <c r="B1315" t="s">
        <v>290</v>
      </c>
      <c r="C1315" t="s">
        <v>1185</v>
      </c>
      <c r="D1315" t="s">
        <v>15</v>
      </c>
      <c r="E1315" t="s">
        <v>1341</v>
      </c>
      <c r="F1315" t="s">
        <v>1323</v>
      </c>
      <c r="G1315" t="s">
        <v>900</v>
      </c>
      <c r="H1315" t="s">
        <v>28</v>
      </c>
      <c r="I1315" t="s">
        <v>300</v>
      </c>
    </row>
    <row r="1316" spans="1:9" x14ac:dyDescent="0.25">
      <c r="A1316" t="s">
        <v>3800</v>
      </c>
      <c r="B1316" t="s">
        <v>315</v>
      </c>
      <c r="C1316" t="s">
        <v>1192</v>
      </c>
      <c r="D1316" t="s">
        <v>84</v>
      </c>
      <c r="E1316" t="s">
        <v>1351</v>
      </c>
      <c r="F1316" t="s">
        <v>1331</v>
      </c>
      <c r="G1316" t="s">
        <v>900</v>
      </c>
      <c r="H1316" t="s">
        <v>327</v>
      </c>
      <c r="I1316" t="s">
        <v>328</v>
      </c>
    </row>
    <row r="1317" spans="1:9" x14ac:dyDescent="0.25">
      <c r="A1317" t="s">
        <v>4244</v>
      </c>
      <c r="B1317" t="s">
        <v>315</v>
      </c>
      <c r="C1317" t="s">
        <v>1192</v>
      </c>
      <c r="D1317" t="s">
        <v>84</v>
      </c>
      <c r="E1317" t="s">
        <v>1351</v>
      </c>
      <c r="F1317" t="s">
        <v>1293</v>
      </c>
      <c r="G1317" t="s">
        <v>900</v>
      </c>
      <c r="H1317" t="s">
        <v>327</v>
      </c>
      <c r="I1317" t="s">
        <v>328</v>
      </c>
    </row>
    <row r="1318" spans="1:9" x14ac:dyDescent="0.25">
      <c r="A1318" t="s">
        <v>4398</v>
      </c>
      <c r="B1318" t="s">
        <v>315</v>
      </c>
      <c r="C1318" t="s">
        <v>1192</v>
      </c>
      <c r="D1318" t="s">
        <v>84</v>
      </c>
      <c r="E1318" t="s">
        <v>1351</v>
      </c>
      <c r="F1318" t="s">
        <v>1251</v>
      </c>
      <c r="G1318" t="s">
        <v>900</v>
      </c>
      <c r="H1318" t="s">
        <v>327</v>
      </c>
      <c r="I1318" t="s">
        <v>328</v>
      </c>
    </row>
    <row r="1319" spans="1:9" x14ac:dyDescent="0.25">
      <c r="A1319" t="s">
        <v>4397</v>
      </c>
      <c r="B1319" t="s">
        <v>315</v>
      </c>
      <c r="C1319" t="s">
        <v>1192</v>
      </c>
      <c r="D1319" t="s">
        <v>84</v>
      </c>
      <c r="E1319" t="s">
        <v>1351</v>
      </c>
      <c r="F1319" t="s">
        <v>8</v>
      </c>
      <c r="G1319" t="s">
        <v>900</v>
      </c>
      <c r="H1319" t="s">
        <v>327</v>
      </c>
      <c r="I1319" t="s">
        <v>328</v>
      </c>
    </row>
    <row r="1320" spans="1:9" x14ac:dyDescent="0.25">
      <c r="A1320" t="s">
        <v>3799</v>
      </c>
      <c r="B1320" t="s">
        <v>315</v>
      </c>
      <c r="C1320" t="s">
        <v>1192</v>
      </c>
      <c r="D1320" t="s">
        <v>84</v>
      </c>
      <c r="E1320" t="s">
        <v>1351</v>
      </c>
      <c r="F1320" t="s">
        <v>1323</v>
      </c>
      <c r="G1320" t="s">
        <v>900</v>
      </c>
      <c r="H1320" t="s">
        <v>327</v>
      </c>
      <c r="I1320" t="s">
        <v>328</v>
      </c>
    </row>
    <row r="1321" spans="1:9" x14ac:dyDescent="0.25">
      <c r="A1321" t="s">
        <v>2723</v>
      </c>
      <c r="B1321" t="s">
        <v>348</v>
      </c>
      <c r="C1321" t="s">
        <v>1192</v>
      </c>
      <c r="D1321" t="s">
        <v>15</v>
      </c>
      <c r="E1321" t="s">
        <v>1351</v>
      </c>
      <c r="F1321" t="s">
        <v>1293</v>
      </c>
      <c r="G1321" t="s">
        <v>900</v>
      </c>
      <c r="H1321" t="s">
        <v>356</v>
      </c>
      <c r="I1321" t="s">
        <v>1844</v>
      </c>
    </row>
    <row r="1322" spans="1:9" x14ac:dyDescent="0.25">
      <c r="A1322" t="s">
        <v>2618</v>
      </c>
      <c r="B1322" t="s">
        <v>348</v>
      </c>
      <c r="C1322" t="s">
        <v>1192</v>
      </c>
      <c r="D1322" t="s">
        <v>15</v>
      </c>
      <c r="E1322" t="s">
        <v>1351</v>
      </c>
      <c r="F1322" t="s">
        <v>1251</v>
      </c>
      <c r="G1322" t="s">
        <v>900</v>
      </c>
      <c r="H1322" t="s">
        <v>356</v>
      </c>
      <c r="I1322" t="s">
        <v>1844</v>
      </c>
    </row>
    <row r="1323" spans="1:9" x14ac:dyDescent="0.25">
      <c r="A1323" t="s">
        <v>2632</v>
      </c>
      <c r="B1323" t="s">
        <v>348</v>
      </c>
      <c r="C1323" t="s">
        <v>1192</v>
      </c>
      <c r="D1323" t="s">
        <v>15</v>
      </c>
      <c r="E1323" t="s">
        <v>1351</v>
      </c>
      <c r="F1323" t="s">
        <v>8</v>
      </c>
      <c r="G1323" t="s">
        <v>900</v>
      </c>
      <c r="H1323" t="s">
        <v>356</v>
      </c>
      <c r="I1323" t="s">
        <v>1844</v>
      </c>
    </row>
    <row r="1324" spans="1:9" x14ac:dyDescent="0.25">
      <c r="A1324" t="s">
        <v>4306</v>
      </c>
      <c r="B1324" t="s">
        <v>348</v>
      </c>
      <c r="C1324" t="s">
        <v>1192</v>
      </c>
      <c r="D1324" t="s">
        <v>15</v>
      </c>
      <c r="E1324" t="s">
        <v>1351</v>
      </c>
      <c r="F1324" t="s">
        <v>1331</v>
      </c>
      <c r="G1324" t="s">
        <v>900</v>
      </c>
      <c r="H1324" t="s">
        <v>356</v>
      </c>
      <c r="I1324" t="s">
        <v>1844</v>
      </c>
    </row>
    <row r="1325" spans="1:9" x14ac:dyDescent="0.25">
      <c r="A1325" t="s">
        <v>3798</v>
      </c>
      <c r="B1325" t="s">
        <v>348</v>
      </c>
      <c r="C1325" t="s">
        <v>1192</v>
      </c>
      <c r="D1325" t="s">
        <v>15</v>
      </c>
      <c r="E1325" t="s">
        <v>1351</v>
      </c>
      <c r="F1325" t="s">
        <v>1323</v>
      </c>
      <c r="G1325" t="s">
        <v>900</v>
      </c>
      <c r="H1325" t="s">
        <v>356</v>
      </c>
      <c r="I1325" t="s">
        <v>1844</v>
      </c>
    </row>
    <row r="1326" spans="1:9" x14ac:dyDescent="0.25">
      <c r="A1326" t="s">
        <v>2617</v>
      </c>
      <c r="B1326" t="s">
        <v>586</v>
      </c>
      <c r="C1326" t="s">
        <v>1191</v>
      </c>
      <c r="D1326" t="s">
        <v>318</v>
      </c>
      <c r="E1326" t="s">
        <v>1265</v>
      </c>
      <c r="F1326" t="s">
        <v>1227</v>
      </c>
      <c r="G1326" t="s">
        <v>900</v>
      </c>
      <c r="H1326" t="s">
        <v>388</v>
      </c>
      <c r="I1326" t="s">
        <v>1671</v>
      </c>
    </row>
    <row r="1327" spans="1:9" x14ac:dyDescent="0.25">
      <c r="A1327" t="s">
        <v>4498</v>
      </c>
      <c r="B1327" t="s">
        <v>586</v>
      </c>
      <c r="C1327" t="s">
        <v>1191</v>
      </c>
      <c r="D1327" t="s">
        <v>318</v>
      </c>
      <c r="E1327" t="s">
        <v>1265</v>
      </c>
      <c r="F1327" t="s">
        <v>1221</v>
      </c>
      <c r="G1327" t="s">
        <v>900</v>
      </c>
      <c r="H1327" t="s">
        <v>388</v>
      </c>
      <c r="I1327" t="s">
        <v>1671</v>
      </c>
    </row>
    <row r="1328" spans="1:9" x14ac:dyDescent="0.25">
      <c r="A1328" t="s">
        <v>4102</v>
      </c>
      <c r="B1328" t="s">
        <v>132</v>
      </c>
      <c r="C1328" t="s">
        <v>1180</v>
      </c>
      <c r="D1328" t="s">
        <v>75</v>
      </c>
      <c r="E1328" t="s">
        <v>1358</v>
      </c>
      <c r="F1328" t="s">
        <v>1229</v>
      </c>
      <c r="G1328" t="s">
        <v>910</v>
      </c>
      <c r="H1328" t="s">
        <v>140</v>
      </c>
      <c r="I1328" t="s">
        <v>1809</v>
      </c>
    </row>
    <row r="1329" spans="1:9" x14ac:dyDescent="0.25">
      <c r="A1329" t="s">
        <v>2722</v>
      </c>
      <c r="B1329" t="s">
        <v>132</v>
      </c>
      <c r="C1329" t="s">
        <v>1180</v>
      </c>
      <c r="D1329" t="s">
        <v>75</v>
      </c>
      <c r="E1329" t="s">
        <v>1358</v>
      </c>
      <c r="F1329" t="s">
        <v>8</v>
      </c>
      <c r="G1329" t="s">
        <v>910</v>
      </c>
      <c r="H1329" t="s">
        <v>140</v>
      </c>
      <c r="I1329" t="s">
        <v>1809</v>
      </c>
    </row>
    <row r="1330" spans="1:9" x14ac:dyDescent="0.25">
      <c r="A1330" t="s">
        <v>4101</v>
      </c>
      <c r="B1330" t="s">
        <v>132</v>
      </c>
      <c r="C1330" t="s">
        <v>1180</v>
      </c>
      <c r="D1330" t="s">
        <v>75</v>
      </c>
      <c r="E1330" t="s">
        <v>1358</v>
      </c>
      <c r="F1330" t="s">
        <v>1323</v>
      </c>
      <c r="G1330" t="s">
        <v>900</v>
      </c>
      <c r="H1330" t="s">
        <v>140</v>
      </c>
      <c r="I1330" t="s">
        <v>1809</v>
      </c>
    </row>
    <row r="1331" spans="1:9" x14ac:dyDescent="0.25">
      <c r="A1331" t="s">
        <v>2631</v>
      </c>
      <c r="B1331" t="s">
        <v>202</v>
      </c>
      <c r="C1331" t="s">
        <v>1198</v>
      </c>
      <c r="D1331" t="s">
        <v>75</v>
      </c>
      <c r="E1331" t="s">
        <v>1242</v>
      </c>
      <c r="F1331" t="s">
        <v>1229</v>
      </c>
      <c r="G1331" t="s">
        <v>910</v>
      </c>
      <c r="H1331" t="s">
        <v>207</v>
      </c>
      <c r="I1331" t="s">
        <v>1752</v>
      </c>
    </row>
    <row r="1332" spans="1:9" x14ac:dyDescent="0.25">
      <c r="A1332" t="s">
        <v>2630</v>
      </c>
      <c r="B1332" t="s">
        <v>202</v>
      </c>
      <c r="C1332" t="s">
        <v>1198</v>
      </c>
      <c r="D1332" t="s">
        <v>75</v>
      </c>
      <c r="E1332" t="s">
        <v>1242</v>
      </c>
      <c r="F1332" t="s">
        <v>8</v>
      </c>
      <c r="G1332" t="s">
        <v>910</v>
      </c>
      <c r="H1332" t="s">
        <v>207</v>
      </c>
      <c r="I1332" t="s">
        <v>1752</v>
      </c>
    </row>
    <row r="1333" spans="1:9" x14ac:dyDescent="0.25">
      <c r="A1333" t="s">
        <v>3796</v>
      </c>
      <c r="B1333" t="s">
        <v>202</v>
      </c>
      <c r="C1333" t="s">
        <v>1198</v>
      </c>
      <c r="D1333" t="s">
        <v>75</v>
      </c>
      <c r="E1333" t="s">
        <v>1242</v>
      </c>
      <c r="F1333" t="s">
        <v>1323</v>
      </c>
      <c r="G1333" t="s">
        <v>900</v>
      </c>
      <c r="H1333" t="s">
        <v>207</v>
      </c>
      <c r="I1333" t="s">
        <v>1752</v>
      </c>
    </row>
    <row r="1334" spans="1:9" x14ac:dyDescent="0.25">
      <c r="A1334" t="s">
        <v>928</v>
      </c>
      <c r="B1334" t="s">
        <v>202</v>
      </c>
      <c r="C1334" t="s">
        <v>1198</v>
      </c>
      <c r="D1334" t="s">
        <v>75</v>
      </c>
      <c r="E1334" t="s">
        <v>1242</v>
      </c>
      <c r="F1334" t="s">
        <v>1229</v>
      </c>
      <c r="G1334" t="s">
        <v>910</v>
      </c>
      <c r="H1334" t="s">
        <v>207</v>
      </c>
      <c r="I1334" t="s">
        <v>1752</v>
      </c>
    </row>
    <row r="1335" spans="1:9" x14ac:dyDescent="0.25">
      <c r="A1335" t="s">
        <v>929</v>
      </c>
      <c r="B1335" t="s">
        <v>202</v>
      </c>
      <c r="C1335" t="s">
        <v>1198</v>
      </c>
      <c r="D1335" t="s">
        <v>75</v>
      </c>
      <c r="E1335" t="s">
        <v>1242</v>
      </c>
      <c r="F1335" t="s">
        <v>8</v>
      </c>
      <c r="G1335" t="s">
        <v>910</v>
      </c>
      <c r="H1335" t="s">
        <v>207</v>
      </c>
      <c r="I1335" t="s">
        <v>1752</v>
      </c>
    </row>
    <row r="1336" spans="1:9" x14ac:dyDescent="0.25">
      <c r="A1336" t="s">
        <v>930</v>
      </c>
      <c r="B1336" t="s">
        <v>202</v>
      </c>
      <c r="C1336" t="s">
        <v>1198</v>
      </c>
      <c r="D1336" t="s">
        <v>75</v>
      </c>
      <c r="E1336" t="s">
        <v>1242</v>
      </c>
      <c r="F1336" t="s">
        <v>1323</v>
      </c>
      <c r="G1336" t="s">
        <v>900</v>
      </c>
      <c r="H1336" t="s">
        <v>207</v>
      </c>
      <c r="I1336" t="s">
        <v>1752</v>
      </c>
    </row>
    <row r="1337" spans="1:9" x14ac:dyDescent="0.25">
      <c r="A1337" t="s">
        <v>2616</v>
      </c>
      <c r="B1337" t="s">
        <v>664</v>
      </c>
      <c r="C1337" t="s">
        <v>1181</v>
      </c>
      <c r="D1337" t="s">
        <v>1216</v>
      </c>
      <c r="E1337" t="s">
        <v>1476</v>
      </c>
      <c r="F1337" t="s">
        <v>1229</v>
      </c>
      <c r="G1337" t="s">
        <v>910</v>
      </c>
      <c r="H1337" t="s">
        <v>675</v>
      </c>
      <c r="I1337" t="s">
        <v>2083</v>
      </c>
    </row>
    <row r="1338" spans="1:9" x14ac:dyDescent="0.25">
      <c r="A1338" t="s">
        <v>2684</v>
      </c>
      <c r="B1338" t="s">
        <v>664</v>
      </c>
      <c r="C1338" t="s">
        <v>1181</v>
      </c>
      <c r="D1338" t="s">
        <v>1216</v>
      </c>
      <c r="E1338" t="s">
        <v>1476</v>
      </c>
      <c r="F1338" t="s">
        <v>8</v>
      </c>
      <c r="G1338" t="s">
        <v>910</v>
      </c>
      <c r="H1338" t="s">
        <v>675</v>
      </c>
      <c r="I1338" t="s">
        <v>2083</v>
      </c>
    </row>
    <row r="1339" spans="1:9" x14ac:dyDescent="0.25">
      <c r="A1339" t="s">
        <v>4100</v>
      </c>
      <c r="B1339" t="s">
        <v>664</v>
      </c>
      <c r="C1339" t="s">
        <v>1181</v>
      </c>
      <c r="D1339" t="s">
        <v>1216</v>
      </c>
      <c r="E1339" t="s">
        <v>1476</v>
      </c>
      <c r="F1339" t="s">
        <v>1323</v>
      </c>
      <c r="G1339" t="s">
        <v>910</v>
      </c>
      <c r="H1339" t="s">
        <v>675</v>
      </c>
      <c r="I1339" t="s">
        <v>2083</v>
      </c>
    </row>
    <row r="1340" spans="1:9" x14ac:dyDescent="0.25">
      <c r="A1340" t="s">
        <v>3795</v>
      </c>
      <c r="B1340" t="s">
        <v>592</v>
      </c>
      <c r="C1340" t="s">
        <v>1191</v>
      </c>
      <c r="D1340" t="s">
        <v>318</v>
      </c>
      <c r="F1340" t="s">
        <v>1286</v>
      </c>
      <c r="G1340" t="s">
        <v>900</v>
      </c>
      <c r="H1340" t="s">
        <v>395</v>
      </c>
      <c r="I1340" t="s">
        <v>2294</v>
      </c>
    </row>
    <row r="1341" spans="1:9" x14ac:dyDescent="0.25">
      <c r="A1341" t="s">
        <v>3794</v>
      </c>
      <c r="B1341" t="s">
        <v>592</v>
      </c>
      <c r="C1341" t="s">
        <v>1191</v>
      </c>
      <c r="D1341" t="s">
        <v>318</v>
      </c>
      <c r="F1341" t="s">
        <v>1227</v>
      </c>
      <c r="G1341" t="s">
        <v>1228</v>
      </c>
      <c r="H1341" t="s">
        <v>395</v>
      </c>
      <c r="I1341" t="s">
        <v>2294</v>
      </c>
    </row>
    <row r="1342" spans="1:9" x14ac:dyDescent="0.25">
      <c r="A1342" t="s">
        <v>3793</v>
      </c>
      <c r="B1342" t="s">
        <v>592</v>
      </c>
      <c r="C1342" t="s">
        <v>1191</v>
      </c>
      <c r="D1342" t="s">
        <v>318</v>
      </c>
      <c r="F1342" t="s">
        <v>1221</v>
      </c>
      <c r="G1342" t="s">
        <v>900</v>
      </c>
      <c r="H1342" t="s">
        <v>395</v>
      </c>
      <c r="I1342" t="s">
        <v>2294</v>
      </c>
    </row>
    <row r="1343" spans="1:9" x14ac:dyDescent="0.25">
      <c r="A1343" t="s">
        <v>3792</v>
      </c>
      <c r="B1343" t="s">
        <v>926</v>
      </c>
      <c r="C1343" t="s">
        <v>1188</v>
      </c>
      <c r="D1343" t="s">
        <v>1215</v>
      </c>
      <c r="F1343" t="s">
        <v>1227</v>
      </c>
      <c r="G1343" t="s">
        <v>1228</v>
      </c>
      <c r="H1343" t="s">
        <v>388</v>
      </c>
      <c r="I1343" t="s">
        <v>2285</v>
      </c>
    </row>
    <row r="1344" spans="1:9" x14ac:dyDescent="0.25">
      <c r="A1344" t="s">
        <v>3406</v>
      </c>
      <c r="B1344" t="s">
        <v>526</v>
      </c>
      <c r="C1344" t="s">
        <v>1211</v>
      </c>
      <c r="D1344" t="s">
        <v>318</v>
      </c>
      <c r="F1344" t="s">
        <v>1227</v>
      </c>
      <c r="G1344" t="s">
        <v>1228</v>
      </c>
      <c r="H1344" t="s">
        <v>100</v>
      </c>
      <c r="I1344" t="s">
        <v>3407</v>
      </c>
    </row>
    <row r="1345" spans="1:9" x14ac:dyDescent="0.25">
      <c r="A1345" t="s">
        <v>4099</v>
      </c>
      <c r="B1345" t="s">
        <v>678</v>
      </c>
      <c r="C1345" t="s">
        <v>1211</v>
      </c>
      <c r="D1345" t="s">
        <v>84</v>
      </c>
      <c r="F1345" t="s">
        <v>1221</v>
      </c>
      <c r="G1345" t="s">
        <v>900</v>
      </c>
      <c r="H1345" t="s">
        <v>312</v>
      </c>
      <c r="I1345" t="s">
        <v>2046</v>
      </c>
    </row>
    <row r="1346" spans="1:9" x14ac:dyDescent="0.25">
      <c r="A1346" t="s">
        <v>4098</v>
      </c>
      <c r="B1346" t="s">
        <v>592</v>
      </c>
      <c r="C1346" t="s">
        <v>1188</v>
      </c>
      <c r="D1346" t="s">
        <v>1219</v>
      </c>
      <c r="F1346" t="s">
        <v>1221</v>
      </c>
      <c r="G1346" t="s">
        <v>900</v>
      </c>
      <c r="H1346" t="s">
        <v>1305</v>
      </c>
      <c r="I1346" t="s">
        <v>2047</v>
      </c>
    </row>
    <row r="1347" spans="1:9" x14ac:dyDescent="0.25">
      <c r="A1347" t="s">
        <v>3791</v>
      </c>
      <c r="B1347" t="s">
        <v>61</v>
      </c>
      <c r="C1347" t="s">
        <v>1180</v>
      </c>
      <c r="D1347" t="s">
        <v>62</v>
      </c>
      <c r="E1347" t="s">
        <v>1250</v>
      </c>
      <c r="F1347" t="s">
        <v>1293</v>
      </c>
      <c r="G1347" t="s">
        <v>910</v>
      </c>
      <c r="H1347" t="s">
        <v>308</v>
      </c>
      <c r="I1347" t="s">
        <v>1815</v>
      </c>
    </row>
    <row r="1348" spans="1:9" x14ac:dyDescent="0.25">
      <c r="A1348" t="s">
        <v>3041</v>
      </c>
      <c r="B1348" t="s">
        <v>3042</v>
      </c>
      <c r="C1348" t="s">
        <v>1184</v>
      </c>
      <c r="D1348" t="s">
        <v>27</v>
      </c>
      <c r="E1348" t="s">
        <v>1300</v>
      </c>
      <c r="F1348" t="s">
        <v>1293</v>
      </c>
      <c r="G1348" t="s">
        <v>900</v>
      </c>
      <c r="H1348" t="s">
        <v>1349</v>
      </c>
      <c r="I1348" t="s">
        <v>446</v>
      </c>
    </row>
    <row r="1349" spans="1:9" x14ac:dyDescent="0.25">
      <c r="A1349" t="s">
        <v>2862</v>
      </c>
      <c r="B1349" t="s">
        <v>148</v>
      </c>
      <c r="C1349" t="s">
        <v>1183</v>
      </c>
      <c r="D1349" t="s">
        <v>27</v>
      </c>
      <c r="E1349" t="s">
        <v>1271</v>
      </c>
      <c r="F1349" t="s">
        <v>1293</v>
      </c>
      <c r="G1349" t="s">
        <v>910</v>
      </c>
      <c r="H1349" t="s">
        <v>2863</v>
      </c>
      <c r="I1349" t="s">
        <v>1992</v>
      </c>
    </row>
    <row r="1350" spans="1:9" x14ac:dyDescent="0.25">
      <c r="A1350" t="s">
        <v>3790</v>
      </c>
      <c r="B1350" t="s">
        <v>148</v>
      </c>
      <c r="C1350" t="s">
        <v>1180</v>
      </c>
      <c r="D1350" t="s">
        <v>15</v>
      </c>
      <c r="E1350" t="s">
        <v>1271</v>
      </c>
      <c r="F1350" t="s">
        <v>1293</v>
      </c>
      <c r="G1350" t="s">
        <v>910</v>
      </c>
      <c r="H1350" t="s">
        <v>513</v>
      </c>
      <c r="I1350" t="s">
        <v>1993</v>
      </c>
    </row>
    <row r="1351" spans="1:9" x14ac:dyDescent="0.25">
      <c r="A1351" t="s">
        <v>3039</v>
      </c>
      <c r="B1351" t="s">
        <v>3040</v>
      </c>
      <c r="C1351" t="s">
        <v>1187</v>
      </c>
      <c r="D1351" t="s">
        <v>84</v>
      </c>
      <c r="E1351" t="s">
        <v>1222</v>
      </c>
      <c r="F1351" t="s">
        <v>1293</v>
      </c>
      <c r="G1351" t="s">
        <v>900</v>
      </c>
      <c r="H1351" t="s">
        <v>28</v>
      </c>
      <c r="I1351" t="s">
        <v>723</v>
      </c>
    </row>
    <row r="1352" spans="1:9" x14ac:dyDescent="0.25">
      <c r="A1352" t="s">
        <v>4243</v>
      </c>
      <c r="B1352" t="s">
        <v>241</v>
      </c>
      <c r="C1352" t="s">
        <v>1180</v>
      </c>
      <c r="D1352" t="s">
        <v>27</v>
      </c>
      <c r="E1352" t="s">
        <v>1224</v>
      </c>
      <c r="F1352" t="s">
        <v>1293</v>
      </c>
      <c r="G1352" t="s">
        <v>910</v>
      </c>
      <c r="H1352" t="s">
        <v>480</v>
      </c>
      <c r="I1352" t="s">
        <v>2112</v>
      </c>
    </row>
    <row r="1353" spans="1:9" x14ac:dyDescent="0.25">
      <c r="A1353" t="s">
        <v>3038</v>
      </c>
      <c r="B1353" t="s">
        <v>241</v>
      </c>
      <c r="C1353" t="s">
        <v>1180</v>
      </c>
      <c r="D1353" t="s">
        <v>27</v>
      </c>
      <c r="E1353" t="s">
        <v>1224</v>
      </c>
      <c r="F1353" t="s">
        <v>1293</v>
      </c>
      <c r="G1353" t="s">
        <v>910</v>
      </c>
      <c r="H1353" t="s">
        <v>1490</v>
      </c>
      <c r="I1353" t="s">
        <v>2112</v>
      </c>
    </row>
    <row r="1354" spans="1:9" x14ac:dyDescent="0.25">
      <c r="A1354" t="s">
        <v>2778</v>
      </c>
      <c r="B1354" t="s">
        <v>245</v>
      </c>
      <c r="C1354" t="s">
        <v>1180</v>
      </c>
      <c r="D1354" t="s">
        <v>15</v>
      </c>
      <c r="E1354" t="s">
        <v>1242</v>
      </c>
      <c r="F1354" t="s">
        <v>1293</v>
      </c>
      <c r="G1354" t="s">
        <v>900</v>
      </c>
      <c r="H1354" t="s">
        <v>1537</v>
      </c>
      <c r="I1354" t="s">
        <v>2432</v>
      </c>
    </row>
    <row r="1355" spans="1:9" x14ac:dyDescent="0.25">
      <c r="A1355" t="s">
        <v>2683</v>
      </c>
      <c r="B1355" t="s">
        <v>249</v>
      </c>
      <c r="C1355" t="s">
        <v>1193</v>
      </c>
      <c r="D1355" t="s">
        <v>84</v>
      </c>
      <c r="E1355" t="s">
        <v>1224</v>
      </c>
      <c r="F1355" t="s">
        <v>1293</v>
      </c>
      <c r="G1355" t="s">
        <v>900</v>
      </c>
      <c r="H1355" t="s">
        <v>37</v>
      </c>
      <c r="I1355" t="s">
        <v>723</v>
      </c>
    </row>
    <row r="1356" spans="1:9" x14ac:dyDescent="0.25">
      <c r="A1356" t="s">
        <v>3405</v>
      </c>
      <c r="B1356" t="s">
        <v>263</v>
      </c>
      <c r="C1356" t="s">
        <v>1180</v>
      </c>
      <c r="E1356" t="s">
        <v>1233</v>
      </c>
      <c r="F1356" t="s">
        <v>1293</v>
      </c>
      <c r="G1356" t="s">
        <v>910</v>
      </c>
      <c r="H1356" t="s">
        <v>330</v>
      </c>
      <c r="I1356" t="s">
        <v>2261</v>
      </c>
    </row>
    <row r="1357" spans="1:9" x14ac:dyDescent="0.25">
      <c r="A1357" t="s">
        <v>2776</v>
      </c>
      <c r="B1357" t="s">
        <v>2777</v>
      </c>
      <c r="C1357" t="s">
        <v>1187</v>
      </c>
      <c r="D1357" t="s">
        <v>84</v>
      </c>
      <c r="E1357" t="s">
        <v>1271</v>
      </c>
      <c r="F1357" t="s">
        <v>1293</v>
      </c>
      <c r="G1357" t="s">
        <v>900</v>
      </c>
      <c r="H1357" t="s">
        <v>334</v>
      </c>
      <c r="I1357" t="s">
        <v>1742</v>
      </c>
    </row>
    <row r="1358" spans="1:9" x14ac:dyDescent="0.25">
      <c r="A1358" t="s">
        <v>3404</v>
      </c>
      <c r="B1358" t="s">
        <v>315</v>
      </c>
      <c r="C1358" t="s">
        <v>1192</v>
      </c>
      <c r="D1358" t="s">
        <v>84</v>
      </c>
      <c r="E1358" t="s">
        <v>1268</v>
      </c>
      <c r="F1358" t="s">
        <v>1293</v>
      </c>
      <c r="G1358" t="s">
        <v>900</v>
      </c>
      <c r="H1358" t="s">
        <v>321</v>
      </c>
      <c r="I1358" t="s">
        <v>1971</v>
      </c>
    </row>
    <row r="1359" spans="1:9" x14ac:dyDescent="0.25">
      <c r="A1359" t="s">
        <v>3037</v>
      </c>
      <c r="B1359" t="s">
        <v>337</v>
      </c>
      <c r="C1359" t="s">
        <v>1192</v>
      </c>
      <c r="D1359" t="s">
        <v>84</v>
      </c>
      <c r="E1359" t="s">
        <v>1284</v>
      </c>
      <c r="F1359" t="s">
        <v>1293</v>
      </c>
      <c r="G1359" t="s">
        <v>900</v>
      </c>
      <c r="H1359" t="s">
        <v>37</v>
      </c>
      <c r="I1359" t="s">
        <v>1876</v>
      </c>
    </row>
    <row r="1360" spans="1:9" x14ac:dyDescent="0.25">
      <c r="A1360" t="s">
        <v>3403</v>
      </c>
      <c r="B1360" t="s">
        <v>378</v>
      </c>
      <c r="C1360" t="s">
        <v>1187</v>
      </c>
      <c r="D1360" t="s">
        <v>62</v>
      </c>
      <c r="E1360" t="s">
        <v>1282</v>
      </c>
      <c r="F1360" t="s">
        <v>1293</v>
      </c>
      <c r="G1360" t="s">
        <v>900</v>
      </c>
      <c r="H1360" t="s">
        <v>1257</v>
      </c>
      <c r="I1360" t="s">
        <v>1962</v>
      </c>
    </row>
    <row r="1361" spans="1:9" x14ac:dyDescent="0.25">
      <c r="A1361" t="s">
        <v>3402</v>
      </c>
      <c r="B1361" t="s">
        <v>378</v>
      </c>
      <c r="C1361" t="s">
        <v>1187</v>
      </c>
      <c r="D1361" t="s">
        <v>62</v>
      </c>
      <c r="E1361" t="s">
        <v>1282</v>
      </c>
      <c r="F1361" t="s">
        <v>1293</v>
      </c>
      <c r="G1361" t="s">
        <v>900</v>
      </c>
      <c r="H1361" t="s">
        <v>1555</v>
      </c>
      <c r="I1361" t="s">
        <v>1962</v>
      </c>
    </row>
    <row r="1362" spans="1:9" x14ac:dyDescent="0.25">
      <c r="A1362" t="s">
        <v>3401</v>
      </c>
      <c r="B1362" t="s">
        <v>378</v>
      </c>
      <c r="C1362" t="s">
        <v>1187</v>
      </c>
      <c r="D1362" t="s">
        <v>62</v>
      </c>
      <c r="E1362" t="s">
        <v>1282</v>
      </c>
      <c r="F1362" t="s">
        <v>1293</v>
      </c>
      <c r="G1362" t="s">
        <v>900</v>
      </c>
      <c r="H1362" t="s">
        <v>1555</v>
      </c>
      <c r="I1362" t="s">
        <v>1962</v>
      </c>
    </row>
    <row r="1363" spans="1:9" x14ac:dyDescent="0.25">
      <c r="A1363" t="s">
        <v>3399</v>
      </c>
      <c r="B1363" t="s">
        <v>441</v>
      </c>
      <c r="C1363" t="s">
        <v>1180</v>
      </c>
      <c r="D1363" t="s">
        <v>15</v>
      </c>
      <c r="E1363" t="s">
        <v>1231</v>
      </c>
      <c r="F1363" t="s">
        <v>1293</v>
      </c>
      <c r="G1363" t="s">
        <v>910</v>
      </c>
      <c r="H1363" t="s">
        <v>1401</v>
      </c>
      <c r="I1363" t="s">
        <v>3400</v>
      </c>
    </row>
    <row r="1364" spans="1:9" x14ac:dyDescent="0.25">
      <c r="A1364" t="s">
        <v>3398</v>
      </c>
      <c r="B1364" t="s">
        <v>479</v>
      </c>
      <c r="C1364" t="s">
        <v>1180</v>
      </c>
      <c r="D1364" t="s">
        <v>27</v>
      </c>
      <c r="E1364" t="s">
        <v>1271</v>
      </c>
      <c r="F1364" t="s">
        <v>1293</v>
      </c>
      <c r="G1364" t="s">
        <v>910</v>
      </c>
      <c r="H1364" t="s">
        <v>1345</v>
      </c>
      <c r="I1364" t="s">
        <v>1774</v>
      </c>
    </row>
    <row r="1365" spans="1:9" x14ac:dyDescent="0.25">
      <c r="A1365" t="s">
        <v>3036</v>
      </c>
      <c r="B1365" t="s">
        <v>479</v>
      </c>
      <c r="C1365" t="s">
        <v>1180</v>
      </c>
      <c r="D1365" t="s">
        <v>27</v>
      </c>
      <c r="E1365" t="s">
        <v>1271</v>
      </c>
      <c r="F1365" t="s">
        <v>1293</v>
      </c>
      <c r="G1365" t="s">
        <v>910</v>
      </c>
      <c r="H1365" t="s">
        <v>1489</v>
      </c>
      <c r="I1365" t="s">
        <v>1774</v>
      </c>
    </row>
    <row r="1366" spans="1:9" x14ac:dyDescent="0.25">
      <c r="A1366" t="s">
        <v>3035</v>
      </c>
      <c r="B1366" t="s">
        <v>505</v>
      </c>
      <c r="C1366" t="s">
        <v>1186</v>
      </c>
      <c r="D1366" t="s">
        <v>15</v>
      </c>
      <c r="E1366" t="s">
        <v>1284</v>
      </c>
      <c r="F1366" t="s">
        <v>1293</v>
      </c>
      <c r="G1366" t="s">
        <v>910</v>
      </c>
      <c r="H1366" t="s">
        <v>545</v>
      </c>
      <c r="I1366" t="s">
        <v>2251</v>
      </c>
    </row>
    <row r="1367" spans="1:9" x14ac:dyDescent="0.25">
      <c r="A1367" t="s">
        <v>4242</v>
      </c>
      <c r="B1367" t="s">
        <v>548</v>
      </c>
      <c r="C1367" t="s">
        <v>1180</v>
      </c>
      <c r="D1367" t="s">
        <v>56</v>
      </c>
      <c r="E1367" t="s">
        <v>1354</v>
      </c>
      <c r="F1367" t="s">
        <v>1293</v>
      </c>
      <c r="G1367" t="s">
        <v>910</v>
      </c>
      <c r="H1367" t="s">
        <v>278</v>
      </c>
      <c r="I1367" t="s">
        <v>1851</v>
      </c>
    </row>
    <row r="1368" spans="1:9" x14ac:dyDescent="0.25">
      <c r="A1368" t="s">
        <v>3029</v>
      </c>
      <c r="B1368" t="s">
        <v>572</v>
      </c>
      <c r="C1368" t="s">
        <v>1180</v>
      </c>
      <c r="D1368" t="s">
        <v>1436</v>
      </c>
      <c r="E1368" t="s">
        <v>1288</v>
      </c>
      <c r="F1368" t="s">
        <v>1293</v>
      </c>
      <c r="G1368" t="s">
        <v>910</v>
      </c>
      <c r="H1368" t="s">
        <v>423</v>
      </c>
      <c r="I1368" t="s">
        <v>2016</v>
      </c>
    </row>
    <row r="1369" spans="1:9" x14ac:dyDescent="0.25">
      <c r="A1369" t="s">
        <v>3397</v>
      </c>
      <c r="B1369" t="s">
        <v>586</v>
      </c>
      <c r="C1369" t="s">
        <v>1180</v>
      </c>
      <c r="D1369" t="s">
        <v>1215</v>
      </c>
      <c r="E1369" t="s">
        <v>1250</v>
      </c>
      <c r="F1369" t="s">
        <v>1293</v>
      </c>
      <c r="G1369" t="s">
        <v>900</v>
      </c>
    </row>
    <row r="1370" spans="1:9" x14ac:dyDescent="0.25">
      <c r="A1370" t="s">
        <v>4241</v>
      </c>
      <c r="B1370" t="s">
        <v>592</v>
      </c>
      <c r="C1370" t="s">
        <v>1191</v>
      </c>
      <c r="D1370" t="s">
        <v>62</v>
      </c>
      <c r="E1370" t="s">
        <v>1242</v>
      </c>
      <c r="F1370" t="s">
        <v>1293</v>
      </c>
      <c r="G1370" t="s">
        <v>910</v>
      </c>
      <c r="H1370" t="s">
        <v>549</v>
      </c>
      <c r="I1370" t="s">
        <v>2260</v>
      </c>
    </row>
    <row r="1371" spans="1:9" x14ac:dyDescent="0.25">
      <c r="A1371" t="s">
        <v>4240</v>
      </c>
      <c r="B1371" t="s">
        <v>592</v>
      </c>
      <c r="C1371" t="s">
        <v>1183</v>
      </c>
      <c r="D1371" t="s">
        <v>62</v>
      </c>
      <c r="E1371" t="s">
        <v>1271</v>
      </c>
      <c r="F1371" t="s">
        <v>1293</v>
      </c>
      <c r="G1371" t="s">
        <v>900</v>
      </c>
      <c r="H1371" t="s">
        <v>1263</v>
      </c>
      <c r="I1371" t="s">
        <v>1988</v>
      </c>
    </row>
    <row r="1372" spans="1:9" x14ac:dyDescent="0.25">
      <c r="A1372" t="s">
        <v>2860</v>
      </c>
      <c r="B1372" t="s">
        <v>664</v>
      </c>
      <c r="C1372" t="s">
        <v>1181</v>
      </c>
      <c r="D1372" t="s">
        <v>1436</v>
      </c>
      <c r="E1372" t="s">
        <v>1308</v>
      </c>
      <c r="F1372" t="s">
        <v>1293</v>
      </c>
      <c r="G1372" t="s">
        <v>910</v>
      </c>
      <c r="H1372" t="s">
        <v>2861</v>
      </c>
      <c r="I1372" t="s">
        <v>1994</v>
      </c>
    </row>
    <row r="1373" spans="1:9" x14ac:dyDescent="0.25">
      <c r="A1373" t="s">
        <v>3396</v>
      </c>
      <c r="B1373" t="s">
        <v>678</v>
      </c>
      <c r="C1373" t="s">
        <v>1191</v>
      </c>
      <c r="D1373" t="s">
        <v>62</v>
      </c>
      <c r="E1373" t="s">
        <v>1233</v>
      </c>
      <c r="F1373" t="s">
        <v>1293</v>
      </c>
      <c r="G1373" t="s">
        <v>910</v>
      </c>
      <c r="H1373" t="s">
        <v>1369</v>
      </c>
      <c r="I1373" t="s">
        <v>1816</v>
      </c>
    </row>
    <row r="1374" spans="1:9" x14ac:dyDescent="0.25">
      <c r="A1374" t="s">
        <v>3034</v>
      </c>
      <c r="B1374" t="s">
        <v>678</v>
      </c>
      <c r="C1374" t="s">
        <v>1191</v>
      </c>
      <c r="D1374" t="s">
        <v>15</v>
      </c>
      <c r="E1374" t="s">
        <v>1252</v>
      </c>
      <c r="F1374" t="s">
        <v>1293</v>
      </c>
      <c r="G1374" t="s">
        <v>910</v>
      </c>
      <c r="H1374" t="s">
        <v>1280</v>
      </c>
      <c r="I1374" t="s">
        <v>2308</v>
      </c>
    </row>
    <row r="1375" spans="1:9" x14ac:dyDescent="0.25">
      <c r="A1375" t="s">
        <v>2866</v>
      </c>
      <c r="B1375" t="s">
        <v>678</v>
      </c>
      <c r="C1375" t="s">
        <v>1183</v>
      </c>
      <c r="D1375" t="s">
        <v>1215</v>
      </c>
      <c r="E1375" t="s">
        <v>1242</v>
      </c>
      <c r="F1375" t="s">
        <v>1293</v>
      </c>
      <c r="G1375" t="s">
        <v>900</v>
      </c>
      <c r="H1375" t="s">
        <v>1263</v>
      </c>
      <c r="I1375" t="s">
        <v>1806</v>
      </c>
    </row>
    <row r="1376" spans="1:9" x14ac:dyDescent="0.25">
      <c r="A1376" t="s">
        <v>3395</v>
      </c>
      <c r="B1376" t="s">
        <v>678</v>
      </c>
      <c r="C1376" t="s">
        <v>1180</v>
      </c>
      <c r="D1376" t="s">
        <v>62</v>
      </c>
      <c r="E1376" t="s">
        <v>1250</v>
      </c>
      <c r="F1376" t="s">
        <v>1293</v>
      </c>
      <c r="G1376" t="s">
        <v>910</v>
      </c>
      <c r="H1376" t="s">
        <v>722</v>
      </c>
      <c r="I1376" t="s">
        <v>1970</v>
      </c>
    </row>
    <row r="1377" spans="1:9" x14ac:dyDescent="0.25">
      <c r="A1377" t="s">
        <v>3033</v>
      </c>
      <c r="B1377" t="s">
        <v>711</v>
      </c>
      <c r="C1377" t="s">
        <v>1182</v>
      </c>
      <c r="D1377" t="s">
        <v>62</v>
      </c>
      <c r="E1377" t="s">
        <v>1284</v>
      </c>
      <c r="F1377" t="s">
        <v>1293</v>
      </c>
      <c r="G1377" t="s">
        <v>900</v>
      </c>
      <c r="H1377" t="s">
        <v>45</v>
      </c>
      <c r="I1377" t="s">
        <v>2011</v>
      </c>
    </row>
    <row r="1378" spans="1:9" x14ac:dyDescent="0.25">
      <c r="A1378" t="s">
        <v>3394</v>
      </c>
      <c r="B1378" t="s">
        <v>711</v>
      </c>
      <c r="C1378" t="s">
        <v>1182</v>
      </c>
      <c r="D1378" t="s">
        <v>62</v>
      </c>
      <c r="E1378" t="s">
        <v>1284</v>
      </c>
      <c r="F1378" t="s">
        <v>1293</v>
      </c>
      <c r="G1378" t="s">
        <v>900</v>
      </c>
      <c r="H1378" t="s">
        <v>722</v>
      </c>
      <c r="I1378" t="s">
        <v>2011</v>
      </c>
    </row>
    <row r="1379" spans="1:9" x14ac:dyDescent="0.25">
      <c r="A1379" t="s">
        <v>3032</v>
      </c>
      <c r="B1379" t="s">
        <v>725</v>
      </c>
      <c r="C1379" t="s">
        <v>1184</v>
      </c>
      <c r="D1379" t="s">
        <v>84</v>
      </c>
      <c r="E1379" t="s">
        <v>1268</v>
      </c>
      <c r="F1379" t="s">
        <v>1293</v>
      </c>
      <c r="G1379" t="s">
        <v>900</v>
      </c>
      <c r="H1379" t="s">
        <v>33</v>
      </c>
      <c r="I1379" t="s">
        <v>1825</v>
      </c>
    </row>
    <row r="1380" spans="1:9" x14ac:dyDescent="0.25">
      <c r="A1380" t="s">
        <v>2864</v>
      </c>
      <c r="B1380" t="s">
        <v>749</v>
      </c>
      <c r="C1380" t="s">
        <v>1180</v>
      </c>
      <c r="D1380" t="s">
        <v>27</v>
      </c>
      <c r="E1380" t="s">
        <v>1226</v>
      </c>
      <c r="F1380" t="s">
        <v>1293</v>
      </c>
      <c r="G1380" t="s">
        <v>910</v>
      </c>
      <c r="H1380" t="s">
        <v>2865</v>
      </c>
      <c r="I1380" t="s">
        <v>2327</v>
      </c>
    </row>
    <row r="1381" spans="1:9" x14ac:dyDescent="0.25">
      <c r="A1381" t="s">
        <v>3031</v>
      </c>
      <c r="B1381" t="s">
        <v>773</v>
      </c>
      <c r="C1381" t="s">
        <v>1184</v>
      </c>
      <c r="D1381" t="s">
        <v>84</v>
      </c>
      <c r="E1381" t="s">
        <v>1271</v>
      </c>
      <c r="F1381" t="s">
        <v>1293</v>
      </c>
      <c r="G1381" t="s">
        <v>910</v>
      </c>
      <c r="H1381" t="s">
        <v>399</v>
      </c>
      <c r="I1381" t="s">
        <v>1775</v>
      </c>
    </row>
    <row r="1382" spans="1:9" x14ac:dyDescent="0.25">
      <c r="A1382" t="s">
        <v>3030</v>
      </c>
      <c r="B1382" t="s">
        <v>773</v>
      </c>
      <c r="C1382" t="s">
        <v>1184</v>
      </c>
      <c r="D1382" t="s">
        <v>84</v>
      </c>
      <c r="E1382" t="s">
        <v>1271</v>
      </c>
      <c r="F1382" t="s">
        <v>1293</v>
      </c>
      <c r="G1382" t="s">
        <v>910</v>
      </c>
      <c r="H1382" t="s">
        <v>399</v>
      </c>
      <c r="I1382" t="s">
        <v>1775</v>
      </c>
    </row>
    <row r="1383" spans="1:9" x14ac:dyDescent="0.25">
      <c r="A1383" t="s">
        <v>2628</v>
      </c>
      <c r="B1383" t="s">
        <v>2629</v>
      </c>
      <c r="C1383" t="s">
        <v>1182</v>
      </c>
      <c r="D1383" t="s">
        <v>27</v>
      </c>
      <c r="E1383" t="s">
        <v>1268</v>
      </c>
      <c r="F1383" t="s">
        <v>1293</v>
      </c>
      <c r="G1383" t="s">
        <v>910</v>
      </c>
      <c r="H1383" t="s">
        <v>765</v>
      </c>
      <c r="I1383" t="s">
        <v>1860</v>
      </c>
    </row>
    <row r="1384" spans="1:9" x14ac:dyDescent="0.25">
      <c r="A1384" t="s">
        <v>3393</v>
      </c>
      <c r="B1384" t="s">
        <v>2629</v>
      </c>
      <c r="C1384" t="s">
        <v>1182</v>
      </c>
      <c r="D1384" t="s">
        <v>27</v>
      </c>
      <c r="E1384" t="s">
        <v>1268</v>
      </c>
      <c r="F1384" t="s">
        <v>1293</v>
      </c>
      <c r="G1384" t="s">
        <v>910</v>
      </c>
      <c r="H1384" t="s">
        <v>2623</v>
      </c>
      <c r="I1384" t="s">
        <v>1860</v>
      </c>
    </row>
    <row r="1385" spans="1:9" x14ac:dyDescent="0.25">
      <c r="A1385" t="s">
        <v>3392</v>
      </c>
      <c r="B1385" t="s">
        <v>2653</v>
      </c>
      <c r="C1385" t="s">
        <v>1184</v>
      </c>
      <c r="D1385" t="s">
        <v>62</v>
      </c>
      <c r="E1385" t="s">
        <v>1271</v>
      </c>
      <c r="F1385" t="s">
        <v>1293</v>
      </c>
      <c r="G1385" t="s">
        <v>910</v>
      </c>
      <c r="H1385" t="s">
        <v>33</v>
      </c>
      <c r="I1385" t="s">
        <v>1829</v>
      </c>
    </row>
    <row r="1386" spans="1:9" x14ac:dyDescent="0.25">
      <c r="A1386" t="s">
        <v>3390</v>
      </c>
      <c r="B1386" t="s">
        <v>822</v>
      </c>
      <c r="C1386" t="s">
        <v>1191</v>
      </c>
      <c r="D1386" t="s">
        <v>15</v>
      </c>
      <c r="E1386" t="s">
        <v>1231</v>
      </c>
      <c r="F1386" t="s">
        <v>1293</v>
      </c>
      <c r="G1386" t="s">
        <v>910</v>
      </c>
      <c r="H1386" t="s">
        <v>111</v>
      </c>
      <c r="I1386" t="s">
        <v>3391</v>
      </c>
    </row>
    <row r="1387" spans="1:9" x14ac:dyDescent="0.25">
      <c r="A1387" t="s">
        <v>3389</v>
      </c>
      <c r="B1387" t="s">
        <v>822</v>
      </c>
      <c r="C1387" t="s">
        <v>1180</v>
      </c>
      <c r="D1387" t="s">
        <v>62</v>
      </c>
      <c r="E1387" t="s">
        <v>1242</v>
      </c>
      <c r="F1387" t="s">
        <v>1293</v>
      </c>
      <c r="G1387" t="s">
        <v>910</v>
      </c>
      <c r="H1387" t="s">
        <v>1433</v>
      </c>
      <c r="I1387" t="s">
        <v>1988</v>
      </c>
    </row>
    <row r="1388" spans="1:9" x14ac:dyDescent="0.25">
      <c r="A1388" t="s">
        <v>2559</v>
      </c>
      <c r="B1388" t="s">
        <v>2529</v>
      </c>
      <c r="C1388" t="s">
        <v>1181</v>
      </c>
      <c r="D1388" t="s">
        <v>84</v>
      </c>
      <c r="E1388" t="s">
        <v>1269</v>
      </c>
      <c r="F1388" t="s">
        <v>1221</v>
      </c>
      <c r="G1388" t="s">
        <v>900</v>
      </c>
      <c r="H1388" t="s">
        <v>1270</v>
      </c>
      <c r="I1388" t="s">
        <v>1677</v>
      </c>
    </row>
    <row r="1389" spans="1:9" x14ac:dyDescent="0.25">
      <c r="A1389" t="s">
        <v>2558</v>
      </c>
      <c r="B1389" t="s">
        <v>245</v>
      </c>
      <c r="C1389" t="s">
        <v>1187</v>
      </c>
      <c r="D1389" t="s">
        <v>1217</v>
      </c>
      <c r="E1389" t="s">
        <v>1272</v>
      </c>
      <c r="F1389" t="s">
        <v>1221</v>
      </c>
      <c r="G1389" t="s">
        <v>900</v>
      </c>
      <c r="H1389" t="s">
        <v>1273</v>
      </c>
      <c r="I1389" t="s">
        <v>1679</v>
      </c>
    </row>
    <row r="1390" spans="1:9" x14ac:dyDescent="0.25">
      <c r="A1390" t="s">
        <v>2501</v>
      </c>
      <c r="B1390" t="s">
        <v>1636</v>
      </c>
      <c r="C1390" t="s">
        <v>1181</v>
      </c>
      <c r="D1390" t="s">
        <v>62</v>
      </c>
      <c r="E1390" t="s">
        <v>1222</v>
      </c>
      <c r="F1390" t="s">
        <v>1221</v>
      </c>
      <c r="G1390" t="s">
        <v>900</v>
      </c>
      <c r="H1390" t="s">
        <v>1223</v>
      </c>
      <c r="I1390" t="s">
        <v>1638</v>
      </c>
    </row>
    <row r="1391" spans="1:9" x14ac:dyDescent="0.25">
      <c r="A1391" t="s">
        <v>2775</v>
      </c>
      <c r="B1391" t="s">
        <v>263</v>
      </c>
      <c r="C1391" t="s">
        <v>1180</v>
      </c>
      <c r="D1391" t="s">
        <v>1215</v>
      </c>
      <c r="E1391" t="s">
        <v>1410</v>
      </c>
      <c r="F1391" t="s">
        <v>1221</v>
      </c>
      <c r="G1391" t="s">
        <v>900</v>
      </c>
      <c r="H1391" t="s">
        <v>1411</v>
      </c>
      <c r="I1391" t="s">
        <v>1929</v>
      </c>
    </row>
    <row r="1392" spans="1:9" x14ac:dyDescent="0.25">
      <c r="A1392" t="s">
        <v>2557</v>
      </c>
      <c r="B1392" t="s">
        <v>315</v>
      </c>
      <c r="C1392" t="s">
        <v>1192</v>
      </c>
      <c r="D1392" t="s">
        <v>84</v>
      </c>
      <c r="E1392" t="s">
        <v>1268</v>
      </c>
      <c r="F1392" t="s">
        <v>1221</v>
      </c>
      <c r="G1392" t="s">
        <v>900</v>
      </c>
      <c r="H1392" t="s">
        <v>33</v>
      </c>
      <c r="I1392" t="s">
        <v>2461</v>
      </c>
    </row>
    <row r="1393" spans="1:9" x14ac:dyDescent="0.25">
      <c r="A1393" t="s">
        <v>2774</v>
      </c>
      <c r="B1393" t="s">
        <v>315</v>
      </c>
      <c r="C1393" t="s">
        <v>1192</v>
      </c>
      <c r="D1393" t="s">
        <v>56</v>
      </c>
      <c r="E1393" t="s">
        <v>1237</v>
      </c>
      <c r="F1393" t="s">
        <v>1221</v>
      </c>
      <c r="G1393" t="s">
        <v>900</v>
      </c>
      <c r="H1393" t="s">
        <v>1624</v>
      </c>
      <c r="I1393" t="s">
        <v>2460</v>
      </c>
    </row>
    <row r="1394" spans="1:9" x14ac:dyDescent="0.25">
      <c r="A1394" t="s">
        <v>2773</v>
      </c>
      <c r="B1394" t="s">
        <v>378</v>
      </c>
      <c r="C1394" t="s">
        <v>1187</v>
      </c>
      <c r="D1394" t="s">
        <v>1215</v>
      </c>
      <c r="E1394" t="s">
        <v>1244</v>
      </c>
      <c r="F1394" t="s">
        <v>1221</v>
      </c>
      <c r="G1394" t="s">
        <v>900</v>
      </c>
      <c r="H1394" t="s">
        <v>1412</v>
      </c>
      <c r="I1394" t="s">
        <v>1930</v>
      </c>
    </row>
    <row r="1395" spans="1:9" x14ac:dyDescent="0.25">
      <c r="A1395" t="s">
        <v>2615</v>
      </c>
      <c r="B1395" t="s">
        <v>441</v>
      </c>
      <c r="C1395" t="s">
        <v>1180</v>
      </c>
      <c r="D1395" t="s">
        <v>1215</v>
      </c>
      <c r="F1395" t="s">
        <v>1221</v>
      </c>
      <c r="G1395" t="s">
        <v>900</v>
      </c>
      <c r="H1395" t="s">
        <v>1626</v>
      </c>
      <c r="I1395" t="s">
        <v>2469</v>
      </c>
    </row>
    <row r="1396" spans="1:9" x14ac:dyDescent="0.25">
      <c r="A1396" t="s">
        <v>4396</v>
      </c>
      <c r="B1396" t="s">
        <v>505</v>
      </c>
      <c r="C1396" t="s">
        <v>1183</v>
      </c>
      <c r="D1396" t="s">
        <v>1215</v>
      </c>
      <c r="E1396" t="s">
        <v>1271</v>
      </c>
      <c r="F1396" t="s">
        <v>1221</v>
      </c>
      <c r="G1396" t="s">
        <v>900</v>
      </c>
      <c r="H1396" t="s">
        <v>1270</v>
      </c>
      <c r="I1396" t="s">
        <v>2443</v>
      </c>
    </row>
    <row r="1397" spans="1:9" x14ac:dyDescent="0.25">
      <c r="A1397" t="s">
        <v>2612</v>
      </c>
      <c r="B1397" t="s">
        <v>2613</v>
      </c>
      <c r="C1397" t="s">
        <v>1181</v>
      </c>
      <c r="D1397" t="s">
        <v>203</v>
      </c>
      <c r="E1397" t="s">
        <v>1233</v>
      </c>
      <c r="F1397" t="s">
        <v>1221</v>
      </c>
      <c r="G1397" t="s">
        <v>910</v>
      </c>
      <c r="H1397" t="s">
        <v>2614</v>
      </c>
      <c r="I1397" t="s">
        <v>2488</v>
      </c>
    </row>
    <row r="1398" spans="1:9" x14ac:dyDescent="0.25">
      <c r="A1398" t="s">
        <v>2772</v>
      </c>
      <c r="B1398" t="s">
        <v>586</v>
      </c>
      <c r="C1398" t="s">
        <v>1197</v>
      </c>
      <c r="D1398" t="s">
        <v>1215</v>
      </c>
      <c r="E1398" t="s">
        <v>1250</v>
      </c>
      <c r="F1398" t="s">
        <v>1221</v>
      </c>
      <c r="G1398" t="s">
        <v>900</v>
      </c>
      <c r="H1398" t="s">
        <v>1617</v>
      </c>
      <c r="I1398" t="s">
        <v>1642</v>
      </c>
    </row>
    <row r="1399" spans="1:9" x14ac:dyDescent="0.25">
      <c r="A1399" t="s">
        <v>4497</v>
      </c>
      <c r="B1399" t="s">
        <v>592</v>
      </c>
      <c r="C1399" t="s">
        <v>1183</v>
      </c>
      <c r="D1399" t="s">
        <v>1215</v>
      </c>
      <c r="E1399" t="s">
        <v>1233</v>
      </c>
      <c r="F1399" t="s">
        <v>1221</v>
      </c>
      <c r="G1399" t="s">
        <v>900</v>
      </c>
      <c r="H1399" t="s">
        <v>681</v>
      </c>
      <c r="I1399" t="s">
        <v>1642</v>
      </c>
    </row>
    <row r="1400" spans="1:9" x14ac:dyDescent="0.25">
      <c r="A1400" t="s">
        <v>4475</v>
      </c>
      <c r="B1400" t="s">
        <v>678</v>
      </c>
      <c r="C1400" t="s">
        <v>1183</v>
      </c>
      <c r="D1400" t="s">
        <v>1215</v>
      </c>
      <c r="E1400" t="s">
        <v>1247</v>
      </c>
      <c r="F1400" t="s">
        <v>1221</v>
      </c>
      <c r="G1400" t="s">
        <v>900</v>
      </c>
      <c r="H1400" t="s">
        <v>1248</v>
      </c>
      <c r="I1400" t="s">
        <v>1655</v>
      </c>
    </row>
    <row r="1401" spans="1:9" x14ac:dyDescent="0.25">
      <c r="A1401" t="s">
        <v>2859</v>
      </c>
      <c r="B1401" t="s">
        <v>678</v>
      </c>
      <c r="C1401" t="s">
        <v>1183</v>
      </c>
      <c r="D1401" t="s">
        <v>1215</v>
      </c>
      <c r="E1401" t="s">
        <v>1247</v>
      </c>
      <c r="F1401" t="s">
        <v>1221</v>
      </c>
      <c r="G1401" t="s">
        <v>900</v>
      </c>
      <c r="H1401" t="s">
        <v>1248</v>
      </c>
      <c r="I1401" t="s">
        <v>1655</v>
      </c>
    </row>
    <row r="1402" spans="1:9" x14ac:dyDescent="0.25">
      <c r="A1402" t="s">
        <v>4482</v>
      </c>
      <c r="B1402" t="s">
        <v>4395</v>
      </c>
      <c r="C1402" t="s">
        <v>1190</v>
      </c>
      <c r="D1402" t="s">
        <v>1215</v>
      </c>
      <c r="E1402" t="s">
        <v>1261</v>
      </c>
      <c r="F1402" t="s">
        <v>1221</v>
      </c>
      <c r="G1402" t="s">
        <v>900</v>
      </c>
      <c r="H1402" t="s">
        <v>1262</v>
      </c>
      <c r="I1402" t="s">
        <v>1669</v>
      </c>
    </row>
    <row r="1403" spans="1:9" x14ac:dyDescent="0.25">
      <c r="A1403" t="s">
        <v>4394</v>
      </c>
      <c r="B1403" t="s">
        <v>4395</v>
      </c>
      <c r="C1403" t="s">
        <v>1190</v>
      </c>
      <c r="D1403" t="s">
        <v>1215</v>
      </c>
      <c r="E1403" t="s">
        <v>1261</v>
      </c>
      <c r="F1403" t="s">
        <v>1221</v>
      </c>
      <c r="G1403" t="s">
        <v>900</v>
      </c>
      <c r="H1403" t="s">
        <v>1262</v>
      </c>
      <c r="I1403" t="s">
        <v>1669</v>
      </c>
    </row>
    <row r="1404" spans="1:9" x14ac:dyDescent="0.25">
      <c r="A1404" t="s">
        <v>2502</v>
      </c>
      <c r="B1404" t="s">
        <v>302</v>
      </c>
      <c r="C1404" t="s">
        <v>1181</v>
      </c>
      <c r="D1404" t="s">
        <v>15</v>
      </c>
      <c r="E1404" t="s">
        <v>1238</v>
      </c>
      <c r="F1404" t="s">
        <v>1221</v>
      </c>
      <c r="G1404" t="s">
        <v>900</v>
      </c>
      <c r="H1404" t="s">
        <v>1239</v>
      </c>
      <c r="I1404" t="s">
        <v>1646</v>
      </c>
    </row>
    <row r="1405" spans="1:9" x14ac:dyDescent="0.25">
      <c r="A1405" t="s">
        <v>2625</v>
      </c>
      <c r="B1405" t="s">
        <v>2626</v>
      </c>
      <c r="C1405" t="s">
        <v>1181</v>
      </c>
      <c r="D1405" t="s">
        <v>203</v>
      </c>
      <c r="E1405" t="s">
        <v>1529</v>
      </c>
      <c r="F1405" t="s">
        <v>1221</v>
      </c>
      <c r="G1405" t="s">
        <v>900</v>
      </c>
      <c r="H1405" t="s">
        <v>2627</v>
      </c>
      <c r="I1405" t="s">
        <v>2269</v>
      </c>
    </row>
    <row r="1406" spans="1:9" x14ac:dyDescent="0.25">
      <c r="A1406" t="s">
        <v>2858</v>
      </c>
      <c r="B1406" t="s">
        <v>315</v>
      </c>
      <c r="C1406" t="s">
        <v>1192</v>
      </c>
      <c r="D1406" t="s">
        <v>56</v>
      </c>
      <c r="E1406" t="s">
        <v>1237</v>
      </c>
      <c r="F1406" t="s">
        <v>1221</v>
      </c>
      <c r="G1406" t="s">
        <v>900</v>
      </c>
      <c r="H1406" t="s">
        <v>1519</v>
      </c>
      <c r="I1406" t="s">
        <v>2250</v>
      </c>
    </row>
    <row r="1407" spans="1:9" x14ac:dyDescent="0.25">
      <c r="A1407" t="s">
        <v>2509</v>
      </c>
      <c r="B1407" t="s">
        <v>54</v>
      </c>
      <c r="C1407" t="s">
        <v>1184</v>
      </c>
      <c r="D1407" t="s">
        <v>27</v>
      </c>
      <c r="E1407" t="s">
        <v>1237</v>
      </c>
      <c r="F1407" t="s">
        <v>1221</v>
      </c>
      <c r="G1407" t="s">
        <v>910</v>
      </c>
      <c r="H1407" t="s">
        <v>2510</v>
      </c>
      <c r="I1407" t="s">
        <v>1645</v>
      </c>
    </row>
    <row r="1408" spans="1:9" x14ac:dyDescent="0.25">
      <c r="A1408" t="s">
        <v>2721</v>
      </c>
      <c r="B1408" t="s">
        <v>61</v>
      </c>
      <c r="C1408" t="s">
        <v>1180</v>
      </c>
      <c r="D1408" t="s">
        <v>15</v>
      </c>
      <c r="E1408" t="s">
        <v>1252</v>
      </c>
      <c r="F1408" t="s">
        <v>1221</v>
      </c>
      <c r="G1408" t="s">
        <v>910</v>
      </c>
      <c r="H1408" t="s">
        <v>486</v>
      </c>
      <c r="I1408" t="s">
        <v>2201</v>
      </c>
    </row>
    <row r="1409" spans="1:9" x14ac:dyDescent="0.25">
      <c r="A1409" t="s">
        <v>2523</v>
      </c>
      <c r="B1409" t="s">
        <v>114</v>
      </c>
      <c r="C1409" t="s">
        <v>1181</v>
      </c>
      <c r="E1409" t="s">
        <v>1252</v>
      </c>
      <c r="F1409" t="s">
        <v>1221</v>
      </c>
      <c r="G1409" t="s">
        <v>910</v>
      </c>
      <c r="H1409" t="s">
        <v>278</v>
      </c>
      <c r="I1409" t="s">
        <v>1657</v>
      </c>
    </row>
    <row r="1410" spans="1:9" x14ac:dyDescent="0.25">
      <c r="A1410" t="s">
        <v>2506</v>
      </c>
      <c r="B1410" t="s">
        <v>241</v>
      </c>
      <c r="C1410" t="s">
        <v>1180</v>
      </c>
      <c r="D1410" t="s">
        <v>21</v>
      </c>
      <c r="E1410" t="s">
        <v>1220</v>
      </c>
      <c r="F1410" t="s">
        <v>1221</v>
      </c>
      <c r="G1410" t="s">
        <v>910</v>
      </c>
      <c r="H1410" t="s">
        <v>242</v>
      </c>
      <c r="I1410" t="s">
        <v>1637</v>
      </c>
    </row>
    <row r="1411" spans="1:9" x14ac:dyDescent="0.25">
      <c r="A1411" t="s">
        <v>2580</v>
      </c>
      <c r="B1411" t="s">
        <v>241</v>
      </c>
      <c r="C1411" t="s">
        <v>1181</v>
      </c>
      <c r="D1411" t="s">
        <v>15</v>
      </c>
      <c r="E1411" t="s">
        <v>1220</v>
      </c>
      <c r="F1411" t="s">
        <v>1221</v>
      </c>
      <c r="G1411" t="s">
        <v>910</v>
      </c>
      <c r="H1411" t="s">
        <v>1280</v>
      </c>
      <c r="I1411" t="s">
        <v>1692</v>
      </c>
    </row>
    <row r="1412" spans="1:9" x14ac:dyDescent="0.25">
      <c r="A1412" t="s">
        <v>2497</v>
      </c>
      <c r="B1412" t="s">
        <v>465</v>
      </c>
      <c r="C1412" t="s">
        <v>1181</v>
      </c>
      <c r="D1412" t="s">
        <v>27</v>
      </c>
      <c r="E1412" t="s">
        <v>1235</v>
      </c>
      <c r="F1412" t="s">
        <v>1221</v>
      </c>
      <c r="G1412" t="s">
        <v>910</v>
      </c>
      <c r="H1412" t="s">
        <v>2498</v>
      </c>
      <c r="I1412" t="s">
        <v>2499</v>
      </c>
    </row>
    <row r="1413" spans="1:9" x14ac:dyDescent="0.25">
      <c r="A1413" t="s">
        <v>2538</v>
      </c>
      <c r="B1413" t="s">
        <v>2539</v>
      </c>
      <c r="C1413" t="s">
        <v>1192</v>
      </c>
      <c r="D1413" t="s">
        <v>15</v>
      </c>
      <c r="E1413" t="s">
        <v>1268</v>
      </c>
      <c r="F1413" t="s">
        <v>1221</v>
      </c>
      <c r="G1413" t="s">
        <v>910</v>
      </c>
      <c r="H1413" t="s">
        <v>650</v>
      </c>
      <c r="I1413" t="s">
        <v>1675</v>
      </c>
    </row>
    <row r="1414" spans="1:9" x14ac:dyDescent="0.25">
      <c r="A1414" t="s">
        <v>2508</v>
      </c>
      <c r="B1414" t="s">
        <v>479</v>
      </c>
      <c r="C1414" t="s">
        <v>1180</v>
      </c>
      <c r="D1414" t="s">
        <v>21</v>
      </c>
      <c r="E1414" t="s">
        <v>1224</v>
      </c>
      <c r="F1414" t="s">
        <v>1221</v>
      </c>
      <c r="G1414" t="s">
        <v>910</v>
      </c>
      <c r="H1414" t="s">
        <v>1225</v>
      </c>
      <c r="I1414" t="s">
        <v>1639</v>
      </c>
    </row>
    <row r="1415" spans="1:9" x14ac:dyDescent="0.25">
      <c r="A1415" t="s">
        <v>2503</v>
      </c>
      <c r="B1415" t="s">
        <v>479</v>
      </c>
      <c r="C1415" t="s">
        <v>1181</v>
      </c>
      <c r="D1415" t="s">
        <v>56</v>
      </c>
      <c r="E1415" t="s">
        <v>1242</v>
      </c>
      <c r="F1415" t="s">
        <v>1221</v>
      </c>
      <c r="G1415" t="s">
        <v>910</v>
      </c>
      <c r="H1415" t="s">
        <v>1243</v>
      </c>
      <c r="I1415" t="s">
        <v>1651</v>
      </c>
    </row>
    <row r="1416" spans="1:9" x14ac:dyDescent="0.25">
      <c r="A1416" t="s">
        <v>4480</v>
      </c>
      <c r="B1416" t="s">
        <v>4481</v>
      </c>
      <c r="C1416" t="s">
        <v>1187</v>
      </c>
      <c r="D1416" t="s">
        <v>62</v>
      </c>
      <c r="E1416" t="s">
        <v>1220</v>
      </c>
      <c r="F1416" t="s">
        <v>1221</v>
      </c>
      <c r="G1416" t="s">
        <v>910</v>
      </c>
      <c r="H1416" t="s">
        <v>722</v>
      </c>
      <c r="I1416" t="s">
        <v>1729</v>
      </c>
    </row>
    <row r="1417" spans="1:9" x14ac:dyDescent="0.25">
      <c r="A1417" t="s">
        <v>2519</v>
      </c>
      <c r="B1417" t="s">
        <v>552</v>
      </c>
      <c r="C1417" t="s">
        <v>1186</v>
      </c>
      <c r="D1417" t="s">
        <v>1215</v>
      </c>
      <c r="E1417" t="s">
        <v>1231</v>
      </c>
      <c r="F1417" t="s">
        <v>1221</v>
      </c>
      <c r="G1417" t="s">
        <v>910</v>
      </c>
      <c r="H1417" t="s">
        <v>597</v>
      </c>
      <c r="I1417" t="s">
        <v>1658</v>
      </c>
    </row>
    <row r="1418" spans="1:9" x14ac:dyDescent="0.25">
      <c r="A1418" t="s">
        <v>2537</v>
      </c>
      <c r="B1418" t="s">
        <v>592</v>
      </c>
      <c r="C1418" t="s">
        <v>1191</v>
      </c>
      <c r="D1418" t="s">
        <v>15</v>
      </c>
      <c r="E1418" t="s">
        <v>1283</v>
      </c>
      <c r="F1418" t="s">
        <v>1221</v>
      </c>
      <c r="G1418" t="s">
        <v>910</v>
      </c>
      <c r="H1418" t="s">
        <v>339</v>
      </c>
      <c r="I1418" t="s">
        <v>1698</v>
      </c>
    </row>
    <row r="1419" spans="1:9" x14ac:dyDescent="0.25">
      <c r="A1419" t="s">
        <v>2611</v>
      </c>
      <c r="B1419" t="s">
        <v>592</v>
      </c>
      <c r="C1419" t="s">
        <v>1180</v>
      </c>
      <c r="D1419" t="s">
        <v>1215</v>
      </c>
      <c r="E1419" t="s">
        <v>1289</v>
      </c>
      <c r="F1419" t="s">
        <v>1221</v>
      </c>
      <c r="G1419" t="s">
        <v>910</v>
      </c>
      <c r="H1419" t="s">
        <v>1305</v>
      </c>
      <c r="I1419" t="s">
        <v>1730</v>
      </c>
    </row>
    <row r="1420" spans="1:9" x14ac:dyDescent="0.25">
      <c r="A1420" t="s">
        <v>4489</v>
      </c>
      <c r="B1420" t="s">
        <v>678</v>
      </c>
      <c r="C1420" t="s">
        <v>1191</v>
      </c>
      <c r="D1420" t="s">
        <v>15</v>
      </c>
      <c r="E1420" t="s">
        <v>1233</v>
      </c>
      <c r="F1420" t="s">
        <v>1221</v>
      </c>
      <c r="G1420" t="s">
        <v>910</v>
      </c>
      <c r="H1420" t="s">
        <v>1313</v>
      </c>
      <c r="I1420" t="s">
        <v>1744</v>
      </c>
    </row>
    <row r="1421" spans="1:9" x14ac:dyDescent="0.25">
      <c r="A1421" t="s">
        <v>2536</v>
      </c>
      <c r="B1421" t="s">
        <v>678</v>
      </c>
      <c r="C1421" t="s">
        <v>1183</v>
      </c>
      <c r="D1421" t="s">
        <v>1215</v>
      </c>
      <c r="E1421" t="s">
        <v>1252</v>
      </c>
      <c r="F1421" t="s">
        <v>1221</v>
      </c>
      <c r="G1421" t="s">
        <v>910</v>
      </c>
      <c r="H1421" t="s">
        <v>1274</v>
      </c>
      <c r="I1421" t="s">
        <v>1680</v>
      </c>
    </row>
    <row r="1422" spans="1:9" x14ac:dyDescent="0.25">
      <c r="A1422" t="s">
        <v>2577</v>
      </c>
      <c r="B1422" t="s">
        <v>678</v>
      </c>
      <c r="C1422" t="s">
        <v>1180</v>
      </c>
      <c r="D1422" t="s">
        <v>62</v>
      </c>
      <c r="E1422" t="s">
        <v>1250</v>
      </c>
      <c r="F1422" t="s">
        <v>1221</v>
      </c>
      <c r="G1422" t="s">
        <v>910</v>
      </c>
      <c r="H1422" t="s">
        <v>2578</v>
      </c>
      <c r="I1422" t="s">
        <v>2579</v>
      </c>
    </row>
    <row r="1423" spans="1:9" x14ac:dyDescent="0.25">
      <c r="A1423" t="s">
        <v>4474</v>
      </c>
      <c r="B1423" t="s">
        <v>62</v>
      </c>
      <c r="C1423" t="s">
        <v>1183</v>
      </c>
      <c r="D1423" t="s">
        <v>1215</v>
      </c>
      <c r="E1423" t="s">
        <v>1252</v>
      </c>
      <c r="F1423" t="s">
        <v>1221</v>
      </c>
      <c r="G1423" t="s">
        <v>910</v>
      </c>
      <c r="H1423" t="s">
        <v>1278</v>
      </c>
      <c r="I1423" t="s">
        <v>1688</v>
      </c>
    </row>
    <row r="1424" spans="1:9" x14ac:dyDescent="0.25">
      <c r="A1424" t="s">
        <v>2518</v>
      </c>
      <c r="B1424" t="s">
        <v>749</v>
      </c>
      <c r="C1424" t="s">
        <v>1180</v>
      </c>
      <c r="D1424" t="s">
        <v>27</v>
      </c>
      <c r="E1424" t="s">
        <v>1271</v>
      </c>
      <c r="F1424" t="s">
        <v>1221</v>
      </c>
      <c r="G1424" t="s">
        <v>910</v>
      </c>
      <c r="H1424" t="s">
        <v>51</v>
      </c>
      <c r="I1424" t="s">
        <v>1689</v>
      </c>
    </row>
    <row r="1425" spans="1:9" x14ac:dyDescent="0.25">
      <c r="A1425" t="s">
        <v>2512</v>
      </c>
      <c r="B1425" t="s">
        <v>749</v>
      </c>
      <c r="C1425" t="s">
        <v>1181</v>
      </c>
      <c r="D1425" t="s">
        <v>15</v>
      </c>
      <c r="E1425" t="s">
        <v>1231</v>
      </c>
      <c r="F1425" t="s">
        <v>1221</v>
      </c>
      <c r="G1425" t="s">
        <v>910</v>
      </c>
      <c r="H1425" t="s">
        <v>1266</v>
      </c>
      <c r="I1425" t="s">
        <v>1672</v>
      </c>
    </row>
    <row r="1426" spans="1:9" x14ac:dyDescent="0.25">
      <c r="A1426" t="s">
        <v>2576</v>
      </c>
      <c r="B1426" t="s">
        <v>773</v>
      </c>
      <c r="C1426" t="s">
        <v>1182</v>
      </c>
      <c r="D1426" t="s">
        <v>15</v>
      </c>
      <c r="E1426" t="s">
        <v>1235</v>
      </c>
      <c r="F1426" t="s">
        <v>1221</v>
      </c>
      <c r="G1426" t="s">
        <v>910</v>
      </c>
      <c r="H1426" t="s">
        <v>1236</v>
      </c>
      <c r="I1426" t="s">
        <v>1644</v>
      </c>
    </row>
    <row r="1427" spans="1:9" x14ac:dyDescent="0.25">
      <c r="A1427" t="s">
        <v>4503</v>
      </c>
      <c r="B1427" t="s">
        <v>822</v>
      </c>
      <c r="C1427" t="s">
        <v>1191</v>
      </c>
      <c r="D1427" t="s">
        <v>27</v>
      </c>
      <c r="E1427" t="s">
        <v>1289</v>
      </c>
      <c r="F1427" t="s">
        <v>1221</v>
      </c>
      <c r="G1427" t="s">
        <v>910</v>
      </c>
      <c r="H1427" t="s">
        <v>226</v>
      </c>
      <c r="I1427" t="s">
        <v>2412</v>
      </c>
    </row>
    <row r="1428" spans="1:9" x14ac:dyDescent="0.25">
      <c r="A1428" t="s">
        <v>2511</v>
      </c>
      <c r="B1428" t="s">
        <v>822</v>
      </c>
      <c r="C1428" t="s">
        <v>1183</v>
      </c>
      <c r="D1428" t="s">
        <v>56</v>
      </c>
      <c r="E1428" t="s">
        <v>1231</v>
      </c>
      <c r="F1428" t="s">
        <v>1221</v>
      </c>
      <c r="G1428" t="s">
        <v>910</v>
      </c>
      <c r="H1428" t="s">
        <v>1232</v>
      </c>
      <c r="I1428" t="s">
        <v>503</v>
      </c>
    </row>
    <row r="1429" spans="1:9" x14ac:dyDescent="0.25">
      <c r="A1429" t="s">
        <v>4502</v>
      </c>
      <c r="B1429" t="s">
        <v>863</v>
      </c>
      <c r="C1429" t="s">
        <v>1180</v>
      </c>
      <c r="D1429" t="s">
        <v>84</v>
      </c>
      <c r="E1429" t="s">
        <v>1250</v>
      </c>
      <c r="F1429" t="s">
        <v>1221</v>
      </c>
      <c r="G1429" t="s">
        <v>910</v>
      </c>
      <c r="H1429" t="s">
        <v>1312</v>
      </c>
      <c r="I1429" t="s">
        <v>1743</v>
      </c>
    </row>
    <row r="1430" spans="1:9" x14ac:dyDescent="0.25">
      <c r="A1430" t="s">
        <v>3028</v>
      </c>
      <c r="B1430" t="s">
        <v>31</v>
      </c>
      <c r="C1430" t="s">
        <v>1193</v>
      </c>
      <c r="D1430" t="s">
        <v>27</v>
      </c>
      <c r="E1430" t="s">
        <v>1275</v>
      </c>
      <c r="F1430" t="s">
        <v>1251</v>
      </c>
      <c r="G1430" t="s">
        <v>900</v>
      </c>
      <c r="H1430" t="s">
        <v>37</v>
      </c>
      <c r="I1430" t="s">
        <v>2165</v>
      </c>
    </row>
    <row r="1431" spans="1:9" x14ac:dyDescent="0.25">
      <c r="A1431" t="s">
        <v>2720</v>
      </c>
      <c r="B1431" t="s">
        <v>31</v>
      </c>
      <c r="C1431" t="s">
        <v>1193</v>
      </c>
      <c r="D1431" t="s">
        <v>27</v>
      </c>
      <c r="E1431" t="s">
        <v>1275</v>
      </c>
      <c r="F1431" t="s">
        <v>8</v>
      </c>
      <c r="G1431" t="s">
        <v>900</v>
      </c>
      <c r="H1431" t="s">
        <v>37</v>
      </c>
      <c r="I1431" t="s">
        <v>1681</v>
      </c>
    </row>
    <row r="1432" spans="1:9" x14ac:dyDescent="0.25">
      <c r="A1432" t="s">
        <v>2857</v>
      </c>
      <c r="B1432" t="s">
        <v>2639</v>
      </c>
      <c r="C1432" t="s">
        <v>1201</v>
      </c>
      <c r="D1432" t="s">
        <v>318</v>
      </c>
      <c r="E1432" t="s">
        <v>1327</v>
      </c>
      <c r="F1432" t="s">
        <v>1227</v>
      </c>
      <c r="G1432" t="s">
        <v>1228</v>
      </c>
      <c r="H1432" t="s">
        <v>632</v>
      </c>
      <c r="I1432" t="s">
        <v>1758</v>
      </c>
    </row>
    <row r="1433" spans="1:9" x14ac:dyDescent="0.25">
      <c r="A1433" t="s">
        <v>3027</v>
      </c>
      <c r="B1433" t="s">
        <v>2639</v>
      </c>
      <c r="C1433" t="s">
        <v>1201</v>
      </c>
      <c r="D1433" t="s">
        <v>318</v>
      </c>
      <c r="E1433" t="s">
        <v>1327</v>
      </c>
      <c r="F1433" t="s">
        <v>1227</v>
      </c>
      <c r="G1433" t="s">
        <v>1228</v>
      </c>
      <c r="H1433" t="s">
        <v>632</v>
      </c>
      <c r="I1433" t="s">
        <v>1758</v>
      </c>
    </row>
    <row r="1434" spans="1:9" x14ac:dyDescent="0.25">
      <c r="A1434" t="s">
        <v>2682</v>
      </c>
      <c r="B1434" t="s">
        <v>236</v>
      </c>
      <c r="C1434" t="s">
        <v>1192</v>
      </c>
      <c r="D1434" t="s">
        <v>56</v>
      </c>
      <c r="E1434" t="s">
        <v>1282</v>
      </c>
      <c r="F1434" t="s">
        <v>1293</v>
      </c>
      <c r="G1434" t="s">
        <v>900</v>
      </c>
      <c r="H1434" t="s">
        <v>64</v>
      </c>
      <c r="I1434" t="s">
        <v>239</v>
      </c>
    </row>
    <row r="1435" spans="1:9" x14ac:dyDescent="0.25">
      <c r="A1435" t="s">
        <v>2598</v>
      </c>
      <c r="B1435" t="s">
        <v>236</v>
      </c>
      <c r="C1435" t="s">
        <v>1192</v>
      </c>
      <c r="D1435" t="s">
        <v>56</v>
      </c>
      <c r="E1435" t="s">
        <v>1282</v>
      </c>
      <c r="F1435" t="s">
        <v>1251</v>
      </c>
      <c r="G1435" t="s">
        <v>900</v>
      </c>
      <c r="H1435" t="s">
        <v>64</v>
      </c>
      <c r="I1435" t="s">
        <v>239</v>
      </c>
    </row>
    <row r="1436" spans="1:9" x14ac:dyDescent="0.25">
      <c r="A1436" t="s">
        <v>2719</v>
      </c>
      <c r="B1436" t="s">
        <v>236</v>
      </c>
      <c r="C1436" t="s">
        <v>1192</v>
      </c>
      <c r="D1436" t="s">
        <v>56</v>
      </c>
      <c r="E1436" t="s">
        <v>1282</v>
      </c>
      <c r="F1436" t="s">
        <v>8</v>
      </c>
      <c r="G1436" t="s">
        <v>900</v>
      </c>
      <c r="H1436" t="s">
        <v>64</v>
      </c>
      <c r="I1436" t="s">
        <v>239</v>
      </c>
    </row>
    <row r="1437" spans="1:9" x14ac:dyDescent="0.25">
      <c r="A1437" t="s">
        <v>2681</v>
      </c>
      <c r="B1437" t="s">
        <v>315</v>
      </c>
      <c r="C1437" t="s">
        <v>1192</v>
      </c>
      <c r="D1437" t="s">
        <v>84</v>
      </c>
      <c r="E1437" t="s">
        <v>1271</v>
      </c>
      <c r="F1437" t="s">
        <v>1293</v>
      </c>
      <c r="G1437" t="s">
        <v>900</v>
      </c>
      <c r="H1437" t="s">
        <v>330</v>
      </c>
      <c r="I1437" t="s">
        <v>2437</v>
      </c>
    </row>
    <row r="1438" spans="1:9" x14ac:dyDescent="0.25">
      <c r="A1438" t="s">
        <v>2610</v>
      </c>
      <c r="B1438" t="s">
        <v>315</v>
      </c>
      <c r="C1438" t="s">
        <v>1192</v>
      </c>
      <c r="D1438" t="s">
        <v>84</v>
      </c>
      <c r="E1438" t="s">
        <v>1271</v>
      </c>
      <c r="F1438" t="s">
        <v>1251</v>
      </c>
      <c r="G1438" t="s">
        <v>900</v>
      </c>
      <c r="H1438" t="s">
        <v>330</v>
      </c>
      <c r="I1438" t="s">
        <v>2437</v>
      </c>
    </row>
    <row r="1439" spans="1:9" x14ac:dyDescent="0.25">
      <c r="A1439" t="s">
        <v>3026</v>
      </c>
      <c r="B1439" t="s">
        <v>315</v>
      </c>
      <c r="C1439" t="s">
        <v>1192</v>
      </c>
      <c r="D1439" t="s">
        <v>84</v>
      </c>
      <c r="E1439" t="s">
        <v>1271</v>
      </c>
      <c r="F1439" t="s">
        <v>8</v>
      </c>
      <c r="G1439" t="s">
        <v>900</v>
      </c>
      <c r="H1439" t="s">
        <v>330</v>
      </c>
      <c r="I1439" t="s">
        <v>2437</v>
      </c>
    </row>
    <row r="1440" spans="1:9" x14ac:dyDescent="0.25">
      <c r="A1440" t="s">
        <v>3025</v>
      </c>
      <c r="B1440" t="s">
        <v>315</v>
      </c>
      <c r="C1440" t="s">
        <v>1192</v>
      </c>
      <c r="D1440" t="s">
        <v>84</v>
      </c>
      <c r="E1440" t="s">
        <v>1268</v>
      </c>
      <c r="F1440" t="s">
        <v>1298</v>
      </c>
      <c r="G1440" t="s">
        <v>900</v>
      </c>
      <c r="H1440" t="s">
        <v>33</v>
      </c>
      <c r="I1440" t="s">
        <v>1693</v>
      </c>
    </row>
    <row r="1441" spans="1:9" x14ac:dyDescent="0.25">
      <c r="A1441" t="s">
        <v>2718</v>
      </c>
      <c r="B1441" t="s">
        <v>315</v>
      </c>
      <c r="C1441" t="s">
        <v>1192</v>
      </c>
      <c r="D1441" t="s">
        <v>84</v>
      </c>
      <c r="E1441" t="s">
        <v>1268</v>
      </c>
      <c r="F1441" t="s">
        <v>1298</v>
      </c>
      <c r="G1441" t="s">
        <v>900</v>
      </c>
      <c r="H1441" t="s">
        <v>33</v>
      </c>
      <c r="I1441" t="s">
        <v>1693</v>
      </c>
    </row>
    <row r="1442" spans="1:9" x14ac:dyDescent="0.25">
      <c r="A1442" t="s">
        <v>4467</v>
      </c>
      <c r="B1442" t="s">
        <v>315</v>
      </c>
      <c r="C1442" t="s">
        <v>1192</v>
      </c>
      <c r="D1442" t="s">
        <v>84</v>
      </c>
      <c r="E1442" t="s">
        <v>1268</v>
      </c>
      <c r="F1442" t="s">
        <v>1221</v>
      </c>
      <c r="G1442" t="s">
        <v>900</v>
      </c>
      <c r="H1442" t="s">
        <v>33</v>
      </c>
      <c r="I1442" t="s">
        <v>1693</v>
      </c>
    </row>
    <row r="1443" spans="1:9" x14ac:dyDescent="0.25">
      <c r="A1443" t="s">
        <v>2856</v>
      </c>
      <c r="B1443" t="s">
        <v>315</v>
      </c>
      <c r="C1443" t="s">
        <v>1192</v>
      </c>
      <c r="D1443" t="s">
        <v>84</v>
      </c>
      <c r="E1443" t="s">
        <v>1268</v>
      </c>
      <c r="F1443" t="s">
        <v>1221</v>
      </c>
      <c r="G1443" t="s">
        <v>900</v>
      </c>
      <c r="H1443" t="s">
        <v>33</v>
      </c>
      <c r="I1443" t="s">
        <v>1693</v>
      </c>
    </row>
    <row r="1444" spans="1:9" x14ac:dyDescent="0.25">
      <c r="A1444" t="s">
        <v>4488</v>
      </c>
      <c r="B1444" t="s">
        <v>369</v>
      </c>
      <c r="C1444" t="s">
        <v>1192</v>
      </c>
      <c r="D1444" t="s">
        <v>15</v>
      </c>
      <c r="E1444" t="s">
        <v>1341</v>
      </c>
      <c r="F1444" t="s">
        <v>1251</v>
      </c>
      <c r="G1444" t="s">
        <v>900</v>
      </c>
      <c r="H1444" t="s">
        <v>370</v>
      </c>
      <c r="I1444" t="s">
        <v>2450</v>
      </c>
    </row>
    <row r="1445" spans="1:9" x14ac:dyDescent="0.25">
      <c r="A1445" t="s">
        <v>2597</v>
      </c>
      <c r="B1445" t="s">
        <v>369</v>
      </c>
      <c r="C1445" t="s">
        <v>1192</v>
      </c>
      <c r="D1445" t="s">
        <v>15</v>
      </c>
      <c r="E1445" t="s">
        <v>1341</v>
      </c>
      <c r="F1445" t="s">
        <v>8</v>
      </c>
      <c r="G1445" t="s">
        <v>900</v>
      </c>
      <c r="H1445" t="s">
        <v>904</v>
      </c>
      <c r="I1445" t="s">
        <v>2420</v>
      </c>
    </row>
    <row r="1446" spans="1:9" x14ac:dyDescent="0.25">
      <c r="A1446" t="s">
        <v>2771</v>
      </c>
      <c r="B1446" t="s">
        <v>535</v>
      </c>
      <c r="C1446" t="s">
        <v>1192</v>
      </c>
      <c r="D1446" t="s">
        <v>56</v>
      </c>
      <c r="E1446" t="s">
        <v>1297</v>
      </c>
      <c r="F1446" t="s">
        <v>1229</v>
      </c>
      <c r="G1446" t="s">
        <v>910</v>
      </c>
      <c r="H1446" t="s">
        <v>64</v>
      </c>
      <c r="I1446" t="s">
        <v>1721</v>
      </c>
    </row>
    <row r="1447" spans="1:9" x14ac:dyDescent="0.25">
      <c r="A1447" t="s">
        <v>4393</v>
      </c>
      <c r="B1447" t="s">
        <v>535</v>
      </c>
      <c r="C1447" t="s">
        <v>1192</v>
      </c>
      <c r="D1447" t="s">
        <v>56</v>
      </c>
      <c r="E1447" t="s">
        <v>1297</v>
      </c>
      <c r="F1447" t="s">
        <v>8</v>
      </c>
      <c r="G1447" t="s">
        <v>910</v>
      </c>
      <c r="H1447" t="s">
        <v>64</v>
      </c>
      <c r="I1447" t="s">
        <v>1721</v>
      </c>
    </row>
    <row r="1448" spans="1:9" x14ac:dyDescent="0.25">
      <c r="A1448" t="s">
        <v>4097</v>
      </c>
      <c r="B1448" t="s">
        <v>535</v>
      </c>
      <c r="C1448" t="s">
        <v>1192</v>
      </c>
      <c r="D1448" t="s">
        <v>56</v>
      </c>
      <c r="E1448" t="s">
        <v>1297</v>
      </c>
      <c r="F1448" t="s">
        <v>1293</v>
      </c>
      <c r="G1448" t="s">
        <v>910</v>
      </c>
      <c r="H1448" t="s">
        <v>64</v>
      </c>
      <c r="I1448" t="s">
        <v>1721</v>
      </c>
    </row>
    <row r="1449" spans="1:9" x14ac:dyDescent="0.25">
      <c r="A1449" t="s">
        <v>4377</v>
      </c>
      <c r="B1449" t="s">
        <v>315</v>
      </c>
      <c r="C1449" t="s">
        <v>1192</v>
      </c>
      <c r="D1449" t="s">
        <v>84</v>
      </c>
      <c r="E1449" t="s">
        <v>1268</v>
      </c>
      <c r="F1449" t="s">
        <v>1251</v>
      </c>
      <c r="G1449" t="s">
        <v>900</v>
      </c>
      <c r="H1449" t="s">
        <v>334</v>
      </c>
      <c r="I1449" t="s">
        <v>1761</v>
      </c>
    </row>
    <row r="1450" spans="1:9" x14ac:dyDescent="0.25">
      <c r="A1450" t="s">
        <v>2855</v>
      </c>
      <c r="B1450" t="s">
        <v>315</v>
      </c>
      <c r="C1450" t="s">
        <v>1192</v>
      </c>
      <c r="D1450" t="s">
        <v>84</v>
      </c>
      <c r="E1450" t="s">
        <v>1268</v>
      </c>
      <c r="F1450" t="s">
        <v>1331</v>
      </c>
      <c r="G1450" t="s">
        <v>900</v>
      </c>
      <c r="H1450" t="s">
        <v>334</v>
      </c>
      <c r="I1450" t="s">
        <v>1761</v>
      </c>
    </row>
    <row r="1451" spans="1:9" x14ac:dyDescent="0.25">
      <c r="A1451" t="s">
        <v>2854</v>
      </c>
      <c r="B1451" t="s">
        <v>315</v>
      </c>
      <c r="C1451" t="s">
        <v>1192</v>
      </c>
      <c r="D1451" t="s">
        <v>84</v>
      </c>
      <c r="E1451" t="s">
        <v>1268</v>
      </c>
      <c r="F1451" t="s">
        <v>1293</v>
      </c>
      <c r="G1451" t="s">
        <v>900</v>
      </c>
      <c r="H1451" t="s">
        <v>334</v>
      </c>
      <c r="I1451" t="s">
        <v>1761</v>
      </c>
    </row>
    <row r="1452" spans="1:9" x14ac:dyDescent="0.25">
      <c r="A1452" t="s">
        <v>2853</v>
      </c>
      <c r="B1452" t="s">
        <v>315</v>
      </c>
      <c r="C1452" t="s">
        <v>1192</v>
      </c>
      <c r="D1452" t="s">
        <v>84</v>
      </c>
      <c r="E1452" t="s">
        <v>1268</v>
      </c>
      <c r="F1452" t="s">
        <v>8</v>
      </c>
      <c r="G1452" t="s">
        <v>900</v>
      </c>
      <c r="H1452" t="s">
        <v>334</v>
      </c>
      <c r="I1452" t="s">
        <v>1761</v>
      </c>
    </row>
    <row r="1453" spans="1:9" x14ac:dyDescent="0.25">
      <c r="A1453" t="s">
        <v>3789</v>
      </c>
      <c r="B1453" t="s">
        <v>337</v>
      </c>
      <c r="C1453" t="s">
        <v>1192</v>
      </c>
      <c r="D1453" t="s">
        <v>84</v>
      </c>
      <c r="E1453" t="s">
        <v>1371</v>
      </c>
      <c r="F1453" t="s">
        <v>8</v>
      </c>
      <c r="G1453" t="s">
        <v>900</v>
      </c>
      <c r="H1453" t="s">
        <v>327</v>
      </c>
      <c r="I1453" t="s">
        <v>2009</v>
      </c>
    </row>
    <row r="1454" spans="1:9" x14ac:dyDescent="0.25">
      <c r="A1454" t="s">
        <v>2852</v>
      </c>
      <c r="B1454" t="s">
        <v>337</v>
      </c>
      <c r="C1454" t="s">
        <v>1192</v>
      </c>
      <c r="D1454" t="s">
        <v>84</v>
      </c>
      <c r="E1454" t="s">
        <v>1371</v>
      </c>
      <c r="F1454" t="s">
        <v>8</v>
      </c>
      <c r="G1454" t="s">
        <v>900</v>
      </c>
      <c r="H1454" t="s">
        <v>327</v>
      </c>
      <c r="I1454" t="s">
        <v>2009</v>
      </c>
    </row>
    <row r="1455" spans="1:9" x14ac:dyDescent="0.25">
      <c r="A1455" t="s">
        <v>2770</v>
      </c>
      <c r="B1455" t="s">
        <v>342</v>
      </c>
      <c r="C1455" t="s">
        <v>1192</v>
      </c>
      <c r="D1455" t="s">
        <v>84</v>
      </c>
      <c r="E1455" t="s">
        <v>1327</v>
      </c>
      <c r="F1455" t="s">
        <v>1293</v>
      </c>
      <c r="G1455" t="s">
        <v>900</v>
      </c>
      <c r="H1455" t="s">
        <v>92</v>
      </c>
      <c r="I1455" t="s">
        <v>2438</v>
      </c>
    </row>
    <row r="1456" spans="1:9" x14ac:dyDescent="0.25">
      <c r="A1456" t="s">
        <v>1173</v>
      </c>
      <c r="B1456" t="s">
        <v>342</v>
      </c>
      <c r="C1456" t="s">
        <v>1192</v>
      </c>
      <c r="D1456" t="s">
        <v>84</v>
      </c>
      <c r="E1456" t="s">
        <v>1327</v>
      </c>
      <c r="F1456" t="s">
        <v>1251</v>
      </c>
      <c r="G1456" t="s">
        <v>900</v>
      </c>
      <c r="H1456" t="s">
        <v>92</v>
      </c>
      <c r="I1456" t="s">
        <v>2438</v>
      </c>
    </row>
    <row r="1457" spans="1:9" x14ac:dyDescent="0.25">
      <c r="A1457" t="s">
        <v>1166</v>
      </c>
      <c r="B1457" t="s">
        <v>342</v>
      </c>
      <c r="C1457" t="s">
        <v>1192</v>
      </c>
      <c r="D1457" t="s">
        <v>84</v>
      </c>
      <c r="E1457" t="s">
        <v>1327</v>
      </c>
      <c r="F1457" t="s">
        <v>8</v>
      </c>
      <c r="G1457" t="s">
        <v>900</v>
      </c>
      <c r="H1457" t="s">
        <v>92</v>
      </c>
      <c r="I1457" t="s">
        <v>2438</v>
      </c>
    </row>
    <row r="1458" spans="1:9" x14ac:dyDescent="0.25">
      <c r="A1458" t="s">
        <v>4096</v>
      </c>
      <c r="B1458" t="s">
        <v>3217</v>
      </c>
      <c r="C1458" t="s">
        <v>1497</v>
      </c>
      <c r="D1458" t="s">
        <v>27</v>
      </c>
      <c r="G1458" t="s">
        <v>910</v>
      </c>
      <c r="H1458" t="s">
        <v>794</v>
      </c>
      <c r="I1458" t="s">
        <v>2128</v>
      </c>
    </row>
    <row r="1459" spans="1:9" x14ac:dyDescent="0.25">
      <c r="A1459" t="s">
        <v>2769</v>
      </c>
      <c r="B1459" t="s">
        <v>535</v>
      </c>
      <c r="C1459" t="s">
        <v>1192</v>
      </c>
      <c r="D1459" t="s">
        <v>84</v>
      </c>
      <c r="E1459" t="s">
        <v>1341</v>
      </c>
      <c r="F1459" t="s">
        <v>1229</v>
      </c>
      <c r="G1459" t="s">
        <v>910</v>
      </c>
      <c r="H1459" t="s">
        <v>303</v>
      </c>
      <c r="I1459" t="s">
        <v>1865</v>
      </c>
    </row>
    <row r="1460" spans="1:9" x14ac:dyDescent="0.25">
      <c r="A1460" t="s">
        <v>3788</v>
      </c>
      <c r="B1460" t="s">
        <v>535</v>
      </c>
      <c r="C1460" t="s">
        <v>1192</v>
      </c>
      <c r="D1460" t="s">
        <v>84</v>
      </c>
      <c r="E1460" t="s">
        <v>1341</v>
      </c>
      <c r="F1460" t="s">
        <v>1293</v>
      </c>
      <c r="G1460" t="s">
        <v>910</v>
      </c>
      <c r="H1460" t="s">
        <v>303</v>
      </c>
      <c r="I1460" t="s">
        <v>1865</v>
      </c>
    </row>
    <row r="1461" spans="1:9" x14ac:dyDescent="0.25">
      <c r="A1461" t="s">
        <v>4095</v>
      </c>
      <c r="B1461" t="s">
        <v>535</v>
      </c>
      <c r="C1461" t="s">
        <v>1192</v>
      </c>
      <c r="D1461" t="s">
        <v>56</v>
      </c>
      <c r="E1461" t="s">
        <v>1351</v>
      </c>
      <c r="F1461" t="s">
        <v>8</v>
      </c>
      <c r="G1461" t="s">
        <v>910</v>
      </c>
      <c r="H1461" t="s">
        <v>108</v>
      </c>
      <c r="I1461" t="s">
        <v>546</v>
      </c>
    </row>
    <row r="1462" spans="1:9" x14ac:dyDescent="0.25">
      <c r="A1462" t="s">
        <v>3787</v>
      </c>
      <c r="B1462" t="s">
        <v>711</v>
      </c>
      <c r="C1462" t="s">
        <v>1182</v>
      </c>
      <c r="D1462" t="s">
        <v>318</v>
      </c>
      <c r="E1462" t="s">
        <v>1371</v>
      </c>
      <c r="F1462" t="s">
        <v>8</v>
      </c>
      <c r="G1462" t="s">
        <v>900</v>
      </c>
      <c r="H1462" t="s">
        <v>722</v>
      </c>
      <c r="I1462" t="s">
        <v>1948</v>
      </c>
    </row>
    <row r="1463" spans="1:9" x14ac:dyDescent="0.25">
      <c r="A1463" t="s">
        <v>4376</v>
      </c>
      <c r="B1463" t="s">
        <v>773</v>
      </c>
      <c r="C1463" t="s">
        <v>1182</v>
      </c>
      <c r="D1463" t="s">
        <v>84</v>
      </c>
      <c r="E1463" t="s">
        <v>1246</v>
      </c>
      <c r="F1463" t="s">
        <v>1229</v>
      </c>
      <c r="G1463" t="s">
        <v>910</v>
      </c>
      <c r="H1463" t="s">
        <v>589</v>
      </c>
      <c r="I1463" t="s">
        <v>1846</v>
      </c>
    </row>
    <row r="1464" spans="1:9" x14ac:dyDescent="0.25">
      <c r="A1464" t="s">
        <v>2851</v>
      </c>
      <c r="B1464" t="s">
        <v>773</v>
      </c>
      <c r="C1464" t="s">
        <v>1182</v>
      </c>
      <c r="D1464" t="s">
        <v>84</v>
      </c>
      <c r="E1464" t="s">
        <v>1246</v>
      </c>
      <c r="F1464" t="s">
        <v>8</v>
      </c>
      <c r="G1464" t="s">
        <v>910</v>
      </c>
      <c r="H1464" t="s">
        <v>589</v>
      </c>
      <c r="I1464" t="s">
        <v>1846</v>
      </c>
    </row>
    <row r="1465" spans="1:9" x14ac:dyDescent="0.25">
      <c r="A1465" t="s">
        <v>2850</v>
      </c>
      <c r="B1465" t="s">
        <v>773</v>
      </c>
      <c r="C1465" t="s">
        <v>1182</v>
      </c>
      <c r="D1465" t="s">
        <v>84</v>
      </c>
      <c r="E1465" t="s">
        <v>1246</v>
      </c>
      <c r="F1465" t="s">
        <v>1331</v>
      </c>
      <c r="G1465" t="s">
        <v>910</v>
      </c>
      <c r="H1465" t="s">
        <v>589</v>
      </c>
      <c r="I1465" t="s">
        <v>1846</v>
      </c>
    </row>
    <row r="1466" spans="1:9" x14ac:dyDescent="0.25">
      <c r="A1466" t="s">
        <v>2768</v>
      </c>
      <c r="B1466" t="s">
        <v>773</v>
      </c>
      <c r="C1466" t="s">
        <v>1182</v>
      </c>
      <c r="D1466" t="s">
        <v>84</v>
      </c>
      <c r="E1466" t="s">
        <v>1246</v>
      </c>
      <c r="F1466" t="s">
        <v>1293</v>
      </c>
      <c r="G1466" t="s">
        <v>910</v>
      </c>
      <c r="H1466" t="s">
        <v>589</v>
      </c>
      <c r="I1466" t="s">
        <v>1846</v>
      </c>
    </row>
    <row r="1467" spans="1:9" x14ac:dyDescent="0.25">
      <c r="A1467" t="s">
        <v>4416</v>
      </c>
      <c r="B1467" t="s">
        <v>773</v>
      </c>
      <c r="C1467" t="s">
        <v>1182</v>
      </c>
      <c r="D1467" t="s">
        <v>84</v>
      </c>
      <c r="E1467" t="s">
        <v>1246</v>
      </c>
      <c r="F1467" t="s">
        <v>8</v>
      </c>
      <c r="G1467" t="s">
        <v>910</v>
      </c>
      <c r="H1467" t="s">
        <v>787</v>
      </c>
      <c r="I1467" t="s">
        <v>1846</v>
      </c>
    </row>
    <row r="1468" spans="1:9" x14ac:dyDescent="0.25">
      <c r="A1468" t="s">
        <v>3784</v>
      </c>
      <c r="B1468" t="s">
        <v>3785</v>
      </c>
      <c r="C1468" t="s">
        <v>1184</v>
      </c>
      <c r="D1468" t="s">
        <v>318</v>
      </c>
      <c r="F1468" t="s">
        <v>1293</v>
      </c>
      <c r="G1468" t="s">
        <v>900</v>
      </c>
      <c r="H1468" t="s">
        <v>1278</v>
      </c>
      <c r="I1468" t="s">
        <v>3786</v>
      </c>
    </row>
    <row r="1469" spans="1:9" x14ac:dyDescent="0.25">
      <c r="A1469" t="s">
        <v>2849</v>
      </c>
      <c r="B1469" t="s">
        <v>31</v>
      </c>
      <c r="C1469" t="s">
        <v>1193</v>
      </c>
      <c r="D1469" t="s">
        <v>27</v>
      </c>
      <c r="E1469" t="s">
        <v>1350</v>
      </c>
      <c r="F1469" t="s">
        <v>1251</v>
      </c>
      <c r="G1469" t="s">
        <v>900</v>
      </c>
      <c r="H1469" t="s">
        <v>360</v>
      </c>
      <c r="I1469" t="s">
        <v>1781</v>
      </c>
    </row>
    <row r="1470" spans="1:9" x14ac:dyDescent="0.25">
      <c r="A1470" t="s">
        <v>4392</v>
      </c>
      <c r="B1470" t="s">
        <v>31</v>
      </c>
      <c r="C1470" t="s">
        <v>1193</v>
      </c>
      <c r="D1470" t="s">
        <v>27</v>
      </c>
      <c r="E1470" t="s">
        <v>1350</v>
      </c>
      <c r="F1470" t="s">
        <v>8</v>
      </c>
      <c r="G1470" t="s">
        <v>900</v>
      </c>
      <c r="H1470" t="s">
        <v>360</v>
      </c>
      <c r="I1470" t="s">
        <v>1781</v>
      </c>
    </row>
    <row r="1471" spans="1:9" x14ac:dyDescent="0.25">
      <c r="A1471" t="s">
        <v>3783</v>
      </c>
      <c r="B1471" t="s">
        <v>31</v>
      </c>
      <c r="C1471" t="s">
        <v>1193</v>
      </c>
      <c r="D1471" t="s">
        <v>27</v>
      </c>
      <c r="E1471" t="s">
        <v>1350</v>
      </c>
      <c r="F1471" t="s">
        <v>1331</v>
      </c>
      <c r="G1471" t="s">
        <v>900</v>
      </c>
      <c r="H1471" t="s">
        <v>360</v>
      </c>
      <c r="I1471" t="s">
        <v>1781</v>
      </c>
    </row>
    <row r="1472" spans="1:9" x14ac:dyDescent="0.25">
      <c r="A1472" t="s">
        <v>2848</v>
      </c>
      <c r="B1472" t="s">
        <v>31</v>
      </c>
      <c r="C1472" t="s">
        <v>1193</v>
      </c>
      <c r="D1472" t="s">
        <v>27</v>
      </c>
      <c r="E1472" t="s">
        <v>1350</v>
      </c>
      <c r="F1472" t="s">
        <v>1293</v>
      </c>
      <c r="G1472" t="s">
        <v>900</v>
      </c>
      <c r="H1472" t="s">
        <v>360</v>
      </c>
      <c r="I1472" t="s">
        <v>1781</v>
      </c>
    </row>
    <row r="1473" spans="1:9" x14ac:dyDescent="0.25">
      <c r="A1473" t="s">
        <v>3782</v>
      </c>
      <c r="B1473" t="s">
        <v>3042</v>
      </c>
      <c r="C1473" t="s">
        <v>1184</v>
      </c>
      <c r="D1473" t="s">
        <v>27</v>
      </c>
      <c r="F1473" t="s">
        <v>8</v>
      </c>
      <c r="G1473" t="s">
        <v>900</v>
      </c>
      <c r="H1473" t="s">
        <v>1262</v>
      </c>
      <c r="I1473" t="s">
        <v>1907</v>
      </c>
    </row>
    <row r="1474" spans="1:9" x14ac:dyDescent="0.25">
      <c r="A1474" t="s">
        <v>4374</v>
      </c>
      <c r="B1474" t="s">
        <v>202</v>
      </c>
      <c r="C1474" t="s">
        <v>1198</v>
      </c>
      <c r="D1474" t="s">
        <v>203</v>
      </c>
      <c r="E1474" t="s">
        <v>1242</v>
      </c>
      <c r="F1474" t="s">
        <v>1293</v>
      </c>
      <c r="G1474" t="s">
        <v>910</v>
      </c>
      <c r="H1474" t="s">
        <v>4089</v>
      </c>
      <c r="I1474" t="s">
        <v>1886</v>
      </c>
    </row>
    <row r="1475" spans="1:9" x14ac:dyDescent="0.25">
      <c r="A1475" t="s">
        <v>2674</v>
      </c>
      <c r="B1475" t="s">
        <v>202</v>
      </c>
      <c r="C1475" t="s">
        <v>1198</v>
      </c>
      <c r="D1475" t="s">
        <v>203</v>
      </c>
      <c r="E1475" t="s">
        <v>1334</v>
      </c>
      <c r="F1475" t="s">
        <v>1293</v>
      </c>
      <c r="G1475" t="s">
        <v>910</v>
      </c>
      <c r="H1475" t="s">
        <v>2608</v>
      </c>
      <c r="I1475" t="s">
        <v>2161</v>
      </c>
    </row>
    <row r="1476" spans="1:9" x14ac:dyDescent="0.25">
      <c r="A1476" t="s">
        <v>4373</v>
      </c>
      <c r="B1476" t="s">
        <v>202</v>
      </c>
      <c r="C1476" t="s">
        <v>1198</v>
      </c>
      <c r="D1476" t="s">
        <v>203</v>
      </c>
      <c r="E1476" t="s">
        <v>1242</v>
      </c>
      <c r="F1476" t="s">
        <v>1229</v>
      </c>
      <c r="G1476" t="s">
        <v>910</v>
      </c>
      <c r="H1476" t="s">
        <v>4089</v>
      </c>
      <c r="I1476" t="s">
        <v>1886</v>
      </c>
    </row>
    <row r="1477" spans="1:9" x14ac:dyDescent="0.25">
      <c r="A1477" t="s">
        <v>4088</v>
      </c>
      <c r="B1477" t="s">
        <v>202</v>
      </c>
      <c r="C1477" t="s">
        <v>1198</v>
      </c>
      <c r="D1477" t="s">
        <v>203</v>
      </c>
      <c r="E1477" t="s">
        <v>1242</v>
      </c>
      <c r="F1477" t="s">
        <v>8</v>
      </c>
      <c r="G1477" t="s">
        <v>910</v>
      </c>
      <c r="H1477" t="s">
        <v>4089</v>
      </c>
      <c r="I1477" t="s">
        <v>1886</v>
      </c>
    </row>
    <row r="1478" spans="1:9" x14ac:dyDescent="0.25">
      <c r="A1478" t="s">
        <v>4305</v>
      </c>
      <c r="B1478" t="s">
        <v>202</v>
      </c>
      <c r="C1478" t="s">
        <v>1198</v>
      </c>
      <c r="D1478" t="s">
        <v>203</v>
      </c>
      <c r="E1478" t="s">
        <v>1334</v>
      </c>
      <c r="F1478" t="s">
        <v>1229</v>
      </c>
      <c r="G1478" t="s">
        <v>910</v>
      </c>
      <c r="H1478" t="s">
        <v>2608</v>
      </c>
      <c r="I1478" t="s">
        <v>2161</v>
      </c>
    </row>
    <row r="1479" spans="1:9" x14ac:dyDescent="0.25">
      <c r="A1479" t="s">
        <v>2607</v>
      </c>
      <c r="B1479" t="s">
        <v>202</v>
      </c>
      <c r="C1479" t="s">
        <v>1198</v>
      </c>
      <c r="D1479" t="s">
        <v>203</v>
      </c>
      <c r="E1479" t="s">
        <v>1334</v>
      </c>
      <c r="F1479" t="s">
        <v>8</v>
      </c>
      <c r="G1479" t="s">
        <v>910</v>
      </c>
      <c r="H1479" t="s">
        <v>2608</v>
      </c>
      <c r="I1479" t="s">
        <v>2161</v>
      </c>
    </row>
    <row r="1480" spans="1:9" x14ac:dyDescent="0.25">
      <c r="A1480" t="s">
        <v>4239</v>
      </c>
      <c r="B1480" t="s">
        <v>192</v>
      </c>
      <c r="C1480" t="s">
        <v>1180</v>
      </c>
      <c r="E1480" t="s">
        <v>1242</v>
      </c>
      <c r="F1480" t="s">
        <v>1293</v>
      </c>
      <c r="G1480" t="s">
        <v>910</v>
      </c>
      <c r="H1480" t="s">
        <v>193</v>
      </c>
      <c r="I1480" t="s">
        <v>1722</v>
      </c>
    </row>
    <row r="1481" spans="1:9" x14ac:dyDescent="0.25">
      <c r="A1481" t="s">
        <v>2596</v>
      </c>
      <c r="B1481" t="s">
        <v>192</v>
      </c>
      <c r="C1481" t="s">
        <v>1180</v>
      </c>
      <c r="E1481" t="s">
        <v>1242</v>
      </c>
      <c r="F1481" t="s">
        <v>1229</v>
      </c>
      <c r="G1481" t="s">
        <v>910</v>
      </c>
      <c r="H1481" t="s">
        <v>193</v>
      </c>
      <c r="I1481" t="s">
        <v>1722</v>
      </c>
    </row>
    <row r="1482" spans="1:9" x14ac:dyDescent="0.25">
      <c r="A1482" t="s">
        <v>4466</v>
      </c>
      <c r="B1482" t="s">
        <v>192</v>
      </c>
      <c r="C1482" t="s">
        <v>1180</v>
      </c>
      <c r="E1482" t="s">
        <v>1242</v>
      </c>
      <c r="F1482" t="s">
        <v>8</v>
      </c>
      <c r="G1482" t="s">
        <v>910</v>
      </c>
      <c r="H1482" t="s">
        <v>193</v>
      </c>
      <c r="I1482" t="s">
        <v>1722</v>
      </c>
    </row>
    <row r="1483" spans="1:9" x14ac:dyDescent="0.25">
      <c r="A1483" t="s">
        <v>4391</v>
      </c>
      <c r="B1483" t="s">
        <v>277</v>
      </c>
      <c r="C1483" t="s">
        <v>1180</v>
      </c>
      <c r="D1483" t="s">
        <v>56</v>
      </c>
      <c r="E1483" t="s">
        <v>1260</v>
      </c>
      <c r="F1483" t="s">
        <v>1251</v>
      </c>
      <c r="G1483" t="s">
        <v>900</v>
      </c>
      <c r="H1483" t="s">
        <v>327</v>
      </c>
      <c r="I1483" t="s">
        <v>1874</v>
      </c>
    </row>
    <row r="1484" spans="1:9" x14ac:dyDescent="0.25">
      <c r="A1484" t="s">
        <v>4238</v>
      </c>
      <c r="B1484" t="s">
        <v>277</v>
      </c>
      <c r="C1484" t="s">
        <v>1180</v>
      </c>
      <c r="D1484" t="s">
        <v>56</v>
      </c>
      <c r="E1484" t="s">
        <v>1260</v>
      </c>
      <c r="F1484" t="s">
        <v>8</v>
      </c>
      <c r="G1484" t="s">
        <v>900</v>
      </c>
      <c r="H1484" t="s">
        <v>327</v>
      </c>
      <c r="I1484" t="s">
        <v>1874</v>
      </c>
    </row>
    <row r="1485" spans="1:9" x14ac:dyDescent="0.25">
      <c r="A1485" t="s">
        <v>4237</v>
      </c>
      <c r="B1485" t="s">
        <v>277</v>
      </c>
      <c r="C1485" t="s">
        <v>1180</v>
      </c>
      <c r="D1485" t="s">
        <v>56</v>
      </c>
      <c r="E1485" t="s">
        <v>1260</v>
      </c>
      <c r="F1485" t="s">
        <v>1331</v>
      </c>
      <c r="G1485" t="s">
        <v>900</v>
      </c>
      <c r="H1485" t="s">
        <v>327</v>
      </c>
      <c r="I1485" t="s">
        <v>1874</v>
      </c>
    </row>
    <row r="1486" spans="1:9" x14ac:dyDescent="0.25">
      <c r="A1486" t="s">
        <v>3781</v>
      </c>
      <c r="B1486" t="s">
        <v>277</v>
      </c>
      <c r="C1486" t="s">
        <v>1180</v>
      </c>
      <c r="D1486" t="s">
        <v>56</v>
      </c>
      <c r="E1486" t="s">
        <v>1260</v>
      </c>
      <c r="F1486" t="s">
        <v>1293</v>
      </c>
      <c r="G1486" t="s">
        <v>900</v>
      </c>
      <c r="H1486" t="s">
        <v>327</v>
      </c>
      <c r="I1486" t="s">
        <v>1874</v>
      </c>
    </row>
    <row r="1487" spans="1:9" x14ac:dyDescent="0.25">
      <c r="A1487" t="s">
        <v>4346</v>
      </c>
      <c r="B1487" t="s">
        <v>277</v>
      </c>
      <c r="C1487" t="s">
        <v>1180</v>
      </c>
      <c r="D1487" t="s">
        <v>56</v>
      </c>
      <c r="E1487" t="s">
        <v>1260</v>
      </c>
      <c r="F1487" t="s">
        <v>8</v>
      </c>
      <c r="G1487" t="s">
        <v>900</v>
      </c>
      <c r="H1487" t="s">
        <v>327</v>
      </c>
      <c r="I1487" t="s">
        <v>1874</v>
      </c>
    </row>
    <row r="1488" spans="1:9" x14ac:dyDescent="0.25">
      <c r="A1488" t="s">
        <v>4345</v>
      </c>
      <c r="B1488" t="s">
        <v>277</v>
      </c>
      <c r="C1488" t="s">
        <v>1180</v>
      </c>
      <c r="D1488" t="s">
        <v>15</v>
      </c>
      <c r="E1488" t="s">
        <v>1240</v>
      </c>
      <c r="F1488" t="s">
        <v>1251</v>
      </c>
      <c r="G1488" t="s">
        <v>900</v>
      </c>
      <c r="H1488" t="s">
        <v>105</v>
      </c>
      <c r="I1488" t="s">
        <v>1901</v>
      </c>
    </row>
    <row r="1489" spans="1:9" x14ac:dyDescent="0.25">
      <c r="A1489" t="s">
        <v>4344</v>
      </c>
      <c r="B1489" t="s">
        <v>277</v>
      </c>
      <c r="C1489" t="s">
        <v>1180</v>
      </c>
      <c r="D1489" t="s">
        <v>15</v>
      </c>
      <c r="E1489" t="s">
        <v>1240</v>
      </c>
      <c r="F1489" t="s">
        <v>8</v>
      </c>
      <c r="G1489" t="s">
        <v>900</v>
      </c>
      <c r="H1489" t="s">
        <v>105</v>
      </c>
      <c r="I1489" t="s">
        <v>1901</v>
      </c>
    </row>
    <row r="1490" spans="1:9" x14ac:dyDescent="0.25">
      <c r="A1490" t="s">
        <v>4087</v>
      </c>
      <c r="B1490" t="s">
        <v>398</v>
      </c>
      <c r="C1490" t="s">
        <v>1197</v>
      </c>
      <c r="D1490" t="s">
        <v>15</v>
      </c>
      <c r="E1490" t="s">
        <v>1250</v>
      </c>
      <c r="F1490" t="s">
        <v>1229</v>
      </c>
      <c r="G1490" t="s">
        <v>910</v>
      </c>
      <c r="H1490" t="s">
        <v>163</v>
      </c>
      <c r="I1490" t="s">
        <v>1766</v>
      </c>
    </row>
    <row r="1491" spans="1:9" x14ac:dyDescent="0.25">
      <c r="A1491" t="s">
        <v>3776</v>
      </c>
      <c r="B1491" t="s">
        <v>398</v>
      </c>
      <c r="C1491" t="s">
        <v>1197</v>
      </c>
      <c r="D1491" t="s">
        <v>15</v>
      </c>
      <c r="E1491" t="s">
        <v>1250</v>
      </c>
      <c r="F1491" t="s">
        <v>8</v>
      </c>
      <c r="G1491" t="s">
        <v>910</v>
      </c>
      <c r="H1491" t="s">
        <v>163</v>
      </c>
      <c r="I1491" t="s">
        <v>1766</v>
      </c>
    </row>
    <row r="1492" spans="1:9" x14ac:dyDescent="0.25">
      <c r="A1492" t="s">
        <v>4086</v>
      </c>
      <c r="B1492" t="s">
        <v>398</v>
      </c>
      <c r="C1492" t="s">
        <v>1197</v>
      </c>
      <c r="D1492" t="s">
        <v>15</v>
      </c>
      <c r="E1492" t="s">
        <v>1250</v>
      </c>
      <c r="F1492" t="s">
        <v>1293</v>
      </c>
      <c r="G1492" t="s">
        <v>910</v>
      </c>
      <c r="H1492" t="s">
        <v>163</v>
      </c>
      <c r="I1492" t="s">
        <v>1766</v>
      </c>
    </row>
    <row r="1493" spans="1:9" x14ac:dyDescent="0.25">
      <c r="A1493" t="s">
        <v>3420</v>
      </c>
      <c r="B1493" t="s">
        <v>421</v>
      </c>
      <c r="C1493" t="s">
        <v>1198</v>
      </c>
      <c r="D1493" t="s">
        <v>197</v>
      </c>
      <c r="E1493" t="s">
        <v>1242</v>
      </c>
      <c r="F1493" t="s">
        <v>1229</v>
      </c>
      <c r="G1493" t="s">
        <v>910</v>
      </c>
      <c r="H1493" t="s">
        <v>3421</v>
      </c>
      <c r="I1493" t="s">
        <v>1784</v>
      </c>
    </row>
    <row r="1494" spans="1:9" x14ac:dyDescent="0.25">
      <c r="A1494" t="s">
        <v>3423</v>
      </c>
      <c r="B1494" t="s">
        <v>421</v>
      </c>
      <c r="C1494" t="s">
        <v>1198</v>
      </c>
      <c r="D1494" t="s">
        <v>197</v>
      </c>
      <c r="E1494" t="s">
        <v>1242</v>
      </c>
      <c r="F1494" t="s">
        <v>8</v>
      </c>
      <c r="G1494" t="s">
        <v>910</v>
      </c>
      <c r="H1494" t="s">
        <v>3421</v>
      </c>
      <c r="I1494" t="s">
        <v>1784</v>
      </c>
    </row>
    <row r="1495" spans="1:9" x14ac:dyDescent="0.25">
      <c r="A1495" t="s">
        <v>3422</v>
      </c>
      <c r="B1495" t="s">
        <v>421</v>
      </c>
      <c r="C1495" t="s">
        <v>1198</v>
      </c>
      <c r="D1495" t="s">
        <v>197</v>
      </c>
      <c r="E1495" t="s">
        <v>1242</v>
      </c>
      <c r="F1495" t="s">
        <v>1293</v>
      </c>
      <c r="G1495" t="s">
        <v>910</v>
      </c>
      <c r="H1495" t="s">
        <v>3421</v>
      </c>
      <c r="I1495" t="s">
        <v>1784</v>
      </c>
    </row>
    <row r="1496" spans="1:9" x14ac:dyDescent="0.25">
      <c r="A1496" t="s">
        <v>4094</v>
      </c>
      <c r="B1496" t="s">
        <v>479</v>
      </c>
      <c r="C1496" t="s">
        <v>1180</v>
      </c>
      <c r="D1496" t="s">
        <v>21</v>
      </c>
      <c r="E1496" t="s">
        <v>1242</v>
      </c>
      <c r="F1496" t="s">
        <v>1293</v>
      </c>
      <c r="G1496" t="s">
        <v>910</v>
      </c>
      <c r="H1496" t="s">
        <v>494</v>
      </c>
      <c r="I1496" t="s">
        <v>1808</v>
      </c>
    </row>
    <row r="1497" spans="1:9" x14ac:dyDescent="0.25">
      <c r="A1497" t="s">
        <v>4415</v>
      </c>
      <c r="B1497" t="s">
        <v>479</v>
      </c>
      <c r="C1497" t="s">
        <v>1180</v>
      </c>
      <c r="D1497" t="s">
        <v>21</v>
      </c>
      <c r="E1497" t="s">
        <v>1242</v>
      </c>
      <c r="F1497" t="s">
        <v>1229</v>
      </c>
      <c r="G1497" t="s">
        <v>910</v>
      </c>
      <c r="H1497" t="s">
        <v>494</v>
      </c>
      <c r="I1497" t="s">
        <v>1808</v>
      </c>
    </row>
    <row r="1498" spans="1:9" x14ac:dyDescent="0.25">
      <c r="A1498" t="s">
        <v>2680</v>
      </c>
      <c r="B1498" t="s">
        <v>479</v>
      </c>
      <c r="C1498" t="s">
        <v>1180</v>
      </c>
      <c r="D1498" t="s">
        <v>21</v>
      </c>
      <c r="E1498" t="s">
        <v>1242</v>
      </c>
      <c r="F1498" t="s">
        <v>8</v>
      </c>
      <c r="G1498" t="s">
        <v>910</v>
      </c>
      <c r="H1498" t="s">
        <v>494</v>
      </c>
      <c r="I1498" t="s">
        <v>1808</v>
      </c>
    </row>
    <row r="1499" spans="1:9" x14ac:dyDescent="0.25">
      <c r="A1499" t="s">
        <v>4487</v>
      </c>
      <c r="B1499" t="s">
        <v>479</v>
      </c>
      <c r="C1499" t="s">
        <v>1180</v>
      </c>
      <c r="D1499" t="s">
        <v>21</v>
      </c>
      <c r="E1499" t="s">
        <v>1242</v>
      </c>
      <c r="F1499" t="s">
        <v>1229</v>
      </c>
      <c r="G1499" t="s">
        <v>910</v>
      </c>
      <c r="H1499" t="s">
        <v>1281</v>
      </c>
      <c r="I1499" t="s">
        <v>1694</v>
      </c>
    </row>
    <row r="1500" spans="1:9" x14ac:dyDescent="0.25">
      <c r="A1500" t="s">
        <v>2535</v>
      </c>
      <c r="B1500" t="s">
        <v>479</v>
      </c>
      <c r="C1500" t="s">
        <v>1180</v>
      </c>
      <c r="D1500" t="s">
        <v>21</v>
      </c>
      <c r="E1500" t="s">
        <v>1242</v>
      </c>
      <c r="F1500" t="s">
        <v>8</v>
      </c>
      <c r="G1500" t="s">
        <v>910</v>
      </c>
      <c r="H1500" t="s">
        <v>480</v>
      </c>
      <c r="I1500" t="s">
        <v>1659</v>
      </c>
    </row>
    <row r="1501" spans="1:9" x14ac:dyDescent="0.25">
      <c r="A1501" t="s">
        <v>2679</v>
      </c>
      <c r="B1501" t="s">
        <v>548</v>
      </c>
      <c r="C1501" t="s">
        <v>1180</v>
      </c>
      <c r="D1501" t="s">
        <v>56</v>
      </c>
      <c r="E1501" t="s">
        <v>1334</v>
      </c>
      <c r="F1501" t="s">
        <v>1229</v>
      </c>
      <c r="G1501" t="s">
        <v>910</v>
      </c>
      <c r="H1501" t="s">
        <v>549</v>
      </c>
      <c r="I1501" t="s">
        <v>550</v>
      </c>
    </row>
    <row r="1502" spans="1:9" x14ac:dyDescent="0.25">
      <c r="A1502" t="s">
        <v>4414</v>
      </c>
      <c r="B1502" t="s">
        <v>548</v>
      </c>
      <c r="C1502" t="s">
        <v>1180</v>
      </c>
      <c r="D1502" t="s">
        <v>56</v>
      </c>
      <c r="E1502" t="s">
        <v>1334</v>
      </c>
      <c r="F1502" t="s">
        <v>8</v>
      </c>
      <c r="G1502" t="s">
        <v>910</v>
      </c>
      <c r="H1502" t="s">
        <v>549</v>
      </c>
      <c r="I1502" t="s">
        <v>550</v>
      </c>
    </row>
    <row r="1503" spans="1:9" x14ac:dyDescent="0.25">
      <c r="A1503" t="s">
        <v>4236</v>
      </c>
      <c r="B1503" t="s">
        <v>548</v>
      </c>
      <c r="C1503" t="s">
        <v>1180</v>
      </c>
      <c r="D1503" t="s">
        <v>56</v>
      </c>
      <c r="E1503" t="s">
        <v>1334</v>
      </c>
      <c r="F1503" t="s">
        <v>1331</v>
      </c>
      <c r="G1503" t="s">
        <v>910</v>
      </c>
      <c r="H1503" t="s">
        <v>549</v>
      </c>
      <c r="I1503" t="s">
        <v>550</v>
      </c>
    </row>
    <row r="1504" spans="1:9" x14ac:dyDescent="0.25">
      <c r="A1504" t="s">
        <v>4235</v>
      </c>
      <c r="B1504" t="s">
        <v>548</v>
      </c>
      <c r="C1504" t="s">
        <v>1180</v>
      </c>
      <c r="D1504" t="s">
        <v>56</v>
      </c>
      <c r="E1504" t="s">
        <v>1334</v>
      </c>
      <c r="F1504" t="s">
        <v>1293</v>
      </c>
      <c r="G1504" t="s">
        <v>910</v>
      </c>
      <c r="H1504" t="s">
        <v>549</v>
      </c>
      <c r="I1504" t="s">
        <v>550</v>
      </c>
    </row>
    <row r="1505" spans="1:9" x14ac:dyDescent="0.25">
      <c r="A1505" t="s">
        <v>4234</v>
      </c>
      <c r="B1505" t="s">
        <v>592</v>
      </c>
      <c r="C1505" t="s">
        <v>1183</v>
      </c>
      <c r="D1505" t="s">
        <v>56</v>
      </c>
      <c r="E1505" t="s">
        <v>1399</v>
      </c>
      <c r="F1505" t="s">
        <v>1293</v>
      </c>
      <c r="G1505" t="s">
        <v>910</v>
      </c>
      <c r="H1505" t="s">
        <v>252</v>
      </c>
      <c r="I1505" t="s">
        <v>1898</v>
      </c>
    </row>
    <row r="1506" spans="1:9" x14ac:dyDescent="0.25">
      <c r="A1506" t="s">
        <v>4343</v>
      </c>
      <c r="B1506" t="s">
        <v>592</v>
      </c>
      <c r="C1506" t="s">
        <v>1183</v>
      </c>
      <c r="D1506" t="s">
        <v>56</v>
      </c>
      <c r="E1506" t="s">
        <v>1399</v>
      </c>
      <c r="F1506" t="s">
        <v>1229</v>
      </c>
      <c r="G1506" t="s">
        <v>910</v>
      </c>
      <c r="H1506" t="s">
        <v>252</v>
      </c>
      <c r="I1506" t="s">
        <v>1898</v>
      </c>
    </row>
    <row r="1507" spans="1:9" x14ac:dyDescent="0.25">
      <c r="A1507" t="s">
        <v>2609</v>
      </c>
      <c r="B1507" t="s">
        <v>592</v>
      </c>
      <c r="C1507" t="s">
        <v>1183</v>
      </c>
      <c r="D1507" t="s">
        <v>56</v>
      </c>
      <c r="E1507" t="s">
        <v>1399</v>
      </c>
      <c r="F1507" t="s">
        <v>8</v>
      </c>
      <c r="G1507" t="s">
        <v>910</v>
      </c>
      <c r="H1507" t="s">
        <v>92</v>
      </c>
      <c r="I1507" t="s">
        <v>2441</v>
      </c>
    </row>
    <row r="1508" spans="1:9" x14ac:dyDescent="0.25">
      <c r="A1508" t="s">
        <v>3780</v>
      </c>
      <c r="B1508" t="s">
        <v>635</v>
      </c>
      <c r="C1508" t="s">
        <v>1183</v>
      </c>
      <c r="D1508" t="s">
        <v>56</v>
      </c>
      <c r="E1508" t="s">
        <v>1443</v>
      </c>
      <c r="F1508" t="s">
        <v>1293</v>
      </c>
      <c r="G1508" t="s">
        <v>910</v>
      </c>
      <c r="H1508" t="s">
        <v>64</v>
      </c>
      <c r="I1508" t="s">
        <v>2356</v>
      </c>
    </row>
    <row r="1509" spans="1:9" x14ac:dyDescent="0.25">
      <c r="A1509" t="s">
        <v>4233</v>
      </c>
      <c r="B1509" t="s">
        <v>635</v>
      </c>
      <c r="C1509" t="s">
        <v>1183</v>
      </c>
      <c r="D1509" t="s">
        <v>56</v>
      </c>
      <c r="E1509" t="s">
        <v>1443</v>
      </c>
      <c r="F1509" t="s">
        <v>1229</v>
      </c>
      <c r="G1509" t="s">
        <v>910</v>
      </c>
      <c r="H1509" t="s">
        <v>64</v>
      </c>
      <c r="I1509" t="s">
        <v>2356</v>
      </c>
    </row>
    <row r="1510" spans="1:9" x14ac:dyDescent="0.25">
      <c r="A1510" t="s">
        <v>2678</v>
      </c>
      <c r="B1510" t="s">
        <v>635</v>
      </c>
      <c r="C1510" t="s">
        <v>1183</v>
      </c>
      <c r="D1510" t="s">
        <v>56</v>
      </c>
      <c r="E1510" t="s">
        <v>1443</v>
      </c>
      <c r="F1510" t="s">
        <v>8</v>
      </c>
      <c r="G1510" t="s">
        <v>910</v>
      </c>
      <c r="H1510" t="s">
        <v>23</v>
      </c>
      <c r="I1510" t="s">
        <v>2453</v>
      </c>
    </row>
    <row r="1511" spans="1:9" x14ac:dyDescent="0.25">
      <c r="A1511" t="s">
        <v>2767</v>
      </c>
      <c r="B1511" t="s">
        <v>741</v>
      </c>
      <c r="C1511" t="s">
        <v>1186</v>
      </c>
      <c r="D1511" t="s">
        <v>62</v>
      </c>
      <c r="E1511" t="s">
        <v>1250</v>
      </c>
      <c r="F1511" t="s">
        <v>1251</v>
      </c>
      <c r="G1511" t="s">
        <v>900</v>
      </c>
      <c r="H1511" t="s">
        <v>330</v>
      </c>
      <c r="I1511" t="s">
        <v>747</v>
      </c>
    </row>
    <row r="1512" spans="1:9" x14ac:dyDescent="0.25">
      <c r="A1512" t="s">
        <v>4342</v>
      </c>
      <c r="B1512" t="s">
        <v>741</v>
      </c>
      <c r="C1512" t="s">
        <v>1186</v>
      </c>
      <c r="D1512" t="s">
        <v>62</v>
      </c>
      <c r="E1512" t="s">
        <v>1250</v>
      </c>
      <c r="F1512" t="s">
        <v>8</v>
      </c>
      <c r="G1512" t="s">
        <v>900</v>
      </c>
      <c r="H1512" t="s">
        <v>330</v>
      </c>
      <c r="I1512" t="s">
        <v>747</v>
      </c>
    </row>
    <row r="1513" spans="1:9" x14ac:dyDescent="0.25">
      <c r="A1513" t="s">
        <v>4093</v>
      </c>
      <c r="B1513" t="s">
        <v>741</v>
      </c>
      <c r="C1513" t="s">
        <v>1186</v>
      </c>
      <c r="D1513" t="s">
        <v>62</v>
      </c>
      <c r="E1513" t="s">
        <v>1250</v>
      </c>
      <c r="F1513" t="s">
        <v>1293</v>
      </c>
      <c r="G1513" t="s">
        <v>900</v>
      </c>
      <c r="H1513" t="s">
        <v>330</v>
      </c>
      <c r="I1513" t="s">
        <v>747</v>
      </c>
    </row>
    <row r="1514" spans="1:9" x14ac:dyDescent="0.25">
      <c r="A1514" t="s">
        <v>2766</v>
      </c>
      <c r="B1514" t="s">
        <v>749</v>
      </c>
      <c r="C1514" t="s">
        <v>1180</v>
      </c>
      <c r="D1514" t="s">
        <v>27</v>
      </c>
      <c r="E1514" t="s">
        <v>1340</v>
      </c>
      <c r="F1514" t="s">
        <v>1229</v>
      </c>
      <c r="G1514" t="s">
        <v>910</v>
      </c>
      <c r="H1514" t="s">
        <v>126</v>
      </c>
      <c r="I1514" t="s">
        <v>1817</v>
      </c>
    </row>
    <row r="1515" spans="1:9" x14ac:dyDescent="0.25">
      <c r="A1515" t="s">
        <v>2765</v>
      </c>
      <c r="B1515" t="s">
        <v>749</v>
      </c>
      <c r="C1515" t="s">
        <v>1180</v>
      </c>
      <c r="D1515" t="s">
        <v>27</v>
      </c>
      <c r="E1515" t="s">
        <v>1340</v>
      </c>
      <c r="F1515" t="s">
        <v>8</v>
      </c>
      <c r="G1515" t="s">
        <v>910</v>
      </c>
      <c r="H1515" t="s">
        <v>126</v>
      </c>
      <c r="I1515" t="s">
        <v>1817</v>
      </c>
    </row>
    <row r="1516" spans="1:9" x14ac:dyDescent="0.25">
      <c r="A1516" t="s">
        <v>2677</v>
      </c>
      <c r="B1516" t="s">
        <v>749</v>
      </c>
      <c r="C1516" t="s">
        <v>1180</v>
      </c>
      <c r="D1516" t="s">
        <v>27</v>
      </c>
      <c r="E1516" t="s">
        <v>1340</v>
      </c>
      <c r="F1516" t="s">
        <v>1331</v>
      </c>
      <c r="G1516" t="s">
        <v>910</v>
      </c>
      <c r="H1516" t="s">
        <v>126</v>
      </c>
      <c r="I1516" t="s">
        <v>1817</v>
      </c>
    </row>
    <row r="1517" spans="1:9" x14ac:dyDescent="0.25">
      <c r="A1517" t="s">
        <v>4092</v>
      </c>
      <c r="B1517" t="s">
        <v>749</v>
      </c>
      <c r="C1517" t="s">
        <v>1180</v>
      </c>
      <c r="D1517" t="s">
        <v>27</v>
      </c>
      <c r="E1517" t="s">
        <v>1340</v>
      </c>
      <c r="F1517" t="s">
        <v>1293</v>
      </c>
      <c r="G1517" t="s">
        <v>910</v>
      </c>
      <c r="H1517" t="s">
        <v>126</v>
      </c>
      <c r="I1517" t="s">
        <v>1817</v>
      </c>
    </row>
    <row r="1518" spans="1:9" x14ac:dyDescent="0.25">
      <c r="A1518" t="s">
        <v>2763</v>
      </c>
      <c r="B1518" t="s">
        <v>749</v>
      </c>
      <c r="C1518" t="s">
        <v>1180</v>
      </c>
      <c r="D1518" t="s">
        <v>27</v>
      </c>
      <c r="E1518" t="s">
        <v>1300</v>
      </c>
      <c r="F1518" t="s">
        <v>1293</v>
      </c>
      <c r="G1518" t="s">
        <v>910</v>
      </c>
      <c r="H1518" t="s">
        <v>2764</v>
      </c>
      <c r="I1518" t="s">
        <v>2329</v>
      </c>
    </row>
    <row r="1519" spans="1:9" x14ac:dyDescent="0.25">
      <c r="A1519" t="s">
        <v>4375</v>
      </c>
      <c r="B1519" t="s">
        <v>749</v>
      </c>
      <c r="C1519" t="s">
        <v>1180</v>
      </c>
      <c r="D1519" t="s">
        <v>27</v>
      </c>
      <c r="E1519" t="s">
        <v>1300</v>
      </c>
      <c r="F1519" t="s">
        <v>1229</v>
      </c>
      <c r="G1519" t="s">
        <v>910</v>
      </c>
      <c r="H1519" t="s">
        <v>2764</v>
      </c>
      <c r="I1519" t="s">
        <v>2329</v>
      </c>
    </row>
    <row r="1520" spans="1:9" x14ac:dyDescent="0.25">
      <c r="A1520" t="s">
        <v>3779</v>
      </c>
      <c r="B1520" t="s">
        <v>749</v>
      </c>
      <c r="C1520" t="s">
        <v>1180</v>
      </c>
      <c r="D1520" t="s">
        <v>27</v>
      </c>
      <c r="E1520" t="s">
        <v>1300</v>
      </c>
      <c r="F1520" t="s">
        <v>8</v>
      </c>
      <c r="G1520" t="s">
        <v>910</v>
      </c>
      <c r="H1520" t="s">
        <v>2764</v>
      </c>
      <c r="I1520" t="s">
        <v>2329</v>
      </c>
    </row>
    <row r="1521" spans="1:9" x14ac:dyDescent="0.25">
      <c r="A1521" t="s">
        <v>2556</v>
      </c>
      <c r="B1521" t="s">
        <v>749</v>
      </c>
      <c r="C1521" t="s">
        <v>1180</v>
      </c>
      <c r="D1521" t="s">
        <v>27</v>
      </c>
      <c r="E1521" t="s">
        <v>1259</v>
      </c>
      <c r="F1521" t="s">
        <v>1229</v>
      </c>
      <c r="G1521" t="s">
        <v>910</v>
      </c>
      <c r="H1521" t="s">
        <v>765</v>
      </c>
      <c r="I1521" t="s">
        <v>1699</v>
      </c>
    </row>
    <row r="1522" spans="1:9" x14ac:dyDescent="0.25">
      <c r="A1522" t="s">
        <v>4496</v>
      </c>
      <c r="B1522" t="s">
        <v>749</v>
      </c>
      <c r="C1522" t="s">
        <v>1180</v>
      </c>
      <c r="D1522" t="s">
        <v>27</v>
      </c>
      <c r="E1522" t="s">
        <v>1259</v>
      </c>
      <c r="F1522" t="s">
        <v>8</v>
      </c>
      <c r="G1522" t="s">
        <v>910</v>
      </c>
      <c r="H1522" t="s">
        <v>2623</v>
      </c>
      <c r="I1522" t="s">
        <v>1666</v>
      </c>
    </row>
    <row r="1523" spans="1:9" x14ac:dyDescent="0.25">
      <c r="A1523" t="s">
        <v>4413</v>
      </c>
      <c r="B1523" t="s">
        <v>773</v>
      </c>
      <c r="C1523" t="s">
        <v>1182</v>
      </c>
      <c r="D1523" t="s">
        <v>84</v>
      </c>
      <c r="E1523" t="s">
        <v>1271</v>
      </c>
      <c r="F1523" t="s">
        <v>1293</v>
      </c>
      <c r="G1523" t="s">
        <v>910</v>
      </c>
      <c r="H1523" t="s">
        <v>790</v>
      </c>
      <c r="I1523" t="s">
        <v>1810</v>
      </c>
    </row>
    <row r="1524" spans="1:9" x14ac:dyDescent="0.25">
      <c r="A1524" t="s">
        <v>4465</v>
      </c>
      <c r="B1524" t="s">
        <v>773</v>
      </c>
      <c r="C1524" t="s">
        <v>1182</v>
      </c>
      <c r="D1524" t="s">
        <v>84</v>
      </c>
      <c r="E1524" t="s">
        <v>1271</v>
      </c>
      <c r="F1524" t="s">
        <v>1229</v>
      </c>
      <c r="G1524" t="s">
        <v>910</v>
      </c>
      <c r="H1524" t="s">
        <v>790</v>
      </c>
      <c r="I1524" t="s">
        <v>1810</v>
      </c>
    </row>
    <row r="1525" spans="1:9" x14ac:dyDescent="0.25">
      <c r="A1525" t="s">
        <v>4412</v>
      </c>
      <c r="B1525" t="s">
        <v>773</v>
      </c>
      <c r="C1525" t="s">
        <v>1182</v>
      </c>
      <c r="D1525" t="s">
        <v>84</v>
      </c>
      <c r="E1525" t="s">
        <v>1271</v>
      </c>
      <c r="F1525" t="s">
        <v>8</v>
      </c>
      <c r="G1525" t="s">
        <v>910</v>
      </c>
      <c r="H1525" t="s">
        <v>790</v>
      </c>
      <c r="I1525" t="s">
        <v>1810</v>
      </c>
    </row>
    <row r="1526" spans="1:9" x14ac:dyDescent="0.25">
      <c r="A1526" t="s">
        <v>4091</v>
      </c>
      <c r="B1526" t="s">
        <v>822</v>
      </c>
      <c r="C1526" t="s">
        <v>1183</v>
      </c>
      <c r="D1526" t="s">
        <v>56</v>
      </c>
      <c r="E1526" t="s">
        <v>1386</v>
      </c>
      <c r="F1526" t="s">
        <v>1293</v>
      </c>
      <c r="G1526" t="s">
        <v>910</v>
      </c>
      <c r="H1526" t="s">
        <v>486</v>
      </c>
      <c r="I1526" t="s">
        <v>1863</v>
      </c>
    </row>
    <row r="1527" spans="1:9" x14ac:dyDescent="0.25">
      <c r="A1527" t="s">
        <v>2676</v>
      </c>
      <c r="B1527" t="s">
        <v>822</v>
      </c>
      <c r="C1527" t="s">
        <v>1183</v>
      </c>
      <c r="D1527" t="s">
        <v>56</v>
      </c>
      <c r="E1527" t="s">
        <v>1386</v>
      </c>
      <c r="F1527" t="s">
        <v>1229</v>
      </c>
      <c r="G1527" t="s">
        <v>910</v>
      </c>
      <c r="H1527" t="s">
        <v>486</v>
      </c>
      <c r="I1527" t="s">
        <v>1863</v>
      </c>
    </row>
    <row r="1528" spans="1:9" x14ac:dyDescent="0.25">
      <c r="A1528" t="s">
        <v>4411</v>
      </c>
      <c r="B1528" t="s">
        <v>822</v>
      </c>
      <c r="C1528" t="s">
        <v>1183</v>
      </c>
      <c r="D1528" t="s">
        <v>56</v>
      </c>
      <c r="E1528" t="s">
        <v>1386</v>
      </c>
      <c r="F1528" t="s">
        <v>8</v>
      </c>
      <c r="G1528" t="s">
        <v>910</v>
      </c>
      <c r="H1528" t="s">
        <v>486</v>
      </c>
      <c r="I1528" t="s">
        <v>1863</v>
      </c>
    </row>
    <row r="1529" spans="1:9" x14ac:dyDescent="0.25">
      <c r="A1529" t="s">
        <v>2675</v>
      </c>
      <c r="B1529" t="s">
        <v>863</v>
      </c>
      <c r="C1529" t="s">
        <v>1180</v>
      </c>
      <c r="D1529" t="s">
        <v>62</v>
      </c>
      <c r="E1529" t="s">
        <v>1250</v>
      </c>
      <c r="F1529" t="s">
        <v>1229</v>
      </c>
      <c r="G1529" t="s">
        <v>910</v>
      </c>
      <c r="H1529" t="s">
        <v>321</v>
      </c>
      <c r="I1529" t="s">
        <v>1866</v>
      </c>
    </row>
    <row r="1530" spans="1:9" x14ac:dyDescent="0.25">
      <c r="A1530" t="s">
        <v>4090</v>
      </c>
      <c r="B1530" t="s">
        <v>863</v>
      </c>
      <c r="C1530" t="s">
        <v>1180</v>
      </c>
      <c r="D1530" t="s">
        <v>62</v>
      </c>
      <c r="E1530" t="s">
        <v>1250</v>
      </c>
      <c r="F1530" t="s">
        <v>8</v>
      </c>
      <c r="G1530" t="s">
        <v>910</v>
      </c>
      <c r="H1530" t="s">
        <v>321</v>
      </c>
      <c r="I1530" t="s">
        <v>1866</v>
      </c>
    </row>
    <row r="1531" spans="1:9" x14ac:dyDescent="0.25">
      <c r="A1531" t="s">
        <v>3778</v>
      </c>
      <c r="B1531" t="s">
        <v>863</v>
      </c>
      <c r="C1531" t="s">
        <v>1180</v>
      </c>
      <c r="D1531" t="s">
        <v>62</v>
      </c>
      <c r="E1531" t="s">
        <v>1250</v>
      </c>
      <c r="F1531" t="s">
        <v>1331</v>
      </c>
      <c r="G1531" t="s">
        <v>910</v>
      </c>
      <c r="H1531" t="s">
        <v>321</v>
      </c>
      <c r="I1531" t="s">
        <v>1866</v>
      </c>
    </row>
    <row r="1532" spans="1:9" x14ac:dyDescent="0.25">
      <c r="A1532" t="s">
        <v>2762</v>
      </c>
      <c r="B1532" t="s">
        <v>863</v>
      </c>
      <c r="C1532" t="s">
        <v>1180</v>
      </c>
      <c r="D1532" t="s">
        <v>62</v>
      </c>
      <c r="E1532" t="s">
        <v>1250</v>
      </c>
      <c r="F1532" t="s">
        <v>1293</v>
      </c>
      <c r="G1532" t="s">
        <v>910</v>
      </c>
      <c r="H1532" t="s">
        <v>321</v>
      </c>
      <c r="I1532" t="s">
        <v>1866</v>
      </c>
    </row>
    <row r="1533" spans="1:9" x14ac:dyDescent="0.25">
      <c r="A1533" t="s">
        <v>4232</v>
      </c>
      <c r="B1533" t="s">
        <v>863</v>
      </c>
      <c r="C1533" t="s">
        <v>1180</v>
      </c>
      <c r="D1533" t="s">
        <v>62</v>
      </c>
      <c r="E1533" t="s">
        <v>1250</v>
      </c>
      <c r="F1533" t="s">
        <v>8</v>
      </c>
      <c r="G1533" t="s">
        <v>910</v>
      </c>
      <c r="H1533" t="s">
        <v>321</v>
      </c>
      <c r="I1533" t="s">
        <v>1866</v>
      </c>
    </row>
    <row r="1534" spans="1:9" x14ac:dyDescent="0.25">
      <c r="A1534" t="s">
        <v>943</v>
      </c>
      <c r="B1534" t="s">
        <v>863</v>
      </c>
      <c r="C1534" t="s">
        <v>1180</v>
      </c>
      <c r="D1534" t="s">
        <v>91</v>
      </c>
      <c r="E1534" t="s">
        <v>1250</v>
      </c>
      <c r="F1534" t="s">
        <v>1293</v>
      </c>
      <c r="G1534" t="s">
        <v>910</v>
      </c>
      <c r="H1534" t="s">
        <v>108</v>
      </c>
      <c r="I1534" t="s">
        <v>1873</v>
      </c>
    </row>
    <row r="1535" spans="1:9" x14ac:dyDescent="0.25">
      <c r="A1535" t="s">
        <v>3777</v>
      </c>
      <c r="B1535" t="s">
        <v>863</v>
      </c>
      <c r="C1535" t="s">
        <v>1180</v>
      </c>
      <c r="D1535" t="s">
        <v>84</v>
      </c>
      <c r="E1535" t="s">
        <v>1250</v>
      </c>
      <c r="F1535" t="s">
        <v>1293</v>
      </c>
      <c r="G1535" t="s">
        <v>910</v>
      </c>
      <c r="H1535" t="s">
        <v>246</v>
      </c>
      <c r="I1535" t="s">
        <v>1700</v>
      </c>
    </row>
    <row r="1536" spans="1:9" x14ac:dyDescent="0.25">
      <c r="A1536" t="s">
        <v>1174</v>
      </c>
      <c r="B1536" t="s">
        <v>863</v>
      </c>
      <c r="C1536" t="s">
        <v>1180</v>
      </c>
      <c r="D1536" t="s">
        <v>91</v>
      </c>
      <c r="E1536" t="s">
        <v>1250</v>
      </c>
      <c r="F1536" t="s">
        <v>1229</v>
      </c>
      <c r="G1536" t="s">
        <v>910</v>
      </c>
      <c r="H1536" t="s">
        <v>108</v>
      </c>
      <c r="I1536" t="s">
        <v>1873</v>
      </c>
    </row>
    <row r="1537" spans="1:9" x14ac:dyDescent="0.25">
      <c r="A1537" t="s">
        <v>914</v>
      </c>
      <c r="B1537" t="s">
        <v>863</v>
      </c>
      <c r="C1537" t="s">
        <v>1180</v>
      </c>
      <c r="D1537" t="s">
        <v>84</v>
      </c>
      <c r="E1537" t="s">
        <v>1250</v>
      </c>
      <c r="F1537" t="s">
        <v>1229</v>
      </c>
      <c r="G1537" t="s">
        <v>910</v>
      </c>
      <c r="H1537" t="s">
        <v>246</v>
      </c>
      <c r="I1537" t="s">
        <v>1700</v>
      </c>
    </row>
    <row r="1538" spans="1:9" x14ac:dyDescent="0.25">
      <c r="A1538" t="s">
        <v>964</v>
      </c>
      <c r="B1538" t="s">
        <v>863</v>
      </c>
      <c r="C1538" t="s">
        <v>1180</v>
      </c>
      <c r="D1538" t="s">
        <v>91</v>
      </c>
      <c r="E1538" t="s">
        <v>1250</v>
      </c>
      <c r="F1538" t="s">
        <v>8</v>
      </c>
      <c r="G1538" t="s">
        <v>910</v>
      </c>
      <c r="H1538" t="s">
        <v>108</v>
      </c>
      <c r="I1538" t="s">
        <v>1873</v>
      </c>
    </row>
    <row r="1539" spans="1:9" x14ac:dyDescent="0.25">
      <c r="A1539" t="s">
        <v>1165</v>
      </c>
      <c r="B1539" t="s">
        <v>863</v>
      </c>
      <c r="C1539" t="s">
        <v>1180</v>
      </c>
      <c r="D1539" t="s">
        <v>84</v>
      </c>
      <c r="E1539" t="s">
        <v>1250</v>
      </c>
      <c r="F1539" t="s">
        <v>8</v>
      </c>
      <c r="G1539" t="s">
        <v>910</v>
      </c>
      <c r="H1539" t="s">
        <v>246</v>
      </c>
      <c r="I1539" t="s">
        <v>1700</v>
      </c>
    </row>
    <row r="1540" spans="1:9" x14ac:dyDescent="0.25">
      <c r="A1540" t="s">
        <v>4085</v>
      </c>
      <c r="B1540" t="s">
        <v>4</v>
      </c>
      <c r="C1540" t="s">
        <v>1193</v>
      </c>
      <c r="E1540" t="s">
        <v>1395</v>
      </c>
      <c r="F1540" t="s">
        <v>1251</v>
      </c>
      <c r="G1540" t="s">
        <v>900</v>
      </c>
      <c r="H1540" t="s">
        <v>10</v>
      </c>
      <c r="I1540" t="s">
        <v>1890</v>
      </c>
    </row>
    <row r="1541" spans="1:9" x14ac:dyDescent="0.25">
      <c r="A1541" t="s">
        <v>3060</v>
      </c>
      <c r="B1541" t="s">
        <v>4</v>
      </c>
      <c r="C1541" t="s">
        <v>1193</v>
      </c>
      <c r="E1541" t="s">
        <v>1395</v>
      </c>
      <c r="F1541" t="s">
        <v>8</v>
      </c>
      <c r="G1541" t="s">
        <v>900</v>
      </c>
      <c r="H1541" t="s">
        <v>10</v>
      </c>
      <c r="I1541" t="s">
        <v>1890</v>
      </c>
    </row>
    <row r="1542" spans="1:9" x14ac:dyDescent="0.25">
      <c r="A1542" t="s">
        <v>3059</v>
      </c>
      <c r="B1542" t="s">
        <v>4</v>
      </c>
      <c r="C1542" t="s">
        <v>1193</v>
      </c>
      <c r="E1542" t="s">
        <v>1395</v>
      </c>
      <c r="F1542" t="s">
        <v>1251</v>
      </c>
      <c r="G1542" t="s">
        <v>910</v>
      </c>
      <c r="H1542" t="s">
        <v>10</v>
      </c>
      <c r="I1542" t="s">
        <v>2237</v>
      </c>
    </row>
    <row r="1543" spans="1:9" x14ac:dyDescent="0.25">
      <c r="A1543" t="s">
        <v>3058</v>
      </c>
      <c r="B1543" t="s">
        <v>4</v>
      </c>
      <c r="C1543" t="s">
        <v>1193</v>
      </c>
      <c r="E1543" t="s">
        <v>1395</v>
      </c>
      <c r="F1543" t="s">
        <v>8</v>
      </c>
      <c r="G1543" t="s">
        <v>910</v>
      </c>
      <c r="H1543" t="s">
        <v>10</v>
      </c>
      <c r="I1543" t="s">
        <v>2237</v>
      </c>
    </row>
    <row r="1544" spans="1:9" x14ac:dyDescent="0.25">
      <c r="A1544" t="s">
        <v>3419</v>
      </c>
      <c r="B1544" t="s">
        <v>260</v>
      </c>
      <c r="C1544" t="s">
        <v>1187</v>
      </c>
      <c r="D1544" t="s">
        <v>27</v>
      </c>
      <c r="E1544" t="s">
        <v>1553</v>
      </c>
      <c r="F1544" t="s">
        <v>1251</v>
      </c>
      <c r="G1544" t="s">
        <v>900</v>
      </c>
      <c r="H1544" t="s">
        <v>246</v>
      </c>
      <c r="I1544" t="s">
        <v>261</v>
      </c>
    </row>
    <row r="1545" spans="1:9" x14ac:dyDescent="0.25">
      <c r="A1545" t="s">
        <v>1109</v>
      </c>
      <c r="B1545" t="s">
        <v>260</v>
      </c>
      <c r="C1545" t="s">
        <v>1187</v>
      </c>
      <c r="D1545" t="s">
        <v>27</v>
      </c>
      <c r="E1545" t="s">
        <v>1553</v>
      </c>
      <c r="F1545" t="s">
        <v>8</v>
      </c>
      <c r="G1545" t="s">
        <v>900</v>
      </c>
      <c r="H1545" t="s">
        <v>246</v>
      </c>
      <c r="I1545" t="s">
        <v>261</v>
      </c>
    </row>
    <row r="1546" spans="1:9" x14ac:dyDescent="0.25">
      <c r="A1546" t="s">
        <v>3418</v>
      </c>
      <c r="B1546" t="s">
        <v>271</v>
      </c>
      <c r="C1546" t="s">
        <v>1181</v>
      </c>
      <c r="E1546" t="s">
        <v>1520</v>
      </c>
      <c r="F1546" t="s">
        <v>1229</v>
      </c>
      <c r="G1546" t="s">
        <v>910</v>
      </c>
      <c r="H1546" t="s">
        <v>123</v>
      </c>
      <c r="I1546" t="s">
        <v>2229</v>
      </c>
    </row>
    <row r="1547" spans="1:9" x14ac:dyDescent="0.25">
      <c r="A1547" t="s">
        <v>1055</v>
      </c>
      <c r="B1547" t="s">
        <v>271</v>
      </c>
      <c r="C1547" t="s">
        <v>1181</v>
      </c>
      <c r="E1547" t="s">
        <v>1520</v>
      </c>
      <c r="F1547" t="s">
        <v>8</v>
      </c>
      <c r="G1547" t="s">
        <v>910</v>
      </c>
      <c r="H1547" t="s">
        <v>123</v>
      </c>
      <c r="I1547" t="s">
        <v>2229</v>
      </c>
    </row>
    <row r="1548" spans="1:9" x14ac:dyDescent="0.25">
      <c r="A1548" t="s">
        <v>3417</v>
      </c>
    </row>
    <row r="1549" spans="1:9" x14ac:dyDescent="0.25">
      <c r="A1549" t="s">
        <v>2884</v>
      </c>
      <c r="B1549" t="s">
        <v>61</v>
      </c>
      <c r="C1549" t="s">
        <v>1180</v>
      </c>
      <c r="D1549" t="s">
        <v>62</v>
      </c>
      <c r="E1549" t="s">
        <v>1250</v>
      </c>
      <c r="F1549" t="s">
        <v>1229</v>
      </c>
      <c r="G1549" t="s">
        <v>910</v>
      </c>
      <c r="H1549" t="s">
        <v>64</v>
      </c>
      <c r="I1549" t="s">
        <v>1843</v>
      </c>
    </row>
    <row r="1550" spans="1:9" x14ac:dyDescent="0.25">
      <c r="A1550" t="s">
        <v>2883</v>
      </c>
      <c r="B1550" t="s">
        <v>61</v>
      </c>
      <c r="C1550" t="s">
        <v>1180</v>
      </c>
      <c r="D1550" t="s">
        <v>62</v>
      </c>
      <c r="E1550" t="s">
        <v>1250</v>
      </c>
      <c r="F1550" t="s">
        <v>8</v>
      </c>
      <c r="G1550" t="s">
        <v>910</v>
      </c>
      <c r="H1550" t="s">
        <v>64</v>
      </c>
      <c r="I1550" t="s">
        <v>1843</v>
      </c>
    </row>
    <row r="1551" spans="1:9" x14ac:dyDescent="0.25">
      <c r="A1551" t="s">
        <v>4231</v>
      </c>
      <c r="B1551" t="s">
        <v>103</v>
      </c>
      <c r="C1551" t="s">
        <v>1180</v>
      </c>
      <c r="D1551" t="s">
        <v>27</v>
      </c>
      <c r="E1551" t="s">
        <v>1367</v>
      </c>
      <c r="F1551" t="s">
        <v>1251</v>
      </c>
      <c r="G1551" t="s">
        <v>900</v>
      </c>
      <c r="H1551" t="s">
        <v>111</v>
      </c>
      <c r="I1551" t="s">
        <v>1842</v>
      </c>
    </row>
    <row r="1552" spans="1:9" x14ac:dyDescent="0.25">
      <c r="A1552" t="s">
        <v>4230</v>
      </c>
      <c r="B1552" t="s">
        <v>103</v>
      </c>
      <c r="C1552" t="s">
        <v>1180</v>
      </c>
      <c r="D1552" t="s">
        <v>27</v>
      </c>
      <c r="E1552" t="s">
        <v>1367</v>
      </c>
      <c r="F1552" t="s">
        <v>8</v>
      </c>
      <c r="G1552" t="s">
        <v>900</v>
      </c>
      <c r="H1552" t="s">
        <v>111</v>
      </c>
      <c r="I1552" t="s">
        <v>1842</v>
      </c>
    </row>
    <row r="1553" spans="1:9" x14ac:dyDescent="0.25">
      <c r="A1553" t="s">
        <v>1066</v>
      </c>
      <c r="B1553" t="s">
        <v>103</v>
      </c>
      <c r="C1553" t="s">
        <v>1180</v>
      </c>
      <c r="D1553" t="s">
        <v>27</v>
      </c>
      <c r="E1553" t="s">
        <v>1367</v>
      </c>
      <c r="F1553" t="s">
        <v>1293</v>
      </c>
      <c r="G1553" t="s">
        <v>900</v>
      </c>
      <c r="H1553" t="s">
        <v>111</v>
      </c>
      <c r="I1553" t="s">
        <v>1842</v>
      </c>
    </row>
    <row r="1554" spans="1:9" x14ac:dyDescent="0.25">
      <c r="A1554" t="s">
        <v>935</v>
      </c>
      <c r="B1554" t="s">
        <v>103</v>
      </c>
      <c r="C1554" t="s">
        <v>1180</v>
      </c>
      <c r="D1554" t="s">
        <v>27</v>
      </c>
      <c r="E1554" t="s">
        <v>1367</v>
      </c>
      <c r="F1554" t="s">
        <v>1251</v>
      </c>
      <c r="G1554" t="s">
        <v>900</v>
      </c>
      <c r="H1554" t="s">
        <v>108</v>
      </c>
      <c r="I1554" t="s">
        <v>1811</v>
      </c>
    </row>
    <row r="1555" spans="1:9" x14ac:dyDescent="0.25">
      <c r="A1555" t="s">
        <v>1163</v>
      </c>
      <c r="B1555" t="s">
        <v>103</v>
      </c>
      <c r="C1555" t="s">
        <v>1180</v>
      </c>
      <c r="D1555" t="s">
        <v>27</v>
      </c>
      <c r="E1555" t="s">
        <v>1367</v>
      </c>
      <c r="F1555" t="s">
        <v>8</v>
      </c>
      <c r="G1555" t="s">
        <v>900</v>
      </c>
      <c r="H1555" t="s">
        <v>108</v>
      </c>
      <c r="I1555" t="s">
        <v>1811</v>
      </c>
    </row>
    <row r="1556" spans="1:9" x14ac:dyDescent="0.25">
      <c r="A1556" t="s">
        <v>1086</v>
      </c>
      <c r="B1556" t="s">
        <v>110</v>
      </c>
      <c r="C1556" t="s">
        <v>1180</v>
      </c>
      <c r="D1556" t="s">
        <v>21</v>
      </c>
      <c r="E1556" t="s">
        <v>1536</v>
      </c>
      <c r="F1556" t="s">
        <v>1251</v>
      </c>
      <c r="G1556" t="s">
        <v>900</v>
      </c>
      <c r="H1556" t="s">
        <v>111</v>
      </c>
      <c r="I1556" t="s">
        <v>112</v>
      </c>
    </row>
    <row r="1557" spans="1:9" x14ac:dyDescent="0.25">
      <c r="A1557" t="s">
        <v>1168</v>
      </c>
      <c r="B1557" t="s">
        <v>110</v>
      </c>
      <c r="C1557" t="s">
        <v>1180</v>
      </c>
      <c r="D1557" t="s">
        <v>21</v>
      </c>
      <c r="E1557" t="s">
        <v>1536</v>
      </c>
      <c r="F1557" t="s">
        <v>8</v>
      </c>
      <c r="G1557" t="s">
        <v>900</v>
      </c>
      <c r="H1557" t="s">
        <v>111</v>
      </c>
      <c r="I1557" t="s">
        <v>112</v>
      </c>
    </row>
    <row r="1558" spans="1:9" x14ac:dyDescent="0.25">
      <c r="A1558" t="s">
        <v>3056</v>
      </c>
      <c r="B1558" t="s">
        <v>114</v>
      </c>
      <c r="C1558" t="s">
        <v>1181</v>
      </c>
      <c r="D1558" t="s">
        <v>27</v>
      </c>
      <c r="E1558" t="s">
        <v>1300</v>
      </c>
      <c r="F1558" t="s">
        <v>1251</v>
      </c>
      <c r="G1558" t="s">
        <v>900</v>
      </c>
      <c r="H1558" t="s">
        <v>64</v>
      </c>
      <c r="I1558" t="s">
        <v>3057</v>
      </c>
    </row>
    <row r="1559" spans="1:9" x14ac:dyDescent="0.25">
      <c r="A1559" t="s">
        <v>4304</v>
      </c>
      <c r="B1559" t="s">
        <v>114</v>
      </c>
      <c r="C1559" t="s">
        <v>1181</v>
      </c>
      <c r="D1559" t="s">
        <v>27</v>
      </c>
      <c r="E1559" t="s">
        <v>1300</v>
      </c>
      <c r="F1559" t="s">
        <v>8</v>
      </c>
      <c r="G1559" t="s">
        <v>900</v>
      </c>
      <c r="H1559" t="s">
        <v>64</v>
      </c>
      <c r="I1559" t="s">
        <v>3057</v>
      </c>
    </row>
    <row r="1560" spans="1:9" x14ac:dyDescent="0.25">
      <c r="A1560" t="s">
        <v>3416</v>
      </c>
      <c r="B1560" t="s">
        <v>130</v>
      </c>
      <c r="C1560" t="s">
        <v>1181</v>
      </c>
      <c r="D1560" t="s">
        <v>27</v>
      </c>
      <c r="E1560" t="s">
        <v>1630</v>
      </c>
      <c r="F1560" t="s">
        <v>1251</v>
      </c>
      <c r="G1560" t="s">
        <v>900</v>
      </c>
      <c r="H1560" t="s">
        <v>123</v>
      </c>
      <c r="I1560" t="s">
        <v>2478</v>
      </c>
    </row>
    <row r="1561" spans="1:9" x14ac:dyDescent="0.25">
      <c r="A1561" t="s">
        <v>4341</v>
      </c>
      <c r="B1561" t="s">
        <v>130</v>
      </c>
      <c r="C1561" t="s">
        <v>1181</v>
      </c>
      <c r="D1561" t="s">
        <v>27</v>
      </c>
      <c r="E1561" t="s">
        <v>1630</v>
      </c>
      <c r="F1561" t="s">
        <v>8</v>
      </c>
      <c r="G1561" t="s">
        <v>900</v>
      </c>
      <c r="H1561" t="s">
        <v>123</v>
      </c>
      <c r="I1561" t="s">
        <v>2478</v>
      </c>
    </row>
    <row r="1562" spans="1:9" x14ac:dyDescent="0.25">
      <c r="A1562" t="s">
        <v>1097</v>
      </c>
      <c r="B1562" t="s">
        <v>169</v>
      </c>
      <c r="C1562" t="s">
        <v>1186</v>
      </c>
      <c r="D1562" t="s">
        <v>21</v>
      </c>
      <c r="E1562" t="s">
        <v>1548</v>
      </c>
      <c r="F1562" t="s">
        <v>1251</v>
      </c>
      <c r="G1562" t="s">
        <v>900</v>
      </c>
      <c r="H1562" t="s">
        <v>88</v>
      </c>
      <c r="I1562" t="s">
        <v>170</v>
      </c>
    </row>
    <row r="1563" spans="1:9" x14ac:dyDescent="0.25">
      <c r="A1563" t="s">
        <v>1096</v>
      </c>
      <c r="B1563" t="s">
        <v>169</v>
      </c>
      <c r="C1563" t="s">
        <v>1186</v>
      </c>
      <c r="D1563" t="s">
        <v>21</v>
      </c>
      <c r="E1563" t="s">
        <v>1548</v>
      </c>
      <c r="F1563" t="s">
        <v>8</v>
      </c>
      <c r="G1563" t="s">
        <v>900</v>
      </c>
      <c r="H1563" t="s">
        <v>88</v>
      </c>
      <c r="I1563" t="s">
        <v>170</v>
      </c>
    </row>
    <row r="1564" spans="1:9" x14ac:dyDescent="0.25">
      <c r="A1564" t="s">
        <v>3415</v>
      </c>
      <c r="B1564" t="s">
        <v>232</v>
      </c>
      <c r="C1564" t="s">
        <v>1180</v>
      </c>
      <c r="E1564" t="s">
        <v>1383</v>
      </c>
      <c r="F1564" t="s">
        <v>1229</v>
      </c>
      <c r="G1564" t="s">
        <v>910</v>
      </c>
      <c r="H1564" t="s">
        <v>233</v>
      </c>
      <c r="I1564" t="s">
        <v>1858</v>
      </c>
    </row>
    <row r="1565" spans="1:9" x14ac:dyDescent="0.25">
      <c r="A1565" t="s">
        <v>4340</v>
      </c>
      <c r="B1565" t="s">
        <v>232</v>
      </c>
      <c r="C1565" t="s">
        <v>1180</v>
      </c>
      <c r="E1565" t="s">
        <v>1383</v>
      </c>
      <c r="F1565" t="s">
        <v>8</v>
      </c>
      <c r="G1565" t="s">
        <v>910</v>
      </c>
      <c r="H1565" t="s">
        <v>233</v>
      </c>
      <c r="I1565" t="s">
        <v>1858</v>
      </c>
    </row>
    <row r="1566" spans="1:9" x14ac:dyDescent="0.25">
      <c r="A1566" t="s">
        <v>962</v>
      </c>
      <c r="B1566" t="s">
        <v>479</v>
      </c>
      <c r="C1566" t="s">
        <v>1180</v>
      </c>
      <c r="D1566" t="s">
        <v>21</v>
      </c>
      <c r="E1566" t="s">
        <v>1445</v>
      </c>
      <c r="F1566" t="s">
        <v>1229</v>
      </c>
      <c r="G1566" t="s">
        <v>910</v>
      </c>
      <c r="H1566" t="s">
        <v>497</v>
      </c>
      <c r="I1566" t="s">
        <v>2007</v>
      </c>
    </row>
    <row r="1567" spans="1:9" x14ac:dyDescent="0.25">
      <c r="A1567" t="s">
        <v>1145</v>
      </c>
      <c r="B1567" t="s">
        <v>479</v>
      </c>
      <c r="C1567" t="s">
        <v>1180</v>
      </c>
      <c r="D1567" t="s">
        <v>21</v>
      </c>
      <c r="E1567" t="s">
        <v>1445</v>
      </c>
      <c r="F1567" t="s">
        <v>8</v>
      </c>
      <c r="G1567" t="s">
        <v>910</v>
      </c>
      <c r="H1567" t="s">
        <v>497</v>
      </c>
      <c r="I1567" t="s">
        <v>2007</v>
      </c>
    </row>
    <row r="1568" spans="1:9" x14ac:dyDescent="0.25">
      <c r="A1568" t="s">
        <v>3413</v>
      </c>
      <c r="B1568" t="s">
        <v>592</v>
      </c>
      <c r="C1568" t="s">
        <v>1180</v>
      </c>
      <c r="D1568" t="s">
        <v>318</v>
      </c>
      <c r="E1568" t="s">
        <v>1250</v>
      </c>
      <c r="F1568" t="s">
        <v>1251</v>
      </c>
      <c r="G1568" t="s">
        <v>900</v>
      </c>
      <c r="H1568" t="s">
        <v>607</v>
      </c>
      <c r="I1568" t="s">
        <v>3414</v>
      </c>
    </row>
    <row r="1569" spans="1:9" x14ac:dyDescent="0.25">
      <c r="A1569" t="s">
        <v>1175</v>
      </c>
      <c r="B1569" t="s">
        <v>749</v>
      </c>
      <c r="C1569" t="s">
        <v>1181</v>
      </c>
      <c r="D1569" t="s">
        <v>56</v>
      </c>
      <c r="E1569" t="s">
        <v>1253</v>
      </c>
      <c r="F1569" t="s">
        <v>8</v>
      </c>
      <c r="G1569" t="s">
        <v>910</v>
      </c>
      <c r="H1569" t="s">
        <v>1485</v>
      </c>
      <c r="I1569" t="s">
        <v>1903</v>
      </c>
    </row>
    <row r="1570" spans="1:9" x14ac:dyDescent="0.25">
      <c r="A1570" t="s">
        <v>1169</v>
      </c>
      <c r="B1570" t="s">
        <v>441</v>
      </c>
      <c r="C1570" t="s">
        <v>1186</v>
      </c>
      <c r="D1570" t="s">
        <v>84</v>
      </c>
      <c r="E1570" t="s">
        <v>1622</v>
      </c>
      <c r="F1570" t="s">
        <v>1221</v>
      </c>
      <c r="G1570" t="s">
        <v>910</v>
      </c>
      <c r="H1570" t="s">
        <v>312</v>
      </c>
      <c r="I1570" t="s">
        <v>2446</v>
      </c>
    </row>
    <row r="1571" spans="1:9" x14ac:dyDescent="0.25">
      <c r="A1571" t="s">
        <v>3411</v>
      </c>
      <c r="B1571" t="s">
        <v>572</v>
      </c>
      <c r="C1571" t="s">
        <v>1213</v>
      </c>
      <c r="D1571" t="s">
        <v>62</v>
      </c>
      <c r="E1571" t="s">
        <v>1246</v>
      </c>
      <c r="F1571" t="s">
        <v>1227</v>
      </c>
      <c r="G1571" t="s">
        <v>1228</v>
      </c>
      <c r="H1571" t="s">
        <v>1398</v>
      </c>
      <c r="I1571" t="s">
        <v>3412</v>
      </c>
    </row>
    <row r="1572" spans="1:9" x14ac:dyDescent="0.25">
      <c r="A1572" t="s">
        <v>3410</v>
      </c>
      <c r="B1572" t="s">
        <v>911</v>
      </c>
      <c r="C1572" t="s">
        <v>1491</v>
      </c>
      <c r="D1572" t="s">
        <v>27</v>
      </c>
      <c r="F1572" t="s">
        <v>1227</v>
      </c>
      <c r="G1572" t="s">
        <v>910</v>
      </c>
      <c r="H1572" t="s">
        <v>1558</v>
      </c>
    </row>
    <row r="1573" spans="1:9" x14ac:dyDescent="0.25">
      <c r="A1573" t="s">
        <v>3409</v>
      </c>
      <c r="B1573" t="s">
        <v>263</v>
      </c>
      <c r="C1573" t="s">
        <v>1491</v>
      </c>
      <c r="D1573" t="s">
        <v>27</v>
      </c>
      <c r="F1573" t="s">
        <v>1227</v>
      </c>
      <c r="G1573" t="s">
        <v>910</v>
      </c>
      <c r="H1573" t="s">
        <v>1558</v>
      </c>
    </row>
    <row r="1574" spans="1:9" x14ac:dyDescent="0.25">
      <c r="A1574" t="s">
        <v>3408</v>
      </c>
      <c r="B1574" t="s">
        <v>526</v>
      </c>
      <c r="C1574" t="s">
        <v>1491</v>
      </c>
      <c r="D1574" t="s">
        <v>27</v>
      </c>
      <c r="F1574" t="s">
        <v>1227</v>
      </c>
      <c r="G1574" t="s">
        <v>900</v>
      </c>
      <c r="H1574" t="s">
        <v>1556</v>
      </c>
    </row>
    <row r="1575" spans="1:9" x14ac:dyDescent="0.25">
      <c r="A1575" t="s">
        <v>3055</v>
      </c>
      <c r="B1575" t="s">
        <v>526</v>
      </c>
      <c r="C1575" t="s">
        <v>1491</v>
      </c>
      <c r="D1575" t="s">
        <v>27</v>
      </c>
      <c r="F1575" t="s">
        <v>1221</v>
      </c>
      <c r="G1575" t="s">
        <v>900</v>
      </c>
      <c r="H1575" t="s">
        <v>1556</v>
      </c>
    </row>
    <row r="1576" spans="1:9" x14ac:dyDescent="0.25">
      <c r="A1576" t="s">
        <v>3775</v>
      </c>
      <c r="B1576" t="s">
        <v>592</v>
      </c>
      <c r="C1576" t="s">
        <v>1491</v>
      </c>
      <c r="D1576" t="s">
        <v>27</v>
      </c>
      <c r="F1576" t="s">
        <v>1227</v>
      </c>
      <c r="G1576" t="s">
        <v>910</v>
      </c>
      <c r="H1576" t="s">
        <v>229</v>
      </c>
    </row>
    <row r="1577" spans="1:9" x14ac:dyDescent="0.25">
      <c r="A1577" t="s">
        <v>3774</v>
      </c>
      <c r="B1577" t="s">
        <v>592</v>
      </c>
      <c r="C1577" t="s">
        <v>1491</v>
      </c>
      <c r="D1577" t="s">
        <v>27</v>
      </c>
      <c r="F1577" t="s">
        <v>1221</v>
      </c>
      <c r="G1577" t="s">
        <v>910</v>
      </c>
      <c r="H1577" t="s">
        <v>229</v>
      </c>
    </row>
    <row r="1578" spans="1:9" x14ac:dyDescent="0.25">
      <c r="A1578" t="s">
        <v>3773</v>
      </c>
      <c r="B1578" t="s">
        <v>678</v>
      </c>
      <c r="C1578" t="s">
        <v>1491</v>
      </c>
      <c r="D1578" t="s">
        <v>27</v>
      </c>
      <c r="F1578" t="s">
        <v>1227</v>
      </c>
      <c r="G1578" t="s">
        <v>910</v>
      </c>
      <c r="H1578" t="s">
        <v>1557</v>
      </c>
    </row>
    <row r="1579" spans="1:9" x14ac:dyDescent="0.25">
      <c r="A1579" t="s">
        <v>3772</v>
      </c>
      <c r="B1579" t="s">
        <v>678</v>
      </c>
      <c r="C1579" t="s">
        <v>1491</v>
      </c>
      <c r="D1579" t="s">
        <v>27</v>
      </c>
      <c r="F1579" t="s">
        <v>1221</v>
      </c>
      <c r="G1579" t="s">
        <v>910</v>
      </c>
      <c r="H1579" t="s">
        <v>1557</v>
      </c>
    </row>
    <row r="1580" spans="1:9" x14ac:dyDescent="0.25">
      <c r="A1580" t="s">
        <v>3771</v>
      </c>
      <c r="B1580" t="s">
        <v>822</v>
      </c>
      <c r="C1580" t="s">
        <v>1491</v>
      </c>
      <c r="F1580" t="s">
        <v>1227</v>
      </c>
      <c r="G1580" t="s">
        <v>910</v>
      </c>
    </row>
    <row r="1581" spans="1:9" x14ac:dyDescent="0.25">
      <c r="A1581" t="s">
        <v>3770</v>
      </c>
      <c r="B1581" t="s">
        <v>822</v>
      </c>
      <c r="C1581" t="s">
        <v>1491</v>
      </c>
      <c r="F1581" t="s">
        <v>1221</v>
      </c>
      <c r="G1581" t="s">
        <v>910</v>
      </c>
    </row>
    <row r="1582" spans="1:9" x14ac:dyDescent="0.25">
      <c r="A1582" t="s">
        <v>4372</v>
      </c>
      <c r="B1582" t="s">
        <v>936</v>
      </c>
      <c r="C1582" t="s">
        <v>1186</v>
      </c>
      <c r="D1582" t="s">
        <v>56</v>
      </c>
      <c r="E1582" t="s">
        <v>1246</v>
      </c>
      <c r="F1582" t="s">
        <v>1221</v>
      </c>
      <c r="G1582" t="s">
        <v>910</v>
      </c>
      <c r="I1582" t="s">
        <v>2493</v>
      </c>
    </row>
    <row r="1583" spans="1:9" x14ac:dyDescent="0.25">
      <c r="A1583" t="s">
        <v>3769</v>
      </c>
      <c r="B1583" t="s">
        <v>944</v>
      </c>
      <c r="C1583" t="s">
        <v>1183</v>
      </c>
      <c r="D1583" t="s">
        <v>318</v>
      </c>
      <c r="E1583" t="s">
        <v>1308</v>
      </c>
      <c r="F1583" t="s">
        <v>1343</v>
      </c>
      <c r="G1583" t="s">
        <v>1448</v>
      </c>
      <c r="H1583" t="s">
        <v>1239</v>
      </c>
      <c r="I1583" t="s">
        <v>2406</v>
      </c>
    </row>
    <row r="1584" spans="1:9" x14ac:dyDescent="0.25">
      <c r="A1584" t="s">
        <v>3768</v>
      </c>
      <c r="B1584" t="s">
        <v>459</v>
      </c>
      <c r="C1584" t="s">
        <v>1181</v>
      </c>
      <c r="F1584" t="s">
        <v>1343</v>
      </c>
      <c r="G1584" t="s">
        <v>1448</v>
      </c>
      <c r="H1584" t="s">
        <v>1612</v>
      </c>
      <c r="I1584" t="s">
        <v>2401</v>
      </c>
    </row>
    <row r="1585" spans="1:9" x14ac:dyDescent="0.25">
      <c r="A1585" t="s">
        <v>3767</v>
      </c>
      <c r="B1585" t="s">
        <v>526</v>
      </c>
      <c r="C1585" t="s">
        <v>1181</v>
      </c>
      <c r="D1585" t="s">
        <v>1347</v>
      </c>
      <c r="F1585" t="s">
        <v>1343</v>
      </c>
      <c r="G1585" t="s">
        <v>1448</v>
      </c>
      <c r="H1585" t="s">
        <v>1613</v>
      </c>
    </row>
    <row r="1586" spans="1:9" x14ac:dyDescent="0.25">
      <c r="A1586" t="s">
        <v>3054</v>
      </c>
      <c r="B1586" t="s">
        <v>459</v>
      </c>
      <c r="C1586" t="s">
        <v>1181</v>
      </c>
      <c r="F1586" t="s">
        <v>1343</v>
      </c>
      <c r="G1586" t="s">
        <v>1448</v>
      </c>
      <c r="H1586" t="s">
        <v>1616</v>
      </c>
      <c r="I1586" t="s">
        <v>2407</v>
      </c>
    </row>
    <row r="1587" spans="1:9" x14ac:dyDescent="0.25">
      <c r="A1587" t="s">
        <v>3766</v>
      </c>
      <c r="B1587" t="s">
        <v>592</v>
      </c>
      <c r="C1587" t="s">
        <v>1206</v>
      </c>
      <c r="F1587" t="s">
        <v>1343</v>
      </c>
      <c r="G1587" t="s">
        <v>1448</v>
      </c>
      <c r="H1587" t="s">
        <v>1428</v>
      </c>
      <c r="I1587" t="s">
        <v>2402</v>
      </c>
    </row>
    <row r="1588" spans="1:9" x14ac:dyDescent="0.25">
      <c r="A1588" t="s">
        <v>3053</v>
      </c>
      <c r="B1588" t="s">
        <v>592</v>
      </c>
      <c r="C1588" t="s">
        <v>1196</v>
      </c>
      <c r="F1588" t="s">
        <v>1343</v>
      </c>
      <c r="G1588" t="s">
        <v>1448</v>
      </c>
      <c r="H1588" t="s">
        <v>312</v>
      </c>
      <c r="I1588" t="s">
        <v>2354</v>
      </c>
    </row>
    <row r="1589" spans="1:9" x14ac:dyDescent="0.25">
      <c r="A1589" t="s">
        <v>3765</v>
      </c>
      <c r="B1589" t="s">
        <v>592</v>
      </c>
      <c r="C1589" t="s">
        <v>1191</v>
      </c>
      <c r="D1589" t="s">
        <v>934</v>
      </c>
      <c r="F1589" t="s">
        <v>1343</v>
      </c>
      <c r="G1589" t="s">
        <v>1448</v>
      </c>
      <c r="H1589" t="s">
        <v>597</v>
      </c>
      <c r="I1589" t="s">
        <v>2408</v>
      </c>
    </row>
    <row r="1590" spans="1:9" x14ac:dyDescent="0.25">
      <c r="A1590" t="s">
        <v>3764</v>
      </c>
      <c r="B1590" t="s">
        <v>631</v>
      </c>
      <c r="C1590" t="s">
        <v>1191</v>
      </c>
      <c r="F1590" t="s">
        <v>1343</v>
      </c>
      <c r="G1590" t="s">
        <v>1448</v>
      </c>
      <c r="H1590" t="s">
        <v>1433</v>
      </c>
      <c r="I1590" t="s">
        <v>2019</v>
      </c>
    </row>
    <row r="1591" spans="1:9" x14ac:dyDescent="0.25">
      <c r="A1591" t="s">
        <v>3763</v>
      </c>
      <c r="B1591" t="s">
        <v>678</v>
      </c>
      <c r="C1591" t="s">
        <v>1594</v>
      </c>
      <c r="D1591" t="s">
        <v>91</v>
      </c>
      <c r="F1591" t="s">
        <v>1343</v>
      </c>
      <c r="G1591" t="s">
        <v>1448</v>
      </c>
      <c r="H1591" t="s">
        <v>1421</v>
      </c>
      <c r="I1591" t="s">
        <v>2375</v>
      </c>
    </row>
    <row r="1592" spans="1:9" x14ac:dyDescent="0.25">
      <c r="A1592" t="s">
        <v>3052</v>
      </c>
      <c r="B1592" t="s">
        <v>678</v>
      </c>
      <c r="C1592" t="s">
        <v>1465</v>
      </c>
      <c r="F1592" t="s">
        <v>1343</v>
      </c>
      <c r="G1592" t="s">
        <v>1448</v>
      </c>
      <c r="H1592" t="s">
        <v>1580</v>
      </c>
      <c r="I1592" t="s">
        <v>2355</v>
      </c>
    </row>
    <row r="1593" spans="1:9" x14ac:dyDescent="0.25">
      <c r="A1593" t="s">
        <v>3762</v>
      </c>
      <c r="B1593" t="s">
        <v>222</v>
      </c>
      <c r="C1593" t="s">
        <v>1449</v>
      </c>
      <c r="F1593" t="s">
        <v>1343</v>
      </c>
      <c r="G1593" t="s">
        <v>1448</v>
      </c>
      <c r="H1593" t="s">
        <v>1614</v>
      </c>
      <c r="I1593" t="s">
        <v>2403</v>
      </c>
    </row>
    <row r="1594" spans="1:9" x14ac:dyDescent="0.25">
      <c r="A1594" t="s">
        <v>3051</v>
      </c>
      <c r="B1594" t="s">
        <v>911</v>
      </c>
      <c r="C1594" t="s">
        <v>1195</v>
      </c>
      <c r="D1594" t="s">
        <v>56</v>
      </c>
      <c r="F1594" t="s">
        <v>1343</v>
      </c>
      <c r="G1594" t="s">
        <v>1448</v>
      </c>
      <c r="H1594" t="s">
        <v>1478</v>
      </c>
      <c r="I1594" t="s">
        <v>2084</v>
      </c>
    </row>
    <row r="1595" spans="1:9" x14ac:dyDescent="0.25">
      <c r="A1595" t="s">
        <v>3050</v>
      </c>
      <c r="B1595" t="s">
        <v>459</v>
      </c>
      <c r="C1595" t="s">
        <v>1183</v>
      </c>
      <c r="D1595" t="s">
        <v>91</v>
      </c>
      <c r="F1595" t="s">
        <v>1343</v>
      </c>
      <c r="G1595" t="s">
        <v>1448</v>
      </c>
      <c r="H1595" t="s">
        <v>1578</v>
      </c>
      <c r="I1595" t="s">
        <v>2350</v>
      </c>
    </row>
    <row r="1596" spans="1:9" x14ac:dyDescent="0.25">
      <c r="A1596" t="s">
        <v>3049</v>
      </c>
      <c r="B1596" t="s">
        <v>552</v>
      </c>
      <c r="C1596" t="s">
        <v>1186</v>
      </c>
      <c r="D1596" t="s">
        <v>1216</v>
      </c>
      <c r="F1596" t="s">
        <v>1343</v>
      </c>
      <c r="G1596" t="s">
        <v>1448</v>
      </c>
      <c r="H1596" t="s">
        <v>1593</v>
      </c>
      <c r="I1596" t="s">
        <v>2373</v>
      </c>
    </row>
    <row r="1597" spans="1:9" x14ac:dyDescent="0.25">
      <c r="A1597" t="s">
        <v>4303</v>
      </c>
      <c r="B1597" t="s">
        <v>95</v>
      </c>
      <c r="C1597" t="s">
        <v>1195</v>
      </c>
      <c r="F1597" t="s">
        <v>1221</v>
      </c>
      <c r="G1597" t="s">
        <v>910</v>
      </c>
      <c r="H1597" t="s">
        <v>1232</v>
      </c>
      <c r="I1597" t="s">
        <v>2030</v>
      </c>
    </row>
    <row r="1598" spans="1:9" x14ac:dyDescent="0.25">
      <c r="A1598" t="s">
        <v>3048</v>
      </c>
      <c r="B1598" t="s">
        <v>911</v>
      </c>
      <c r="C1598" t="s">
        <v>1195</v>
      </c>
      <c r="F1598" t="s">
        <v>1221</v>
      </c>
      <c r="G1598" t="s">
        <v>910</v>
      </c>
      <c r="I1598" t="s">
        <v>2409</v>
      </c>
    </row>
    <row r="1599" spans="1:9" x14ac:dyDescent="0.25">
      <c r="A1599" t="s">
        <v>4302</v>
      </c>
      <c r="B1599" t="s">
        <v>222</v>
      </c>
      <c r="C1599" t="s">
        <v>1449</v>
      </c>
      <c r="D1599" t="s">
        <v>91</v>
      </c>
      <c r="F1599" t="s">
        <v>1221</v>
      </c>
      <c r="G1599" t="s">
        <v>910</v>
      </c>
      <c r="H1599" t="s">
        <v>1584</v>
      </c>
      <c r="I1599" t="s">
        <v>2362</v>
      </c>
    </row>
    <row r="1600" spans="1:9" x14ac:dyDescent="0.25">
      <c r="A1600" t="s">
        <v>4339</v>
      </c>
      <c r="B1600" t="s">
        <v>43</v>
      </c>
      <c r="C1600" t="s">
        <v>1211</v>
      </c>
      <c r="D1600" t="s">
        <v>15</v>
      </c>
      <c r="F1600" t="s">
        <v>1227</v>
      </c>
      <c r="G1600" t="s">
        <v>1228</v>
      </c>
      <c r="H1600" t="s">
        <v>1459</v>
      </c>
      <c r="I1600" t="s">
        <v>2333</v>
      </c>
    </row>
    <row r="1601" spans="1:9" x14ac:dyDescent="0.25">
      <c r="A1601" t="s">
        <v>4338</v>
      </c>
      <c r="B1601" t="s">
        <v>1099</v>
      </c>
      <c r="C1601" t="s">
        <v>1211</v>
      </c>
      <c r="D1601" t="s">
        <v>91</v>
      </c>
      <c r="E1601" t="s">
        <v>1271</v>
      </c>
      <c r="F1601" t="s">
        <v>1227</v>
      </c>
      <c r="G1601" t="s">
        <v>1228</v>
      </c>
      <c r="H1601" t="s">
        <v>64</v>
      </c>
      <c r="I1601" t="s">
        <v>2283</v>
      </c>
    </row>
    <row r="1602" spans="1:9" x14ac:dyDescent="0.25">
      <c r="A1602" t="s">
        <v>4371</v>
      </c>
      <c r="B1602" t="s">
        <v>526</v>
      </c>
      <c r="C1602" t="s">
        <v>1211</v>
      </c>
      <c r="D1602" t="s">
        <v>318</v>
      </c>
      <c r="F1602" t="s">
        <v>1227</v>
      </c>
      <c r="G1602" t="s">
        <v>1228</v>
      </c>
      <c r="H1602" t="s">
        <v>1287</v>
      </c>
      <c r="I1602" t="s">
        <v>1906</v>
      </c>
    </row>
    <row r="1603" spans="1:9" x14ac:dyDescent="0.25">
      <c r="A1603" t="s">
        <v>2604</v>
      </c>
      <c r="B1603" t="s">
        <v>631</v>
      </c>
      <c r="C1603" t="s">
        <v>1196</v>
      </c>
      <c r="D1603" t="s">
        <v>91</v>
      </c>
      <c r="E1603" t="s">
        <v>2605</v>
      </c>
      <c r="F1603" t="s">
        <v>1221</v>
      </c>
      <c r="G1603" t="s">
        <v>910</v>
      </c>
      <c r="H1603" t="s">
        <v>303</v>
      </c>
      <c r="I1603" t="s">
        <v>2606</v>
      </c>
    </row>
    <row r="1604" spans="1:9" x14ac:dyDescent="0.25">
      <c r="A1604" t="s">
        <v>3046</v>
      </c>
      <c r="B1604" t="s">
        <v>921</v>
      </c>
      <c r="C1604" t="s">
        <v>1211</v>
      </c>
      <c r="D1604" t="s">
        <v>91</v>
      </c>
      <c r="F1604" t="s">
        <v>1227</v>
      </c>
      <c r="G1604" t="s">
        <v>1228</v>
      </c>
      <c r="I1604" t="s">
        <v>3047</v>
      </c>
    </row>
    <row r="1605" spans="1:9" x14ac:dyDescent="0.25">
      <c r="A1605" t="s">
        <v>3439</v>
      </c>
      <c r="B1605" t="s">
        <v>91</v>
      </c>
      <c r="C1605" t="s">
        <v>1191</v>
      </c>
      <c r="D1605" t="s">
        <v>91</v>
      </c>
      <c r="F1605" t="s">
        <v>8</v>
      </c>
      <c r="G1605" t="s">
        <v>910</v>
      </c>
      <c r="H1605" t="s">
        <v>697</v>
      </c>
      <c r="I1605" t="s">
        <v>2374</v>
      </c>
    </row>
    <row r="1606" spans="1:9" x14ac:dyDescent="0.25">
      <c r="A1606" t="s">
        <v>3045</v>
      </c>
      <c r="B1606" t="s">
        <v>91</v>
      </c>
      <c r="C1606" t="s">
        <v>1191</v>
      </c>
      <c r="D1606" t="s">
        <v>318</v>
      </c>
      <c r="F1606" t="s">
        <v>8</v>
      </c>
      <c r="G1606" t="s">
        <v>910</v>
      </c>
      <c r="H1606" t="s">
        <v>697</v>
      </c>
      <c r="I1606" t="s">
        <v>2372</v>
      </c>
    </row>
    <row r="1607" spans="1:9" x14ac:dyDescent="0.25">
      <c r="A1607" t="s">
        <v>3044</v>
      </c>
      <c r="B1607" t="s">
        <v>631</v>
      </c>
      <c r="C1607" t="s">
        <v>1186</v>
      </c>
      <c r="D1607" t="s">
        <v>318</v>
      </c>
      <c r="E1607" t="s">
        <v>1265</v>
      </c>
      <c r="F1607" t="s">
        <v>8</v>
      </c>
      <c r="G1607" t="s">
        <v>910</v>
      </c>
      <c r="H1607" t="s">
        <v>597</v>
      </c>
      <c r="I1607" t="s">
        <v>2363</v>
      </c>
    </row>
    <row r="1608" spans="1:9" x14ac:dyDescent="0.25">
      <c r="A1608" t="s">
        <v>3043</v>
      </c>
      <c r="B1608" t="s">
        <v>95</v>
      </c>
      <c r="C1608" t="s">
        <v>1195</v>
      </c>
      <c r="F1608" t="s">
        <v>1343</v>
      </c>
      <c r="G1608" t="s">
        <v>1448</v>
      </c>
      <c r="H1608" t="s">
        <v>1591</v>
      </c>
      <c r="I1608" t="s">
        <v>2369</v>
      </c>
    </row>
    <row r="1609" spans="1:9" x14ac:dyDescent="0.25">
      <c r="A1609" t="s">
        <v>3438</v>
      </c>
      <c r="B1609" t="s">
        <v>911</v>
      </c>
      <c r="C1609" t="s">
        <v>1195</v>
      </c>
      <c r="F1609" t="s">
        <v>1343</v>
      </c>
      <c r="G1609" t="s">
        <v>1448</v>
      </c>
      <c r="I1609" t="s">
        <v>2371</v>
      </c>
    </row>
    <row r="1610" spans="1:9" x14ac:dyDescent="0.25">
      <c r="A1610" t="s">
        <v>4084</v>
      </c>
      <c r="B1610" t="s">
        <v>222</v>
      </c>
      <c r="C1610" t="s">
        <v>1449</v>
      </c>
      <c r="D1610" t="s">
        <v>91</v>
      </c>
      <c r="F1610" t="s">
        <v>1343</v>
      </c>
      <c r="G1610" t="s">
        <v>1448</v>
      </c>
      <c r="I1610" t="s">
        <v>2404</v>
      </c>
    </row>
    <row r="1611" spans="1:9" x14ac:dyDescent="0.25">
      <c r="A1611" t="s">
        <v>4083</v>
      </c>
      <c r="B1611" t="s">
        <v>631</v>
      </c>
      <c r="C1611" t="s">
        <v>1180</v>
      </c>
      <c r="D1611" t="s">
        <v>1219</v>
      </c>
      <c r="F1611" t="s">
        <v>1343</v>
      </c>
      <c r="G1611" t="s">
        <v>1448</v>
      </c>
      <c r="H1611" t="s">
        <v>1615</v>
      </c>
      <c r="I1611" t="s">
        <v>2405</v>
      </c>
    </row>
    <row r="1612" spans="1:9" x14ac:dyDescent="0.25">
      <c r="A1612" t="s">
        <v>4082</v>
      </c>
      <c r="B1612" t="s">
        <v>678</v>
      </c>
      <c r="C1612" t="s">
        <v>1197</v>
      </c>
      <c r="D1612" t="s">
        <v>942</v>
      </c>
      <c r="F1612" t="s">
        <v>1343</v>
      </c>
      <c r="G1612" t="s">
        <v>1448</v>
      </c>
      <c r="H1612" t="s">
        <v>1592</v>
      </c>
      <c r="I1612" t="s">
        <v>2370</v>
      </c>
    </row>
    <row r="1613" spans="1:9" x14ac:dyDescent="0.25">
      <c r="A1613" t="s">
        <v>4081</v>
      </c>
      <c r="B1613" t="s">
        <v>592</v>
      </c>
      <c r="C1613" t="s">
        <v>1188</v>
      </c>
      <c r="D1613" t="s">
        <v>934</v>
      </c>
      <c r="F1613" t="s">
        <v>1343</v>
      </c>
      <c r="G1613" t="s">
        <v>1448</v>
      </c>
      <c r="H1613" t="s">
        <v>1453</v>
      </c>
      <c r="I1613" t="s">
        <v>2038</v>
      </c>
    </row>
    <row r="1614" spans="1:9" x14ac:dyDescent="0.25">
      <c r="A1614" t="s">
        <v>4080</v>
      </c>
      <c r="B1614" t="s">
        <v>592</v>
      </c>
      <c r="C1614" t="s">
        <v>1188</v>
      </c>
      <c r="D1614" t="s">
        <v>934</v>
      </c>
      <c r="F1614" t="s">
        <v>1343</v>
      </c>
      <c r="G1614" t="s">
        <v>1448</v>
      </c>
      <c r="H1614" t="s">
        <v>1454</v>
      </c>
      <c r="I1614" t="s">
        <v>2038</v>
      </c>
    </row>
    <row r="1615" spans="1:9" x14ac:dyDescent="0.25">
      <c r="A1615" t="s">
        <v>4078</v>
      </c>
      <c r="B1615" t="s">
        <v>911</v>
      </c>
      <c r="C1615" t="s">
        <v>1180</v>
      </c>
      <c r="D1615" t="s">
        <v>15</v>
      </c>
      <c r="F1615" t="s">
        <v>1298</v>
      </c>
      <c r="G1615" t="s">
        <v>900</v>
      </c>
      <c r="H1615" t="s">
        <v>223</v>
      </c>
    </row>
    <row r="1616" spans="1:9" x14ac:dyDescent="0.25">
      <c r="A1616" t="s">
        <v>4077</v>
      </c>
      <c r="B1616" t="s">
        <v>911</v>
      </c>
      <c r="C1616" t="s">
        <v>1180</v>
      </c>
      <c r="D1616" t="s">
        <v>15</v>
      </c>
      <c r="F1616" t="s">
        <v>1286</v>
      </c>
      <c r="G1616" t="s">
        <v>900</v>
      </c>
      <c r="H1616" t="s">
        <v>223</v>
      </c>
    </row>
    <row r="1617" spans="1:9" x14ac:dyDescent="0.25">
      <c r="A1617" t="s">
        <v>2882</v>
      </c>
      <c r="B1617" t="s">
        <v>911</v>
      </c>
      <c r="C1617" t="s">
        <v>1180</v>
      </c>
      <c r="D1617" t="s">
        <v>15</v>
      </c>
      <c r="F1617" t="s">
        <v>1227</v>
      </c>
      <c r="G1617" t="s">
        <v>900</v>
      </c>
      <c r="H1617" t="s">
        <v>223</v>
      </c>
    </row>
    <row r="1618" spans="1:9" x14ac:dyDescent="0.25">
      <c r="A1618" t="s">
        <v>4076</v>
      </c>
      <c r="B1618" t="s">
        <v>911</v>
      </c>
      <c r="C1618" t="s">
        <v>1180</v>
      </c>
      <c r="D1618" t="s">
        <v>15</v>
      </c>
      <c r="F1618" t="s">
        <v>1314</v>
      </c>
      <c r="G1618" t="s">
        <v>900</v>
      </c>
      <c r="H1618" t="s">
        <v>223</v>
      </c>
    </row>
    <row r="1619" spans="1:9" x14ac:dyDescent="0.25">
      <c r="A1619" t="s">
        <v>3431</v>
      </c>
      <c r="B1619" t="s">
        <v>911</v>
      </c>
      <c r="C1619" t="s">
        <v>1180</v>
      </c>
      <c r="D1619" t="s">
        <v>15</v>
      </c>
      <c r="F1619" t="s">
        <v>1221</v>
      </c>
      <c r="G1619" t="s">
        <v>900</v>
      </c>
      <c r="H1619" t="s">
        <v>223</v>
      </c>
    </row>
    <row r="1620" spans="1:9" x14ac:dyDescent="0.25">
      <c r="A1620" t="s">
        <v>3430</v>
      </c>
      <c r="B1620" t="s">
        <v>526</v>
      </c>
      <c r="C1620" t="s">
        <v>1211</v>
      </c>
      <c r="D1620" t="s">
        <v>62</v>
      </c>
      <c r="F1620" t="s">
        <v>1298</v>
      </c>
      <c r="G1620" t="s">
        <v>900</v>
      </c>
      <c r="H1620" t="s">
        <v>64</v>
      </c>
      <c r="I1620" t="s">
        <v>2124</v>
      </c>
    </row>
    <row r="1621" spans="1:9" x14ac:dyDescent="0.25">
      <c r="A1621" t="s">
        <v>3429</v>
      </c>
      <c r="B1621" t="s">
        <v>526</v>
      </c>
      <c r="C1621" t="s">
        <v>1211</v>
      </c>
      <c r="D1621" t="s">
        <v>62</v>
      </c>
      <c r="F1621" t="s">
        <v>1286</v>
      </c>
      <c r="G1621" t="s">
        <v>900</v>
      </c>
      <c r="H1621" t="s">
        <v>64</v>
      </c>
      <c r="I1621" t="s">
        <v>2124</v>
      </c>
    </row>
    <row r="1622" spans="1:9" x14ac:dyDescent="0.25">
      <c r="A1622" t="s">
        <v>2881</v>
      </c>
      <c r="B1622" t="s">
        <v>526</v>
      </c>
      <c r="C1622" t="s">
        <v>1211</v>
      </c>
      <c r="D1622" t="s">
        <v>62</v>
      </c>
      <c r="F1622" t="s">
        <v>1227</v>
      </c>
      <c r="G1622" t="s">
        <v>900</v>
      </c>
      <c r="H1622" t="s">
        <v>64</v>
      </c>
      <c r="I1622" t="s">
        <v>2124</v>
      </c>
    </row>
    <row r="1623" spans="1:9" x14ac:dyDescent="0.25">
      <c r="A1623" t="s">
        <v>4075</v>
      </c>
      <c r="B1623" t="s">
        <v>526</v>
      </c>
      <c r="C1623" t="s">
        <v>1211</v>
      </c>
      <c r="D1623" t="s">
        <v>62</v>
      </c>
      <c r="F1623" t="s">
        <v>1314</v>
      </c>
      <c r="G1623" t="s">
        <v>900</v>
      </c>
      <c r="H1623" t="s">
        <v>64</v>
      </c>
      <c r="I1623" t="s">
        <v>2124</v>
      </c>
    </row>
    <row r="1624" spans="1:9" x14ac:dyDescent="0.25">
      <c r="A1624" t="s">
        <v>2880</v>
      </c>
      <c r="B1624" t="s">
        <v>526</v>
      </c>
      <c r="C1624" t="s">
        <v>1211</v>
      </c>
      <c r="D1624" t="s">
        <v>62</v>
      </c>
      <c r="F1624" t="s">
        <v>1221</v>
      </c>
      <c r="G1624" t="s">
        <v>900</v>
      </c>
      <c r="H1624" t="s">
        <v>64</v>
      </c>
      <c r="I1624" t="s">
        <v>2124</v>
      </c>
    </row>
    <row r="1625" spans="1:9" x14ac:dyDescent="0.25">
      <c r="A1625" t="s">
        <v>3428</v>
      </c>
      <c r="B1625" t="s">
        <v>552</v>
      </c>
      <c r="C1625" t="s">
        <v>1180</v>
      </c>
      <c r="D1625" t="s">
        <v>1215</v>
      </c>
      <c r="F1625" t="s">
        <v>1298</v>
      </c>
      <c r="G1625" t="s">
        <v>900</v>
      </c>
      <c r="H1625" t="s">
        <v>1492</v>
      </c>
      <c r="I1625" t="s">
        <v>2125</v>
      </c>
    </row>
    <row r="1626" spans="1:9" x14ac:dyDescent="0.25">
      <c r="A1626" t="s">
        <v>3427</v>
      </c>
      <c r="B1626" t="s">
        <v>552</v>
      </c>
      <c r="C1626" t="s">
        <v>1180</v>
      </c>
      <c r="D1626" t="s">
        <v>1215</v>
      </c>
      <c r="F1626" t="s">
        <v>1286</v>
      </c>
      <c r="G1626" t="s">
        <v>900</v>
      </c>
      <c r="H1626" t="s">
        <v>1492</v>
      </c>
      <c r="I1626" t="s">
        <v>2125</v>
      </c>
    </row>
    <row r="1627" spans="1:9" x14ac:dyDescent="0.25">
      <c r="A1627" t="s">
        <v>3426</v>
      </c>
      <c r="B1627" t="s">
        <v>552</v>
      </c>
      <c r="C1627" t="s">
        <v>1180</v>
      </c>
      <c r="D1627" t="s">
        <v>1215</v>
      </c>
      <c r="F1627" t="s">
        <v>1227</v>
      </c>
      <c r="G1627" t="s">
        <v>900</v>
      </c>
      <c r="H1627" t="s">
        <v>1492</v>
      </c>
      <c r="I1627" t="s">
        <v>2125</v>
      </c>
    </row>
    <row r="1628" spans="1:9" x14ac:dyDescent="0.25">
      <c r="A1628" t="s">
        <v>3425</v>
      </c>
      <c r="B1628" t="s">
        <v>552</v>
      </c>
      <c r="C1628" t="s">
        <v>1180</v>
      </c>
      <c r="D1628" t="s">
        <v>1215</v>
      </c>
      <c r="F1628" t="s">
        <v>1314</v>
      </c>
      <c r="G1628" t="s">
        <v>900</v>
      </c>
      <c r="H1628" t="s">
        <v>1492</v>
      </c>
      <c r="I1628" t="s">
        <v>2125</v>
      </c>
    </row>
    <row r="1629" spans="1:9" x14ac:dyDescent="0.25">
      <c r="A1629" t="s">
        <v>4074</v>
      </c>
      <c r="B1629" t="s">
        <v>552</v>
      </c>
      <c r="C1629" t="s">
        <v>1180</v>
      </c>
      <c r="D1629" t="s">
        <v>1215</v>
      </c>
      <c r="F1629" t="s">
        <v>1221</v>
      </c>
      <c r="G1629" t="s">
        <v>900</v>
      </c>
      <c r="H1629" t="s">
        <v>1492</v>
      </c>
      <c r="I1629" t="s">
        <v>2125</v>
      </c>
    </row>
    <row r="1630" spans="1:9" x14ac:dyDescent="0.25">
      <c r="A1630" t="s">
        <v>3424</v>
      </c>
      <c r="B1630" t="s">
        <v>592</v>
      </c>
      <c r="C1630" t="s">
        <v>1188</v>
      </c>
      <c r="D1630" t="s">
        <v>1215</v>
      </c>
      <c r="F1630" t="s">
        <v>1298</v>
      </c>
      <c r="G1630" t="s">
        <v>900</v>
      </c>
      <c r="H1630" t="s">
        <v>1494</v>
      </c>
      <c r="I1630" t="s">
        <v>2126</v>
      </c>
    </row>
    <row r="1631" spans="1:9" x14ac:dyDescent="0.25">
      <c r="A1631" t="s">
        <v>4073</v>
      </c>
      <c r="B1631" t="s">
        <v>592</v>
      </c>
      <c r="C1631" t="s">
        <v>1188</v>
      </c>
      <c r="D1631" t="s">
        <v>1215</v>
      </c>
      <c r="F1631" t="s">
        <v>1286</v>
      </c>
      <c r="G1631" t="s">
        <v>900</v>
      </c>
      <c r="H1631" t="s">
        <v>1494</v>
      </c>
      <c r="I1631" t="s">
        <v>2126</v>
      </c>
    </row>
    <row r="1632" spans="1:9" x14ac:dyDescent="0.25">
      <c r="A1632" t="s">
        <v>4072</v>
      </c>
      <c r="B1632" t="s">
        <v>592</v>
      </c>
      <c r="C1632" t="s">
        <v>1188</v>
      </c>
      <c r="D1632" t="s">
        <v>1215</v>
      </c>
      <c r="F1632" t="s">
        <v>1227</v>
      </c>
      <c r="G1632" t="s">
        <v>900</v>
      </c>
      <c r="H1632" t="s">
        <v>1494</v>
      </c>
      <c r="I1632" t="s">
        <v>2126</v>
      </c>
    </row>
    <row r="1633" spans="1:9" x14ac:dyDescent="0.25">
      <c r="A1633" t="s">
        <v>4301</v>
      </c>
      <c r="B1633" t="s">
        <v>592</v>
      </c>
      <c r="C1633" t="s">
        <v>1188</v>
      </c>
      <c r="D1633" t="s">
        <v>1215</v>
      </c>
      <c r="F1633" t="s">
        <v>1314</v>
      </c>
      <c r="G1633" t="s">
        <v>900</v>
      </c>
      <c r="H1633" t="s">
        <v>1494</v>
      </c>
      <c r="I1633" t="s">
        <v>2126</v>
      </c>
    </row>
    <row r="1634" spans="1:9" x14ac:dyDescent="0.25">
      <c r="A1634" t="s">
        <v>4071</v>
      </c>
      <c r="B1634" t="s">
        <v>592</v>
      </c>
      <c r="C1634" t="s">
        <v>1188</v>
      </c>
      <c r="D1634" t="s">
        <v>1215</v>
      </c>
      <c r="F1634" t="s">
        <v>1221</v>
      </c>
      <c r="G1634" t="s">
        <v>900</v>
      </c>
      <c r="H1634" t="s">
        <v>1494</v>
      </c>
      <c r="I1634" t="s">
        <v>2126</v>
      </c>
    </row>
    <row r="1635" spans="1:9" x14ac:dyDescent="0.25">
      <c r="A1635" t="s">
        <v>3761</v>
      </c>
      <c r="B1635" t="s">
        <v>678</v>
      </c>
      <c r="C1635" t="s">
        <v>1186</v>
      </c>
      <c r="D1635" t="s">
        <v>1215</v>
      </c>
      <c r="F1635" t="s">
        <v>1298</v>
      </c>
      <c r="G1635" t="s">
        <v>900</v>
      </c>
      <c r="H1635" t="s">
        <v>1495</v>
      </c>
      <c r="I1635" t="s">
        <v>2126</v>
      </c>
    </row>
    <row r="1636" spans="1:9" x14ac:dyDescent="0.25">
      <c r="A1636" t="s">
        <v>3760</v>
      </c>
      <c r="B1636" t="s">
        <v>678</v>
      </c>
      <c r="C1636" t="s">
        <v>1186</v>
      </c>
      <c r="D1636" t="s">
        <v>1215</v>
      </c>
      <c r="F1636" t="s">
        <v>1286</v>
      </c>
      <c r="G1636" t="s">
        <v>900</v>
      </c>
      <c r="H1636" t="s">
        <v>1495</v>
      </c>
      <c r="I1636" t="s">
        <v>2126</v>
      </c>
    </row>
    <row r="1637" spans="1:9" x14ac:dyDescent="0.25">
      <c r="A1637" t="s">
        <v>3759</v>
      </c>
      <c r="B1637" t="s">
        <v>678</v>
      </c>
      <c r="C1637" t="s">
        <v>1186</v>
      </c>
      <c r="D1637" t="s">
        <v>1215</v>
      </c>
      <c r="F1637" t="s">
        <v>1227</v>
      </c>
      <c r="G1637" t="s">
        <v>900</v>
      </c>
      <c r="H1637" t="s">
        <v>1495</v>
      </c>
      <c r="I1637" t="s">
        <v>2126</v>
      </c>
    </row>
    <row r="1638" spans="1:9" x14ac:dyDescent="0.25">
      <c r="A1638" t="s">
        <v>3758</v>
      </c>
      <c r="B1638" t="s">
        <v>678</v>
      </c>
      <c r="C1638" t="s">
        <v>1186</v>
      </c>
      <c r="D1638" t="s">
        <v>1215</v>
      </c>
      <c r="F1638" t="s">
        <v>1314</v>
      </c>
      <c r="G1638" t="s">
        <v>900</v>
      </c>
      <c r="H1638" t="s">
        <v>1495</v>
      </c>
      <c r="I1638" t="s">
        <v>2126</v>
      </c>
    </row>
    <row r="1639" spans="1:9" x14ac:dyDescent="0.25">
      <c r="A1639" t="s">
        <v>3757</v>
      </c>
      <c r="B1639" t="s">
        <v>678</v>
      </c>
      <c r="C1639" t="s">
        <v>1186</v>
      </c>
      <c r="D1639" t="s">
        <v>1215</v>
      </c>
      <c r="F1639" t="s">
        <v>1221</v>
      </c>
      <c r="G1639" t="s">
        <v>900</v>
      </c>
      <c r="H1639" t="s">
        <v>1495</v>
      </c>
      <c r="I1639" t="s">
        <v>2126</v>
      </c>
    </row>
    <row r="1640" spans="1:9" x14ac:dyDescent="0.25">
      <c r="A1640" t="s">
        <v>3437</v>
      </c>
      <c r="B1640" t="s">
        <v>856</v>
      </c>
      <c r="C1640" t="s">
        <v>1197</v>
      </c>
      <c r="F1640" t="s">
        <v>1251</v>
      </c>
      <c r="G1640" t="s">
        <v>900</v>
      </c>
      <c r="H1640" t="s">
        <v>105</v>
      </c>
    </row>
    <row r="1641" spans="1:9" x14ac:dyDescent="0.25">
      <c r="A1641" t="s">
        <v>3436</v>
      </c>
      <c r="B1641" t="s">
        <v>856</v>
      </c>
      <c r="C1641" t="s">
        <v>1197</v>
      </c>
      <c r="F1641" t="s">
        <v>1298</v>
      </c>
      <c r="G1641" t="s">
        <v>900</v>
      </c>
      <c r="H1641" t="s">
        <v>105</v>
      </c>
    </row>
    <row r="1642" spans="1:9" x14ac:dyDescent="0.25">
      <c r="A1642" t="s">
        <v>3435</v>
      </c>
      <c r="B1642" t="s">
        <v>856</v>
      </c>
      <c r="C1642" t="s">
        <v>1197</v>
      </c>
      <c r="F1642" t="s">
        <v>1286</v>
      </c>
      <c r="G1642" t="s">
        <v>900</v>
      </c>
      <c r="H1642" t="s">
        <v>105</v>
      </c>
    </row>
    <row r="1643" spans="1:9" x14ac:dyDescent="0.25">
      <c r="A1643" t="s">
        <v>4079</v>
      </c>
      <c r="B1643" t="s">
        <v>856</v>
      </c>
      <c r="C1643" t="s">
        <v>1197</v>
      </c>
      <c r="F1643" t="s">
        <v>1227</v>
      </c>
      <c r="G1643" t="s">
        <v>900</v>
      </c>
      <c r="H1643" t="s">
        <v>105</v>
      </c>
    </row>
    <row r="1644" spans="1:9" x14ac:dyDescent="0.25">
      <c r="A1644" t="s">
        <v>3434</v>
      </c>
      <c r="B1644" t="s">
        <v>856</v>
      </c>
      <c r="C1644" t="s">
        <v>1197</v>
      </c>
      <c r="F1644" t="s">
        <v>1314</v>
      </c>
      <c r="G1644" t="s">
        <v>900</v>
      </c>
      <c r="H1644" t="s">
        <v>105</v>
      </c>
    </row>
    <row r="1645" spans="1:9" x14ac:dyDescent="0.25">
      <c r="A1645" t="s">
        <v>3433</v>
      </c>
      <c r="B1645" t="s">
        <v>856</v>
      </c>
      <c r="C1645" t="s">
        <v>1197</v>
      </c>
      <c r="F1645" t="s">
        <v>8</v>
      </c>
      <c r="G1645" t="s">
        <v>900</v>
      </c>
      <c r="H1645" t="s">
        <v>105</v>
      </c>
    </row>
    <row r="1646" spans="1:9" x14ac:dyDescent="0.25">
      <c r="A1646" t="s">
        <v>3432</v>
      </c>
      <c r="B1646" t="s">
        <v>856</v>
      </c>
      <c r="C1646" t="s">
        <v>1197</v>
      </c>
      <c r="F1646" t="s">
        <v>1221</v>
      </c>
      <c r="G1646" t="s">
        <v>900</v>
      </c>
      <c r="H1646" t="s">
        <v>105</v>
      </c>
    </row>
    <row r="1647" spans="1:9" x14ac:dyDescent="0.25">
      <c r="A1647" t="s">
        <v>3551</v>
      </c>
      <c r="B1647" t="s">
        <v>61</v>
      </c>
      <c r="C1647" t="s">
        <v>1180</v>
      </c>
      <c r="D1647" t="s">
        <v>56</v>
      </c>
      <c r="E1647" t="s">
        <v>1250</v>
      </c>
      <c r="F1647" t="s">
        <v>1298</v>
      </c>
      <c r="G1647" t="s">
        <v>900</v>
      </c>
      <c r="H1647" t="s">
        <v>1501</v>
      </c>
      <c r="I1647" t="s">
        <v>2139</v>
      </c>
    </row>
    <row r="1648" spans="1:9" x14ac:dyDescent="0.25">
      <c r="A1648" t="s">
        <v>4063</v>
      </c>
      <c r="B1648" t="s">
        <v>61</v>
      </c>
      <c r="C1648" t="s">
        <v>1180</v>
      </c>
      <c r="D1648" t="s">
        <v>56</v>
      </c>
      <c r="E1648" t="s">
        <v>1250</v>
      </c>
      <c r="F1648" t="s">
        <v>1286</v>
      </c>
      <c r="G1648" t="s">
        <v>900</v>
      </c>
      <c r="H1648" t="s">
        <v>1501</v>
      </c>
      <c r="I1648" t="s">
        <v>2139</v>
      </c>
    </row>
    <row r="1649" spans="1:9" x14ac:dyDescent="0.25">
      <c r="A1649" t="s">
        <v>3550</v>
      </c>
      <c r="B1649" t="s">
        <v>61</v>
      </c>
      <c r="C1649" t="s">
        <v>1180</v>
      </c>
      <c r="D1649" t="s">
        <v>56</v>
      </c>
      <c r="E1649" t="s">
        <v>1250</v>
      </c>
      <c r="F1649" t="s">
        <v>1227</v>
      </c>
      <c r="G1649" t="s">
        <v>1228</v>
      </c>
      <c r="H1649" t="s">
        <v>1501</v>
      </c>
      <c r="I1649" t="s">
        <v>2139</v>
      </c>
    </row>
    <row r="1650" spans="1:9" x14ac:dyDescent="0.25">
      <c r="A1650" t="s">
        <v>3549</v>
      </c>
      <c r="B1650" t="s">
        <v>61</v>
      </c>
      <c r="C1650" t="s">
        <v>1180</v>
      </c>
      <c r="D1650" t="s">
        <v>56</v>
      </c>
      <c r="E1650" t="s">
        <v>1250</v>
      </c>
      <c r="F1650" t="s">
        <v>1333</v>
      </c>
      <c r="G1650" t="s">
        <v>900</v>
      </c>
      <c r="H1650" t="s">
        <v>1501</v>
      </c>
      <c r="I1650" t="s">
        <v>2139</v>
      </c>
    </row>
    <row r="1651" spans="1:9" x14ac:dyDescent="0.25">
      <c r="A1651" t="s">
        <v>3548</v>
      </c>
      <c r="B1651" t="s">
        <v>61</v>
      </c>
      <c r="C1651" t="s">
        <v>1180</v>
      </c>
      <c r="D1651" t="s">
        <v>56</v>
      </c>
      <c r="E1651" t="s">
        <v>1250</v>
      </c>
      <c r="F1651" t="s">
        <v>1221</v>
      </c>
      <c r="G1651" t="s">
        <v>910</v>
      </c>
      <c r="H1651" t="s">
        <v>1501</v>
      </c>
      <c r="I1651" t="s">
        <v>2139</v>
      </c>
    </row>
    <row r="1652" spans="1:9" x14ac:dyDescent="0.25">
      <c r="A1652" t="s">
        <v>3547</v>
      </c>
      <c r="B1652" t="s">
        <v>61</v>
      </c>
      <c r="C1652" t="s">
        <v>1180</v>
      </c>
      <c r="D1652" t="s">
        <v>56</v>
      </c>
      <c r="E1652" t="s">
        <v>1250</v>
      </c>
      <c r="F1652" t="s">
        <v>1229</v>
      </c>
      <c r="G1652" t="s">
        <v>910</v>
      </c>
      <c r="H1652" t="s">
        <v>1501</v>
      </c>
      <c r="I1652" t="s">
        <v>2139</v>
      </c>
    </row>
    <row r="1653" spans="1:9" x14ac:dyDescent="0.25">
      <c r="A1653" t="s">
        <v>4062</v>
      </c>
      <c r="B1653" t="s">
        <v>61</v>
      </c>
      <c r="C1653" t="s">
        <v>1180</v>
      </c>
      <c r="D1653" t="s">
        <v>56</v>
      </c>
      <c r="E1653" t="s">
        <v>1250</v>
      </c>
      <c r="F1653" t="s">
        <v>8</v>
      </c>
      <c r="G1653" t="s">
        <v>910</v>
      </c>
      <c r="H1653" t="s">
        <v>1501</v>
      </c>
      <c r="I1653" t="s">
        <v>2139</v>
      </c>
    </row>
    <row r="1654" spans="1:9" x14ac:dyDescent="0.25">
      <c r="A1654" t="s">
        <v>3546</v>
      </c>
      <c r="B1654" t="s">
        <v>61</v>
      </c>
      <c r="C1654" t="s">
        <v>1466</v>
      </c>
      <c r="D1654" t="s">
        <v>56</v>
      </c>
      <c r="E1654" t="s">
        <v>1250</v>
      </c>
      <c r="F1654" t="s">
        <v>1298</v>
      </c>
      <c r="G1654" t="s">
        <v>900</v>
      </c>
      <c r="H1654" t="s">
        <v>1504</v>
      </c>
      <c r="I1654" t="s">
        <v>2297</v>
      </c>
    </row>
    <row r="1655" spans="1:9" x14ac:dyDescent="0.25">
      <c r="A1655" t="s">
        <v>3545</v>
      </c>
      <c r="B1655" t="s">
        <v>61</v>
      </c>
      <c r="C1655" t="s">
        <v>1466</v>
      </c>
      <c r="D1655" t="s">
        <v>56</v>
      </c>
      <c r="E1655" t="s">
        <v>1250</v>
      </c>
      <c r="F1655" t="s">
        <v>1228</v>
      </c>
      <c r="G1655" t="s">
        <v>1228</v>
      </c>
      <c r="H1655" t="s">
        <v>1504</v>
      </c>
      <c r="I1655" t="s">
        <v>2297</v>
      </c>
    </row>
    <row r="1656" spans="1:9" x14ac:dyDescent="0.25">
      <c r="A1656" t="s">
        <v>4061</v>
      </c>
      <c r="B1656" t="s">
        <v>61</v>
      </c>
      <c r="C1656" t="s">
        <v>1466</v>
      </c>
      <c r="D1656" t="s">
        <v>56</v>
      </c>
      <c r="E1656" t="s">
        <v>1250</v>
      </c>
      <c r="F1656" t="s">
        <v>1286</v>
      </c>
      <c r="G1656" t="s">
        <v>900</v>
      </c>
      <c r="H1656" t="s">
        <v>1504</v>
      </c>
      <c r="I1656" t="s">
        <v>2297</v>
      </c>
    </row>
    <row r="1657" spans="1:9" x14ac:dyDescent="0.25">
      <c r="A1657" t="s">
        <v>3544</v>
      </c>
      <c r="B1657" t="s">
        <v>61</v>
      </c>
      <c r="C1657" t="s">
        <v>1466</v>
      </c>
      <c r="D1657" t="s">
        <v>56</v>
      </c>
      <c r="E1657" t="s">
        <v>1250</v>
      </c>
      <c r="F1657" t="s">
        <v>1227</v>
      </c>
      <c r="G1657" t="s">
        <v>1228</v>
      </c>
      <c r="H1657" t="s">
        <v>1504</v>
      </c>
      <c r="I1657" t="s">
        <v>2297</v>
      </c>
    </row>
    <row r="1658" spans="1:9" x14ac:dyDescent="0.25">
      <c r="A1658" t="s">
        <v>4060</v>
      </c>
      <c r="B1658" t="s">
        <v>61</v>
      </c>
      <c r="C1658" t="s">
        <v>1466</v>
      </c>
      <c r="D1658" t="s">
        <v>56</v>
      </c>
      <c r="E1658" t="s">
        <v>1250</v>
      </c>
      <c r="F1658" t="s">
        <v>1221</v>
      </c>
      <c r="G1658" t="s">
        <v>910</v>
      </c>
      <c r="H1658" t="s">
        <v>1504</v>
      </c>
      <c r="I1658" t="s">
        <v>2297</v>
      </c>
    </row>
    <row r="1659" spans="1:9" x14ac:dyDescent="0.25">
      <c r="A1659" t="s">
        <v>3543</v>
      </c>
      <c r="B1659" t="s">
        <v>61</v>
      </c>
      <c r="C1659" t="s">
        <v>1466</v>
      </c>
      <c r="D1659" t="s">
        <v>56</v>
      </c>
      <c r="E1659" t="s">
        <v>1250</v>
      </c>
      <c r="F1659" t="s">
        <v>1229</v>
      </c>
      <c r="G1659" t="s">
        <v>910</v>
      </c>
      <c r="H1659" t="s">
        <v>1504</v>
      </c>
      <c r="I1659" t="s">
        <v>2297</v>
      </c>
    </row>
    <row r="1660" spans="1:9" x14ac:dyDescent="0.25">
      <c r="A1660" t="s">
        <v>3542</v>
      </c>
      <c r="B1660" t="s">
        <v>61</v>
      </c>
      <c r="C1660" t="s">
        <v>1466</v>
      </c>
      <c r="D1660" t="s">
        <v>56</v>
      </c>
      <c r="E1660" t="s">
        <v>1250</v>
      </c>
      <c r="F1660" t="s">
        <v>8</v>
      </c>
      <c r="G1660" t="s">
        <v>910</v>
      </c>
      <c r="H1660" t="s">
        <v>1504</v>
      </c>
      <c r="I1660" t="s">
        <v>2297</v>
      </c>
    </row>
    <row r="1661" spans="1:9" x14ac:dyDescent="0.25">
      <c r="A1661" t="s">
        <v>3541</v>
      </c>
      <c r="B1661" t="s">
        <v>61</v>
      </c>
      <c r="C1661" t="s">
        <v>1466</v>
      </c>
      <c r="D1661" t="s">
        <v>56</v>
      </c>
      <c r="E1661" t="s">
        <v>1250</v>
      </c>
      <c r="F1661" t="s">
        <v>1331</v>
      </c>
      <c r="G1661" t="s">
        <v>910</v>
      </c>
      <c r="H1661" t="s">
        <v>1504</v>
      </c>
      <c r="I1661" t="s">
        <v>2297</v>
      </c>
    </row>
    <row r="1662" spans="1:9" x14ac:dyDescent="0.25">
      <c r="A1662" t="s">
        <v>3076</v>
      </c>
      <c r="B1662" t="s">
        <v>95</v>
      </c>
      <c r="C1662" t="s">
        <v>1180</v>
      </c>
      <c r="F1662" t="s">
        <v>1229</v>
      </c>
      <c r="G1662" t="s">
        <v>900</v>
      </c>
      <c r="H1662" t="s">
        <v>96</v>
      </c>
      <c r="I1662" t="s">
        <v>97</v>
      </c>
    </row>
    <row r="1663" spans="1:9" x14ac:dyDescent="0.25">
      <c r="A1663" t="s">
        <v>3474</v>
      </c>
      <c r="B1663" t="s">
        <v>95</v>
      </c>
      <c r="C1663" t="s">
        <v>1180</v>
      </c>
      <c r="F1663" t="s">
        <v>1228</v>
      </c>
      <c r="G1663" t="s">
        <v>900</v>
      </c>
      <c r="H1663" t="s">
        <v>96</v>
      </c>
      <c r="I1663" t="s">
        <v>97</v>
      </c>
    </row>
    <row r="1664" spans="1:9" x14ac:dyDescent="0.25">
      <c r="A1664" t="s">
        <v>3473</v>
      </c>
      <c r="B1664" t="s">
        <v>95</v>
      </c>
      <c r="C1664" t="s">
        <v>1180</v>
      </c>
      <c r="F1664" t="s">
        <v>1286</v>
      </c>
      <c r="G1664" t="s">
        <v>900</v>
      </c>
      <c r="H1664" t="s">
        <v>96</v>
      </c>
      <c r="I1664" t="s">
        <v>97</v>
      </c>
    </row>
    <row r="1665" spans="1:9" x14ac:dyDescent="0.25">
      <c r="A1665" t="s">
        <v>3472</v>
      </c>
      <c r="B1665" t="s">
        <v>95</v>
      </c>
      <c r="C1665" t="s">
        <v>1180</v>
      </c>
      <c r="F1665" t="s">
        <v>1227</v>
      </c>
      <c r="G1665" t="s">
        <v>1228</v>
      </c>
      <c r="H1665" t="s">
        <v>96</v>
      </c>
      <c r="I1665" t="s">
        <v>97</v>
      </c>
    </row>
    <row r="1666" spans="1:9" x14ac:dyDescent="0.25">
      <c r="A1666" t="s">
        <v>3075</v>
      </c>
      <c r="B1666" t="s">
        <v>95</v>
      </c>
      <c r="C1666" t="s">
        <v>1180</v>
      </c>
      <c r="F1666" t="s">
        <v>8</v>
      </c>
      <c r="G1666" t="s">
        <v>900</v>
      </c>
      <c r="H1666" t="s">
        <v>96</v>
      </c>
      <c r="I1666" t="s">
        <v>97</v>
      </c>
    </row>
    <row r="1667" spans="1:9" x14ac:dyDescent="0.25">
      <c r="A1667" t="s">
        <v>3471</v>
      </c>
      <c r="B1667" t="s">
        <v>95</v>
      </c>
      <c r="C1667" t="s">
        <v>1180</v>
      </c>
      <c r="F1667" t="s">
        <v>1333</v>
      </c>
      <c r="G1667" t="s">
        <v>900</v>
      </c>
      <c r="H1667" t="s">
        <v>96</v>
      </c>
      <c r="I1667" t="s">
        <v>97</v>
      </c>
    </row>
    <row r="1668" spans="1:9" x14ac:dyDescent="0.25">
      <c r="A1668" t="s">
        <v>3470</v>
      </c>
      <c r="B1668" t="s">
        <v>95</v>
      </c>
      <c r="C1668" t="s">
        <v>1180</v>
      </c>
      <c r="F1668" t="s">
        <v>1293</v>
      </c>
      <c r="G1668" t="s">
        <v>900</v>
      </c>
      <c r="H1668" t="s">
        <v>96</v>
      </c>
      <c r="I1668" t="s">
        <v>97</v>
      </c>
    </row>
    <row r="1669" spans="1:9" x14ac:dyDescent="0.25">
      <c r="A1669" t="s">
        <v>3469</v>
      </c>
      <c r="B1669" t="s">
        <v>95</v>
      </c>
      <c r="C1669" t="s">
        <v>1180</v>
      </c>
      <c r="F1669" t="s">
        <v>1221</v>
      </c>
      <c r="G1669" t="s">
        <v>900</v>
      </c>
      <c r="H1669" t="s">
        <v>96</v>
      </c>
      <c r="I1669" t="s">
        <v>97</v>
      </c>
    </row>
    <row r="1670" spans="1:9" x14ac:dyDescent="0.25">
      <c r="A1670" t="s">
        <v>3468</v>
      </c>
      <c r="B1670" t="s">
        <v>95</v>
      </c>
      <c r="C1670" t="s">
        <v>1466</v>
      </c>
      <c r="F1670" t="s">
        <v>1298</v>
      </c>
      <c r="G1670" t="s">
        <v>900</v>
      </c>
      <c r="H1670" t="s">
        <v>339</v>
      </c>
      <c r="I1670" t="s">
        <v>2063</v>
      </c>
    </row>
    <row r="1671" spans="1:9" x14ac:dyDescent="0.25">
      <c r="A1671" t="s">
        <v>3467</v>
      </c>
      <c r="B1671" t="s">
        <v>95</v>
      </c>
      <c r="C1671" t="s">
        <v>1466</v>
      </c>
      <c r="F1671" t="s">
        <v>1286</v>
      </c>
      <c r="G1671" t="s">
        <v>900</v>
      </c>
      <c r="H1671" t="s">
        <v>339</v>
      </c>
      <c r="I1671" t="s">
        <v>2063</v>
      </c>
    </row>
    <row r="1672" spans="1:9" x14ac:dyDescent="0.25">
      <c r="A1672" t="s">
        <v>3466</v>
      </c>
      <c r="B1672" t="s">
        <v>95</v>
      </c>
      <c r="C1672" t="s">
        <v>1466</v>
      </c>
      <c r="F1672" t="s">
        <v>1227</v>
      </c>
      <c r="G1672" t="s">
        <v>900</v>
      </c>
      <c r="H1672" t="s">
        <v>339</v>
      </c>
      <c r="I1672" t="s">
        <v>2063</v>
      </c>
    </row>
    <row r="1673" spans="1:9" x14ac:dyDescent="0.25">
      <c r="A1673" t="s">
        <v>3465</v>
      </c>
      <c r="B1673" t="s">
        <v>95</v>
      </c>
      <c r="C1673" t="s">
        <v>1466</v>
      </c>
      <c r="F1673" t="s">
        <v>1331</v>
      </c>
      <c r="G1673" t="s">
        <v>900</v>
      </c>
      <c r="H1673" t="s">
        <v>1437</v>
      </c>
      <c r="I1673" t="s">
        <v>2309</v>
      </c>
    </row>
    <row r="1674" spans="1:9" x14ac:dyDescent="0.25">
      <c r="A1674" t="s">
        <v>3464</v>
      </c>
      <c r="B1674" t="s">
        <v>95</v>
      </c>
      <c r="C1674" t="s">
        <v>1466</v>
      </c>
      <c r="F1674" t="s">
        <v>1333</v>
      </c>
      <c r="G1674" t="s">
        <v>900</v>
      </c>
      <c r="H1674" t="s">
        <v>339</v>
      </c>
      <c r="I1674" t="s">
        <v>2063</v>
      </c>
    </row>
    <row r="1675" spans="1:9" x14ac:dyDescent="0.25">
      <c r="A1675" t="s">
        <v>3463</v>
      </c>
      <c r="B1675" t="s">
        <v>95</v>
      </c>
      <c r="C1675" t="s">
        <v>1466</v>
      </c>
      <c r="F1675" t="s">
        <v>1221</v>
      </c>
      <c r="G1675" t="s">
        <v>900</v>
      </c>
      <c r="H1675" t="s">
        <v>339</v>
      </c>
      <c r="I1675" t="s">
        <v>2063</v>
      </c>
    </row>
    <row r="1676" spans="1:9" x14ac:dyDescent="0.25">
      <c r="A1676" t="s">
        <v>3462</v>
      </c>
      <c r="B1676" t="s">
        <v>95</v>
      </c>
      <c r="C1676" t="s">
        <v>1466</v>
      </c>
      <c r="F1676" t="s">
        <v>1229</v>
      </c>
      <c r="G1676" t="s">
        <v>900</v>
      </c>
      <c r="H1676" t="s">
        <v>123</v>
      </c>
      <c r="I1676" t="s">
        <v>2218</v>
      </c>
    </row>
    <row r="1677" spans="1:9" x14ac:dyDescent="0.25">
      <c r="A1677" t="s">
        <v>3074</v>
      </c>
      <c r="B1677" t="s">
        <v>95</v>
      </c>
      <c r="C1677" t="s">
        <v>1466</v>
      </c>
      <c r="F1677" t="s">
        <v>8</v>
      </c>
      <c r="G1677" t="s">
        <v>900</v>
      </c>
      <c r="H1677" t="s">
        <v>1437</v>
      </c>
      <c r="I1677" t="s">
        <v>2170</v>
      </c>
    </row>
    <row r="1678" spans="1:9" x14ac:dyDescent="0.25">
      <c r="A1678" t="s">
        <v>3461</v>
      </c>
      <c r="B1678" t="s">
        <v>911</v>
      </c>
      <c r="C1678" t="s">
        <v>1186</v>
      </c>
      <c r="D1678" t="s">
        <v>56</v>
      </c>
      <c r="F1678" t="s">
        <v>1298</v>
      </c>
      <c r="G1678" t="s">
        <v>900</v>
      </c>
      <c r="H1678" t="s">
        <v>1319</v>
      </c>
      <c r="I1678" t="s">
        <v>1927</v>
      </c>
    </row>
    <row r="1679" spans="1:9" x14ac:dyDescent="0.25">
      <c r="A1679" t="s">
        <v>3460</v>
      </c>
      <c r="B1679" t="s">
        <v>911</v>
      </c>
      <c r="C1679" t="s">
        <v>1186</v>
      </c>
      <c r="D1679" t="s">
        <v>56</v>
      </c>
      <c r="F1679" t="s">
        <v>1286</v>
      </c>
      <c r="G1679" t="s">
        <v>900</v>
      </c>
      <c r="H1679" t="s">
        <v>1319</v>
      </c>
      <c r="I1679" t="s">
        <v>1927</v>
      </c>
    </row>
    <row r="1680" spans="1:9" x14ac:dyDescent="0.25">
      <c r="A1680" t="s">
        <v>2878</v>
      </c>
      <c r="B1680" t="s">
        <v>911</v>
      </c>
      <c r="C1680" t="s">
        <v>1186</v>
      </c>
      <c r="D1680" t="s">
        <v>56</v>
      </c>
      <c r="F1680" t="s">
        <v>1227</v>
      </c>
      <c r="G1680" t="s">
        <v>1228</v>
      </c>
      <c r="H1680" t="s">
        <v>1319</v>
      </c>
      <c r="I1680" t="s">
        <v>1927</v>
      </c>
    </row>
    <row r="1681" spans="1:9" x14ac:dyDescent="0.25">
      <c r="A1681" t="s">
        <v>4370</v>
      </c>
      <c r="B1681" t="s">
        <v>911</v>
      </c>
      <c r="C1681" t="s">
        <v>1186</v>
      </c>
      <c r="D1681" t="s">
        <v>56</v>
      </c>
      <c r="F1681" t="s">
        <v>1227</v>
      </c>
      <c r="G1681" t="s">
        <v>1228</v>
      </c>
      <c r="H1681" t="s">
        <v>1319</v>
      </c>
      <c r="I1681" t="s">
        <v>1927</v>
      </c>
    </row>
    <row r="1682" spans="1:9" x14ac:dyDescent="0.25">
      <c r="A1682" t="s">
        <v>3459</v>
      </c>
      <c r="B1682" t="s">
        <v>911</v>
      </c>
      <c r="C1682" t="s">
        <v>1186</v>
      </c>
      <c r="D1682" t="s">
        <v>56</v>
      </c>
      <c r="F1682" t="s">
        <v>1333</v>
      </c>
      <c r="G1682" t="s">
        <v>900</v>
      </c>
      <c r="H1682" t="s">
        <v>1319</v>
      </c>
      <c r="I1682" t="s">
        <v>1927</v>
      </c>
    </row>
    <row r="1683" spans="1:9" x14ac:dyDescent="0.25">
      <c r="A1683" t="s">
        <v>3073</v>
      </c>
      <c r="B1683" t="s">
        <v>911</v>
      </c>
      <c r="C1683" t="s">
        <v>1186</v>
      </c>
      <c r="D1683" t="s">
        <v>56</v>
      </c>
      <c r="F1683" t="s">
        <v>1221</v>
      </c>
      <c r="G1683" t="s">
        <v>900</v>
      </c>
      <c r="H1683" t="s">
        <v>1319</v>
      </c>
      <c r="I1683" t="s">
        <v>1927</v>
      </c>
    </row>
    <row r="1684" spans="1:9" x14ac:dyDescent="0.25">
      <c r="A1684" t="s">
        <v>3733</v>
      </c>
      <c r="B1684" t="s">
        <v>911</v>
      </c>
      <c r="C1684" t="s">
        <v>1186</v>
      </c>
      <c r="D1684" t="s">
        <v>56</v>
      </c>
      <c r="F1684" t="s">
        <v>1221</v>
      </c>
      <c r="G1684" t="s">
        <v>900</v>
      </c>
      <c r="H1684" t="s">
        <v>1319</v>
      </c>
      <c r="I1684" t="s">
        <v>1927</v>
      </c>
    </row>
    <row r="1685" spans="1:9" x14ac:dyDescent="0.25">
      <c r="A1685" t="s">
        <v>3732</v>
      </c>
      <c r="B1685" t="s">
        <v>911</v>
      </c>
      <c r="C1685" t="s">
        <v>1491</v>
      </c>
      <c r="D1685" t="s">
        <v>56</v>
      </c>
      <c r="F1685" t="s">
        <v>1298</v>
      </c>
      <c r="G1685" t="s">
        <v>900</v>
      </c>
      <c r="H1685" t="s">
        <v>388</v>
      </c>
      <c r="I1685" t="s">
        <v>2310</v>
      </c>
    </row>
    <row r="1686" spans="1:9" x14ac:dyDescent="0.25">
      <c r="A1686" t="s">
        <v>3731</v>
      </c>
      <c r="B1686" t="s">
        <v>911</v>
      </c>
      <c r="C1686" t="s">
        <v>1491</v>
      </c>
      <c r="D1686" t="s">
        <v>56</v>
      </c>
      <c r="F1686" t="s">
        <v>1286</v>
      </c>
      <c r="G1686" t="s">
        <v>1228</v>
      </c>
      <c r="H1686" t="s">
        <v>388</v>
      </c>
      <c r="I1686" t="s">
        <v>2310</v>
      </c>
    </row>
    <row r="1687" spans="1:9" x14ac:dyDescent="0.25">
      <c r="A1687" t="s">
        <v>3072</v>
      </c>
      <c r="B1687" t="s">
        <v>911</v>
      </c>
      <c r="C1687" t="s">
        <v>1491</v>
      </c>
      <c r="D1687" t="s">
        <v>56</v>
      </c>
      <c r="F1687" t="s">
        <v>1227</v>
      </c>
      <c r="G1687" t="s">
        <v>1228</v>
      </c>
      <c r="H1687" t="s">
        <v>388</v>
      </c>
      <c r="I1687" t="s">
        <v>2310</v>
      </c>
    </row>
    <row r="1688" spans="1:9" x14ac:dyDescent="0.25">
      <c r="A1688" t="s">
        <v>3730</v>
      </c>
      <c r="B1688" t="s">
        <v>911</v>
      </c>
      <c r="C1688" t="s">
        <v>1491</v>
      </c>
      <c r="D1688" t="s">
        <v>56</v>
      </c>
      <c r="F1688" t="s">
        <v>1333</v>
      </c>
      <c r="G1688" t="s">
        <v>1228</v>
      </c>
      <c r="H1688" t="s">
        <v>388</v>
      </c>
      <c r="I1688" t="s">
        <v>2310</v>
      </c>
    </row>
    <row r="1689" spans="1:9" x14ac:dyDescent="0.25">
      <c r="A1689" t="s">
        <v>3071</v>
      </c>
      <c r="B1689" t="s">
        <v>911</v>
      </c>
      <c r="C1689" t="s">
        <v>1491</v>
      </c>
      <c r="D1689" t="s">
        <v>56</v>
      </c>
      <c r="F1689" t="s">
        <v>1221</v>
      </c>
      <c r="G1689" t="s">
        <v>900</v>
      </c>
      <c r="H1689" t="s">
        <v>388</v>
      </c>
      <c r="I1689" t="s">
        <v>2310</v>
      </c>
    </row>
    <row r="1690" spans="1:9" x14ac:dyDescent="0.25">
      <c r="A1690" t="s">
        <v>3729</v>
      </c>
      <c r="B1690" t="s">
        <v>911</v>
      </c>
      <c r="C1690" t="s">
        <v>1180</v>
      </c>
      <c r="F1690" t="s">
        <v>1286</v>
      </c>
      <c r="G1690" t="s">
        <v>910</v>
      </c>
      <c r="H1690" t="s">
        <v>3723</v>
      </c>
      <c r="I1690" t="s">
        <v>2267</v>
      </c>
    </row>
    <row r="1691" spans="1:9" x14ac:dyDescent="0.25">
      <c r="A1691" t="s">
        <v>3726</v>
      </c>
      <c r="B1691" t="s">
        <v>911</v>
      </c>
      <c r="C1691" t="s">
        <v>1180</v>
      </c>
      <c r="F1691" t="s">
        <v>1221</v>
      </c>
      <c r="G1691" t="s">
        <v>910</v>
      </c>
      <c r="H1691" t="s">
        <v>3727</v>
      </c>
      <c r="I1691" t="s">
        <v>3728</v>
      </c>
    </row>
    <row r="1692" spans="1:9" x14ac:dyDescent="0.25">
      <c r="A1692" t="s">
        <v>3725</v>
      </c>
      <c r="B1692" t="s">
        <v>911</v>
      </c>
      <c r="C1692" t="s">
        <v>1180</v>
      </c>
      <c r="F1692" t="s">
        <v>1229</v>
      </c>
      <c r="G1692" t="s">
        <v>910</v>
      </c>
      <c r="H1692" t="s">
        <v>278</v>
      </c>
      <c r="I1692" t="s">
        <v>2062</v>
      </c>
    </row>
    <row r="1693" spans="1:9" x14ac:dyDescent="0.25">
      <c r="A1693" t="s">
        <v>3722</v>
      </c>
      <c r="B1693" t="s">
        <v>911</v>
      </c>
      <c r="C1693" t="s">
        <v>1180</v>
      </c>
      <c r="F1693" t="s">
        <v>1298</v>
      </c>
      <c r="G1693" t="s">
        <v>910</v>
      </c>
      <c r="H1693" t="s">
        <v>3723</v>
      </c>
      <c r="I1693" t="s">
        <v>3724</v>
      </c>
    </row>
    <row r="1694" spans="1:9" x14ac:dyDescent="0.25">
      <c r="A1694" t="s">
        <v>3721</v>
      </c>
      <c r="B1694" t="s">
        <v>911</v>
      </c>
      <c r="C1694" t="s">
        <v>1180</v>
      </c>
      <c r="F1694" t="s">
        <v>1228</v>
      </c>
      <c r="G1694" t="s">
        <v>910</v>
      </c>
      <c r="H1694" t="s">
        <v>278</v>
      </c>
      <c r="I1694" t="s">
        <v>2062</v>
      </c>
    </row>
    <row r="1695" spans="1:9" x14ac:dyDescent="0.25">
      <c r="A1695" t="s">
        <v>3720</v>
      </c>
      <c r="B1695" t="s">
        <v>911</v>
      </c>
      <c r="C1695" t="s">
        <v>1180</v>
      </c>
      <c r="F1695" t="s">
        <v>1227</v>
      </c>
      <c r="G1695" t="s">
        <v>910</v>
      </c>
      <c r="H1695" t="s">
        <v>278</v>
      </c>
      <c r="I1695" t="s">
        <v>2062</v>
      </c>
    </row>
    <row r="1696" spans="1:9" x14ac:dyDescent="0.25">
      <c r="A1696" t="s">
        <v>3719</v>
      </c>
      <c r="B1696" t="s">
        <v>911</v>
      </c>
      <c r="C1696" t="s">
        <v>1180</v>
      </c>
      <c r="F1696" t="s">
        <v>8</v>
      </c>
      <c r="G1696" t="s">
        <v>910</v>
      </c>
      <c r="H1696" t="s">
        <v>278</v>
      </c>
      <c r="I1696" t="s">
        <v>2062</v>
      </c>
    </row>
    <row r="1697" spans="1:9" x14ac:dyDescent="0.25">
      <c r="A1697" t="s">
        <v>3718</v>
      </c>
      <c r="B1697" t="s">
        <v>911</v>
      </c>
      <c r="C1697" t="s">
        <v>1180</v>
      </c>
      <c r="F1697" t="s">
        <v>1331</v>
      </c>
      <c r="G1697" t="s">
        <v>910</v>
      </c>
      <c r="H1697" t="s">
        <v>278</v>
      </c>
      <c r="I1697" t="s">
        <v>2062</v>
      </c>
    </row>
    <row r="1698" spans="1:9" x14ac:dyDescent="0.25">
      <c r="A1698" t="s">
        <v>3070</v>
      </c>
      <c r="B1698" t="s">
        <v>911</v>
      </c>
      <c r="C1698" t="s">
        <v>1180</v>
      </c>
      <c r="F1698" t="s">
        <v>1333</v>
      </c>
      <c r="G1698" t="s">
        <v>910</v>
      </c>
      <c r="H1698" t="s">
        <v>278</v>
      </c>
      <c r="I1698" t="s">
        <v>2062</v>
      </c>
    </row>
    <row r="1699" spans="1:9" x14ac:dyDescent="0.25">
      <c r="A1699" t="s">
        <v>3717</v>
      </c>
      <c r="B1699" t="s">
        <v>911</v>
      </c>
      <c r="C1699" t="s">
        <v>1180</v>
      </c>
      <c r="F1699" t="s">
        <v>1293</v>
      </c>
      <c r="G1699" t="s">
        <v>910</v>
      </c>
      <c r="H1699" t="s">
        <v>278</v>
      </c>
      <c r="I1699" t="s">
        <v>2062</v>
      </c>
    </row>
    <row r="1700" spans="1:9" x14ac:dyDescent="0.25">
      <c r="A1700" t="s">
        <v>3716</v>
      </c>
      <c r="B1700" t="s">
        <v>911</v>
      </c>
      <c r="C1700" t="s">
        <v>1466</v>
      </c>
      <c r="F1700" t="s">
        <v>1229</v>
      </c>
      <c r="G1700" t="s">
        <v>900</v>
      </c>
      <c r="H1700" t="s">
        <v>278</v>
      </c>
      <c r="I1700" t="s">
        <v>2062</v>
      </c>
    </row>
    <row r="1701" spans="1:9" x14ac:dyDescent="0.25">
      <c r="A1701" t="s">
        <v>3492</v>
      </c>
      <c r="B1701" t="s">
        <v>911</v>
      </c>
      <c r="C1701" t="s">
        <v>1466</v>
      </c>
      <c r="F1701" t="s">
        <v>8</v>
      </c>
      <c r="G1701" t="s">
        <v>900</v>
      </c>
      <c r="H1701" t="s">
        <v>278</v>
      </c>
      <c r="I1701" t="s">
        <v>2062</v>
      </c>
    </row>
    <row r="1702" spans="1:9" x14ac:dyDescent="0.25">
      <c r="A1702" t="s">
        <v>3491</v>
      </c>
      <c r="B1702" t="s">
        <v>911</v>
      </c>
      <c r="C1702" t="s">
        <v>1466</v>
      </c>
      <c r="F1702" t="s">
        <v>1333</v>
      </c>
      <c r="G1702" t="s">
        <v>900</v>
      </c>
      <c r="H1702" t="s">
        <v>278</v>
      </c>
      <c r="I1702" t="s">
        <v>2062</v>
      </c>
    </row>
    <row r="1703" spans="1:9" x14ac:dyDescent="0.25">
      <c r="A1703" t="s">
        <v>3540</v>
      </c>
      <c r="B1703" t="s">
        <v>148</v>
      </c>
      <c r="C1703" t="s">
        <v>1186</v>
      </c>
      <c r="D1703" t="s">
        <v>27</v>
      </c>
      <c r="F1703" t="s">
        <v>8</v>
      </c>
      <c r="G1703" t="s">
        <v>910</v>
      </c>
      <c r="H1703" t="s">
        <v>229</v>
      </c>
      <c r="I1703" t="s">
        <v>2301</v>
      </c>
    </row>
    <row r="1704" spans="1:9" x14ac:dyDescent="0.25">
      <c r="A1704" t="s">
        <v>3539</v>
      </c>
      <c r="B1704" t="s">
        <v>148</v>
      </c>
      <c r="C1704" t="s">
        <v>1186</v>
      </c>
      <c r="D1704" t="s">
        <v>27</v>
      </c>
      <c r="F1704" t="s">
        <v>1229</v>
      </c>
      <c r="G1704" t="s">
        <v>910</v>
      </c>
      <c r="H1704" t="s">
        <v>1397</v>
      </c>
      <c r="I1704" t="s">
        <v>2301</v>
      </c>
    </row>
    <row r="1705" spans="1:9" x14ac:dyDescent="0.25">
      <c r="A1705" t="s">
        <v>3538</v>
      </c>
      <c r="B1705" t="s">
        <v>148</v>
      </c>
      <c r="C1705" t="s">
        <v>1186</v>
      </c>
      <c r="D1705" t="s">
        <v>27</v>
      </c>
      <c r="F1705" t="s">
        <v>1298</v>
      </c>
      <c r="G1705" t="s">
        <v>910</v>
      </c>
      <c r="H1705" t="s">
        <v>1607</v>
      </c>
      <c r="I1705" t="s">
        <v>2301</v>
      </c>
    </row>
    <row r="1706" spans="1:9" x14ac:dyDescent="0.25">
      <c r="A1706" t="s">
        <v>3536</v>
      </c>
      <c r="B1706" t="s">
        <v>148</v>
      </c>
      <c r="C1706" t="s">
        <v>1186</v>
      </c>
      <c r="D1706" t="s">
        <v>27</v>
      </c>
      <c r="F1706" t="s">
        <v>1227</v>
      </c>
      <c r="G1706" t="s">
        <v>910</v>
      </c>
      <c r="H1706" t="s">
        <v>3537</v>
      </c>
      <c r="I1706" t="s">
        <v>2301</v>
      </c>
    </row>
    <row r="1707" spans="1:9" x14ac:dyDescent="0.25">
      <c r="A1707" t="s">
        <v>3534</v>
      </c>
      <c r="B1707" t="s">
        <v>148</v>
      </c>
      <c r="C1707" t="s">
        <v>1186</v>
      </c>
      <c r="D1707" t="s">
        <v>27</v>
      </c>
      <c r="F1707" t="s">
        <v>1331</v>
      </c>
      <c r="G1707" t="s">
        <v>910</v>
      </c>
      <c r="H1707" t="s">
        <v>3535</v>
      </c>
      <c r="I1707" t="s">
        <v>2301</v>
      </c>
    </row>
    <row r="1708" spans="1:9" x14ac:dyDescent="0.25">
      <c r="A1708" t="s">
        <v>3668</v>
      </c>
      <c r="B1708" t="s">
        <v>148</v>
      </c>
      <c r="C1708" t="s">
        <v>1186</v>
      </c>
      <c r="D1708" t="s">
        <v>27</v>
      </c>
      <c r="F1708" t="s">
        <v>1293</v>
      </c>
      <c r="G1708" t="s">
        <v>910</v>
      </c>
      <c r="H1708" t="s">
        <v>3535</v>
      </c>
      <c r="I1708" t="s">
        <v>2301</v>
      </c>
    </row>
    <row r="1709" spans="1:9" x14ac:dyDescent="0.25">
      <c r="A1709" t="s">
        <v>4299</v>
      </c>
      <c r="B1709" t="s">
        <v>148</v>
      </c>
      <c r="C1709" t="s">
        <v>1186</v>
      </c>
      <c r="D1709" t="s">
        <v>27</v>
      </c>
      <c r="F1709" t="s">
        <v>1221</v>
      </c>
      <c r="G1709" t="s">
        <v>910</v>
      </c>
      <c r="H1709" t="s">
        <v>476</v>
      </c>
      <c r="I1709" t="s">
        <v>2301</v>
      </c>
    </row>
    <row r="1710" spans="1:9" x14ac:dyDescent="0.25">
      <c r="A1710" t="s">
        <v>3666</v>
      </c>
      <c r="B1710" t="s">
        <v>148</v>
      </c>
      <c r="C1710" t="s">
        <v>1491</v>
      </c>
      <c r="D1710" t="s">
        <v>27</v>
      </c>
      <c r="F1710" t="s">
        <v>1229</v>
      </c>
      <c r="G1710" t="s">
        <v>910</v>
      </c>
      <c r="H1710" t="s">
        <v>3667</v>
      </c>
      <c r="I1710" t="s">
        <v>2301</v>
      </c>
    </row>
    <row r="1711" spans="1:9" x14ac:dyDescent="0.25">
      <c r="A1711" t="s">
        <v>3665</v>
      </c>
      <c r="B1711" t="s">
        <v>148</v>
      </c>
      <c r="C1711" t="s">
        <v>1491</v>
      </c>
      <c r="D1711" t="s">
        <v>27</v>
      </c>
      <c r="F1711" t="s">
        <v>1228</v>
      </c>
      <c r="G1711" t="s">
        <v>910</v>
      </c>
      <c r="H1711" t="s">
        <v>1554</v>
      </c>
      <c r="I1711" t="s">
        <v>2301</v>
      </c>
    </row>
    <row r="1712" spans="1:9" x14ac:dyDescent="0.25">
      <c r="A1712" t="s">
        <v>3664</v>
      </c>
      <c r="B1712" t="s">
        <v>148</v>
      </c>
      <c r="C1712" t="s">
        <v>1491</v>
      </c>
      <c r="D1712" t="s">
        <v>27</v>
      </c>
      <c r="F1712" t="s">
        <v>1227</v>
      </c>
      <c r="G1712" t="s">
        <v>910</v>
      </c>
      <c r="H1712" t="s">
        <v>163</v>
      </c>
      <c r="I1712" t="s">
        <v>2301</v>
      </c>
    </row>
    <row r="1713" spans="1:9" x14ac:dyDescent="0.25">
      <c r="A1713" t="s">
        <v>3663</v>
      </c>
      <c r="B1713" t="s">
        <v>148</v>
      </c>
      <c r="C1713" t="s">
        <v>1491</v>
      </c>
      <c r="D1713" t="s">
        <v>27</v>
      </c>
      <c r="F1713" t="s">
        <v>8</v>
      </c>
      <c r="G1713" t="s">
        <v>910</v>
      </c>
      <c r="H1713" t="s">
        <v>1581</v>
      </c>
      <c r="I1713" t="s">
        <v>2301</v>
      </c>
    </row>
    <row r="1714" spans="1:9" x14ac:dyDescent="0.25">
      <c r="A1714" t="s">
        <v>3662</v>
      </c>
      <c r="B1714" t="s">
        <v>148</v>
      </c>
      <c r="C1714" t="s">
        <v>1491</v>
      </c>
      <c r="D1714" t="s">
        <v>27</v>
      </c>
      <c r="F1714" t="s">
        <v>1333</v>
      </c>
      <c r="G1714" t="s">
        <v>910</v>
      </c>
      <c r="H1714" t="s">
        <v>759</v>
      </c>
      <c r="I1714" t="s">
        <v>2301</v>
      </c>
    </row>
    <row r="1715" spans="1:9" x14ac:dyDescent="0.25">
      <c r="A1715" t="s">
        <v>3661</v>
      </c>
      <c r="B1715" t="s">
        <v>148</v>
      </c>
      <c r="C1715" t="s">
        <v>1491</v>
      </c>
      <c r="D1715" t="s">
        <v>27</v>
      </c>
      <c r="F1715" t="s">
        <v>1293</v>
      </c>
      <c r="G1715" t="s">
        <v>910</v>
      </c>
      <c r="H1715" t="s">
        <v>1225</v>
      </c>
      <c r="I1715" t="s">
        <v>2301</v>
      </c>
    </row>
    <row r="1716" spans="1:9" x14ac:dyDescent="0.25">
      <c r="A1716" t="s">
        <v>3659</v>
      </c>
      <c r="B1716" t="s">
        <v>148</v>
      </c>
      <c r="C1716" t="s">
        <v>1491</v>
      </c>
      <c r="D1716" t="s">
        <v>27</v>
      </c>
      <c r="F1716" t="s">
        <v>1221</v>
      </c>
      <c r="G1716" t="s">
        <v>910</v>
      </c>
      <c r="H1716" t="s">
        <v>3660</v>
      </c>
      <c r="I1716" t="s">
        <v>2301</v>
      </c>
    </row>
    <row r="1717" spans="1:9" x14ac:dyDescent="0.25">
      <c r="A1717" t="s">
        <v>3490</v>
      </c>
      <c r="B1717" t="s">
        <v>176</v>
      </c>
      <c r="C1717" t="s">
        <v>1180</v>
      </c>
      <c r="F1717" t="s">
        <v>1229</v>
      </c>
      <c r="G1717" t="s">
        <v>910</v>
      </c>
      <c r="H1717" t="s">
        <v>108</v>
      </c>
      <c r="I1717" t="s">
        <v>1910</v>
      </c>
    </row>
    <row r="1718" spans="1:9" x14ac:dyDescent="0.25">
      <c r="A1718" t="s">
        <v>3489</v>
      </c>
      <c r="B1718" t="s">
        <v>176</v>
      </c>
      <c r="C1718" t="s">
        <v>1180</v>
      </c>
      <c r="F1718" t="s">
        <v>1298</v>
      </c>
      <c r="G1718" t="s">
        <v>910</v>
      </c>
      <c r="H1718" t="s">
        <v>108</v>
      </c>
      <c r="I1718" t="s">
        <v>2080</v>
      </c>
    </row>
    <row r="1719" spans="1:9" x14ac:dyDescent="0.25">
      <c r="A1719" t="s">
        <v>3488</v>
      </c>
      <c r="B1719" t="s">
        <v>176</v>
      </c>
      <c r="C1719" t="s">
        <v>1180</v>
      </c>
      <c r="F1719" t="s">
        <v>1228</v>
      </c>
      <c r="G1719" t="s">
        <v>1228</v>
      </c>
      <c r="H1719" t="s">
        <v>108</v>
      </c>
      <c r="I1719" t="s">
        <v>1910</v>
      </c>
    </row>
    <row r="1720" spans="1:9" x14ac:dyDescent="0.25">
      <c r="A1720" t="s">
        <v>3068</v>
      </c>
      <c r="B1720" t="s">
        <v>176</v>
      </c>
      <c r="C1720" t="s">
        <v>1180</v>
      </c>
      <c r="F1720" t="s">
        <v>1227</v>
      </c>
      <c r="G1720" t="s">
        <v>1228</v>
      </c>
      <c r="H1720" t="s">
        <v>111</v>
      </c>
      <c r="I1720" t="s">
        <v>3069</v>
      </c>
    </row>
    <row r="1721" spans="1:9" x14ac:dyDescent="0.25">
      <c r="A1721" t="s">
        <v>3067</v>
      </c>
      <c r="B1721" t="s">
        <v>176</v>
      </c>
      <c r="C1721" t="s">
        <v>1180</v>
      </c>
      <c r="F1721" t="s">
        <v>8</v>
      </c>
      <c r="G1721" t="s">
        <v>910</v>
      </c>
      <c r="H1721" t="s">
        <v>108</v>
      </c>
      <c r="I1721" t="s">
        <v>1910</v>
      </c>
    </row>
    <row r="1722" spans="1:9" x14ac:dyDescent="0.25">
      <c r="A1722" t="s">
        <v>3487</v>
      </c>
      <c r="B1722" t="s">
        <v>176</v>
      </c>
      <c r="C1722" t="s">
        <v>1180</v>
      </c>
      <c r="F1722" t="s">
        <v>1331</v>
      </c>
      <c r="G1722" t="s">
        <v>910</v>
      </c>
      <c r="H1722" t="s">
        <v>108</v>
      </c>
      <c r="I1722" t="s">
        <v>1910</v>
      </c>
    </row>
    <row r="1723" spans="1:9" x14ac:dyDescent="0.25">
      <c r="A1723" t="s">
        <v>3486</v>
      </c>
      <c r="B1723" t="s">
        <v>176</v>
      </c>
      <c r="C1723" t="s">
        <v>1180</v>
      </c>
      <c r="F1723" t="s">
        <v>1333</v>
      </c>
      <c r="G1723" t="s">
        <v>900</v>
      </c>
      <c r="H1723" t="s">
        <v>108</v>
      </c>
      <c r="I1723" t="s">
        <v>1910</v>
      </c>
    </row>
    <row r="1724" spans="1:9" x14ac:dyDescent="0.25">
      <c r="A1724" t="s">
        <v>3066</v>
      </c>
      <c r="B1724" t="s">
        <v>176</v>
      </c>
      <c r="C1724" t="s">
        <v>1180</v>
      </c>
      <c r="F1724" t="s">
        <v>1293</v>
      </c>
      <c r="G1724" t="s">
        <v>900</v>
      </c>
      <c r="H1724" t="s">
        <v>108</v>
      </c>
      <c r="I1724" t="s">
        <v>1910</v>
      </c>
    </row>
    <row r="1725" spans="1:9" x14ac:dyDescent="0.25">
      <c r="A1725" t="s">
        <v>2877</v>
      </c>
      <c r="B1725" t="s">
        <v>176</v>
      </c>
      <c r="C1725" t="s">
        <v>1180</v>
      </c>
      <c r="F1725" t="s">
        <v>1221</v>
      </c>
      <c r="G1725" t="s">
        <v>910</v>
      </c>
      <c r="H1725" t="s">
        <v>108</v>
      </c>
      <c r="I1725" t="s">
        <v>2080</v>
      </c>
    </row>
    <row r="1726" spans="1:9" x14ac:dyDescent="0.25">
      <c r="A1726" t="s">
        <v>3485</v>
      </c>
      <c r="B1726" t="s">
        <v>176</v>
      </c>
      <c r="C1726" t="s">
        <v>1466</v>
      </c>
      <c r="F1726" t="s">
        <v>1298</v>
      </c>
      <c r="G1726" t="s">
        <v>900</v>
      </c>
      <c r="H1726" t="s">
        <v>1515</v>
      </c>
      <c r="I1726" t="s">
        <v>2206</v>
      </c>
    </row>
    <row r="1727" spans="1:9" x14ac:dyDescent="0.25">
      <c r="A1727" t="s">
        <v>3484</v>
      </c>
      <c r="B1727" t="s">
        <v>176</v>
      </c>
      <c r="C1727" t="s">
        <v>1466</v>
      </c>
      <c r="F1727" t="s">
        <v>1229</v>
      </c>
      <c r="G1727" t="s">
        <v>910</v>
      </c>
      <c r="H1727" t="s">
        <v>508</v>
      </c>
      <c r="I1727" t="s">
        <v>2080</v>
      </c>
    </row>
    <row r="1728" spans="1:9" x14ac:dyDescent="0.25">
      <c r="A1728" t="s">
        <v>3483</v>
      </c>
      <c r="B1728" t="s">
        <v>176</v>
      </c>
      <c r="C1728" t="s">
        <v>1466</v>
      </c>
      <c r="F1728" t="s">
        <v>1228</v>
      </c>
      <c r="G1728" t="s">
        <v>1228</v>
      </c>
      <c r="H1728" t="s">
        <v>3063</v>
      </c>
      <c r="I1728" t="s">
        <v>2208</v>
      </c>
    </row>
    <row r="1729" spans="1:9" x14ac:dyDescent="0.25">
      <c r="A1729" t="s">
        <v>3482</v>
      </c>
      <c r="B1729" t="s">
        <v>176</v>
      </c>
      <c r="C1729" t="s">
        <v>1466</v>
      </c>
      <c r="F1729" t="s">
        <v>1286</v>
      </c>
      <c r="G1729" t="s">
        <v>910</v>
      </c>
      <c r="H1729" t="s">
        <v>508</v>
      </c>
      <c r="I1729" t="s">
        <v>2080</v>
      </c>
    </row>
    <row r="1730" spans="1:9" x14ac:dyDescent="0.25">
      <c r="A1730" t="s">
        <v>3481</v>
      </c>
      <c r="B1730" t="s">
        <v>176</v>
      </c>
      <c r="C1730" t="s">
        <v>1466</v>
      </c>
      <c r="F1730" t="s">
        <v>1227</v>
      </c>
      <c r="G1730" t="s">
        <v>1228</v>
      </c>
      <c r="H1730" t="s">
        <v>3063</v>
      </c>
      <c r="I1730" t="s">
        <v>2208</v>
      </c>
    </row>
    <row r="1731" spans="1:9" x14ac:dyDescent="0.25">
      <c r="A1731" t="s">
        <v>3480</v>
      </c>
      <c r="B1731" t="s">
        <v>176</v>
      </c>
      <c r="C1731" t="s">
        <v>1466</v>
      </c>
      <c r="F1731" t="s">
        <v>1314</v>
      </c>
      <c r="G1731" t="s">
        <v>910</v>
      </c>
      <c r="H1731" t="s">
        <v>1470</v>
      </c>
      <c r="I1731" t="s">
        <v>2076</v>
      </c>
    </row>
    <row r="1732" spans="1:9" x14ac:dyDescent="0.25">
      <c r="A1732" t="s">
        <v>3065</v>
      </c>
      <c r="B1732" t="s">
        <v>176</v>
      </c>
      <c r="C1732" t="s">
        <v>1466</v>
      </c>
      <c r="F1732" t="s">
        <v>8</v>
      </c>
      <c r="G1732" t="s">
        <v>910</v>
      </c>
      <c r="H1732" t="s">
        <v>1470</v>
      </c>
      <c r="I1732" t="s">
        <v>2076</v>
      </c>
    </row>
    <row r="1733" spans="1:9" x14ac:dyDescent="0.25">
      <c r="A1733" t="s">
        <v>3477</v>
      </c>
      <c r="B1733" t="s">
        <v>176</v>
      </c>
      <c r="C1733" t="s">
        <v>1466</v>
      </c>
      <c r="F1733" t="s">
        <v>1333</v>
      </c>
      <c r="G1733" t="s">
        <v>900</v>
      </c>
      <c r="H1733" t="s">
        <v>3478</v>
      </c>
      <c r="I1733" t="s">
        <v>3479</v>
      </c>
    </row>
    <row r="1734" spans="1:9" x14ac:dyDescent="0.25">
      <c r="A1734" t="s">
        <v>3476</v>
      </c>
      <c r="B1734" t="s">
        <v>176</v>
      </c>
      <c r="C1734" t="s">
        <v>1466</v>
      </c>
      <c r="F1734" t="s">
        <v>1293</v>
      </c>
      <c r="G1734" t="s">
        <v>900</v>
      </c>
      <c r="H1734" t="s">
        <v>1522</v>
      </c>
      <c r="I1734" t="s">
        <v>2216</v>
      </c>
    </row>
    <row r="1735" spans="1:9" x14ac:dyDescent="0.25">
      <c r="A1735" t="s">
        <v>3475</v>
      </c>
      <c r="B1735" t="s">
        <v>176</v>
      </c>
      <c r="C1735" t="s">
        <v>1466</v>
      </c>
      <c r="F1735" t="s">
        <v>1221</v>
      </c>
      <c r="G1735" t="s">
        <v>910</v>
      </c>
      <c r="H1735" t="s">
        <v>1475</v>
      </c>
      <c r="I1735" t="s">
        <v>2081</v>
      </c>
    </row>
    <row r="1736" spans="1:9" x14ac:dyDescent="0.25">
      <c r="A1736" t="s">
        <v>3715</v>
      </c>
      <c r="B1736" t="s">
        <v>263</v>
      </c>
      <c r="C1736" t="s">
        <v>1186</v>
      </c>
      <c r="D1736" t="s">
        <v>27</v>
      </c>
      <c r="F1736" t="s">
        <v>1229</v>
      </c>
      <c r="G1736" t="s">
        <v>900</v>
      </c>
      <c r="H1736" t="s">
        <v>1498</v>
      </c>
      <c r="I1736" t="s">
        <v>509</v>
      </c>
    </row>
    <row r="1737" spans="1:9" x14ac:dyDescent="0.25">
      <c r="A1737" t="s">
        <v>3714</v>
      </c>
      <c r="B1737" t="s">
        <v>263</v>
      </c>
      <c r="C1737" t="s">
        <v>1186</v>
      </c>
      <c r="D1737" t="s">
        <v>27</v>
      </c>
      <c r="F1737" t="s">
        <v>1286</v>
      </c>
      <c r="G1737" t="s">
        <v>900</v>
      </c>
      <c r="H1737" t="s">
        <v>268</v>
      </c>
      <c r="I1737" t="s">
        <v>86</v>
      </c>
    </row>
    <row r="1738" spans="1:9" x14ac:dyDescent="0.25">
      <c r="A1738" t="s">
        <v>3713</v>
      </c>
      <c r="B1738" t="s">
        <v>263</v>
      </c>
      <c r="C1738" t="s">
        <v>1186</v>
      </c>
      <c r="D1738" t="s">
        <v>27</v>
      </c>
      <c r="F1738" t="s">
        <v>1227</v>
      </c>
      <c r="G1738" t="s">
        <v>1228</v>
      </c>
      <c r="H1738" t="s">
        <v>246</v>
      </c>
      <c r="I1738" t="s">
        <v>2112</v>
      </c>
    </row>
    <row r="1739" spans="1:9" x14ac:dyDescent="0.25">
      <c r="A1739" t="s">
        <v>3712</v>
      </c>
      <c r="B1739" t="s">
        <v>263</v>
      </c>
      <c r="C1739" t="s">
        <v>1186</v>
      </c>
      <c r="D1739" t="s">
        <v>27</v>
      </c>
      <c r="F1739" t="s">
        <v>8</v>
      </c>
      <c r="G1739" t="s">
        <v>900</v>
      </c>
      <c r="H1739" t="s">
        <v>1335</v>
      </c>
      <c r="I1739" t="s">
        <v>34</v>
      </c>
    </row>
    <row r="1740" spans="1:9" x14ac:dyDescent="0.25">
      <c r="A1740" t="s">
        <v>3710</v>
      </c>
      <c r="B1740" t="s">
        <v>263</v>
      </c>
      <c r="C1740" t="s">
        <v>1186</v>
      </c>
      <c r="D1740" t="s">
        <v>27</v>
      </c>
      <c r="F1740" t="s">
        <v>1331</v>
      </c>
      <c r="G1740" t="s">
        <v>900</v>
      </c>
      <c r="H1740" t="s">
        <v>3711</v>
      </c>
      <c r="I1740" t="s">
        <v>2378</v>
      </c>
    </row>
    <row r="1741" spans="1:9" x14ac:dyDescent="0.25">
      <c r="A1741" t="s">
        <v>3709</v>
      </c>
      <c r="B1741" t="s">
        <v>263</v>
      </c>
      <c r="C1741" t="s">
        <v>1186</v>
      </c>
      <c r="D1741" t="s">
        <v>27</v>
      </c>
      <c r="F1741" t="s">
        <v>1333</v>
      </c>
      <c r="G1741" t="s">
        <v>900</v>
      </c>
      <c r="H1741" t="s">
        <v>1470</v>
      </c>
      <c r="I1741" t="s">
        <v>514</v>
      </c>
    </row>
    <row r="1742" spans="1:9" x14ac:dyDescent="0.25">
      <c r="A1742" t="s">
        <v>3708</v>
      </c>
      <c r="B1742" t="s">
        <v>263</v>
      </c>
      <c r="C1742" t="s">
        <v>1186</v>
      </c>
      <c r="D1742" t="s">
        <v>27</v>
      </c>
      <c r="F1742" t="s">
        <v>1221</v>
      </c>
      <c r="G1742" t="s">
        <v>900</v>
      </c>
      <c r="H1742" t="s">
        <v>472</v>
      </c>
      <c r="I1742" t="s">
        <v>509</v>
      </c>
    </row>
    <row r="1743" spans="1:9" x14ac:dyDescent="0.25">
      <c r="A1743" t="s">
        <v>3707</v>
      </c>
      <c r="B1743" t="s">
        <v>263</v>
      </c>
      <c r="C1743" t="s">
        <v>1491</v>
      </c>
      <c r="D1743" t="s">
        <v>27</v>
      </c>
      <c r="F1743" t="s">
        <v>1229</v>
      </c>
      <c r="G1743" t="s">
        <v>900</v>
      </c>
      <c r="H1743" t="s">
        <v>1437</v>
      </c>
      <c r="I1743" t="s">
        <v>2129</v>
      </c>
    </row>
    <row r="1744" spans="1:9" x14ac:dyDescent="0.25">
      <c r="A1744" t="s">
        <v>3705</v>
      </c>
      <c r="B1744" t="s">
        <v>263</v>
      </c>
      <c r="C1744" t="s">
        <v>1491</v>
      </c>
      <c r="D1744" t="s">
        <v>27</v>
      </c>
      <c r="F1744" t="s">
        <v>1298</v>
      </c>
      <c r="G1744" t="s">
        <v>900</v>
      </c>
      <c r="H1744" t="s">
        <v>508</v>
      </c>
      <c r="I1744" t="s">
        <v>3706</v>
      </c>
    </row>
    <row r="1745" spans="1:9" x14ac:dyDescent="0.25">
      <c r="A1745" t="s">
        <v>3704</v>
      </c>
      <c r="B1745" t="s">
        <v>263</v>
      </c>
      <c r="C1745" t="s">
        <v>1491</v>
      </c>
      <c r="D1745" t="s">
        <v>27</v>
      </c>
      <c r="F1745" t="s">
        <v>1228</v>
      </c>
      <c r="G1745" t="s">
        <v>900</v>
      </c>
      <c r="H1745" t="s">
        <v>246</v>
      </c>
      <c r="I1745" t="s">
        <v>2288</v>
      </c>
    </row>
    <row r="1746" spans="1:9" x14ac:dyDescent="0.25">
      <c r="A1746" t="s">
        <v>3703</v>
      </c>
      <c r="B1746" t="s">
        <v>263</v>
      </c>
      <c r="C1746" t="s">
        <v>1491</v>
      </c>
      <c r="D1746" t="s">
        <v>27</v>
      </c>
      <c r="F1746" t="s">
        <v>1286</v>
      </c>
      <c r="G1746" t="s">
        <v>900</v>
      </c>
      <c r="H1746" t="s">
        <v>96</v>
      </c>
      <c r="I1746" t="s">
        <v>2287</v>
      </c>
    </row>
    <row r="1747" spans="1:9" x14ac:dyDescent="0.25">
      <c r="A1747" t="s">
        <v>3702</v>
      </c>
      <c r="B1747" t="s">
        <v>263</v>
      </c>
      <c r="C1747" t="s">
        <v>1491</v>
      </c>
      <c r="D1747" t="s">
        <v>27</v>
      </c>
      <c r="F1747" t="s">
        <v>1227</v>
      </c>
      <c r="G1747" t="s">
        <v>1228</v>
      </c>
      <c r="H1747" t="s">
        <v>508</v>
      </c>
      <c r="I1747" t="s">
        <v>2289</v>
      </c>
    </row>
    <row r="1748" spans="1:9" x14ac:dyDescent="0.25">
      <c r="A1748" t="s">
        <v>3701</v>
      </c>
      <c r="B1748" t="s">
        <v>263</v>
      </c>
      <c r="C1748" t="s">
        <v>1491</v>
      </c>
      <c r="D1748" t="s">
        <v>27</v>
      </c>
      <c r="F1748" t="s">
        <v>8</v>
      </c>
      <c r="G1748" t="s">
        <v>900</v>
      </c>
      <c r="H1748" t="s">
        <v>726</v>
      </c>
      <c r="I1748" t="s">
        <v>2290</v>
      </c>
    </row>
    <row r="1749" spans="1:9" x14ac:dyDescent="0.25">
      <c r="A1749" t="s">
        <v>3700</v>
      </c>
      <c r="B1749" t="s">
        <v>263</v>
      </c>
      <c r="C1749" t="s">
        <v>1491</v>
      </c>
      <c r="D1749" t="s">
        <v>27</v>
      </c>
      <c r="F1749" t="s">
        <v>1331</v>
      </c>
      <c r="G1749" t="s">
        <v>900</v>
      </c>
      <c r="H1749" t="s">
        <v>726</v>
      </c>
      <c r="I1749" t="s">
        <v>2360</v>
      </c>
    </row>
    <row r="1750" spans="1:9" x14ac:dyDescent="0.25">
      <c r="A1750" t="s">
        <v>3509</v>
      </c>
      <c r="B1750" t="s">
        <v>263</v>
      </c>
      <c r="C1750" t="s">
        <v>1491</v>
      </c>
      <c r="D1750" t="s">
        <v>27</v>
      </c>
      <c r="F1750" t="s">
        <v>1333</v>
      </c>
      <c r="G1750" t="s">
        <v>900</v>
      </c>
      <c r="H1750" t="s">
        <v>268</v>
      </c>
      <c r="I1750" t="s">
        <v>2291</v>
      </c>
    </row>
    <row r="1751" spans="1:9" x14ac:dyDescent="0.25">
      <c r="A1751" t="s">
        <v>3508</v>
      </c>
      <c r="B1751" t="s">
        <v>263</v>
      </c>
      <c r="C1751" t="s">
        <v>1491</v>
      </c>
      <c r="D1751" t="s">
        <v>27</v>
      </c>
      <c r="F1751" t="s">
        <v>1293</v>
      </c>
      <c r="G1751" t="s">
        <v>900</v>
      </c>
      <c r="H1751" t="s">
        <v>356</v>
      </c>
      <c r="I1751" t="s">
        <v>2293</v>
      </c>
    </row>
    <row r="1752" spans="1:9" x14ac:dyDescent="0.25">
      <c r="A1752" t="s">
        <v>3507</v>
      </c>
      <c r="B1752" t="s">
        <v>263</v>
      </c>
      <c r="C1752" t="s">
        <v>1491</v>
      </c>
      <c r="D1752" t="s">
        <v>27</v>
      </c>
      <c r="F1752" t="s">
        <v>1221</v>
      </c>
      <c r="G1752" t="s">
        <v>900</v>
      </c>
      <c r="H1752" t="s">
        <v>508</v>
      </c>
      <c r="I1752" t="s">
        <v>2292</v>
      </c>
    </row>
    <row r="1753" spans="1:9" x14ac:dyDescent="0.25">
      <c r="A1753" t="s">
        <v>3506</v>
      </c>
      <c r="B1753" t="s">
        <v>505</v>
      </c>
      <c r="C1753" t="s">
        <v>1191</v>
      </c>
      <c r="D1753" t="s">
        <v>27</v>
      </c>
      <c r="F1753" t="s">
        <v>1298</v>
      </c>
      <c r="G1753" t="s">
        <v>910</v>
      </c>
      <c r="H1753" t="s">
        <v>1437</v>
      </c>
      <c r="I1753" t="s">
        <v>2048</v>
      </c>
    </row>
    <row r="1754" spans="1:9" x14ac:dyDescent="0.25">
      <c r="A1754" t="s">
        <v>3505</v>
      </c>
      <c r="B1754" t="s">
        <v>505</v>
      </c>
      <c r="C1754" t="s">
        <v>1191</v>
      </c>
      <c r="D1754" t="s">
        <v>27</v>
      </c>
      <c r="F1754" t="s">
        <v>1286</v>
      </c>
      <c r="G1754" t="s">
        <v>910</v>
      </c>
      <c r="H1754" t="s">
        <v>339</v>
      </c>
      <c r="I1754" t="s">
        <v>2185</v>
      </c>
    </row>
    <row r="1755" spans="1:9" x14ac:dyDescent="0.25">
      <c r="A1755" t="s">
        <v>3504</v>
      </c>
      <c r="B1755" t="s">
        <v>505</v>
      </c>
      <c r="C1755" t="s">
        <v>1191</v>
      </c>
      <c r="D1755" t="s">
        <v>27</v>
      </c>
      <c r="F1755" t="s">
        <v>1229</v>
      </c>
      <c r="G1755" t="s">
        <v>910</v>
      </c>
      <c r="H1755" t="s">
        <v>246</v>
      </c>
      <c r="I1755" t="s">
        <v>2087</v>
      </c>
    </row>
    <row r="1756" spans="1:9" x14ac:dyDescent="0.25">
      <c r="A1756" t="s">
        <v>3503</v>
      </c>
      <c r="B1756" t="s">
        <v>505</v>
      </c>
      <c r="C1756" t="s">
        <v>1191</v>
      </c>
      <c r="D1756" t="s">
        <v>27</v>
      </c>
      <c r="F1756" t="s">
        <v>1228</v>
      </c>
      <c r="G1756" t="s">
        <v>1228</v>
      </c>
      <c r="H1756" t="s">
        <v>3478</v>
      </c>
      <c r="I1756" t="s">
        <v>470</v>
      </c>
    </row>
    <row r="1757" spans="1:9" x14ac:dyDescent="0.25">
      <c r="A1757" t="s">
        <v>3502</v>
      </c>
      <c r="B1757" t="s">
        <v>505</v>
      </c>
      <c r="C1757" t="s">
        <v>1191</v>
      </c>
      <c r="D1757" t="s">
        <v>27</v>
      </c>
      <c r="F1757" t="s">
        <v>1227</v>
      </c>
      <c r="G1757" t="s">
        <v>1228</v>
      </c>
      <c r="H1757" t="s">
        <v>246</v>
      </c>
      <c r="I1757" t="s">
        <v>470</v>
      </c>
    </row>
    <row r="1758" spans="1:9" x14ac:dyDescent="0.25">
      <c r="A1758" t="s">
        <v>3501</v>
      </c>
      <c r="B1758" t="s">
        <v>505</v>
      </c>
      <c r="C1758" t="s">
        <v>1191</v>
      </c>
      <c r="D1758" t="s">
        <v>27</v>
      </c>
      <c r="F1758" t="s">
        <v>1314</v>
      </c>
      <c r="G1758" t="s">
        <v>910</v>
      </c>
      <c r="H1758" t="s">
        <v>246</v>
      </c>
      <c r="I1758" t="s">
        <v>364</v>
      </c>
    </row>
    <row r="1759" spans="1:9" x14ac:dyDescent="0.25">
      <c r="A1759" t="s">
        <v>3500</v>
      </c>
      <c r="B1759" t="s">
        <v>505</v>
      </c>
      <c r="C1759" t="s">
        <v>1191</v>
      </c>
      <c r="D1759" t="s">
        <v>27</v>
      </c>
      <c r="F1759" t="s">
        <v>8</v>
      </c>
      <c r="G1759" t="s">
        <v>910</v>
      </c>
      <c r="H1759" t="s">
        <v>246</v>
      </c>
      <c r="I1759" t="s">
        <v>364</v>
      </c>
    </row>
    <row r="1760" spans="1:9" x14ac:dyDescent="0.25">
      <c r="A1760" t="s">
        <v>3499</v>
      </c>
      <c r="B1760" t="s">
        <v>505</v>
      </c>
      <c r="C1760" t="s">
        <v>1191</v>
      </c>
      <c r="D1760" t="s">
        <v>27</v>
      </c>
      <c r="F1760" t="s">
        <v>1331</v>
      </c>
      <c r="G1760" t="s">
        <v>910</v>
      </c>
      <c r="H1760" t="s">
        <v>1522</v>
      </c>
      <c r="I1760" t="s">
        <v>2256</v>
      </c>
    </row>
    <row r="1761" spans="1:9" x14ac:dyDescent="0.25">
      <c r="A1761" t="s">
        <v>3498</v>
      </c>
      <c r="B1761" t="s">
        <v>505</v>
      </c>
      <c r="C1761" t="s">
        <v>1191</v>
      </c>
      <c r="D1761" t="s">
        <v>27</v>
      </c>
      <c r="F1761" t="s">
        <v>1333</v>
      </c>
      <c r="G1761" t="s">
        <v>900</v>
      </c>
      <c r="H1761" t="s">
        <v>339</v>
      </c>
      <c r="I1761" t="s">
        <v>86</v>
      </c>
    </row>
    <row r="1762" spans="1:9" x14ac:dyDescent="0.25">
      <c r="A1762" t="s">
        <v>3496</v>
      </c>
      <c r="B1762" t="s">
        <v>505</v>
      </c>
      <c r="C1762" t="s">
        <v>1191</v>
      </c>
      <c r="D1762" t="s">
        <v>27</v>
      </c>
      <c r="F1762" t="s">
        <v>1293</v>
      </c>
      <c r="G1762" t="s">
        <v>900</v>
      </c>
      <c r="H1762" t="s">
        <v>3497</v>
      </c>
      <c r="I1762" t="s">
        <v>519</v>
      </c>
    </row>
    <row r="1763" spans="1:9" x14ac:dyDescent="0.25">
      <c r="A1763" t="s">
        <v>3495</v>
      </c>
      <c r="B1763" t="s">
        <v>505</v>
      </c>
      <c r="C1763" t="s">
        <v>1191</v>
      </c>
      <c r="D1763" t="s">
        <v>27</v>
      </c>
      <c r="F1763" t="s">
        <v>1221</v>
      </c>
      <c r="G1763" t="s">
        <v>900</v>
      </c>
      <c r="H1763" t="s">
        <v>246</v>
      </c>
      <c r="I1763" t="s">
        <v>2087</v>
      </c>
    </row>
    <row r="1764" spans="1:9" x14ac:dyDescent="0.25">
      <c r="A1764" t="s">
        <v>3064</v>
      </c>
      <c r="B1764" t="s">
        <v>505</v>
      </c>
      <c r="C1764" t="s">
        <v>1465</v>
      </c>
      <c r="D1764" t="s">
        <v>27</v>
      </c>
      <c r="F1764" t="s">
        <v>1298</v>
      </c>
      <c r="G1764" t="s">
        <v>900</v>
      </c>
      <c r="H1764" t="s">
        <v>339</v>
      </c>
      <c r="I1764" t="s">
        <v>2048</v>
      </c>
    </row>
    <row r="1765" spans="1:9" x14ac:dyDescent="0.25">
      <c r="A1765" t="s">
        <v>3494</v>
      </c>
      <c r="B1765" t="s">
        <v>505</v>
      </c>
      <c r="C1765" t="s">
        <v>1465</v>
      </c>
      <c r="D1765" t="s">
        <v>27</v>
      </c>
      <c r="F1765" t="s">
        <v>1286</v>
      </c>
      <c r="G1765" t="s">
        <v>900</v>
      </c>
      <c r="H1765" t="s">
        <v>77</v>
      </c>
      <c r="I1765" t="s">
        <v>2048</v>
      </c>
    </row>
    <row r="1766" spans="1:9" x14ac:dyDescent="0.25">
      <c r="A1766" t="s">
        <v>3493</v>
      </c>
      <c r="B1766" t="s">
        <v>505</v>
      </c>
      <c r="C1766" t="s">
        <v>1465</v>
      </c>
      <c r="D1766" t="s">
        <v>27</v>
      </c>
      <c r="F1766" t="s">
        <v>1482</v>
      </c>
      <c r="G1766" t="s">
        <v>900</v>
      </c>
      <c r="H1766" t="s">
        <v>268</v>
      </c>
      <c r="I1766" t="s">
        <v>2087</v>
      </c>
    </row>
    <row r="1767" spans="1:9" x14ac:dyDescent="0.25">
      <c r="A1767" t="s">
        <v>3699</v>
      </c>
      <c r="B1767" t="s">
        <v>505</v>
      </c>
      <c r="C1767" t="s">
        <v>1465</v>
      </c>
      <c r="D1767" t="s">
        <v>27</v>
      </c>
      <c r="F1767" t="s">
        <v>1229</v>
      </c>
      <c r="G1767" t="s">
        <v>910</v>
      </c>
      <c r="H1767" t="s">
        <v>268</v>
      </c>
      <c r="I1767" t="s">
        <v>2087</v>
      </c>
    </row>
    <row r="1768" spans="1:9" x14ac:dyDescent="0.25">
      <c r="A1768" t="s">
        <v>3698</v>
      </c>
      <c r="B1768" t="s">
        <v>505</v>
      </c>
      <c r="C1768" t="s">
        <v>1465</v>
      </c>
      <c r="D1768" t="s">
        <v>27</v>
      </c>
      <c r="F1768" t="s">
        <v>1228</v>
      </c>
      <c r="G1768" t="s">
        <v>1228</v>
      </c>
      <c r="H1768" t="s">
        <v>3697</v>
      </c>
      <c r="I1768" t="s">
        <v>2258</v>
      </c>
    </row>
    <row r="1769" spans="1:9" x14ac:dyDescent="0.25">
      <c r="A1769" t="s">
        <v>3696</v>
      </c>
      <c r="B1769" t="s">
        <v>505</v>
      </c>
      <c r="C1769" t="s">
        <v>1465</v>
      </c>
      <c r="D1769" t="s">
        <v>27</v>
      </c>
      <c r="F1769" t="s">
        <v>1227</v>
      </c>
      <c r="G1769" t="s">
        <v>1228</v>
      </c>
      <c r="H1769" t="s">
        <v>3697</v>
      </c>
      <c r="I1769" t="s">
        <v>2258</v>
      </c>
    </row>
    <row r="1770" spans="1:9" x14ac:dyDescent="0.25">
      <c r="A1770" t="s">
        <v>3695</v>
      </c>
      <c r="B1770" t="s">
        <v>505</v>
      </c>
      <c r="C1770" t="s">
        <v>1465</v>
      </c>
      <c r="D1770" t="s">
        <v>27</v>
      </c>
      <c r="F1770" t="s">
        <v>1314</v>
      </c>
      <c r="G1770" t="s">
        <v>910</v>
      </c>
      <c r="H1770" t="s">
        <v>123</v>
      </c>
      <c r="I1770" t="s">
        <v>364</v>
      </c>
    </row>
    <row r="1771" spans="1:9" x14ac:dyDescent="0.25">
      <c r="A1771" t="s">
        <v>3694</v>
      </c>
      <c r="B1771" t="s">
        <v>505</v>
      </c>
      <c r="C1771" t="s">
        <v>1465</v>
      </c>
      <c r="D1771" t="s">
        <v>27</v>
      </c>
      <c r="F1771" t="s">
        <v>8</v>
      </c>
      <c r="G1771" t="s">
        <v>910</v>
      </c>
      <c r="H1771" t="s">
        <v>123</v>
      </c>
      <c r="I1771" t="s">
        <v>364</v>
      </c>
    </row>
    <row r="1772" spans="1:9" x14ac:dyDescent="0.25">
      <c r="A1772" t="s">
        <v>3693</v>
      </c>
      <c r="B1772" t="s">
        <v>505</v>
      </c>
      <c r="C1772" t="s">
        <v>1465</v>
      </c>
      <c r="D1772" t="s">
        <v>27</v>
      </c>
      <c r="F1772" t="s">
        <v>1331</v>
      </c>
      <c r="G1772" t="s">
        <v>900</v>
      </c>
      <c r="H1772" t="s">
        <v>123</v>
      </c>
      <c r="I1772" t="s">
        <v>2256</v>
      </c>
    </row>
    <row r="1773" spans="1:9" x14ac:dyDescent="0.25">
      <c r="A1773" t="s">
        <v>3691</v>
      </c>
      <c r="B1773" t="s">
        <v>505</v>
      </c>
      <c r="C1773" t="s">
        <v>1465</v>
      </c>
      <c r="D1773" t="s">
        <v>27</v>
      </c>
      <c r="F1773" t="s">
        <v>1333</v>
      </c>
      <c r="G1773" t="s">
        <v>900</v>
      </c>
      <c r="H1773" t="s">
        <v>3692</v>
      </c>
      <c r="I1773" t="s">
        <v>86</v>
      </c>
    </row>
    <row r="1774" spans="1:9" x14ac:dyDescent="0.25">
      <c r="A1774" t="s">
        <v>3690</v>
      </c>
      <c r="B1774" t="s">
        <v>505</v>
      </c>
      <c r="C1774" t="s">
        <v>1465</v>
      </c>
      <c r="D1774" t="s">
        <v>27</v>
      </c>
      <c r="F1774" t="s">
        <v>1293</v>
      </c>
      <c r="G1774" t="s">
        <v>900</v>
      </c>
      <c r="H1774" t="s">
        <v>1456</v>
      </c>
      <c r="I1774" t="s">
        <v>519</v>
      </c>
    </row>
    <row r="1775" spans="1:9" x14ac:dyDescent="0.25">
      <c r="A1775" t="s">
        <v>3062</v>
      </c>
      <c r="B1775" t="s">
        <v>505</v>
      </c>
      <c r="C1775" t="s">
        <v>1465</v>
      </c>
      <c r="D1775" t="s">
        <v>27</v>
      </c>
      <c r="F1775" t="s">
        <v>1221</v>
      </c>
      <c r="G1775" t="s">
        <v>900</v>
      </c>
      <c r="H1775" t="s">
        <v>3063</v>
      </c>
      <c r="I1775" t="s">
        <v>2255</v>
      </c>
    </row>
    <row r="1776" spans="1:9" x14ac:dyDescent="0.25">
      <c r="A1776" t="s">
        <v>3658</v>
      </c>
      <c r="B1776" t="s">
        <v>572</v>
      </c>
      <c r="C1776" t="s">
        <v>1213</v>
      </c>
      <c r="F1776" t="s">
        <v>1229</v>
      </c>
      <c r="G1776" t="s">
        <v>900</v>
      </c>
      <c r="H1776" t="s">
        <v>442</v>
      </c>
      <c r="I1776" t="s">
        <v>2305</v>
      </c>
    </row>
    <row r="1777" spans="1:9" x14ac:dyDescent="0.25">
      <c r="A1777" t="s">
        <v>3657</v>
      </c>
      <c r="B1777" t="s">
        <v>572</v>
      </c>
      <c r="C1777" t="s">
        <v>1213</v>
      </c>
      <c r="F1777" t="s">
        <v>8</v>
      </c>
      <c r="G1777" t="s">
        <v>900</v>
      </c>
      <c r="H1777" t="s">
        <v>442</v>
      </c>
      <c r="I1777" t="s">
        <v>2305</v>
      </c>
    </row>
    <row r="1778" spans="1:9" x14ac:dyDescent="0.25">
      <c r="A1778" t="s">
        <v>3656</v>
      </c>
      <c r="B1778" t="s">
        <v>572</v>
      </c>
      <c r="C1778" t="s">
        <v>1213</v>
      </c>
      <c r="F1778" t="s">
        <v>1293</v>
      </c>
      <c r="G1778" t="s">
        <v>900</v>
      </c>
      <c r="H1778" t="s">
        <v>442</v>
      </c>
      <c r="I1778" t="s">
        <v>2305</v>
      </c>
    </row>
    <row r="1779" spans="1:9" x14ac:dyDescent="0.25">
      <c r="A1779" t="s">
        <v>3655</v>
      </c>
      <c r="B1779" t="s">
        <v>572</v>
      </c>
      <c r="C1779" t="s">
        <v>1213</v>
      </c>
      <c r="F1779" t="s">
        <v>1298</v>
      </c>
      <c r="G1779" t="s">
        <v>900</v>
      </c>
      <c r="H1779" t="s">
        <v>1408</v>
      </c>
      <c r="I1779" t="s">
        <v>1925</v>
      </c>
    </row>
    <row r="1780" spans="1:9" x14ac:dyDescent="0.25">
      <c r="A1780" t="s">
        <v>3654</v>
      </c>
      <c r="B1780" t="s">
        <v>572</v>
      </c>
      <c r="C1780" t="s">
        <v>1213</v>
      </c>
      <c r="F1780" t="s">
        <v>1298</v>
      </c>
      <c r="G1780" t="s">
        <v>900</v>
      </c>
      <c r="H1780" t="s">
        <v>1408</v>
      </c>
      <c r="I1780" t="s">
        <v>1925</v>
      </c>
    </row>
    <row r="1781" spans="1:9" x14ac:dyDescent="0.25">
      <c r="A1781" t="s">
        <v>3653</v>
      </c>
      <c r="B1781" t="s">
        <v>572</v>
      </c>
      <c r="C1781" t="s">
        <v>1213</v>
      </c>
      <c r="F1781" t="s">
        <v>1286</v>
      </c>
      <c r="G1781" t="s">
        <v>900</v>
      </c>
      <c r="H1781" t="s">
        <v>3569</v>
      </c>
      <c r="I1781" t="s">
        <v>1925</v>
      </c>
    </row>
    <row r="1782" spans="1:9" x14ac:dyDescent="0.25">
      <c r="A1782" t="s">
        <v>3568</v>
      </c>
      <c r="B1782" t="s">
        <v>572</v>
      </c>
      <c r="C1782" t="s">
        <v>1213</v>
      </c>
      <c r="F1782" t="s">
        <v>1286</v>
      </c>
      <c r="G1782" t="s">
        <v>900</v>
      </c>
      <c r="H1782" t="s">
        <v>3569</v>
      </c>
      <c r="I1782" t="s">
        <v>1925</v>
      </c>
    </row>
    <row r="1783" spans="1:9" x14ac:dyDescent="0.25">
      <c r="A1783" t="s">
        <v>4298</v>
      </c>
      <c r="B1783" t="s">
        <v>572</v>
      </c>
      <c r="C1783" t="s">
        <v>1213</v>
      </c>
      <c r="F1783" t="s">
        <v>1227</v>
      </c>
      <c r="G1783" t="s">
        <v>1228</v>
      </c>
      <c r="H1783" t="s">
        <v>1409</v>
      </c>
      <c r="I1783" t="s">
        <v>1926</v>
      </c>
    </row>
    <row r="1784" spans="1:9" x14ac:dyDescent="0.25">
      <c r="A1784" t="s">
        <v>3567</v>
      </c>
      <c r="B1784" t="s">
        <v>572</v>
      </c>
      <c r="C1784" t="s">
        <v>1213</v>
      </c>
      <c r="F1784" t="s">
        <v>1227</v>
      </c>
      <c r="G1784" t="s">
        <v>1228</v>
      </c>
      <c r="H1784" t="s">
        <v>1409</v>
      </c>
      <c r="I1784" t="s">
        <v>1926</v>
      </c>
    </row>
    <row r="1785" spans="1:9" x14ac:dyDescent="0.25">
      <c r="A1785" t="s">
        <v>3566</v>
      </c>
      <c r="B1785" t="s">
        <v>572</v>
      </c>
      <c r="C1785" t="s">
        <v>1213</v>
      </c>
      <c r="F1785" t="s">
        <v>1221</v>
      </c>
      <c r="G1785" t="s">
        <v>900</v>
      </c>
      <c r="H1785" t="s">
        <v>1408</v>
      </c>
      <c r="I1785" t="s">
        <v>1925</v>
      </c>
    </row>
    <row r="1786" spans="1:9" x14ac:dyDescent="0.25">
      <c r="A1786" t="s">
        <v>2872</v>
      </c>
      <c r="B1786" t="s">
        <v>572</v>
      </c>
      <c r="C1786" t="s">
        <v>1213</v>
      </c>
      <c r="F1786" t="s">
        <v>1221</v>
      </c>
      <c r="G1786" t="s">
        <v>900</v>
      </c>
      <c r="H1786" t="s">
        <v>1408</v>
      </c>
      <c r="I1786" t="s">
        <v>1925</v>
      </c>
    </row>
    <row r="1787" spans="1:9" x14ac:dyDescent="0.25">
      <c r="A1787" t="s">
        <v>3061</v>
      </c>
      <c r="B1787" t="s">
        <v>592</v>
      </c>
      <c r="C1787" t="s">
        <v>1191</v>
      </c>
      <c r="D1787" t="s">
        <v>27</v>
      </c>
      <c r="F1787" t="s">
        <v>1298</v>
      </c>
      <c r="G1787" t="s">
        <v>900</v>
      </c>
      <c r="H1787" t="s">
        <v>1579</v>
      </c>
      <c r="I1787" t="s">
        <v>2061</v>
      </c>
    </row>
    <row r="1788" spans="1:9" x14ac:dyDescent="0.25">
      <c r="A1788" t="s">
        <v>3689</v>
      </c>
      <c r="B1788" t="s">
        <v>592</v>
      </c>
      <c r="C1788" t="s">
        <v>1191</v>
      </c>
      <c r="D1788" t="s">
        <v>27</v>
      </c>
      <c r="F1788" t="s">
        <v>1229</v>
      </c>
      <c r="H1788" t="s">
        <v>399</v>
      </c>
      <c r="I1788" t="s">
        <v>2245</v>
      </c>
    </row>
    <row r="1789" spans="1:9" x14ac:dyDescent="0.25">
      <c r="A1789" t="s">
        <v>3688</v>
      </c>
      <c r="B1789" t="s">
        <v>592</v>
      </c>
      <c r="C1789" t="s">
        <v>1191</v>
      </c>
      <c r="D1789" t="s">
        <v>27</v>
      </c>
      <c r="F1789" t="s">
        <v>1229</v>
      </c>
      <c r="G1789" t="s">
        <v>910</v>
      </c>
      <c r="H1789" t="s">
        <v>1387</v>
      </c>
      <c r="I1789" t="s">
        <v>1864</v>
      </c>
    </row>
    <row r="1790" spans="1:9" x14ac:dyDescent="0.25">
      <c r="A1790" t="s">
        <v>3687</v>
      </c>
      <c r="B1790" t="s">
        <v>592</v>
      </c>
      <c r="C1790" t="s">
        <v>1191</v>
      </c>
      <c r="D1790" t="s">
        <v>27</v>
      </c>
      <c r="F1790" t="s">
        <v>1228</v>
      </c>
      <c r="G1790" t="s">
        <v>1228</v>
      </c>
      <c r="H1790" t="s">
        <v>1387</v>
      </c>
      <c r="I1790" t="s">
        <v>1864</v>
      </c>
    </row>
    <row r="1791" spans="1:9" x14ac:dyDescent="0.25">
      <c r="A1791" t="s">
        <v>3686</v>
      </c>
      <c r="B1791" t="s">
        <v>592</v>
      </c>
      <c r="C1791" t="s">
        <v>1191</v>
      </c>
      <c r="D1791" t="s">
        <v>27</v>
      </c>
      <c r="F1791" t="s">
        <v>1286</v>
      </c>
      <c r="G1791" t="s">
        <v>910</v>
      </c>
      <c r="H1791" t="s">
        <v>1387</v>
      </c>
      <c r="I1791" t="s">
        <v>1864</v>
      </c>
    </row>
    <row r="1792" spans="1:9" x14ac:dyDescent="0.25">
      <c r="A1792" t="s">
        <v>3685</v>
      </c>
      <c r="B1792" t="s">
        <v>592</v>
      </c>
      <c r="C1792" t="s">
        <v>1191</v>
      </c>
      <c r="D1792" t="s">
        <v>27</v>
      </c>
      <c r="F1792" t="s">
        <v>1314</v>
      </c>
      <c r="G1792" t="s">
        <v>910</v>
      </c>
      <c r="H1792" t="s">
        <v>1387</v>
      </c>
      <c r="I1792" t="s">
        <v>1864</v>
      </c>
    </row>
    <row r="1793" spans="1:9" x14ac:dyDescent="0.25">
      <c r="A1793" t="s">
        <v>4070</v>
      </c>
      <c r="B1793" t="s">
        <v>592</v>
      </c>
      <c r="C1793" t="s">
        <v>1191</v>
      </c>
      <c r="D1793" t="s">
        <v>27</v>
      </c>
      <c r="F1793" t="s">
        <v>8</v>
      </c>
      <c r="G1793" t="s">
        <v>910</v>
      </c>
      <c r="H1793" t="s">
        <v>1387</v>
      </c>
      <c r="I1793" t="s">
        <v>1864</v>
      </c>
    </row>
    <row r="1794" spans="1:9" x14ac:dyDescent="0.25">
      <c r="A1794" t="s">
        <v>3684</v>
      </c>
      <c r="B1794" t="s">
        <v>592</v>
      </c>
      <c r="C1794" t="s">
        <v>1191</v>
      </c>
      <c r="D1794" t="s">
        <v>27</v>
      </c>
      <c r="F1794" t="s">
        <v>1331</v>
      </c>
      <c r="G1794" t="s">
        <v>910</v>
      </c>
      <c r="H1794" t="s">
        <v>1387</v>
      </c>
      <c r="I1794" t="s">
        <v>1864</v>
      </c>
    </row>
    <row r="1795" spans="1:9" x14ac:dyDescent="0.25">
      <c r="A1795" t="s">
        <v>3533</v>
      </c>
      <c r="B1795" t="s">
        <v>592</v>
      </c>
      <c r="C1795" t="s">
        <v>1191</v>
      </c>
      <c r="D1795" t="s">
        <v>27</v>
      </c>
      <c r="F1795" t="s">
        <v>1333</v>
      </c>
      <c r="G1795" t="s">
        <v>900</v>
      </c>
      <c r="H1795" t="s">
        <v>1387</v>
      </c>
      <c r="I1795" t="s">
        <v>1864</v>
      </c>
    </row>
    <row r="1796" spans="1:9" x14ac:dyDescent="0.25">
      <c r="A1796" t="s">
        <v>3532</v>
      </c>
      <c r="B1796" t="s">
        <v>592</v>
      </c>
      <c r="C1796" t="s">
        <v>1191</v>
      </c>
      <c r="D1796" t="s">
        <v>27</v>
      </c>
      <c r="F1796" t="s">
        <v>1293</v>
      </c>
      <c r="G1796" t="s">
        <v>900</v>
      </c>
      <c r="H1796" t="s">
        <v>1387</v>
      </c>
      <c r="I1796" t="s">
        <v>1864</v>
      </c>
    </row>
    <row r="1797" spans="1:9" x14ac:dyDescent="0.25">
      <c r="A1797" t="s">
        <v>3531</v>
      </c>
      <c r="B1797" t="s">
        <v>592</v>
      </c>
      <c r="C1797" t="s">
        <v>1191</v>
      </c>
      <c r="D1797" t="s">
        <v>27</v>
      </c>
      <c r="F1797" t="s">
        <v>1221</v>
      </c>
      <c r="G1797" t="s">
        <v>900</v>
      </c>
      <c r="H1797" t="s">
        <v>1387</v>
      </c>
      <c r="I1797" t="s">
        <v>1864</v>
      </c>
    </row>
    <row r="1798" spans="1:9" x14ac:dyDescent="0.25">
      <c r="A1798" t="s">
        <v>3529</v>
      </c>
      <c r="B1798" t="s">
        <v>592</v>
      </c>
      <c r="C1798" t="s">
        <v>1465</v>
      </c>
      <c r="D1798" t="s">
        <v>27</v>
      </c>
      <c r="F1798" t="s">
        <v>1333</v>
      </c>
      <c r="G1798" t="s">
        <v>900</v>
      </c>
      <c r="H1798" t="s">
        <v>3530</v>
      </c>
      <c r="I1798" t="s">
        <v>2244</v>
      </c>
    </row>
    <row r="1799" spans="1:9" x14ac:dyDescent="0.25">
      <c r="A1799" t="s">
        <v>3528</v>
      </c>
      <c r="B1799" t="s">
        <v>592</v>
      </c>
      <c r="C1799" t="s">
        <v>1465</v>
      </c>
      <c r="D1799" t="s">
        <v>27</v>
      </c>
      <c r="F1799" t="s">
        <v>1229</v>
      </c>
      <c r="G1799" t="s">
        <v>910</v>
      </c>
      <c r="H1799" t="s">
        <v>486</v>
      </c>
      <c r="I1799" t="s">
        <v>1864</v>
      </c>
    </row>
    <row r="1800" spans="1:9" x14ac:dyDescent="0.25">
      <c r="A1800" t="s">
        <v>3527</v>
      </c>
      <c r="B1800" t="s">
        <v>592</v>
      </c>
      <c r="C1800" t="s">
        <v>1465</v>
      </c>
      <c r="D1800" t="s">
        <v>27</v>
      </c>
      <c r="F1800" t="s">
        <v>1228</v>
      </c>
      <c r="G1800" t="s">
        <v>1228</v>
      </c>
      <c r="H1800" t="s">
        <v>3525</v>
      </c>
      <c r="I1800" t="s">
        <v>2247</v>
      </c>
    </row>
    <row r="1801" spans="1:9" x14ac:dyDescent="0.25">
      <c r="A1801" t="s">
        <v>3526</v>
      </c>
      <c r="B1801" t="s">
        <v>592</v>
      </c>
      <c r="C1801" t="s">
        <v>1465</v>
      </c>
      <c r="D1801" t="s">
        <v>27</v>
      </c>
      <c r="F1801" t="s">
        <v>1286</v>
      </c>
      <c r="G1801" t="s">
        <v>910</v>
      </c>
      <c r="H1801" t="s">
        <v>486</v>
      </c>
      <c r="I1801" t="s">
        <v>1864</v>
      </c>
    </row>
    <row r="1802" spans="1:9" x14ac:dyDescent="0.25">
      <c r="A1802" t="s">
        <v>3524</v>
      </c>
      <c r="B1802" t="s">
        <v>592</v>
      </c>
      <c r="C1802" t="s">
        <v>1465</v>
      </c>
      <c r="D1802" t="s">
        <v>27</v>
      </c>
      <c r="F1802" t="s">
        <v>1227</v>
      </c>
      <c r="G1802" t="s">
        <v>1228</v>
      </c>
      <c r="H1802" t="s">
        <v>3525</v>
      </c>
      <c r="I1802" t="s">
        <v>2247</v>
      </c>
    </row>
    <row r="1803" spans="1:9" x14ac:dyDescent="0.25">
      <c r="A1803" t="s">
        <v>3523</v>
      </c>
      <c r="B1803" t="s">
        <v>592</v>
      </c>
      <c r="C1803" t="s">
        <v>1465</v>
      </c>
      <c r="D1803" t="s">
        <v>27</v>
      </c>
      <c r="F1803" t="s">
        <v>8</v>
      </c>
      <c r="G1803" t="s">
        <v>910</v>
      </c>
      <c r="H1803" t="s">
        <v>1370</v>
      </c>
      <c r="I1803" t="s">
        <v>2245</v>
      </c>
    </row>
    <row r="1804" spans="1:9" x14ac:dyDescent="0.25">
      <c r="A1804" t="s">
        <v>3522</v>
      </c>
      <c r="B1804" t="s">
        <v>592</v>
      </c>
      <c r="C1804" t="s">
        <v>1465</v>
      </c>
      <c r="D1804" t="s">
        <v>27</v>
      </c>
      <c r="F1804" t="s">
        <v>1331</v>
      </c>
      <c r="G1804" t="s">
        <v>910</v>
      </c>
      <c r="H1804" t="s">
        <v>119</v>
      </c>
      <c r="I1804" t="s">
        <v>2061</v>
      </c>
    </row>
    <row r="1805" spans="1:9" x14ac:dyDescent="0.25">
      <c r="A1805" t="s">
        <v>3520</v>
      </c>
      <c r="B1805" t="s">
        <v>592</v>
      </c>
      <c r="C1805" t="s">
        <v>1465</v>
      </c>
      <c r="D1805" t="s">
        <v>27</v>
      </c>
      <c r="F1805" t="s">
        <v>1293</v>
      </c>
      <c r="G1805" t="s">
        <v>900</v>
      </c>
      <c r="H1805" t="s">
        <v>3521</v>
      </c>
      <c r="I1805" t="s">
        <v>1774</v>
      </c>
    </row>
    <row r="1806" spans="1:9" x14ac:dyDescent="0.25">
      <c r="A1806" t="s">
        <v>3518</v>
      </c>
      <c r="B1806" t="s">
        <v>592</v>
      </c>
      <c r="C1806" t="s">
        <v>1465</v>
      </c>
      <c r="D1806" t="s">
        <v>27</v>
      </c>
      <c r="F1806" t="s">
        <v>1221</v>
      </c>
      <c r="G1806" t="s">
        <v>900</v>
      </c>
      <c r="H1806" t="s">
        <v>3519</v>
      </c>
      <c r="I1806" t="s">
        <v>2243</v>
      </c>
    </row>
    <row r="1807" spans="1:9" x14ac:dyDescent="0.25">
      <c r="A1807" t="s">
        <v>3565</v>
      </c>
      <c r="B1807" t="s">
        <v>664</v>
      </c>
      <c r="C1807" t="s">
        <v>1213</v>
      </c>
      <c r="D1807" t="s">
        <v>1524</v>
      </c>
      <c r="F1807" t="s">
        <v>1229</v>
      </c>
      <c r="G1807" t="s">
        <v>910</v>
      </c>
      <c r="H1807" t="s">
        <v>904</v>
      </c>
      <c r="I1807" t="s">
        <v>2252</v>
      </c>
    </row>
    <row r="1808" spans="1:9" x14ac:dyDescent="0.25">
      <c r="A1808" t="s">
        <v>3564</v>
      </c>
      <c r="B1808" t="s">
        <v>664</v>
      </c>
      <c r="C1808" t="s">
        <v>1213</v>
      </c>
      <c r="D1808" t="s">
        <v>1524</v>
      </c>
      <c r="F1808" t="s">
        <v>1298</v>
      </c>
      <c r="G1808" t="s">
        <v>910</v>
      </c>
      <c r="H1808" t="s">
        <v>904</v>
      </c>
      <c r="I1808" t="s">
        <v>2252</v>
      </c>
    </row>
    <row r="1809" spans="1:9" x14ac:dyDescent="0.25">
      <c r="A1809" t="s">
        <v>4059</v>
      </c>
      <c r="B1809" t="s">
        <v>664</v>
      </c>
      <c r="C1809" t="s">
        <v>1213</v>
      </c>
      <c r="D1809" t="s">
        <v>1524</v>
      </c>
      <c r="F1809" t="s">
        <v>8</v>
      </c>
      <c r="G1809" t="s">
        <v>910</v>
      </c>
      <c r="H1809" t="s">
        <v>904</v>
      </c>
      <c r="I1809" t="s">
        <v>2252</v>
      </c>
    </row>
    <row r="1810" spans="1:9" x14ac:dyDescent="0.25">
      <c r="A1810" t="s">
        <v>3563</v>
      </c>
      <c r="B1810" t="s">
        <v>664</v>
      </c>
      <c r="C1810" t="s">
        <v>1213</v>
      </c>
      <c r="D1810" t="s">
        <v>1524</v>
      </c>
      <c r="F1810" t="s">
        <v>1331</v>
      </c>
      <c r="G1810" t="s">
        <v>910</v>
      </c>
      <c r="H1810" t="s">
        <v>904</v>
      </c>
      <c r="I1810" t="s">
        <v>2252</v>
      </c>
    </row>
    <row r="1811" spans="1:9" x14ac:dyDescent="0.25">
      <c r="A1811" t="s">
        <v>3562</v>
      </c>
      <c r="B1811" t="s">
        <v>664</v>
      </c>
      <c r="C1811" t="s">
        <v>1213</v>
      </c>
      <c r="D1811" t="s">
        <v>1524</v>
      </c>
      <c r="F1811" t="s">
        <v>1333</v>
      </c>
      <c r="G1811" t="s">
        <v>900</v>
      </c>
      <c r="H1811" t="s">
        <v>904</v>
      </c>
      <c r="I1811" t="s">
        <v>2252</v>
      </c>
    </row>
    <row r="1812" spans="1:9" x14ac:dyDescent="0.25">
      <c r="A1812" t="s">
        <v>4058</v>
      </c>
      <c r="B1812" t="s">
        <v>664</v>
      </c>
      <c r="C1812" t="s">
        <v>1213</v>
      </c>
      <c r="D1812" t="s">
        <v>1524</v>
      </c>
      <c r="F1812" t="s">
        <v>1293</v>
      </c>
      <c r="G1812" t="s">
        <v>900</v>
      </c>
      <c r="H1812" t="s">
        <v>904</v>
      </c>
      <c r="I1812" t="s">
        <v>2252</v>
      </c>
    </row>
    <row r="1813" spans="1:9" x14ac:dyDescent="0.25">
      <c r="A1813" t="s">
        <v>3561</v>
      </c>
      <c r="B1813" t="s">
        <v>664</v>
      </c>
      <c r="C1813" t="s">
        <v>1213</v>
      </c>
      <c r="D1813" t="s">
        <v>1524</v>
      </c>
      <c r="F1813" t="s">
        <v>1221</v>
      </c>
      <c r="G1813" t="s">
        <v>900</v>
      </c>
      <c r="H1813" t="s">
        <v>339</v>
      </c>
      <c r="I1813" t="s">
        <v>184</v>
      </c>
    </row>
    <row r="1814" spans="1:9" x14ac:dyDescent="0.25">
      <c r="A1814" t="s">
        <v>4057</v>
      </c>
      <c r="B1814" t="s">
        <v>664</v>
      </c>
      <c r="C1814" t="s">
        <v>1213</v>
      </c>
      <c r="D1814" t="s">
        <v>1524</v>
      </c>
      <c r="G1814" t="s">
        <v>910</v>
      </c>
      <c r="H1814" t="s">
        <v>904</v>
      </c>
      <c r="I1814" t="s">
        <v>2252</v>
      </c>
    </row>
    <row r="1815" spans="1:9" x14ac:dyDescent="0.25">
      <c r="A1815" t="s">
        <v>3558</v>
      </c>
      <c r="B1815" t="s">
        <v>664</v>
      </c>
      <c r="C1815" t="s">
        <v>1199</v>
      </c>
      <c r="D1815" t="s">
        <v>3559</v>
      </c>
      <c r="G1815" t="s">
        <v>910</v>
      </c>
      <c r="H1815" t="s">
        <v>697</v>
      </c>
      <c r="I1815" t="s">
        <v>3560</v>
      </c>
    </row>
    <row r="1816" spans="1:9" x14ac:dyDescent="0.25">
      <c r="A1816" t="s">
        <v>4069</v>
      </c>
      <c r="B1816" t="s">
        <v>678</v>
      </c>
      <c r="C1816" t="s">
        <v>1196</v>
      </c>
      <c r="D1816" t="s">
        <v>84</v>
      </c>
      <c r="F1816" t="s">
        <v>1286</v>
      </c>
      <c r="G1816" t="s">
        <v>900</v>
      </c>
      <c r="H1816" t="s">
        <v>825</v>
      </c>
      <c r="I1816" t="s">
        <v>3517</v>
      </c>
    </row>
    <row r="1817" spans="1:9" x14ac:dyDescent="0.25">
      <c r="A1817" t="s">
        <v>2876</v>
      </c>
      <c r="B1817" t="s">
        <v>678</v>
      </c>
      <c r="C1817" t="s">
        <v>1196</v>
      </c>
      <c r="D1817" t="s">
        <v>84</v>
      </c>
      <c r="F1817" t="s">
        <v>1227</v>
      </c>
      <c r="G1817" t="s">
        <v>1228</v>
      </c>
      <c r="H1817" t="s">
        <v>1285</v>
      </c>
      <c r="I1817" t="s">
        <v>1918</v>
      </c>
    </row>
    <row r="1818" spans="1:9" x14ac:dyDescent="0.25">
      <c r="A1818" t="s">
        <v>3516</v>
      </c>
      <c r="B1818" t="s">
        <v>678</v>
      </c>
      <c r="C1818" t="s">
        <v>1196</v>
      </c>
      <c r="D1818" t="s">
        <v>84</v>
      </c>
      <c r="F1818" t="s">
        <v>1221</v>
      </c>
      <c r="G1818" t="s">
        <v>900</v>
      </c>
      <c r="H1818" t="s">
        <v>363</v>
      </c>
      <c r="I1818" t="s">
        <v>3517</v>
      </c>
    </row>
    <row r="1819" spans="1:9" x14ac:dyDescent="0.25">
      <c r="A1819" t="s">
        <v>3514</v>
      </c>
      <c r="B1819" t="s">
        <v>678</v>
      </c>
      <c r="C1819" t="s">
        <v>1465</v>
      </c>
      <c r="D1819" t="s">
        <v>27</v>
      </c>
      <c r="F1819" t="s">
        <v>1228</v>
      </c>
      <c r="G1819" t="s">
        <v>1228</v>
      </c>
      <c r="H1819" t="s">
        <v>726</v>
      </c>
      <c r="I1819" t="s">
        <v>3515</v>
      </c>
    </row>
    <row r="1820" spans="1:9" x14ac:dyDescent="0.25">
      <c r="A1820" t="s">
        <v>3512</v>
      </c>
      <c r="B1820" t="s">
        <v>678</v>
      </c>
      <c r="C1820" t="s">
        <v>1465</v>
      </c>
      <c r="D1820" t="s">
        <v>27</v>
      </c>
      <c r="F1820" t="s">
        <v>1286</v>
      </c>
      <c r="G1820" t="s">
        <v>1228</v>
      </c>
      <c r="H1820" t="s">
        <v>77</v>
      </c>
      <c r="I1820" t="s">
        <v>3513</v>
      </c>
    </row>
    <row r="1821" spans="1:9" x14ac:dyDescent="0.25">
      <c r="A1821" t="s">
        <v>3510</v>
      </c>
      <c r="B1821" t="s">
        <v>678</v>
      </c>
      <c r="C1821" t="s">
        <v>1465</v>
      </c>
      <c r="D1821" t="s">
        <v>27</v>
      </c>
      <c r="F1821" t="s">
        <v>1227</v>
      </c>
      <c r="G1821" t="s">
        <v>1228</v>
      </c>
      <c r="H1821" t="s">
        <v>1437</v>
      </c>
      <c r="I1821" t="s">
        <v>3511</v>
      </c>
    </row>
    <row r="1822" spans="1:9" x14ac:dyDescent="0.25">
      <c r="A1822" t="s">
        <v>3682</v>
      </c>
      <c r="B1822" t="s">
        <v>678</v>
      </c>
      <c r="C1822" t="s">
        <v>1465</v>
      </c>
      <c r="D1822" t="s">
        <v>27</v>
      </c>
      <c r="F1822" t="s">
        <v>1333</v>
      </c>
      <c r="G1822" t="s">
        <v>900</v>
      </c>
      <c r="H1822" t="s">
        <v>1437</v>
      </c>
      <c r="I1822" t="s">
        <v>3683</v>
      </c>
    </row>
    <row r="1823" spans="1:9" x14ac:dyDescent="0.25">
      <c r="A1823" t="s">
        <v>3681</v>
      </c>
      <c r="B1823" t="s">
        <v>678</v>
      </c>
      <c r="C1823" t="s">
        <v>1465</v>
      </c>
      <c r="D1823" t="s">
        <v>27</v>
      </c>
      <c r="F1823" t="s">
        <v>1229</v>
      </c>
      <c r="G1823" t="s">
        <v>910</v>
      </c>
      <c r="H1823" t="s">
        <v>108</v>
      </c>
      <c r="I1823" t="s">
        <v>2313</v>
      </c>
    </row>
    <row r="1824" spans="1:9" x14ac:dyDescent="0.25">
      <c r="A1824" t="s">
        <v>3680</v>
      </c>
      <c r="B1824" t="s">
        <v>678</v>
      </c>
      <c r="C1824" t="s">
        <v>1465</v>
      </c>
      <c r="D1824" t="s">
        <v>27</v>
      </c>
      <c r="F1824" t="s">
        <v>1298</v>
      </c>
      <c r="H1824" t="s">
        <v>108</v>
      </c>
      <c r="I1824" t="s">
        <v>2313</v>
      </c>
    </row>
    <row r="1825" spans="1:9" x14ac:dyDescent="0.25">
      <c r="A1825" t="s">
        <v>3679</v>
      </c>
      <c r="B1825" t="s">
        <v>678</v>
      </c>
      <c r="C1825" t="s">
        <v>1465</v>
      </c>
      <c r="D1825" t="s">
        <v>27</v>
      </c>
      <c r="F1825" t="s">
        <v>8</v>
      </c>
      <c r="G1825" t="s">
        <v>910</v>
      </c>
      <c r="H1825" t="s">
        <v>108</v>
      </c>
      <c r="I1825" t="s">
        <v>2313</v>
      </c>
    </row>
    <row r="1826" spans="1:9" x14ac:dyDescent="0.25">
      <c r="A1826" t="s">
        <v>4067</v>
      </c>
      <c r="B1826" t="s">
        <v>678</v>
      </c>
      <c r="C1826" t="s">
        <v>1465</v>
      </c>
      <c r="D1826" t="s">
        <v>27</v>
      </c>
      <c r="F1826" t="s">
        <v>1331</v>
      </c>
      <c r="G1826" t="s">
        <v>900</v>
      </c>
      <c r="H1826" t="s">
        <v>501</v>
      </c>
      <c r="I1826" t="s">
        <v>4068</v>
      </c>
    </row>
    <row r="1827" spans="1:9" x14ac:dyDescent="0.25">
      <c r="A1827" t="s">
        <v>4066</v>
      </c>
      <c r="B1827" t="s">
        <v>678</v>
      </c>
      <c r="C1827" t="s">
        <v>1465</v>
      </c>
      <c r="D1827" t="s">
        <v>27</v>
      </c>
      <c r="F1827" t="s">
        <v>1221</v>
      </c>
      <c r="G1827" t="s">
        <v>910</v>
      </c>
      <c r="H1827" t="s">
        <v>123</v>
      </c>
      <c r="I1827" t="s">
        <v>2233</v>
      </c>
    </row>
    <row r="1828" spans="1:9" x14ac:dyDescent="0.25">
      <c r="A1828" t="s">
        <v>3557</v>
      </c>
      <c r="B1828" t="s">
        <v>908</v>
      </c>
      <c r="C1828" t="s">
        <v>1477</v>
      </c>
      <c r="D1828" t="s">
        <v>203</v>
      </c>
      <c r="F1828" t="s">
        <v>1229</v>
      </c>
      <c r="G1828" t="s">
        <v>900</v>
      </c>
      <c r="H1828" t="s">
        <v>491</v>
      </c>
      <c r="I1828" t="s">
        <v>906</v>
      </c>
    </row>
    <row r="1829" spans="1:9" x14ac:dyDescent="0.25">
      <c r="A1829" t="s">
        <v>3556</v>
      </c>
      <c r="B1829" t="s">
        <v>908</v>
      </c>
      <c r="C1829" t="s">
        <v>1477</v>
      </c>
      <c r="D1829" t="s">
        <v>203</v>
      </c>
      <c r="F1829" t="s">
        <v>1229</v>
      </c>
      <c r="G1829" t="s">
        <v>900</v>
      </c>
      <c r="H1829" t="s">
        <v>491</v>
      </c>
      <c r="I1829" t="s">
        <v>906</v>
      </c>
    </row>
    <row r="1830" spans="1:9" x14ac:dyDescent="0.25">
      <c r="A1830" t="s">
        <v>3555</v>
      </c>
      <c r="B1830" t="s">
        <v>908</v>
      </c>
      <c r="C1830" t="s">
        <v>1477</v>
      </c>
      <c r="D1830" t="s">
        <v>203</v>
      </c>
      <c r="F1830" t="s">
        <v>1298</v>
      </c>
      <c r="G1830" t="s">
        <v>900</v>
      </c>
      <c r="H1830" t="s">
        <v>491</v>
      </c>
      <c r="I1830" t="s">
        <v>906</v>
      </c>
    </row>
    <row r="1831" spans="1:9" x14ac:dyDescent="0.25">
      <c r="A1831" t="s">
        <v>3554</v>
      </c>
      <c r="B1831" t="s">
        <v>908</v>
      </c>
      <c r="C1831" t="s">
        <v>1477</v>
      </c>
      <c r="D1831" t="s">
        <v>203</v>
      </c>
      <c r="G1831" t="s">
        <v>900</v>
      </c>
      <c r="H1831" t="s">
        <v>491</v>
      </c>
      <c r="I1831" t="s">
        <v>906</v>
      </c>
    </row>
    <row r="1832" spans="1:9" x14ac:dyDescent="0.25">
      <c r="A1832" t="s">
        <v>4056</v>
      </c>
      <c r="B1832" t="s">
        <v>908</v>
      </c>
      <c r="C1832" t="s">
        <v>1477</v>
      </c>
      <c r="D1832" t="s">
        <v>203</v>
      </c>
      <c r="F1832" t="s">
        <v>8</v>
      </c>
      <c r="G1832" t="s">
        <v>900</v>
      </c>
      <c r="H1832" t="s">
        <v>491</v>
      </c>
      <c r="I1832" t="s">
        <v>906</v>
      </c>
    </row>
    <row r="1833" spans="1:9" x14ac:dyDescent="0.25">
      <c r="A1833" t="s">
        <v>3099</v>
      </c>
      <c r="B1833" t="s">
        <v>908</v>
      </c>
      <c r="C1833" t="s">
        <v>1477</v>
      </c>
      <c r="D1833" t="s">
        <v>203</v>
      </c>
      <c r="F1833" t="s">
        <v>1293</v>
      </c>
      <c r="G1833" t="s">
        <v>900</v>
      </c>
      <c r="H1833" t="s">
        <v>491</v>
      </c>
      <c r="I1833" t="s">
        <v>906</v>
      </c>
    </row>
    <row r="1834" spans="1:9" x14ac:dyDescent="0.25">
      <c r="A1834" t="s">
        <v>4337</v>
      </c>
      <c r="B1834" t="s">
        <v>908</v>
      </c>
      <c r="C1834" t="s">
        <v>1477</v>
      </c>
      <c r="D1834" t="s">
        <v>203</v>
      </c>
      <c r="F1834" t="s">
        <v>1221</v>
      </c>
      <c r="G1834" t="s">
        <v>900</v>
      </c>
      <c r="H1834" t="s">
        <v>491</v>
      </c>
      <c r="I1834" t="s">
        <v>906</v>
      </c>
    </row>
    <row r="1835" spans="1:9" x14ac:dyDescent="0.25">
      <c r="A1835" t="s">
        <v>3553</v>
      </c>
      <c r="B1835" t="s">
        <v>908</v>
      </c>
      <c r="C1835" t="s">
        <v>1477</v>
      </c>
      <c r="D1835" t="s">
        <v>203</v>
      </c>
      <c r="F1835" t="s">
        <v>1229</v>
      </c>
      <c r="G1835" t="s">
        <v>900</v>
      </c>
      <c r="H1835" t="s">
        <v>491</v>
      </c>
      <c r="I1835" t="s">
        <v>906</v>
      </c>
    </row>
    <row r="1836" spans="1:9" x14ac:dyDescent="0.25">
      <c r="A1836" t="s">
        <v>2870</v>
      </c>
      <c r="B1836" t="s">
        <v>908</v>
      </c>
      <c r="C1836" t="s">
        <v>2871</v>
      </c>
      <c r="G1836" t="s">
        <v>910</v>
      </c>
    </row>
    <row r="1837" spans="1:9" x14ac:dyDescent="0.25">
      <c r="A1837" t="s">
        <v>946</v>
      </c>
      <c r="B1837" t="s">
        <v>913</v>
      </c>
      <c r="C1837" t="s">
        <v>1197</v>
      </c>
      <c r="F1837" t="s">
        <v>1227</v>
      </c>
      <c r="G1837" t="s">
        <v>1228</v>
      </c>
      <c r="H1837" t="s">
        <v>1263</v>
      </c>
      <c r="I1837" t="s">
        <v>1909</v>
      </c>
    </row>
    <row r="1838" spans="1:9" x14ac:dyDescent="0.25">
      <c r="A1838" t="s">
        <v>978</v>
      </c>
      <c r="B1838" t="s">
        <v>913</v>
      </c>
      <c r="C1838" t="s">
        <v>1197</v>
      </c>
      <c r="F1838" t="s">
        <v>1227</v>
      </c>
      <c r="G1838" t="s">
        <v>1228</v>
      </c>
      <c r="H1838" t="s">
        <v>1263</v>
      </c>
      <c r="I1838" t="s">
        <v>1909</v>
      </c>
    </row>
    <row r="1839" spans="1:9" x14ac:dyDescent="0.25">
      <c r="A1839" t="s">
        <v>3098</v>
      </c>
      <c r="B1839" t="s">
        <v>815</v>
      </c>
      <c r="C1839" t="s">
        <v>1199</v>
      </c>
      <c r="D1839" t="s">
        <v>592</v>
      </c>
      <c r="F1839" t="s">
        <v>1229</v>
      </c>
      <c r="G1839" t="s">
        <v>910</v>
      </c>
      <c r="H1839" t="s">
        <v>1534</v>
      </c>
      <c r="I1839" t="s">
        <v>2085</v>
      </c>
    </row>
    <row r="1840" spans="1:9" x14ac:dyDescent="0.25">
      <c r="A1840" t="s">
        <v>3552</v>
      </c>
      <c r="B1840" t="s">
        <v>815</v>
      </c>
      <c r="C1840" t="s">
        <v>1199</v>
      </c>
      <c r="D1840" t="s">
        <v>592</v>
      </c>
      <c r="F1840" t="s">
        <v>1298</v>
      </c>
      <c r="G1840" t="s">
        <v>900</v>
      </c>
      <c r="H1840" t="s">
        <v>1479</v>
      </c>
      <c r="I1840" t="s">
        <v>2085</v>
      </c>
    </row>
    <row r="1841" spans="1:9" x14ac:dyDescent="0.25">
      <c r="A1841" t="s">
        <v>1087</v>
      </c>
      <c r="B1841" t="s">
        <v>815</v>
      </c>
      <c r="C1841" t="s">
        <v>1199</v>
      </c>
      <c r="D1841" t="s">
        <v>592</v>
      </c>
      <c r="F1841" t="s">
        <v>1228</v>
      </c>
      <c r="G1841" t="s">
        <v>1228</v>
      </c>
      <c r="H1841" t="s">
        <v>1534</v>
      </c>
      <c r="I1841" t="s">
        <v>2085</v>
      </c>
    </row>
    <row r="1842" spans="1:9" x14ac:dyDescent="0.25">
      <c r="A1842" t="s">
        <v>1092</v>
      </c>
      <c r="B1842" t="s">
        <v>815</v>
      </c>
      <c r="C1842" t="s">
        <v>1199</v>
      </c>
      <c r="D1842" t="s">
        <v>592</v>
      </c>
      <c r="F1842" t="s">
        <v>1286</v>
      </c>
      <c r="G1842" t="s">
        <v>910</v>
      </c>
      <c r="H1842" t="s">
        <v>1534</v>
      </c>
      <c r="I1842" t="s">
        <v>2085</v>
      </c>
    </row>
    <row r="1843" spans="1:9" x14ac:dyDescent="0.25">
      <c r="A1843" t="s">
        <v>4369</v>
      </c>
      <c r="B1843" t="s">
        <v>815</v>
      </c>
      <c r="C1843" t="s">
        <v>1199</v>
      </c>
      <c r="D1843" t="s">
        <v>592</v>
      </c>
      <c r="F1843" t="s">
        <v>1227</v>
      </c>
      <c r="G1843" t="s">
        <v>1228</v>
      </c>
      <c r="H1843" t="s">
        <v>1534</v>
      </c>
      <c r="I1843" t="s">
        <v>2085</v>
      </c>
    </row>
    <row r="1844" spans="1:9" x14ac:dyDescent="0.25">
      <c r="A1844" t="s">
        <v>3652</v>
      </c>
      <c r="B1844" t="s">
        <v>815</v>
      </c>
      <c r="C1844" t="s">
        <v>1199</v>
      </c>
      <c r="D1844" t="s">
        <v>592</v>
      </c>
      <c r="F1844" t="s">
        <v>8</v>
      </c>
      <c r="G1844" t="s">
        <v>910</v>
      </c>
      <c r="H1844" t="s">
        <v>1534</v>
      </c>
      <c r="I1844" t="s">
        <v>2085</v>
      </c>
    </row>
    <row r="1845" spans="1:9" x14ac:dyDescent="0.25">
      <c r="A1845" t="s">
        <v>3097</v>
      </c>
      <c r="B1845" t="s">
        <v>815</v>
      </c>
      <c r="C1845" t="s">
        <v>1199</v>
      </c>
      <c r="D1845" t="s">
        <v>592</v>
      </c>
      <c r="F1845" t="s">
        <v>1331</v>
      </c>
      <c r="G1845" t="s">
        <v>910</v>
      </c>
      <c r="H1845" t="s">
        <v>1534</v>
      </c>
      <c r="I1845" t="s">
        <v>2085</v>
      </c>
    </row>
    <row r="1846" spans="1:9" x14ac:dyDescent="0.25">
      <c r="A1846" t="s">
        <v>3651</v>
      </c>
      <c r="B1846" t="s">
        <v>815</v>
      </c>
      <c r="C1846" t="s">
        <v>1199</v>
      </c>
      <c r="D1846" t="s">
        <v>592</v>
      </c>
      <c r="F1846" t="s">
        <v>1482</v>
      </c>
      <c r="G1846" t="s">
        <v>1482</v>
      </c>
      <c r="H1846" t="s">
        <v>1534</v>
      </c>
      <c r="I1846" t="s">
        <v>2085</v>
      </c>
    </row>
    <row r="1847" spans="1:9" x14ac:dyDescent="0.25">
      <c r="A1847" t="s">
        <v>3650</v>
      </c>
      <c r="B1847" t="s">
        <v>815</v>
      </c>
      <c r="C1847" t="s">
        <v>1199</v>
      </c>
      <c r="D1847" t="s">
        <v>592</v>
      </c>
      <c r="F1847" t="s">
        <v>1333</v>
      </c>
      <c r="G1847" t="s">
        <v>900</v>
      </c>
      <c r="H1847" t="s">
        <v>1534</v>
      </c>
      <c r="I1847" t="s">
        <v>2085</v>
      </c>
    </row>
    <row r="1848" spans="1:9" x14ac:dyDescent="0.25">
      <c r="A1848" t="s">
        <v>3649</v>
      </c>
      <c r="B1848" t="s">
        <v>815</v>
      </c>
      <c r="C1848" t="s">
        <v>1199</v>
      </c>
      <c r="D1848" t="s">
        <v>592</v>
      </c>
      <c r="F1848" t="s">
        <v>1293</v>
      </c>
      <c r="G1848" t="s">
        <v>900</v>
      </c>
      <c r="H1848" t="s">
        <v>1534</v>
      </c>
      <c r="I1848" t="s">
        <v>2085</v>
      </c>
    </row>
    <row r="1849" spans="1:9" x14ac:dyDescent="0.25">
      <c r="A1849" t="s">
        <v>2800</v>
      </c>
      <c r="B1849" t="s">
        <v>815</v>
      </c>
      <c r="C1849" t="s">
        <v>1199</v>
      </c>
      <c r="D1849" t="s">
        <v>592</v>
      </c>
      <c r="F1849" t="s">
        <v>1221</v>
      </c>
      <c r="G1849" t="s">
        <v>900</v>
      </c>
      <c r="H1849" t="s">
        <v>1534</v>
      </c>
      <c r="I1849" t="s">
        <v>2085</v>
      </c>
    </row>
    <row r="1850" spans="1:9" x14ac:dyDescent="0.25">
      <c r="A1850" t="s">
        <v>2869</v>
      </c>
      <c r="B1850" t="s">
        <v>815</v>
      </c>
      <c r="C1850" t="s">
        <v>1199</v>
      </c>
      <c r="D1850" t="s">
        <v>592</v>
      </c>
      <c r="G1850" t="s">
        <v>910</v>
      </c>
      <c r="H1850" t="s">
        <v>1534</v>
      </c>
      <c r="I1850" t="s">
        <v>2085</v>
      </c>
    </row>
    <row r="1851" spans="1:9" x14ac:dyDescent="0.25">
      <c r="A1851" t="s">
        <v>2875</v>
      </c>
      <c r="B1851" t="s">
        <v>822</v>
      </c>
      <c r="C1851" t="s">
        <v>1191</v>
      </c>
      <c r="D1851" t="s">
        <v>15</v>
      </c>
      <c r="F1851" t="s">
        <v>1221</v>
      </c>
      <c r="G1851" t="s">
        <v>910</v>
      </c>
      <c r="H1851" t="s">
        <v>105</v>
      </c>
      <c r="I1851" t="s">
        <v>2110</v>
      </c>
    </row>
    <row r="1852" spans="1:9" x14ac:dyDescent="0.25">
      <c r="A1852" t="s">
        <v>3678</v>
      </c>
      <c r="B1852" t="s">
        <v>822</v>
      </c>
      <c r="C1852" t="s">
        <v>1191</v>
      </c>
      <c r="D1852" t="s">
        <v>15</v>
      </c>
      <c r="F1852" t="s">
        <v>1229</v>
      </c>
      <c r="G1852" t="s">
        <v>910</v>
      </c>
      <c r="H1852" t="s">
        <v>64</v>
      </c>
      <c r="I1852" t="s">
        <v>2198</v>
      </c>
    </row>
    <row r="1853" spans="1:9" x14ac:dyDescent="0.25">
      <c r="A1853" t="s">
        <v>2874</v>
      </c>
      <c r="B1853" t="s">
        <v>822</v>
      </c>
      <c r="C1853" t="s">
        <v>1191</v>
      </c>
      <c r="D1853" t="s">
        <v>15</v>
      </c>
      <c r="F1853" t="s">
        <v>1228</v>
      </c>
      <c r="G1853" t="s">
        <v>1228</v>
      </c>
      <c r="H1853" t="s">
        <v>23</v>
      </c>
      <c r="I1853" t="s">
        <v>2082</v>
      </c>
    </row>
    <row r="1854" spans="1:9" x14ac:dyDescent="0.25">
      <c r="A1854" t="s">
        <v>4065</v>
      </c>
      <c r="B1854" t="s">
        <v>822</v>
      </c>
      <c r="C1854" t="s">
        <v>1191</v>
      </c>
      <c r="D1854" t="s">
        <v>15</v>
      </c>
      <c r="F1854" t="s">
        <v>1227</v>
      </c>
      <c r="G1854" t="s">
        <v>1228</v>
      </c>
      <c r="H1854" t="s">
        <v>23</v>
      </c>
      <c r="I1854" t="s">
        <v>2082</v>
      </c>
    </row>
    <row r="1855" spans="1:9" x14ac:dyDescent="0.25">
      <c r="A1855" t="s">
        <v>2873</v>
      </c>
      <c r="B1855" t="s">
        <v>822</v>
      </c>
      <c r="C1855" t="s">
        <v>1191</v>
      </c>
      <c r="D1855" t="s">
        <v>15</v>
      </c>
      <c r="F1855" t="s">
        <v>8</v>
      </c>
      <c r="G1855" t="s">
        <v>910</v>
      </c>
      <c r="H1855" t="s">
        <v>549</v>
      </c>
      <c r="I1855" t="s">
        <v>1764</v>
      </c>
    </row>
    <row r="1856" spans="1:9" x14ac:dyDescent="0.25">
      <c r="A1856" t="s">
        <v>3677</v>
      </c>
      <c r="B1856" t="s">
        <v>822</v>
      </c>
      <c r="C1856" t="s">
        <v>1191</v>
      </c>
      <c r="D1856" t="s">
        <v>15</v>
      </c>
      <c r="F1856" t="s">
        <v>1293</v>
      </c>
      <c r="G1856" t="s">
        <v>900</v>
      </c>
      <c r="H1856" t="s">
        <v>612</v>
      </c>
      <c r="I1856" t="s">
        <v>2066</v>
      </c>
    </row>
    <row r="1857" spans="1:9" x14ac:dyDescent="0.25">
      <c r="A1857" t="s">
        <v>3676</v>
      </c>
      <c r="B1857" t="s">
        <v>822</v>
      </c>
      <c r="C1857" t="s">
        <v>1465</v>
      </c>
      <c r="D1857" t="s">
        <v>15</v>
      </c>
      <c r="F1857" t="s">
        <v>1298</v>
      </c>
      <c r="G1857" t="s">
        <v>910</v>
      </c>
      <c r="H1857" t="s">
        <v>77</v>
      </c>
      <c r="I1857" t="s">
        <v>2199</v>
      </c>
    </row>
    <row r="1858" spans="1:9" x14ac:dyDescent="0.25">
      <c r="A1858" t="s">
        <v>3675</v>
      </c>
      <c r="B1858" t="s">
        <v>822</v>
      </c>
      <c r="C1858" t="s">
        <v>1465</v>
      </c>
      <c r="D1858" t="s">
        <v>15</v>
      </c>
      <c r="F1858" t="s">
        <v>1286</v>
      </c>
      <c r="G1858" t="s">
        <v>910</v>
      </c>
      <c r="H1858" t="s">
        <v>555</v>
      </c>
      <c r="I1858" t="s">
        <v>2155</v>
      </c>
    </row>
    <row r="1859" spans="1:9" x14ac:dyDescent="0.25">
      <c r="A1859" t="s">
        <v>4064</v>
      </c>
      <c r="B1859" t="s">
        <v>822</v>
      </c>
      <c r="C1859" t="s">
        <v>1465</v>
      </c>
      <c r="D1859" t="s">
        <v>15</v>
      </c>
      <c r="F1859" t="s">
        <v>1229</v>
      </c>
      <c r="G1859" t="s">
        <v>910</v>
      </c>
      <c r="H1859" t="s">
        <v>105</v>
      </c>
      <c r="I1859" t="s">
        <v>2082</v>
      </c>
    </row>
    <row r="1860" spans="1:9" x14ac:dyDescent="0.25">
      <c r="A1860" t="s">
        <v>3674</v>
      </c>
      <c r="B1860" t="s">
        <v>822</v>
      </c>
      <c r="C1860" t="s">
        <v>1465</v>
      </c>
      <c r="D1860" t="s">
        <v>15</v>
      </c>
      <c r="F1860" t="s">
        <v>1228</v>
      </c>
      <c r="G1860" t="s">
        <v>1228</v>
      </c>
      <c r="H1860" t="s">
        <v>726</v>
      </c>
      <c r="I1860" t="s">
        <v>2082</v>
      </c>
    </row>
    <row r="1861" spans="1:9" x14ac:dyDescent="0.25">
      <c r="A1861" t="s">
        <v>3673</v>
      </c>
      <c r="B1861" t="s">
        <v>822</v>
      </c>
      <c r="C1861" t="s">
        <v>1465</v>
      </c>
      <c r="D1861" t="s">
        <v>15</v>
      </c>
      <c r="F1861" t="s">
        <v>1227</v>
      </c>
      <c r="G1861" t="s">
        <v>1228</v>
      </c>
      <c r="H1861" t="s">
        <v>726</v>
      </c>
      <c r="I1861" t="s">
        <v>2082</v>
      </c>
    </row>
    <row r="1862" spans="1:9" x14ac:dyDescent="0.25">
      <c r="A1862" t="s">
        <v>3672</v>
      </c>
      <c r="B1862" t="s">
        <v>822</v>
      </c>
      <c r="C1862" t="s">
        <v>1465</v>
      </c>
      <c r="D1862" t="s">
        <v>15</v>
      </c>
      <c r="F1862" t="s">
        <v>1314</v>
      </c>
      <c r="G1862" t="s">
        <v>910</v>
      </c>
      <c r="H1862" t="s">
        <v>108</v>
      </c>
      <c r="I1862" t="s">
        <v>2082</v>
      </c>
    </row>
    <row r="1863" spans="1:9" x14ac:dyDescent="0.25">
      <c r="A1863" t="s">
        <v>4300</v>
      </c>
      <c r="B1863" t="s">
        <v>822</v>
      </c>
      <c r="C1863" t="s">
        <v>1465</v>
      </c>
      <c r="D1863" t="s">
        <v>15</v>
      </c>
      <c r="F1863" t="s">
        <v>8</v>
      </c>
      <c r="G1863" t="s">
        <v>910</v>
      </c>
      <c r="H1863" t="s">
        <v>108</v>
      </c>
      <c r="I1863" t="s">
        <v>2082</v>
      </c>
    </row>
    <row r="1864" spans="1:9" x14ac:dyDescent="0.25">
      <c r="A1864" t="s">
        <v>3671</v>
      </c>
      <c r="B1864" t="s">
        <v>822</v>
      </c>
      <c r="C1864" t="s">
        <v>1465</v>
      </c>
      <c r="D1864" t="s">
        <v>15</v>
      </c>
      <c r="F1864" t="s">
        <v>1333</v>
      </c>
      <c r="G1864" t="s">
        <v>900</v>
      </c>
      <c r="H1864" t="s">
        <v>1437</v>
      </c>
      <c r="I1864" t="s">
        <v>2082</v>
      </c>
    </row>
    <row r="1865" spans="1:9" x14ac:dyDescent="0.25">
      <c r="A1865" t="s">
        <v>3670</v>
      </c>
      <c r="B1865" t="s">
        <v>822</v>
      </c>
      <c r="C1865" t="s">
        <v>1465</v>
      </c>
      <c r="D1865" t="s">
        <v>15</v>
      </c>
      <c r="F1865" t="s">
        <v>1293</v>
      </c>
      <c r="G1865" t="s">
        <v>900</v>
      </c>
      <c r="H1865" t="s">
        <v>123</v>
      </c>
      <c r="I1865" t="s">
        <v>2082</v>
      </c>
    </row>
    <row r="1866" spans="1:9" x14ac:dyDescent="0.25">
      <c r="A1866" t="s">
        <v>3669</v>
      </c>
      <c r="B1866" t="s">
        <v>822</v>
      </c>
      <c r="C1866" t="s">
        <v>1465</v>
      </c>
      <c r="D1866" t="s">
        <v>15</v>
      </c>
      <c r="F1866" t="s">
        <v>1221</v>
      </c>
      <c r="G1866" t="s">
        <v>900</v>
      </c>
      <c r="H1866" t="s">
        <v>123</v>
      </c>
      <c r="I1866" t="s">
        <v>2082</v>
      </c>
    </row>
    <row r="1867" spans="1:9" x14ac:dyDescent="0.25">
      <c r="A1867" t="s">
        <v>3756</v>
      </c>
      <c r="B1867" t="s">
        <v>856</v>
      </c>
      <c r="C1867" t="s">
        <v>1180</v>
      </c>
      <c r="F1867" t="s">
        <v>1286</v>
      </c>
      <c r="G1867" t="s">
        <v>900</v>
      </c>
      <c r="H1867" t="s">
        <v>1319</v>
      </c>
      <c r="I1867" t="s">
        <v>2133</v>
      </c>
    </row>
    <row r="1868" spans="1:9" x14ac:dyDescent="0.25">
      <c r="A1868" t="s">
        <v>3755</v>
      </c>
      <c r="B1868" t="s">
        <v>856</v>
      </c>
      <c r="C1868" t="s">
        <v>1180</v>
      </c>
      <c r="F1868" t="s">
        <v>1221</v>
      </c>
      <c r="G1868" t="s">
        <v>900</v>
      </c>
      <c r="H1868" t="s">
        <v>1422</v>
      </c>
      <c r="I1868" t="s">
        <v>2130</v>
      </c>
    </row>
    <row r="1869" spans="1:9" x14ac:dyDescent="0.25">
      <c r="A1869" t="s">
        <v>3754</v>
      </c>
      <c r="B1869" t="s">
        <v>856</v>
      </c>
      <c r="C1869" t="s">
        <v>1180</v>
      </c>
      <c r="F1869" t="s">
        <v>1221</v>
      </c>
      <c r="G1869" t="s">
        <v>900</v>
      </c>
      <c r="H1869" t="s">
        <v>1422</v>
      </c>
      <c r="I1869" t="s">
        <v>2130</v>
      </c>
    </row>
    <row r="1870" spans="1:9" x14ac:dyDescent="0.25">
      <c r="A1870" t="s">
        <v>3753</v>
      </c>
      <c r="B1870" t="s">
        <v>856</v>
      </c>
      <c r="C1870" t="s">
        <v>1180</v>
      </c>
      <c r="F1870" t="s">
        <v>1333</v>
      </c>
      <c r="G1870" t="s">
        <v>900</v>
      </c>
      <c r="H1870" t="s">
        <v>1257</v>
      </c>
      <c r="I1870" t="s">
        <v>1753</v>
      </c>
    </row>
    <row r="1871" spans="1:9" x14ac:dyDescent="0.25">
      <c r="A1871" t="s">
        <v>3077</v>
      </c>
      <c r="B1871" t="s">
        <v>856</v>
      </c>
      <c r="C1871" t="s">
        <v>1180</v>
      </c>
      <c r="F1871" t="s">
        <v>1298</v>
      </c>
      <c r="G1871" t="s">
        <v>900</v>
      </c>
      <c r="H1871" t="s">
        <v>265</v>
      </c>
      <c r="I1871" t="s">
        <v>2006</v>
      </c>
    </row>
    <row r="1872" spans="1:9" x14ac:dyDescent="0.25">
      <c r="A1872" t="s">
        <v>3752</v>
      </c>
      <c r="B1872" t="s">
        <v>856</v>
      </c>
      <c r="C1872" t="s">
        <v>1180</v>
      </c>
      <c r="F1872" t="s">
        <v>1286</v>
      </c>
      <c r="G1872" t="s">
        <v>900</v>
      </c>
      <c r="H1872" t="s">
        <v>265</v>
      </c>
      <c r="I1872" t="s">
        <v>2006</v>
      </c>
    </row>
    <row r="1873" spans="1:9" x14ac:dyDescent="0.25">
      <c r="A1873" t="s">
        <v>3751</v>
      </c>
      <c r="B1873" t="s">
        <v>856</v>
      </c>
      <c r="C1873" t="s">
        <v>1180</v>
      </c>
      <c r="F1873" t="s">
        <v>1333</v>
      </c>
      <c r="G1873" t="s">
        <v>900</v>
      </c>
      <c r="H1873" t="s">
        <v>265</v>
      </c>
      <c r="I1873" t="s">
        <v>2006</v>
      </c>
    </row>
    <row r="1874" spans="1:9" x14ac:dyDescent="0.25">
      <c r="A1874" t="s">
        <v>3750</v>
      </c>
      <c r="B1874" t="s">
        <v>856</v>
      </c>
      <c r="C1874" t="s">
        <v>1180</v>
      </c>
      <c r="F1874" t="s">
        <v>1221</v>
      </c>
      <c r="G1874" t="s">
        <v>900</v>
      </c>
      <c r="H1874" t="s">
        <v>265</v>
      </c>
      <c r="I1874" t="s">
        <v>2006</v>
      </c>
    </row>
    <row r="1875" spans="1:9" x14ac:dyDescent="0.25">
      <c r="A1875" t="s">
        <v>3749</v>
      </c>
      <c r="B1875" t="s">
        <v>856</v>
      </c>
      <c r="C1875" t="s">
        <v>1180</v>
      </c>
      <c r="F1875" t="s">
        <v>1221</v>
      </c>
      <c r="G1875" t="s">
        <v>900</v>
      </c>
      <c r="H1875" t="s">
        <v>265</v>
      </c>
      <c r="I1875" t="s">
        <v>2006</v>
      </c>
    </row>
    <row r="1876" spans="1:9" x14ac:dyDescent="0.25">
      <c r="A1876" t="s">
        <v>3458</v>
      </c>
      <c r="B1876" t="s">
        <v>856</v>
      </c>
      <c r="C1876" t="s">
        <v>1466</v>
      </c>
      <c r="F1876" t="s">
        <v>1298</v>
      </c>
      <c r="G1876" t="s">
        <v>900</v>
      </c>
      <c r="H1876" t="s">
        <v>388</v>
      </c>
      <c r="I1876" t="s">
        <v>2064</v>
      </c>
    </row>
    <row r="1877" spans="1:9" x14ac:dyDescent="0.25">
      <c r="A1877" t="s">
        <v>3457</v>
      </c>
      <c r="B1877" t="s">
        <v>856</v>
      </c>
      <c r="C1877" t="s">
        <v>1466</v>
      </c>
      <c r="F1877" t="s">
        <v>1286</v>
      </c>
      <c r="G1877" t="s">
        <v>900</v>
      </c>
      <c r="H1877" t="s">
        <v>388</v>
      </c>
      <c r="I1877" t="s">
        <v>2064</v>
      </c>
    </row>
    <row r="1878" spans="1:9" x14ac:dyDescent="0.25">
      <c r="A1878" t="s">
        <v>3456</v>
      </c>
      <c r="B1878" t="s">
        <v>856</v>
      </c>
      <c r="C1878" t="s">
        <v>1466</v>
      </c>
      <c r="F1878" t="s">
        <v>1333</v>
      </c>
      <c r="G1878" t="s">
        <v>900</v>
      </c>
      <c r="H1878" t="s">
        <v>388</v>
      </c>
      <c r="I1878" t="s">
        <v>2064</v>
      </c>
    </row>
    <row r="1879" spans="1:9" x14ac:dyDescent="0.25">
      <c r="A1879" t="s">
        <v>3455</v>
      </c>
      <c r="B1879" t="s">
        <v>856</v>
      </c>
      <c r="C1879" t="s">
        <v>1466</v>
      </c>
      <c r="F1879" t="s">
        <v>1221</v>
      </c>
      <c r="G1879" t="s">
        <v>900</v>
      </c>
      <c r="H1879" t="s">
        <v>388</v>
      </c>
      <c r="I1879" t="s">
        <v>2064</v>
      </c>
    </row>
    <row r="1880" spans="1:9" x14ac:dyDescent="0.25">
      <c r="A1880" t="s">
        <v>3454</v>
      </c>
      <c r="B1880" t="s">
        <v>856</v>
      </c>
      <c r="C1880" t="s">
        <v>1197</v>
      </c>
      <c r="F1880" t="s">
        <v>1229</v>
      </c>
      <c r="G1880" t="s">
        <v>900</v>
      </c>
      <c r="H1880" t="s">
        <v>37</v>
      </c>
      <c r="I1880" t="s">
        <v>2017</v>
      </c>
    </row>
    <row r="1881" spans="1:9" x14ac:dyDescent="0.25">
      <c r="A1881" t="s">
        <v>3453</v>
      </c>
      <c r="B1881" t="s">
        <v>856</v>
      </c>
      <c r="C1881" t="s">
        <v>1197</v>
      </c>
      <c r="F1881" t="s">
        <v>1227</v>
      </c>
      <c r="G1881" t="s">
        <v>1228</v>
      </c>
      <c r="H1881" t="s">
        <v>330</v>
      </c>
      <c r="I1881" t="s">
        <v>239</v>
      </c>
    </row>
    <row r="1882" spans="1:9" x14ac:dyDescent="0.25">
      <c r="A1882" t="s">
        <v>3452</v>
      </c>
      <c r="B1882" t="s">
        <v>856</v>
      </c>
      <c r="C1882" t="s">
        <v>1197</v>
      </c>
      <c r="F1882" t="s">
        <v>8</v>
      </c>
      <c r="G1882" t="s">
        <v>900</v>
      </c>
      <c r="H1882" t="s">
        <v>330</v>
      </c>
      <c r="I1882" t="s">
        <v>239</v>
      </c>
    </row>
    <row r="1883" spans="1:9" x14ac:dyDescent="0.25">
      <c r="A1883" t="s">
        <v>3451</v>
      </c>
      <c r="B1883" t="s">
        <v>856</v>
      </c>
      <c r="C1883" t="s">
        <v>1197</v>
      </c>
      <c r="F1883" t="s">
        <v>1331</v>
      </c>
      <c r="G1883" t="s">
        <v>900</v>
      </c>
      <c r="H1883" t="s">
        <v>330</v>
      </c>
      <c r="I1883" t="s">
        <v>239</v>
      </c>
    </row>
    <row r="1884" spans="1:9" x14ac:dyDescent="0.25">
      <c r="A1884" t="s">
        <v>3450</v>
      </c>
      <c r="B1884" t="s">
        <v>856</v>
      </c>
      <c r="C1884" t="s">
        <v>1197</v>
      </c>
      <c r="F1884" t="s">
        <v>1221</v>
      </c>
      <c r="G1884" t="s">
        <v>900</v>
      </c>
      <c r="H1884" t="s">
        <v>330</v>
      </c>
      <c r="I1884" t="s">
        <v>239</v>
      </c>
    </row>
    <row r="1885" spans="1:9" x14ac:dyDescent="0.25">
      <c r="A1885" t="s">
        <v>2879</v>
      </c>
      <c r="B1885" t="s">
        <v>856</v>
      </c>
      <c r="C1885" t="s">
        <v>1197</v>
      </c>
      <c r="F1885" t="s">
        <v>1229</v>
      </c>
      <c r="G1885" t="s">
        <v>900</v>
      </c>
      <c r="H1885" t="s">
        <v>37</v>
      </c>
      <c r="I1885" t="s">
        <v>2017</v>
      </c>
    </row>
    <row r="1886" spans="1:9" x14ac:dyDescent="0.25">
      <c r="A1886" t="s">
        <v>3449</v>
      </c>
      <c r="B1886" t="s">
        <v>856</v>
      </c>
      <c r="C1886" t="s">
        <v>1197</v>
      </c>
      <c r="F1886" t="s">
        <v>1298</v>
      </c>
      <c r="H1886" t="s">
        <v>37</v>
      </c>
      <c r="I1886" t="s">
        <v>2017</v>
      </c>
    </row>
    <row r="1887" spans="1:9" x14ac:dyDescent="0.25">
      <c r="A1887" t="s">
        <v>3447</v>
      </c>
      <c r="B1887" t="s">
        <v>856</v>
      </c>
      <c r="C1887" t="s">
        <v>1197</v>
      </c>
      <c r="F1887" t="s">
        <v>1228</v>
      </c>
      <c r="G1887" t="s">
        <v>900</v>
      </c>
      <c r="H1887" t="s">
        <v>327</v>
      </c>
      <c r="I1887" t="s">
        <v>3448</v>
      </c>
    </row>
    <row r="1888" spans="1:9" x14ac:dyDescent="0.25">
      <c r="A1888" t="s">
        <v>3446</v>
      </c>
      <c r="B1888" t="s">
        <v>856</v>
      </c>
      <c r="C1888" t="s">
        <v>1197</v>
      </c>
      <c r="F1888" t="s">
        <v>1286</v>
      </c>
      <c r="G1888" t="s">
        <v>900</v>
      </c>
      <c r="H1888" t="s">
        <v>37</v>
      </c>
      <c r="I1888" t="s">
        <v>2017</v>
      </c>
    </row>
    <row r="1889" spans="1:9" x14ac:dyDescent="0.25">
      <c r="A1889" t="s">
        <v>3445</v>
      </c>
      <c r="B1889" t="s">
        <v>856</v>
      </c>
      <c r="C1889" t="s">
        <v>1197</v>
      </c>
      <c r="F1889" t="s">
        <v>1314</v>
      </c>
      <c r="G1889" t="s">
        <v>900</v>
      </c>
      <c r="H1889" t="s">
        <v>330</v>
      </c>
      <c r="I1889" t="s">
        <v>239</v>
      </c>
    </row>
    <row r="1890" spans="1:9" x14ac:dyDescent="0.25">
      <c r="A1890" t="s">
        <v>3444</v>
      </c>
      <c r="B1890" t="s">
        <v>856</v>
      </c>
      <c r="C1890" t="s">
        <v>1197</v>
      </c>
      <c r="F1890" t="s">
        <v>8</v>
      </c>
      <c r="G1890" t="s">
        <v>900</v>
      </c>
      <c r="H1890" t="s">
        <v>330</v>
      </c>
      <c r="I1890" t="s">
        <v>239</v>
      </c>
    </row>
    <row r="1891" spans="1:9" x14ac:dyDescent="0.25">
      <c r="A1891" t="s">
        <v>3442</v>
      </c>
      <c r="B1891" t="s">
        <v>856</v>
      </c>
      <c r="C1891" t="s">
        <v>1197</v>
      </c>
      <c r="F1891" t="s">
        <v>1331</v>
      </c>
      <c r="G1891" t="s">
        <v>900</v>
      </c>
      <c r="H1891" t="s">
        <v>1287</v>
      </c>
      <c r="I1891" t="s">
        <v>3443</v>
      </c>
    </row>
    <row r="1892" spans="1:9" x14ac:dyDescent="0.25">
      <c r="A1892" t="s">
        <v>3440</v>
      </c>
      <c r="B1892" t="s">
        <v>856</v>
      </c>
      <c r="C1892" t="s">
        <v>1197</v>
      </c>
      <c r="F1892" t="s">
        <v>1333</v>
      </c>
      <c r="G1892" t="s">
        <v>900</v>
      </c>
      <c r="H1892" t="s">
        <v>33</v>
      </c>
      <c r="I1892" t="s">
        <v>3441</v>
      </c>
    </row>
    <row r="1893" spans="1:9" x14ac:dyDescent="0.25">
      <c r="A1893" t="s">
        <v>3748</v>
      </c>
      <c r="B1893" t="s">
        <v>856</v>
      </c>
      <c r="C1893" t="s">
        <v>1197</v>
      </c>
      <c r="F1893" t="s">
        <v>1293</v>
      </c>
      <c r="G1893" t="s">
        <v>900</v>
      </c>
      <c r="H1893" t="s">
        <v>303</v>
      </c>
      <c r="I1893" t="s">
        <v>3735</v>
      </c>
    </row>
    <row r="1894" spans="1:9" x14ac:dyDescent="0.25">
      <c r="A1894" t="s">
        <v>3747</v>
      </c>
      <c r="B1894" t="s">
        <v>856</v>
      </c>
      <c r="C1894" t="s">
        <v>1197</v>
      </c>
      <c r="F1894" t="s">
        <v>1221</v>
      </c>
      <c r="G1894" t="s">
        <v>900</v>
      </c>
      <c r="H1894" t="s">
        <v>303</v>
      </c>
      <c r="I1894" t="s">
        <v>3735</v>
      </c>
    </row>
    <row r="1895" spans="1:9" x14ac:dyDescent="0.25">
      <c r="A1895" t="s">
        <v>3746</v>
      </c>
      <c r="B1895" t="s">
        <v>856</v>
      </c>
      <c r="C1895" t="s">
        <v>1463</v>
      </c>
      <c r="F1895" t="s">
        <v>1229</v>
      </c>
      <c r="G1895" t="s">
        <v>900</v>
      </c>
      <c r="H1895" t="s">
        <v>303</v>
      </c>
      <c r="I1895" t="s">
        <v>2017</v>
      </c>
    </row>
    <row r="1896" spans="1:9" x14ac:dyDescent="0.25">
      <c r="A1896" t="s">
        <v>3745</v>
      </c>
      <c r="B1896" t="s">
        <v>856</v>
      </c>
      <c r="C1896" t="s">
        <v>1463</v>
      </c>
      <c r="F1896" t="s">
        <v>1298</v>
      </c>
      <c r="G1896" t="s">
        <v>900</v>
      </c>
      <c r="H1896" t="s">
        <v>303</v>
      </c>
      <c r="I1896" t="s">
        <v>2017</v>
      </c>
    </row>
    <row r="1897" spans="1:9" x14ac:dyDescent="0.25">
      <c r="A1897" t="s">
        <v>3744</v>
      </c>
      <c r="B1897" t="s">
        <v>856</v>
      </c>
      <c r="C1897" t="s">
        <v>1463</v>
      </c>
      <c r="F1897" t="s">
        <v>1228</v>
      </c>
      <c r="G1897" t="s">
        <v>900</v>
      </c>
      <c r="H1897" t="s">
        <v>327</v>
      </c>
      <c r="I1897" t="s">
        <v>3448</v>
      </c>
    </row>
    <row r="1898" spans="1:9" x14ac:dyDescent="0.25">
      <c r="A1898" t="s">
        <v>3743</v>
      </c>
      <c r="B1898" t="s">
        <v>856</v>
      </c>
      <c r="C1898" t="s">
        <v>1463</v>
      </c>
      <c r="F1898" t="s">
        <v>1227</v>
      </c>
      <c r="G1898" t="s">
        <v>1228</v>
      </c>
      <c r="H1898" t="s">
        <v>327</v>
      </c>
      <c r="I1898" t="s">
        <v>3448</v>
      </c>
    </row>
    <row r="1899" spans="1:9" x14ac:dyDescent="0.25">
      <c r="A1899" t="s">
        <v>3742</v>
      </c>
      <c r="B1899" t="s">
        <v>856</v>
      </c>
      <c r="C1899" t="s">
        <v>1463</v>
      </c>
      <c r="F1899" t="s">
        <v>1314</v>
      </c>
      <c r="G1899" t="s">
        <v>900</v>
      </c>
      <c r="H1899" t="s">
        <v>376</v>
      </c>
      <c r="I1899" t="s">
        <v>1849</v>
      </c>
    </row>
    <row r="1900" spans="1:9" x14ac:dyDescent="0.25">
      <c r="A1900" t="s">
        <v>3741</v>
      </c>
      <c r="B1900" t="s">
        <v>856</v>
      </c>
      <c r="C1900" t="s">
        <v>1463</v>
      </c>
      <c r="F1900" t="s">
        <v>8</v>
      </c>
      <c r="G1900" t="s">
        <v>900</v>
      </c>
      <c r="H1900" t="s">
        <v>376</v>
      </c>
      <c r="I1900" t="s">
        <v>1849</v>
      </c>
    </row>
    <row r="1901" spans="1:9" x14ac:dyDescent="0.25">
      <c r="A1901" t="s">
        <v>3740</v>
      </c>
      <c r="B1901" t="s">
        <v>856</v>
      </c>
      <c r="C1901" t="s">
        <v>1463</v>
      </c>
      <c r="F1901" t="s">
        <v>1333</v>
      </c>
      <c r="G1901" t="s">
        <v>900</v>
      </c>
      <c r="H1901" t="s">
        <v>37</v>
      </c>
      <c r="I1901" t="s">
        <v>3441</v>
      </c>
    </row>
    <row r="1902" spans="1:9" x14ac:dyDescent="0.25">
      <c r="A1902" t="s">
        <v>3739</v>
      </c>
      <c r="B1902" t="s">
        <v>856</v>
      </c>
      <c r="C1902" t="s">
        <v>1463</v>
      </c>
      <c r="F1902" t="s">
        <v>1293</v>
      </c>
      <c r="G1902" t="s">
        <v>900</v>
      </c>
      <c r="H1902" t="s">
        <v>1287</v>
      </c>
      <c r="I1902" t="s">
        <v>3735</v>
      </c>
    </row>
    <row r="1903" spans="1:9" x14ac:dyDescent="0.25">
      <c r="A1903" t="s">
        <v>3738</v>
      </c>
      <c r="B1903" t="s">
        <v>856</v>
      </c>
      <c r="C1903" t="s">
        <v>1463</v>
      </c>
      <c r="F1903" t="s">
        <v>1229</v>
      </c>
      <c r="G1903" t="s">
        <v>900</v>
      </c>
      <c r="H1903" t="s">
        <v>303</v>
      </c>
      <c r="I1903" t="s">
        <v>2017</v>
      </c>
    </row>
    <row r="1904" spans="1:9" x14ac:dyDescent="0.25">
      <c r="A1904" t="s">
        <v>3737</v>
      </c>
      <c r="B1904" t="s">
        <v>856</v>
      </c>
      <c r="C1904" t="s">
        <v>1463</v>
      </c>
      <c r="F1904" t="s">
        <v>1228</v>
      </c>
      <c r="G1904" t="s">
        <v>900</v>
      </c>
      <c r="H1904" t="s">
        <v>327</v>
      </c>
      <c r="I1904" t="s">
        <v>3448</v>
      </c>
    </row>
    <row r="1905" spans="1:9" x14ac:dyDescent="0.25">
      <c r="A1905" t="s">
        <v>3736</v>
      </c>
      <c r="B1905" t="s">
        <v>856</v>
      </c>
      <c r="C1905" t="s">
        <v>1463</v>
      </c>
      <c r="F1905" t="s">
        <v>8</v>
      </c>
      <c r="G1905" t="s">
        <v>900</v>
      </c>
      <c r="H1905" t="s">
        <v>376</v>
      </c>
      <c r="I1905" t="s">
        <v>1849</v>
      </c>
    </row>
    <row r="1906" spans="1:9" x14ac:dyDescent="0.25">
      <c r="A1906" t="s">
        <v>3734</v>
      </c>
      <c r="B1906" t="s">
        <v>856</v>
      </c>
      <c r="C1906" t="s">
        <v>1463</v>
      </c>
      <c r="F1906" t="s">
        <v>1293</v>
      </c>
      <c r="G1906" t="s">
        <v>900</v>
      </c>
      <c r="H1906" t="s">
        <v>1287</v>
      </c>
      <c r="I1906" t="s">
        <v>3735</v>
      </c>
    </row>
    <row r="1907" spans="1:9" x14ac:dyDescent="0.25">
      <c r="A1907" t="s">
        <v>3648</v>
      </c>
      <c r="F1907" t="s">
        <v>1229</v>
      </c>
    </row>
    <row r="1908" spans="1:9" x14ac:dyDescent="0.25">
      <c r="A1908" t="s">
        <v>3647</v>
      </c>
      <c r="F1908" t="s">
        <v>8</v>
      </c>
    </row>
    <row r="1909" spans="1:9" x14ac:dyDescent="0.25">
      <c r="A1909" t="s">
        <v>3096</v>
      </c>
      <c r="F1909" t="s">
        <v>8</v>
      </c>
    </row>
    <row r="1910" spans="1:9" x14ac:dyDescent="0.25">
      <c r="A1910" t="s">
        <v>3646</v>
      </c>
      <c r="F1910" t="s">
        <v>8</v>
      </c>
    </row>
    <row r="1911" spans="1:9" x14ac:dyDescent="0.25">
      <c r="A1911" t="s">
        <v>3645</v>
      </c>
      <c r="F1911" t="s">
        <v>1229</v>
      </c>
    </row>
    <row r="1912" spans="1:9" x14ac:dyDescent="0.25">
      <c r="A1912" t="s">
        <v>3644</v>
      </c>
      <c r="F1912" t="s">
        <v>8</v>
      </c>
    </row>
    <row r="1913" spans="1:9" x14ac:dyDescent="0.25">
      <c r="A1913" t="s">
        <v>3643</v>
      </c>
      <c r="F1913" t="s">
        <v>8</v>
      </c>
    </row>
    <row r="1914" spans="1:9" x14ac:dyDescent="0.25">
      <c r="A1914" t="s">
        <v>3642</v>
      </c>
      <c r="F1914" t="s">
        <v>1229</v>
      </c>
    </row>
    <row r="1915" spans="1:9" x14ac:dyDescent="0.25">
      <c r="A1915" t="s">
        <v>3641</v>
      </c>
      <c r="F1915" t="s">
        <v>8</v>
      </c>
    </row>
    <row r="1916" spans="1:9" x14ac:dyDescent="0.25">
      <c r="A1916" t="s">
        <v>3589</v>
      </c>
      <c r="F1916" t="s">
        <v>1293</v>
      </c>
    </row>
    <row r="1917" spans="1:9" x14ac:dyDescent="0.25">
      <c r="A1917" t="s">
        <v>3588</v>
      </c>
      <c r="F1917" t="s">
        <v>1221</v>
      </c>
    </row>
    <row r="1918" spans="1:9" x14ac:dyDescent="0.25">
      <c r="A1918" t="s">
        <v>3094</v>
      </c>
      <c r="B1918" t="s">
        <v>505</v>
      </c>
      <c r="C1918" t="s">
        <v>1197</v>
      </c>
      <c r="D1918" t="s">
        <v>21</v>
      </c>
      <c r="F1918" t="s">
        <v>1298</v>
      </c>
      <c r="G1918" t="s">
        <v>900</v>
      </c>
      <c r="H1918" t="s">
        <v>3095</v>
      </c>
      <c r="I1918" t="s">
        <v>2316</v>
      </c>
    </row>
    <row r="1919" spans="1:9" x14ac:dyDescent="0.25">
      <c r="A1919" t="s">
        <v>3587</v>
      </c>
      <c r="B1919" t="s">
        <v>505</v>
      </c>
      <c r="C1919" t="s">
        <v>1197</v>
      </c>
      <c r="D1919" t="s">
        <v>21</v>
      </c>
      <c r="F1919" t="s">
        <v>1286</v>
      </c>
      <c r="G1919" t="s">
        <v>900</v>
      </c>
      <c r="H1919" t="s">
        <v>272</v>
      </c>
      <c r="I1919" t="s">
        <v>2316</v>
      </c>
    </row>
    <row r="1920" spans="1:9" x14ac:dyDescent="0.25">
      <c r="A1920" t="s">
        <v>3093</v>
      </c>
      <c r="B1920" t="s">
        <v>505</v>
      </c>
      <c r="C1920" t="s">
        <v>1197</v>
      </c>
      <c r="D1920" t="s">
        <v>21</v>
      </c>
      <c r="F1920" t="s">
        <v>1227</v>
      </c>
      <c r="G1920" t="s">
        <v>900</v>
      </c>
      <c r="H1920" t="s">
        <v>513</v>
      </c>
      <c r="I1920" t="s">
        <v>2060</v>
      </c>
    </row>
    <row r="1921" spans="1:9" x14ac:dyDescent="0.25">
      <c r="A1921" t="s">
        <v>3585</v>
      </c>
      <c r="B1921" t="s">
        <v>505</v>
      </c>
      <c r="C1921" t="s">
        <v>1197</v>
      </c>
      <c r="D1921" t="s">
        <v>21</v>
      </c>
      <c r="F1921" t="s">
        <v>1229</v>
      </c>
      <c r="G1921" t="s">
        <v>910</v>
      </c>
      <c r="H1921" t="s">
        <v>119</v>
      </c>
      <c r="I1921" t="s">
        <v>3586</v>
      </c>
    </row>
    <row r="1922" spans="1:9" x14ac:dyDescent="0.25">
      <c r="A1922" t="s">
        <v>3583</v>
      </c>
      <c r="B1922" t="s">
        <v>505</v>
      </c>
      <c r="C1922" t="s">
        <v>1197</v>
      </c>
      <c r="D1922" t="s">
        <v>21</v>
      </c>
      <c r="F1922" t="s">
        <v>1228</v>
      </c>
      <c r="G1922" t="s">
        <v>900</v>
      </c>
      <c r="H1922" t="s">
        <v>1356</v>
      </c>
      <c r="I1922" t="s">
        <v>3584</v>
      </c>
    </row>
    <row r="1923" spans="1:9" x14ac:dyDescent="0.25">
      <c r="A1923" t="s">
        <v>3092</v>
      </c>
      <c r="B1923" t="s">
        <v>505</v>
      </c>
      <c r="C1923" t="s">
        <v>1197</v>
      </c>
      <c r="D1923" t="s">
        <v>21</v>
      </c>
      <c r="F1923" t="s">
        <v>8</v>
      </c>
      <c r="G1923" t="s">
        <v>910</v>
      </c>
      <c r="H1923" t="s">
        <v>119</v>
      </c>
      <c r="I1923" t="s">
        <v>288</v>
      </c>
    </row>
    <row r="1924" spans="1:9" x14ac:dyDescent="0.25">
      <c r="A1924" t="s">
        <v>3582</v>
      </c>
      <c r="B1924" t="s">
        <v>505</v>
      </c>
      <c r="C1924" t="s">
        <v>1197</v>
      </c>
      <c r="D1924" t="s">
        <v>21</v>
      </c>
      <c r="F1924" t="s">
        <v>1331</v>
      </c>
      <c r="G1924" t="s">
        <v>910</v>
      </c>
      <c r="H1924" t="s">
        <v>119</v>
      </c>
      <c r="I1924" t="s">
        <v>288</v>
      </c>
    </row>
    <row r="1925" spans="1:9" x14ac:dyDescent="0.25">
      <c r="A1925" t="s">
        <v>3581</v>
      </c>
      <c r="B1925" t="s">
        <v>505</v>
      </c>
      <c r="C1925" t="s">
        <v>1197</v>
      </c>
      <c r="D1925" t="s">
        <v>21</v>
      </c>
      <c r="F1925" t="s">
        <v>1293</v>
      </c>
      <c r="G1925" t="s">
        <v>900</v>
      </c>
      <c r="H1925" t="s">
        <v>119</v>
      </c>
      <c r="I1925" t="s">
        <v>288</v>
      </c>
    </row>
    <row r="1926" spans="1:9" x14ac:dyDescent="0.25">
      <c r="A1926" t="s">
        <v>3091</v>
      </c>
      <c r="B1926" t="s">
        <v>505</v>
      </c>
      <c r="C1926" t="s">
        <v>1197</v>
      </c>
      <c r="D1926" t="s">
        <v>21</v>
      </c>
      <c r="F1926" t="s">
        <v>1221</v>
      </c>
      <c r="G1926" t="s">
        <v>910</v>
      </c>
      <c r="H1926" t="s">
        <v>1387</v>
      </c>
      <c r="I1926" t="s">
        <v>2232</v>
      </c>
    </row>
    <row r="1927" spans="1:9" x14ac:dyDescent="0.25">
      <c r="A1927" t="s">
        <v>2867</v>
      </c>
      <c r="B1927" t="s">
        <v>61</v>
      </c>
      <c r="C1927" t="s">
        <v>1186</v>
      </c>
      <c r="D1927" t="s">
        <v>91</v>
      </c>
      <c r="E1927" t="s">
        <v>1252</v>
      </c>
      <c r="F1927" t="s">
        <v>1229</v>
      </c>
      <c r="G1927" t="s">
        <v>910</v>
      </c>
      <c r="H1927" t="s">
        <v>2868</v>
      </c>
      <c r="I1927" t="s">
        <v>101</v>
      </c>
    </row>
    <row r="1928" spans="1:9" x14ac:dyDescent="0.25">
      <c r="A1928" t="s">
        <v>2799</v>
      </c>
      <c r="B1928" t="s">
        <v>592</v>
      </c>
      <c r="C1928" t="s">
        <v>1186</v>
      </c>
      <c r="D1928" t="s">
        <v>318</v>
      </c>
      <c r="E1928" t="s">
        <v>1222</v>
      </c>
      <c r="F1928" t="s">
        <v>1229</v>
      </c>
      <c r="G1928" t="s">
        <v>900</v>
      </c>
      <c r="H1928" t="s">
        <v>681</v>
      </c>
      <c r="I1928" t="s">
        <v>1665</v>
      </c>
    </row>
    <row r="1929" spans="1:9" x14ac:dyDescent="0.25">
      <c r="A1929" t="s">
        <v>2603</v>
      </c>
      <c r="B1929" t="s">
        <v>678</v>
      </c>
      <c r="C1929" t="s">
        <v>1183</v>
      </c>
      <c r="D1929" t="s">
        <v>318</v>
      </c>
      <c r="E1929" t="s">
        <v>1233</v>
      </c>
      <c r="F1929" t="s">
        <v>1229</v>
      </c>
      <c r="G1929" t="s">
        <v>900</v>
      </c>
      <c r="H1929" t="s">
        <v>1305</v>
      </c>
      <c r="I1929" t="s">
        <v>2277</v>
      </c>
    </row>
    <row r="1930" spans="1:9" x14ac:dyDescent="0.25">
      <c r="A1930" t="s">
        <v>2798</v>
      </c>
      <c r="B1930" t="s">
        <v>822</v>
      </c>
      <c r="C1930" t="s">
        <v>1183</v>
      </c>
      <c r="D1930" t="s">
        <v>91</v>
      </c>
      <c r="E1930" t="s">
        <v>1231</v>
      </c>
      <c r="F1930" t="s">
        <v>1229</v>
      </c>
      <c r="G1930" t="s">
        <v>910</v>
      </c>
      <c r="H1930" t="s">
        <v>33</v>
      </c>
      <c r="I1930" t="s">
        <v>2348</v>
      </c>
    </row>
    <row r="1931" spans="1:9" x14ac:dyDescent="0.25">
      <c r="A1931" t="s">
        <v>4428</v>
      </c>
      <c r="B1931" t="s">
        <v>148</v>
      </c>
      <c r="C1931" t="s">
        <v>1180</v>
      </c>
      <c r="D1931" t="s">
        <v>56</v>
      </c>
      <c r="E1931" t="s">
        <v>1275</v>
      </c>
      <c r="F1931" t="s">
        <v>1221</v>
      </c>
      <c r="G1931" t="s">
        <v>910</v>
      </c>
      <c r="H1931" t="s">
        <v>1522</v>
      </c>
      <c r="I1931" t="s">
        <v>2235</v>
      </c>
    </row>
    <row r="1932" spans="1:9" x14ac:dyDescent="0.25">
      <c r="A1932" t="s">
        <v>4430</v>
      </c>
      <c r="B1932" t="s">
        <v>407</v>
      </c>
      <c r="C1932" t="s">
        <v>1180</v>
      </c>
      <c r="D1932" t="s">
        <v>27</v>
      </c>
      <c r="E1932" t="s">
        <v>1635</v>
      </c>
      <c r="F1932" t="s">
        <v>1221</v>
      </c>
      <c r="G1932" t="s">
        <v>910</v>
      </c>
      <c r="H1932" t="s">
        <v>223</v>
      </c>
      <c r="I1932" t="s">
        <v>2492</v>
      </c>
    </row>
    <row r="1933" spans="1:9" x14ac:dyDescent="0.25">
      <c r="A1933" t="s">
        <v>4429</v>
      </c>
      <c r="B1933" t="s">
        <v>526</v>
      </c>
      <c r="C1933" t="s">
        <v>1186</v>
      </c>
      <c r="D1933" t="s">
        <v>56</v>
      </c>
      <c r="E1933" t="s">
        <v>1364</v>
      </c>
      <c r="F1933" t="s">
        <v>1221</v>
      </c>
      <c r="G1933" t="s">
        <v>910</v>
      </c>
      <c r="H1933" t="s">
        <v>719</v>
      </c>
      <c r="I1933" t="s">
        <v>2454</v>
      </c>
    </row>
    <row r="1934" spans="1:9" x14ac:dyDescent="0.25">
      <c r="A1934" t="s">
        <v>2673</v>
      </c>
      <c r="B1934" t="s">
        <v>822</v>
      </c>
      <c r="C1934" t="s">
        <v>1183</v>
      </c>
      <c r="D1934" t="s">
        <v>56</v>
      </c>
      <c r="E1934" t="s">
        <v>1633</v>
      </c>
      <c r="F1934" t="s">
        <v>1221</v>
      </c>
      <c r="G1934" t="s">
        <v>910</v>
      </c>
      <c r="H1934" t="s">
        <v>100</v>
      </c>
      <c r="I1934" t="s">
        <v>2483</v>
      </c>
    </row>
    <row r="1935" spans="1:9" x14ac:dyDescent="0.25">
      <c r="A1935" t="s">
        <v>4336</v>
      </c>
      <c r="B1935" t="s">
        <v>459</v>
      </c>
      <c r="C1935" t="s">
        <v>1180</v>
      </c>
      <c r="D1935" t="s">
        <v>318</v>
      </c>
      <c r="E1935" t="s">
        <v>1566</v>
      </c>
      <c r="F1935" t="s">
        <v>1221</v>
      </c>
      <c r="G1935" t="s">
        <v>910</v>
      </c>
      <c r="H1935" t="s">
        <v>1567</v>
      </c>
      <c r="I1935" t="s">
        <v>2325</v>
      </c>
    </row>
    <row r="1936" spans="1:9" x14ac:dyDescent="0.25">
      <c r="A1936" t="s">
        <v>2797</v>
      </c>
      <c r="B1936" t="s">
        <v>592</v>
      </c>
      <c r="C1936" t="s">
        <v>1186</v>
      </c>
      <c r="D1936" t="s">
        <v>318</v>
      </c>
      <c r="E1936" t="s">
        <v>1480</v>
      </c>
      <c r="F1936" t="s">
        <v>1221</v>
      </c>
      <c r="G1936" t="s">
        <v>910</v>
      </c>
      <c r="H1936" t="s">
        <v>607</v>
      </c>
      <c r="I1936" t="s">
        <v>2086</v>
      </c>
    </row>
    <row r="1937" spans="1:9" x14ac:dyDescent="0.25">
      <c r="A1937" t="s">
        <v>3580</v>
      </c>
      <c r="B1937" t="s">
        <v>678</v>
      </c>
      <c r="C1937" t="s">
        <v>1186</v>
      </c>
      <c r="D1937" t="s">
        <v>318</v>
      </c>
      <c r="E1937" t="s">
        <v>1435</v>
      </c>
      <c r="F1937" t="s">
        <v>1221</v>
      </c>
      <c r="G1937" t="s">
        <v>910</v>
      </c>
      <c r="H1937" t="s">
        <v>697</v>
      </c>
      <c r="I1937" t="s">
        <v>2086</v>
      </c>
    </row>
    <row r="1938" spans="1:9" x14ac:dyDescent="0.25">
      <c r="A1938" t="s">
        <v>2794</v>
      </c>
      <c r="B1938" t="s">
        <v>822</v>
      </c>
      <c r="C1938" t="s">
        <v>1204</v>
      </c>
      <c r="D1938" t="s">
        <v>318</v>
      </c>
      <c r="E1938" t="s">
        <v>1386</v>
      </c>
      <c r="F1938" t="s">
        <v>1221</v>
      </c>
      <c r="G1938" t="s">
        <v>910</v>
      </c>
      <c r="H1938" t="s">
        <v>2795</v>
      </c>
      <c r="I1938" t="s">
        <v>2796</v>
      </c>
    </row>
    <row r="1939" spans="1:9" x14ac:dyDescent="0.25">
      <c r="A1939" t="s">
        <v>4229</v>
      </c>
      <c r="B1939" t="s">
        <v>911</v>
      </c>
      <c r="C1939" t="s">
        <v>1180</v>
      </c>
      <c r="D1939" t="s">
        <v>56</v>
      </c>
      <c r="E1939" t="s">
        <v>1423</v>
      </c>
      <c r="F1939" t="s">
        <v>1286</v>
      </c>
      <c r="G1939" t="s">
        <v>900</v>
      </c>
      <c r="H1939" t="s">
        <v>442</v>
      </c>
      <c r="I1939" t="s">
        <v>2231</v>
      </c>
    </row>
    <row r="1940" spans="1:9" x14ac:dyDescent="0.25">
      <c r="A1940" t="s">
        <v>2793</v>
      </c>
      <c r="B1940" t="s">
        <v>911</v>
      </c>
      <c r="C1940" t="s">
        <v>1180</v>
      </c>
      <c r="D1940" t="s">
        <v>56</v>
      </c>
      <c r="E1940" t="s">
        <v>1423</v>
      </c>
      <c r="F1940" t="s">
        <v>1221</v>
      </c>
      <c r="G1940" t="s">
        <v>900</v>
      </c>
      <c r="H1940" t="s">
        <v>1319</v>
      </c>
      <c r="I1940" t="s">
        <v>2231</v>
      </c>
    </row>
    <row r="1941" spans="1:9" x14ac:dyDescent="0.25">
      <c r="A1941" t="s">
        <v>4335</v>
      </c>
      <c r="B1941" t="s">
        <v>953</v>
      </c>
      <c r="C1941" t="s">
        <v>1183</v>
      </c>
      <c r="D1941" t="s">
        <v>318</v>
      </c>
      <c r="E1941" t="s">
        <v>1423</v>
      </c>
      <c r="F1941" t="s">
        <v>1286</v>
      </c>
      <c r="G1941" t="s">
        <v>900</v>
      </c>
      <c r="H1941" t="s">
        <v>1257</v>
      </c>
      <c r="I1941" t="s">
        <v>1965</v>
      </c>
    </row>
    <row r="1942" spans="1:9" x14ac:dyDescent="0.25">
      <c r="A1942" t="s">
        <v>2791</v>
      </c>
      <c r="B1942" t="s">
        <v>953</v>
      </c>
      <c r="C1942" t="s">
        <v>1183</v>
      </c>
      <c r="D1942" t="s">
        <v>318</v>
      </c>
      <c r="E1942" t="s">
        <v>1423</v>
      </c>
      <c r="F1942" t="s">
        <v>1221</v>
      </c>
      <c r="G1942" t="s">
        <v>900</v>
      </c>
      <c r="H1942" t="s">
        <v>597</v>
      </c>
      <c r="I1942" t="s">
        <v>2792</v>
      </c>
    </row>
    <row r="1943" spans="1:9" x14ac:dyDescent="0.25">
      <c r="A1943" t="s">
        <v>4228</v>
      </c>
      <c r="B1943" t="s">
        <v>678</v>
      </c>
      <c r="C1943" t="s">
        <v>1180</v>
      </c>
      <c r="D1943" t="s">
        <v>318</v>
      </c>
      <c r="E1943" t="s">
        <v>1250</v>
      </c>
      <c r="F1943" t="s">
        <v>1286</v>
      </c>
      <c r="G1943" t="s">
        <v>900</v>
      </c>
      <c r="H1943" t="s">
        <v>265</v>
      </c>
      <c r="I1943" t="s">
        <v>2228</v>
      </c>
    </row>
    <row r="1944" spans="1:9" x14ac:dyDescent="0.25">
      <c r="A1944" t="s">
        <v>3579</v>
      </c>
      <c r="B1944" t="s">
        <v>678</v>
      </c>
      <c r="C1944" t="s">
        <v>1180</v>
      </c>
      <c r="D1944" t="s">
        <v>318</v>
      </c>
      <c r="E1944" t="s">
        <v>1250</v>
      </c>
      <c r="F1944" t="s">
        <v>1221</v>
      </c>
      <c r="G1944" t="s">
        <v>900</v>
      </c>
      <c r="H1944" t="s">
        <v>265</v>
      </c>
      <c r="I1944" t="s">
        <v>2228</v>
      </c>
    </row>
    <row r="1945" spans="1:9" x14ac:dyDescent="0.25">
      <c r="A1945" t="s">
        <v>3577</v>
      </c>
      <c r="B1945" t="s">
        <v>148</v>
      </c>
      <c r="C1945" t="s">
        <v>1186</v>
      </c>
      <c r="D1945" t="s">
        <v>27</v>
      </c>
      <c r="E1945" t="s">
        <v>1271</v>
      </c>
      <c r="F1945" t="s">
        <v>1229</v>
      </c>
      <c r="G1945" t="s">
        <v>910</v>
      </c>
      <c r="H1945" t="s">
        <v>1607</v>
      </c>
      <c r="I1945" t="s">
        <v>3578</v>
      </c>
    </row>
    <row r="1946" spans="1:9" x14ac:dyDescent="0.25">
      <c r="A1946" t="s">
        <v>3576</v>
      </c>
      <c r="B1946" t="s">
        <v>222</v>
      </c>
      <c r="C1946" t="s">
        <v>1180</v>
      </c>
      <c r="D1946" t="s">
        <v>203</v>
      </c>
      <c r="E1946" t="s">
        <v>1481</v>
      </c>
      <c r="F1946" t="s">
        <v>1229</v>
      </c>
      <c r="G1946" t="s">
        <v>910</v>
      </c>
      <c r="H1946" t="s">
        <v>226</v>
      </c>
      <c r="I1946" t="s">
        <v>227</v>
      </c>
    </row>
    <row r="1947" spans="1:9" x14ac:dyDescent="0.25">
      <c r="A1947" t="s">
        <v>3090</v>
      </c>
      <c r="B1947" t="s">
        <v>407</v>
      </c>
      <c r="C1947" t="s">
        <v>1197</v>
      </c>
      <c r="D1947" t="s">
        <v>21</v>
      </c>
      <c r="E1947" t="s">
        <v>1500</v>
      </c>
      <c r="F1947" t="s">
        <v>1229</v>
      </c>
      <c r="G1947" t="s">
        <v>910</v>
      </c>
      <c r="H1947" t="s">
        <v>28</v>
      </c>
      <c r="I1947" t="s">
        <v>408</v>
      </c>
    </row>
    <row r="1948" spans="1:9" x14ac:dyDescent="0.25">
      <c r="A1948" t="s">
        <v>3575</v>
      </c>
      <c r="B1948" t="s">
        <v>459</v>
      </c>
      <c r="C1948" t="s">
        <v>1180</v>
      </c>
      <c r="D1948" t="s">
        <v>21</v>
      </c>
      <c r="F1948" t="s">
        <v>1229</v>
      </c>
      <c r="G1948" t="s">
        <v>910</v>
      </c>
      <c r="H1948" t="s">
        <v>123</v>
      </c>
      <c r="I1948" t="s">
        <v>2027</v>
      </c>
    </row>
    <row r="1949" spans="1:9" x14ac:dyDescent="0.25">
      <c r="A1949" t="s">
        <v>3573</v>
      </c>
      <c r="B1949" t="s">
        <v>526</v>
      </c>
      <c r="C1949" t="s">
        <v>1186</v>
      </c>
      <c r="D1949" t="s">
        <v>56</v>
      </c>
      <c r="E1949" t="s">
        <v>1249</v>
      </c>
      <c r="F1949" t="s">
        <v>1229</v>
      </c>
      <c r="G1949" t="s">
        <v>910</v>
      </c>
      <c r="H1949" t="s">
        <v>123</v>
      </c>
      <c r="I1949" t="s">
        <v>3574</v>
      </c>
    </row>
    <row r="1950" spans="1:9" x14ac:dyDescent="0.25">
      <c r="A1950" t="s">
        <v>3572</v>
      </c>
      <c r="B1950" t="s">
        <v>552</v>
      </c>
      <c r="C1950" t="s">
        <v>1186</v>
      </c>
      <c r="E1950" t="s">
        <v>1271</v>
      </c>
      <c r="F1950" t="s">
        <v>1229</v>
      </c>
      <c r="G1950" t="s">
        <v>910</v>
      </c>
      <c r="H1950" t="s">
        <v>612</v>
      </c>
      <c r="I1950" t="s">
        <v>2323</v>
      </c>
    </row>
    <row r="1951" spans="1:9" x14ac:dyDescent="0.25">
      <c r="A1951" t="s">
        <v>3089</v>
      </c>
      <c r="B1951" t="s">
        <v>592</v>
      </c>
      <c r="C1951" t="s">
        <v>1191</v>
      </c>
      <c r="D1951" t="s">
        <v>15</v>
      </c>
      <c r="E1951" t="s">
        <v>1242</v>
      </c>
      <c r="F1951" t="s">
        <v>1229</v>
      </c>
      <c r="G1951" t="s">
        <v>910</v>
      </c>
      <c r="H1951" t="s">
        <v>480</v>
      </c>
      <c r="I1951" t="s">
        <v>610</v>
      </c>
    </row>
    <row r="1952" spans="1:9" x14ac:dyDescent="0.25">
      <c r="A1952" t="s">
        <v>3571</v>
      </c>
      <c r="B1952" t="s">
        <v>592</v>
      </c>
      <c r="C1952" t="s">
        <v>1186</v>
      </c>
      <c r="D1952" t="s">
        <v>91</v>
      </c>
      <c r="F1952" t="s">
        <v>1229</v>
      </c>
      <c r="G1952" t="s">
        <v>910</v>
      </c>
      <c r="H1952" t="s">
        <v>612</v>
      </c>
      <c r="I1952" t="s">
        <v>1783</v>
      </c>
    </row>
    <row r="1953" spans="1:9" x14ac:dyDescent="0.25">
      <c r="A1953" t="s">
        <v>3570</v>
      </c>
      <c r="B1953" t="s">
        <v>61</v>
      </c>
      <c r="C1953" t="s">
        <v>1186</v>
      </c>
      <c r="D1953" t="s">
        <v>56</v>
      </c>
      <c r="E1953" t="s">
        <v>1246</v>
      </c>
      <c r="F1953" t="s">
        <v>1229</v>
      </c>
      <c r="G1953" t="s">
        <v>910</v>
      </c>
      <c r="H1953" t="s">
        <v>242</v>
      </c>
      <c r="I1953" t="s">
        <v>304</v>
      </c>
    </row>
    <row r="1954" spans="1:9" x14ac:dyDescent="0.25">
      <c r="A1954" t="s">
        <v>4227</v>
      </c>
      <c r="B1954" t="s">
        <v>678</v>
      </c>
      <c r="C1954" t="s">
        <v>1186</v>
      </c>
      <c r="D1954" t="s">
        <v>56</v>
      </c>
      <c r="F1954" t="s">
        <v>1229</v>
      </c>
      <c r="G1954" t="s">
        <v>910</v>
      </c>
      <c r="H1954" t="s">
        <v>612</v>
      </c>
      <c r="I1954" t="s">
        <v>2031</v>
      </c>
    </row>
    <row r="1955" spans="1:9" x14ac:dyDescent="0.25">
      <c r="A1955" t="s">
        <v>3625</v>
      </c>
      <c r="B1955" t="s">
        <v>61</v>
      </c>
      <c r="C1955" t="s">
        <v>1186</v>
      </c>
      <c r="D1955" t="s">
        <v>56</v>
      </c>
      <c r="E1955" t="s">
        <v>1246</v>
      </c>
      <c r="F1955" t="s">
        <v>1229</v>
      </c>
      <c r="G1955" t="s">
        <v>910</v>
      </c>
      <c r="H1955" t="s">
        <v>3626</v>
      </c>
      <c r="I1955" t="s">
        <v>3627</v>
      </c>
    </row>
    <row r="1956" spans="1:9" x14ac:dyDescent="0.25">
      <c r="A1956" t="s">
        <v>3082</v>
      </c>
      <c r="B1956" t="s">
        <v>148</v>
      </c>
      <c r="C1956" t="s">
        <v>1186</v>
      </c>
      <c r="D1956" t="s">
        <v>27</v>
      </c>
      <c r="E1956" t="s">
        <v>1271</v>
      </c>
      <c r="F1956" t="s">
        <v>1229</v>
      </c>
      <c r="G1956" t="s">
        <v>910</v>
      </c>
      <c r="H1956" t="s">
        <v>2614</v>
      </c>
      <c r="I1956" t="s">
        <v>3083</v>
      </c>
    </row>
    <row r="1957" spans="1:9" x14ac:dyDescent="0.25">
      <c r="A1957" t="s">
        <v>3638</v>
      </c>
      <c r="B1957" t="s">
        <v>222</v>
      </c>
      <c r="C1957" t="s">
        <v>1180</v>
      </c>
      <c r="D1957" t="s">
        <v>203</v>
      </c>
      <c r="E1957" t="s">
        <v>1423</v>
      </c>
      <c r="F1957" t="s">
        <v>1229</v>
      </c>
      <c r="G1957" t="s">
        <v>910</v>
      </c>
      <c r="H1957" t="s">
        <v>3639</v>
      </c>
      <c r="I1957" t="s">
        <v>3640</v>
      </c>
    </row>
    <row r="1958" spans="1:9" x14ac:dyDescent="0.25">
      <c r="A1958" t="s">
        <v>4225</v>
      </c>
      <c r="B1958" t="s">
        <v>407</v>
      </c>
      <c r="C1958" t="s">
        <v>1180</v>
      </c>
      <c r="D1958" t="s">
        <v>27</v>
      </c>
      <c r="E1958" t="s">
        <v>1377</v>
      </c>
      <c r="F1958" t="s">
        <v>1229</v>
      </c>
      <c r="G1958" t="s">
        <v>910</v>
      </c>
      <c r="H1958" t="s">
        <v>4226</v>
      </c>
      <c r="I1958" t="s">
        <v>2204</v>
      </c>
    </row>
    <row r="1959" spans="1:9" x14ac:dyDescent="0.25">
      <c r="A1959" t="s">
        <v>3637</v>
      </c>
      <c r="B1959" t="s">
        <v>459</v>
      </c>
      <c r="C1959" t="s">
        <v>1180</v>
      </c>
      <c r="D1959" t="s">
        <v>21</v>
      </c>
      <c r="E1959" t="s">
        <v>1242</v>
      </c>
      <c r="F1959" t="s">
        <v>1229</v>
      </c>
      <c r="G1959" t="s">
        <v>910</v>
      </c>
      <c r="H1959" t="s">
        <v>1518</v>
      </c>
      <c r="I1959" t="s">
        <v>2212</v>
      </c>
    </row>
    <row r="1960" spans="1:9" x14ac:dyDescent="0.25">
      <c r="A1960" t="s">
        <v>3634</v>
      </c>
      <c r="B1960" t="s">
        <v>526</v>
      </c>
      <c r="C1960" t="s">
        <v>1191</v>
      </c>
      <c r="D1960" t="s">
        <v>21</v>
      </c>
      <c r="E1960" t="s">
        <v>1381</v>
      </c>
      <c r="F1960" t="s">
        <v>1229</v>
      </c>
      <c r="G1960" t="s">
        <v>910</v>
      </c>
      <c r="H1960" t="s">
        <v>3635</v>
      </c>
      <c r="I1960" t="s">
        <v>3636</v>
      </c>
    </row>
    <row r="1961" spans="1:9" x14ac:dyDescent="0.25">
      <c r="A1961" t="s">
        <v>3087</v>
      </c>
      <c r="B1961" t="s">
        <v>592</v>
      </c>
      <c r="C1961" t="s">
        <v>1191</v>
      </c>
      <c r="D1961" t="s">
        <v>15</v>
      </c>
      <c r="E1961" t="s">
        <v>1381</v>
      </c>
      <c r="F1961" t="s">
        <v>1229</v>
      </c>
      <c r="G1961" t="s">
        <v>910</v>
      </c>
      <c r="H1961" t="s">
        <v>189</v>
      </c>
      <c r="I1961" t="s">
        <v>3088</v>
      </c>
    </row>
    <row r="1962" spans="1:9" x14ac:dyDescent="0.25">
      <c r="A1962" t="s">
        <v>3633</v>
      </c>
      <c r="B1962" t="s">
        <v>592</v>
      </c>
      <c r="C1962" t="s">
        <v>1186</v>
      </c>
      <c r="D1962" t="s">
        <v>91</v>
      </c>
      <c r="E1962" t="s">
        <v>1275</v>
      </c>
      <c r="F1962" t="s">
        <v>1229</v>
      </c>
      <c r="G1962" t="s">
        <v>910</v>
      </c>
      <c r="H1962" t="s">
        <v>618</v>
      </c>
      <c r="I1962" t="s">
        <v>619</v>
      </c>
    </row>
    <row r="1963" spans="1:9" x14ac:dyDescent="0.25">
      <c r="A1963" t="s">
        <v>3084</v>
      </c>
      <c r="B1963" t="s">
        <v>678</v>
      </c>
      <c r="C1963" t="s">
        <v>1191</v>
      </c>
      <c r="D1963" t="s">
        <v>56</v>
      </c>
      <c r="E1963" t="s">
        <v>1234</v>
      </c>
      <c r="F1963" t="s">
        <v>1229</v>
      </c>
      <c r="G1963" t="s">
        <v>910</v>
      </c>
      <c r="H1963" t="s">
        <v>3085</v>
      </c>
      <c r="I1963" t="s">
        <v>3086</v>
      </c>
    </row>
    <row r="1964" spans="1:9" x14ac:dyDescent="0.25">
      <c r="A1964" t="s">
        <v>3631</v>
      </c>
      <c r="B1964" t="s">
        <v>678</v>
      </c>
      <c r="C1964" t="s">
        <v>1186</v>
      </c>
      <c r="D1964" t="s">
        <v>56</v>
      </c>
      <c r="E1964" t="s">
        <v>1246</v>
      </c>
      <c r="F1964" t="s">
        <v>1229</v>
      </c>
      <c r="G1964" t="s">
        <v>910</v>
      </c>
      <c r="H1964" t="s">
        <v>513</v>
      </c>
      <c r="I1964" t="s">
        <v>3632</v>
      </c>
    </row>
    <row r="1965" spans="1:9" x14ac:dyDescent="0.25">
      <c r="A1965" t="s">
        <v>3628</v>
      </c>
      <c r="B1965" t="s">
        <v>822</v>
      </c>
      <c r="C1965" t="s">
        <v>1191</v>
      </c>
      <c r="D1965" t="s">
        <v>27</v>
      </c>
      <c r="E1965" t="s">
        <v>1295</v>
      </c>
      <c r="F1965" t="s">
        <v>1229</v>
      </c>
      <c r="G1965" t="s">
        <v>910</v>
      </c>
      <c r="H1965" t="s">
        <v>3629</v>
      </c>
      <c r="I1965" t="s">
        <v>3630</v>
      </c>
    </row>
    <row r="1966" spans="1:9" x14ac:dyDescent="0.25">
      <c r="A1966" t="s">
        <v>3080</v>
      </c>
      <c r="B1966" t="s">
        <v>552</v>
      </c>
      <c r="C1966" t="s">
        <v>1191</v>
      </c>
      <c r="D1966" t="s">
        <v>203</v>
      </c>
      <c r="E1966" t="s">
        <v>1247</v>
      </c>
      <c r="F1966" t="s">
        <v>1229</v>
      </c>
      <c r="G1966" t="s">
        <v>910</v>
      </c>
      <c r="H1966" t="s">
        <v>3081</v>
      </c>
      <c r="I1966" t="s">
        <v>2351</v>
      </c>
    </row>
    <row r="1967" spans="1:9" x14ac:dyDescent="0.25">
      <c r="A1967" t="s">
        <v>3079</v>
      </c>
      <c r="B1967" t="s">
        <v>62</v>
      </c>
      <c r="C1967" t="s">
        <v>1191</v>
      </c>
      <c r="D1967" t="s">
        <v>27</v>
      </c>
      <c r="E1967" t="s">
        <v>1403</v>
      </c>
      <c r="F1967" t="s">
        <v>1229</v>
      </c>
      <c r="G1967" t="s">
        <v>910</v>
      </c>
      <c r="H1967" t="s">
        <v>729</v>
      </c>
      <c r="I1967" t="s">
        <v>2131</v>
      </c>
    </row>
    <row r="1968" spans="1:9" x14ac:dyDescent="0.25">
      <c r="A1968" t="s">
        <v>3078</v>
      </c>
      <c r="B1968" t="s">
        <v>822</v>
      </c>
      <c r="C1968" t="s">
        <v>1191</v>
      </c>
      <c r="D1968" t="s">
        <v>197</v>
      </c>
      <c r="E1968" t="s">
        <v>1301</v>
      </c>
      <c r="F1968" t="s">
        <v>1229</v>
      </c>
      <c r="G1968" t="s">
        <v>910</v>
      </c>
      <c r="H1968" t="s">
        <v>850</v>
      </c>
      <c r="I1968" t="s">
        <v>2169</v>
      </c>
    </row>
    <row r="1969" spans="1:9" x14ac:dyDescent="0.25">
      <c r="A1969" t="s">
        <v>4055</v>
      </c>
      <c r="B1969" t="s">
        <v>678</v>
      </c>
      <c r="C1969" t="s">
        <v>1191</v>
      </c>
      <c r="D1969" t="s">
        <v>91</v>
      </c>
      <c r="F1969" t="s">
        <v>1229</v>
      </c>
      <c r="G1969" t="s">
        <v>910</v>
      </c>
      <c r="H1969" t="s">
        <v>223</v>
      </c>
      <c r="I1969" t="s">
        <v>2028</v>
      </c>
    </row>
    <row r="1970" spans="1:9" x14ac:dyDescent="0.25">
      <c r="A1970" t="s">
        <v>3624</v>
      </c>
      <c r="B1970" t="s">
        <v>822</v>
      </c>
      <c r="C1970" t="s">
        <v>1191</v>
      </c>
      <c r="D1970" t="s">
        <v>15</v>
      </c>
      <c r="F1970" t="s">
        <v>1229</v>
      </c>
      <c r="G1970" t="s">
        <v>910</v>
      </c>
      <c r="H1970" t="s">
        <v>105</v>
      </c>
      <c r="I1970" t="s">
        <v>2032</v>
      </c>
    </row>
    <row r="1971" spans="1:9" x14ac:dyDescent="0.25">
      <c r="A1971" t="s">
        <v>3623</v>
      </c>
      <c r="B1971" t="s">
        <v>222</v>
      </c>
      <c r="C1971" t="s">
        <v>1180</v>
      </c>
      <c r="D1971" t="s">
        <v>203</v>
      </c>
      <c r="E1971" t="s">
        <v>1481</v>
      </c>
      <c r="F1971" t="s">
        <v>8</v>
      </c>
      <c r="G1971" t="s">
        <v>910</v>
      </c>
      <c r="H1971" t="s">
        <v>513</v>
      </c>
      <c r="I1971" t="s">
        <v>2089</v>
      </c>
    </row>
    <row r="1972" spans="1:9" x14ac:dyDescent="0.25">
      <c r="A1972" t="s">
        <v>4224</v>
      </c>
      <c r="B1972" t="s">
        <v>678</v>
      </c>
      <c r="C1972" t="s">
        <v>1186</v>
      </c>
      <c r="D1972" t="s">
        <v>56</v>
      </c>
      <c r="F1972" t="s">
        <v>8</v>
      </c>
      <c r="G1972" t="s">
        <v>910</v>
      </c>
      <c r="H1972" t="s">
        <v>612</v>
      </c>
      <c r="I1972" t="s">
        <v>2031</v>
      </c>
    </row>
    <row r="1973" spans="1:9" x14ac:dyDescent="0.25">
      <c r="A1973" t="s">
        <v>3622</v>
      </c>
      <c r="B1973" t="s">
        <v>822</v>
      </c>
      <c r="C1973" t="s">
        <v>1191</v>
      </c>
      <c r="D1973" t="s">
        <v>15</v>
      </c>
      <c r="F1973" t="s">
        <v>8</v>
      </c>
      <c r="G1973" t="s">
        <v>910</v>
      </c>
      <c r="H1973" t="s">
        <v>105</v>
      </c>
      <c r="I1973" t="s">
        <v>2032</v>
      </c>
    </row>
    <row r="1974" spans="1:9" x14ac:dyDescent="0.25">
      <c r="A1974" t="s">
        <v>4222</v>
      </c>
      <c r="B1974" t="s">
        <v>148</v>
      </c>
      <c r="C1974" t="s">
        <v>1186</v>
      </c>
      <c r="D1974" t="s">
        <v>27</v>
      </c>
      <c r="E1974" t="s">
        <v>1271</v>
      </c>
      <c r="F1974" t="s">
        <v>8</v>
      </c>
      <c r="G1974" t="s">
        <v>910</v>
      </c>
      <c r="H1974" t="s">
        <v>163</v>
      </c>
      <c r="I1974" t="s">
        <v>4223</v>
      </c>
    </row>
    <row r="1975" spans="1:9" x14ac:dyDescent="0.25">
      <c r="A1975" t="s">
        <v>3621</v>
      </c>
      <c r="B1975" t="s">
        <v>407</v>
      </c>
      <c r="C1975" t="s">
        <v>1197</v>
      </c>
      <c r="D1975" t="s">
        <v>21</v>
      </c>
      <c r="E1975" t="s">
        <v>1500</v>
      </c>
      <c r="F1975" t="s">
        <v>8</v>
      </c>
      <c r="G1975" t="s">
        <v>910</v>
      </c>
      <c r="H1975" t="s">
        <v>28</v>
      </c>
      <c r="I1975" t="s">
        <v>408</v>
      </c>
    </row>
    <row r="1976" spans="1:9" x14ac:dyDescent="0.25">
      <c r="A1976" t="s">
        <v>4054</v>
      </c>
      <c r="B1976" t="s">
        <v>459</v>
      </c>
      <c r="C1976" t="s">
        <v>1180</v>
      </c>
      <c r="D1976" t="s">
        <v>21</v>
      </c>
      <c r="F1976" t="s">
        <v>8</v>
      </c>
      <c r="G1976" t="s">
        <v>910</v>
      </c>
      <c r="H1976" t="s">
        <v>123</v>
      </c>
      <c r="I1976" t="s">
        <v>2027</v>
      </c>
    </row>
    <row r="1977" spans="1:9" x14ac:dyDescent="0.25">
      <c r="A1977" t="s">
        <v>4053</v>
      </c>
      <c r="B1977" t="s">
        <v>526</v>
      </c>
      <c r="C1977" t="s">
        <v>1186</v>
      </c>
      <c r="D1977" t="s">
        <v>56</v>
      </c>
      <c r="E1977" t="s">
        <v>1249</v>
      </c>
      <c r="F1977" t="s">
        <v>8</v>
      </c>
      <c r="G1977" t="s">
        <v>910</v>
      </c>
      <c r="H1977" t="s">
        <v>105</v>
      </c>
      <c r="I1977" t="s">
        <v>529</v>
      </c>
    </row>
    <row r="1978" spans="1:9" x14ac:dyDescent="0.25">
      <c r="A1978" t="s">
        <v>4052</v>
      </c>
      <c r="B1978" t="s">
        <v>526</v>
      </c>
      <c r="C1978" t="s">
        <v>1180</v>
      </c>
      <c r="D1978" t="s">
        <v>91</v>
      </c>
      <c r="F1978" t="s">
        <v>8</v>
      </c>
      <c r="G1978" t="s">
        <v>910</v>
      </c>
      <c r="H1978" t="s">
        <v>252</v>
      </c>
      <c r="I1978" t="s">
        <v>2020</v>
      </c>
    </row>
    <row r="1979" spans="1:9" x14ac:dyDescent="0.25">
      <c r="A1979" t="s">
        <v>3620</v>
      </c>
      <c r="B1979" t="s">
        <v>552</v>
      </c>
      <c r="C1979" t="s">
        <v>1186</v>
      </c>
      <c r="E1979" t="s">
        <v>1271</v>
      </c>
      <c r="F1979" t="s">
        <v>8</v>
      </c>
      <c r="G1979" t="s">
        <v>910</v>
      </c>
      <c r="H1979" t="s">
        <v>612</v>
      </c>
      <c r="I1979" t="s">
        <v>2323</v>
      </c>
    </row>
    <row r="1980" spans="1:9" x14ac:dyDescent="0.25">
      <c r="A1980" t="s">
        <v>4051</v>
      </c>
      <c r="B1980" t="s">
        <v>592</v>
      </c>
      <c r="C1980" t="s">
        <v>1191</v>
      </c>
      <c r="D1980" t="s">
        <v>15</v>
      </c>
      <c r="E1980" t="s">
        <v>1242</v>
      </c>
      <c r="F1980" t="s">
        <v>8</v>
      </c>
      <c r="G1980" t="s">
        <v>910</v>
      </c>
      <c r="H1980" t="s">
        <v>153</v>
      </c>
      <c r="I1980" t="s">
        <v>2334</v>
      </c>
    </row>
    <row r="1981" spans="1:9" x14ac:dyDescent="0.25">
      <c r="A1981" t="s">
        <v>3619</v>
      </c>
      <c r="B1981" t="s">
        <v>592</v>
      </c>
      <c r="C1981" t="s">
        <v>1186</v>
      </c>
      <c r="D1981" t="s">
        <v>91</v>
      </c>
      <c r="F1981" t="s">
        <v>8</v>
      </c>
      <c r="G1981" t="s">
        <v>910</v>
      </c>
      <c r="H1981" t="s">
        <v>612</v>
      </c>
      <c r="I1981" t="s">
        <v>1783</v>
      </c>
    </row>
    <row r="1982" spans="1:9" x14ac:dyDescent="0.25">
      <c r="A1982" t="s">
        <v>3618</v>
      </c>
      <c r="B1982" t="s">
        <v>61</v>
      </c>
      <c r="C1982" t="s">
        <v>1186</v>
      </c>
      <c r="D1982" t="s">
        <v>56</v>
      </c>
      <c r="E1982" t="s">
        <v>1246</v>
      </c>
      <c r="F1982" t="s">
        <v>8</v>
      </c>
      <c r="G1982" t="s">
        <v>910</v>
      </c>
      <c r="H1982" t="s">
        <v>242</v>
      </c>
      <c r="I1982" t="s">
        <v>304</v>
      </c>
    </row>
    <row r="1983" spans="1:9" x14ac:dyDescent="0.25">
      <c r="A1983" t="s">
        <v>4048</v>
      </c>
      <c r="B1983" t="s">
        <v>61</v>
      </c>
      <c r="C1983" t="s">
        <v>1186</v>
      </c>
      <c r="D1983" t="s">
        <v>56</v>
      </c>
      <c r="E1983" t="s">
        <v>1246</v>
      </c>
      <c r="F1983" t="s">
        <v>8</v>
      </c>
      <c r="G1983" t="s">
        <v>910</v>
      </c>
      <c r="H1983" t="s">
        <v>72</v>
      </c>
      <c r="I1983" t="s">
        <v>1961</v>
      </c>
    </row>
    <row r="1984" spans="1:9" x14ac:dyDescent="0.25">
      <c r="A1984" t="s">
        <v>4047</v>
      </c>
      <c r="B1984" t="s">
        <v>148</v>
      </c>
      <c r="C1984" t="s">
        <v>1186</v>
      </c>
      <c r="D1984" t="s">
        <v>27</v>
      </c>
      <c r="E1984" t="s">
        <v>1271</v>
      </c>
      <c r="F1984" t="s">
        <v>8</v>
      </c>
      <c r="G1984" t="s">
        <v>910</v>
      </c>
      <c r="H1984" t="s">
        <v>4017</v>
      </c>
      <c r="I1984" t="s">
        <v>2254</v>
      </c>
    </row>
    <row r="1985" spans="1:9" x14ac:dyDescent="0.25">
      <c r="A1985" t="s">
        <v>4050</v>
      </c>
      <c r="B1985" t="s">
        <v>222</v>
      </c>
      <c r="C1985" t="s">
        <v>1180</v>
      </c>
      <c r="D1985" t="s">
        <v>203</v>
      </c>
      <c r="E1985" t="s">
        <v>1423</v>
      </c>
      <c r="F1985" t="s">
        <v>8</v>
      </c>
      <c r="G1985" t="s">
        <v>910</v>
      </c>
      <c r="H1985" t="s">
        <v>229</v>
      </c>
      <c r="I1985" t="s">
        <v>2253</v>
      </c>
    </row>
    <row r="1986" spans="1:9" x14ac:dyDescent="0.25">
      <c r="A1986" t="s">
        <v>4221</v>
      </c>
      <c r="B1986" t="s">
        <v>407</v>
      </c>
      <c r="C1986" t="s">
        <v>1180</v>
      </c>
      <c r="D1986" t="s">
        <v>27</v>
      </c>
      <c r="E1986" t="s">
        <v>1377</v>
      </c>
      <c r="F1986" t="s">
        <v>8</v>
      </c>
      <c r="G1986" t="s">
        <v>910</v>
      </c>
      <c r="H1986" t="s">
        <v>410</v>
      </c>
      <c r="I1986" t="s">
        <v>411</v>
      </c>
    </row>
    <row r="1987" spans="1:9" x14ac:dyDescent="0.25">
      <c r="A1987" t="s">
        <v>3615</v>
      </c>
      <c r="B1987" t="s">
        <v>459</v>
      </c>
      <c r="C1987" t="s">
        <v>1180</v>
      </c>
      <c r="D1987" t="s">
        <v>21</v>
      </c>
      <c r="E1987" t="s">
        <v>1242</v>
      </c>
      <c r="F1987" t="s">
        <v>8</v>
      </c>
      <c r="G1987" t="s">
        <v>910</v>
      </c>
      <c r="H1987" t="s">
        <v>462</v>
      </c>
      <c r="I1987" t="s">
        <v>2213</v>
      </c>
    </row>
    <row r="1988" spans="1:9" x14ac:dyDescent="0.25">
      <c r="A1988" t="s">
        <v>2789</v>
      </c>
      <c r="B1988" t="s">
        <v>526</v>
      </c>
      <c r="C1988" t="s">
        <v>1191</v>
      </c>
      <c r="D1988" t="s">
        <v>21</v>
      </c>
      <c r="E1988" t="s">
        <v>1381</v>
      </c>
      <c r="F1988" t="s">
        <v>8</v>
      </c>
      <c r="G1988" t="s">
        <v>910</v>
      </c>
      <c r="H1988" t="s">
        <v>189</v>
      </c>
      <c r="I1988" t="s">
        <v>2790</v>
      </c>
    </row>
    <row r="1989" spans="1:9" x14ac:dyDescent="0.25">
      <c r="A1989" t="s">
        <v>2788</v>
      </c>
      <c r="B1989" t="s">
        <v>592</v>
      </c>
      <c r="C1989" t="s">
        <v>1191</v>
      </c>
      <c r="D1989" t="s">
        <v>15</v>
      </c>
      <c r="E1989" t="s">
        <v>1381</v>
      </c>
      <c r="F1989" t="s">
        <v>8</v>
      </c>
      <c r="G1989" t="s">
        <v>910</v>
      </c>
      <c r="H1989" t="s">
        <v>159</v>
      </c>
      <c r="I1989" t="s">
        <v>2134</v>
      </c>
    </row>
    <row r="1990" spans="1:9" x14ac:dyDescent="0.25">
      <c r="A1990" t="s">
        <v>3614</v>
      </c>
      <c r="B1990" t="s">
        <v>592</v>
      </c>
      <c r="C1990" t="s">
        <v>1186</v>
      </c>
      <c r="D1990" t="s">
        <v>91</v>
      </c>
      <c r="E1990" t="s">
        <v>1275</v>
      </c>
      <c r="F1990" t="s">
        <v>8</v>
      </c>
      <c r="G1990" t="s">
        <v>910</v>
      </c>
      <c r="H1990" t="s">
        <v>1519</v>
      </c>
      <c r="I1990" t="s">
        <v>2214</v>
      </c>
    </row>
    <row r="1991" spans="1:9" x14ac:dyDescent="0.25">
      <c r="A1991" t="s">
        <v>4049</v>
      </c>
      <c r="B1991" t="s">
        <v>678</v>
      </c>
      <c r="C1991" t="s">
        <v>1191</v>
      </c>
      <c r="D1991" t="s">
        <v>56</v>
      </c>
      <c r="E1991" t="s">
        <v>1234</v>
      </c>
      <c r="F1991" t="s">
        <v>8</v>
      </c>
      <c r="G1991" t="s">
        <v>910</v>
      </c>
      <c r="H1991" t="s">
        <v>704</v>
      </c>
      <c r="I1991" t="s">
        <v>2215</v>
      </c>
    </row>
    <row r="1992" spans="1:9" x14ac:dyDescent="0.25">
      <c r="A1992" t="s">
        <v>3613</v>
      </c>
      <c r="B1992" t="s">
        <v>678</v>
      </c>
      <c r="C1992" t="s">
        <v>1186</v>
      </c>
      <c r="D1992" t="s">
        <v>56</v>
      </c>
      <c r="E1992" t="s">
        <v>1246</v>
      </c>
      <c r="F1992" t="s">
        <v>8</v>
      </c>
      <c r="G1992" t="s">
        <v>910</v>
      </c>
      <c r="H1992" t="s">
        <v>69</v>
      </c>
      <c r="I1992" t="s">
        <v>2217</v>
      </c>
    </row>
    <row r="1993" spans="1:9" x14ac:dyDescent="0.25">
      <c r="A1993" t="s">
        <v>3612</v>
      </c>
      <c r="B1993" t="s">
        <v>822</v>
      </c>
      <c r="C1993" t="s">
        <v>1191</v>
      </c>
      <c r="D1993" t="s">
        <v>27</v>
      </c>
      <c r="E1993" t="s">
        <v>1295</v>
      </c>
      <c r="F1993" t="s">
        <v>8</v>
      </c>
      <c r="G1993" t="s">
        <v>910</v>
      </c>
      <c r="H1993" t="s">
        <v>847</v>
      </c>
      <c r="I1993" t="s">
        <v>848</v>
      </c>
    </row>
    <row r="1994" spans="1:9" x14ac:dyDescent="0.25">
      <c r="A1994" t="s">
        <v>4046</v>
      </c>
      <c r="B1994" t="s">
        <v>552</v>
      </c>
      <c r="C1994" t="s">
        <v>1191</v>
      </c>
      <c r="D1994" t="s">
        <v>203</v>
      </c>
      <c r="E1994" t="s">
        <v>1247</v>
      </c>
      <c r="F1994" t="s">
        <v>8</v>
      </c>
      <c r="G1994" t="s">
        <v>910</v>
      </c>
      <c r="H1994" t="s">
        <v>565</v>
      </c>
      <c r="I1994" t="s">
        <v>2352</v>
      </c>
    </row>
    <row r="1995" spans="1:9" x14ac:dyDescent="0.25">
      <c r="A1995" t="s">
        <v>4045</v>
      </c>
      <c r="B1995" t="s">
        <v>62</v>
      </c>
      <c r="C1995" t="s">
        <v>1191</v>
      </c>
      <c r="D1995" t="s">
        <v>27</v>
      </c>
      <c r="E1995" t="s">
        <v>1403</v>
      </c>
      <c r="F1995" t="s">
        <v>8</v>
      </c>
      <c r="G1995" t="s">
        <v>910</v>
      </c>
      <c r="H1995" t="s">
        <v>173</v>
      </c>
      <c r="I1995" t="s">
        <v>2132</v>
      </c>
    </row>
    <row r="1996" spans="1:9" x14ac:dyDescent="0.25">
      <c r="A1996" t="s">
        <v>4044</v>
      </c>
      <c r="B1996" t="s">
        <v>822</v>
      </c>
      <c r="C1996" t="s">
        <v>1191</v>
      </c>
      <c r="D1996" t="s">
        <v>197</v>
      </c>
      <c r="E1996" t="s">
        <v>1301</v>
      </c>
      <c r="F1996" t="s">
        <v>8</v>
      </c>
      <c r="G1996" t="s">
        <v>910</v>
      </c>
      <c r="H1996" t="s">
        <v>3150</v>
      </c>
      <c r="I1996" t="s">
        <v>2168</v>
      </c>
    </row>
    <row r="1997" spans="1:9" x14ac:dyDescent="0.25">
      <c r="A1997" t="s">
        <v>3610</v>
      </c>
      <c r="B1997" t="s">
        <v>678</v>
      </c>
      <c r="C1997" t="s">
        <v>1191</v>
      </c>
      <c r="D1997" t="s">
        <v>91</v>
      </c>
      <c r="F1997" t="s">
        <v>8</v>
      </c>
      <c r="G1997" t="s">
        <v>910</v>
      </c>
      <c r="H1997" t="s">
        <v>10</v>
      </c>
      <c r="I1997" t="s">
        <v>3611</v>
      </c>
    </row>
    <row r="1998" spans="1:9" x14ac:dyDescent="0.25">
      <c r="A1998" t="s">
        <v>3609</v>
      </c>
      <c r="B1998" t="s">
        <v>822</v>
      </c>
      <c r="C1998" t="s">
        <v>1191</v>
      </c>
      <c r="D1998" t="s">
        <v>15</v>
      </c>
      <c r="F1998" t="s">
        <v>8</v>
      </c>
      <c r="G1998" t="s">
        <v>910</v>
      </c>
      <c r="H1998" t="s">
        <v>105</v>
      </c>
      <c r="I1998" t="s">
        <v>2032</v>
      </c>
    </row>
    <row r="1999" spans="1:9" x14ac:dyDescent="0.25">
      <c r="A1999" t="s">
        <v>3607</v>
      </c>
      <c r="B1999" t="s">
        <v>459</v>
      </c>
      <c r="C1999" t="s">
        <v>1180</v>
      </c>
      <c r="D1999" t="s">
        <v>1216</v>
      </c>
      <c r="E1999" t="s">
        <v>3608</v>
      </c>
      <c r="F1999" t="s">
        <v>1343</v>
      </c>
      <c r="G1999" t="s">
        <v>910</v>
      </c>
      <c r="H1999" t="s">
        <v>716</v>
      </c>
    </row>
    <row r="2000" spans="1:9" x14ac:dyDescent="0.25">
      <c r="A2000" t="s">
        <v>3606</v>
      </c>
      <c r="B2000" t="s">
        <v>459</v>
      </c>
      <c r="C2000" t="s">
        <v>1449</v>
      </c>
      <c r="D2000" t="s">
        <v>1216</v>
      </c>
      <c r="E2000" t="s">
        <v>1539</v>
      </c>
      <c r="F2000" t="s">
        <v>1343</v>
      </c>
      <c r="G2000" t="s">
        <v>910</v>
      </c>
      <c r="H2000" t="s">
        <v>689</v>
      </c>
    </row>
    <row r="2001" spans="1:9" x14ac:dyDescent="0.25">
      <c r="A2001" t="s">
        <v>3604</v>
      </c>
      <c r="B2001" t="s">
        <v>526</v>
      </c>
      <c r="C2001" t="s">
        <v>1180</v>
      </c>
      <c r="D2001" t="s">
        <v>1216</v>
      </c>
      <c r="E2001" t="s">
        <v>3605</v>
      </c>
      <c r="F2001" t="s">
        <v>1343</v>
      </c>
      <c r="G2001" t="s">
        <v>910</v>
      </c>
      <c r="H2001" t="s">
        <v>1319</v>
      </c>
    </row>
    <row r="2002" spans="1:9" x14ac:dyDescent="0.25">
      <c r="A2002" t="s">
        <v>3602</v>
      </c>
      <c r="B2002" t="s">
        <v>552</v>
      </c>
      <c r="C2002" t="s">
        <v>1180</v>
      </c>
      <c r="D2002" t="s">
        <v>1216</v>
      </c>
      <c r="E2002" t="s">
        <v>3603</v>
      </c>
      <c r="F2002" t="s">
        <v>1343</v>
      </c>
      <c r="G2002" t="s">
        <v>910</v>
      </c>
      <c r="H2002" t="s">
        <v>1369</v>
      </c>
    </row>
    <row r="2003" spans="1:9" x14ac:dyDescent="0.25">
      <c r="A2003" t="s">
        <v>3600</v>
      </c>
      <c r="B2003" t="s">
        <v>592</v>
      </c>
      <c r="C2003" t="s">
        <v>1186</v>
      </c>
      <c r="D2003" t="s">
        <v>934</v>
      </c>
      <c r="E2003" t="s">
        <v>3601</v>
      </c>
      <c r="F2003" t="s">
        <v>1343</v>
      </c>
      <c r="G2003" t="s">
        <v>910</v>
      </c>
      <c r="H2003" t="s">
        <v>1279</v>
      </c>
    </row>
    <row r="2004" spans="1:9" x14ac:dyDescent="0.25">
      <c r="A2004" t="s">
        <v>3598</v>
      </c>
      <c r="B2004" t="s">
        <v>592</v>
      </c>
      <c r="C2004" t="s">
        <v>1180</v>
      </c>
      <c r="D2004" t="s">
        <v>934</v>
      </c>
      <c r="E2004" t="s">
        <v>3599</v>
      </c>
      <c r="F2004" t="s">
        <v>1343</v>
      </c>
      <c r="G2004" t="s">
        <v>910</v>
      </c>
      <c r="H2004" t="s">
        <v>597</v>
      </c>
    </row>
    <row r="2005" spans="1:9" x14ac:dyDescent="0.25">
      <c r="A2005" t="s">
        <v>3597</v>
      </c>
      <c r="B2005" t="s">
        <v>678</v>
      </c>
      <c r="C2005" t="s">
        <v>1465</v>
      </c>
      <c r="D2005" t="s">
        <v>1216</v>
      </c>
      <c r="F2005" t="s">
        <v>1343</v>
      </c>
      <c r="G2005" t="s">
        <v>910</v>
      </c>
      <c r="H2005" t="s">
        <v>1344</v>
      </c>
    </row>
    <row r="2006" spans="1:9" x14ac:dyDescent="0.25">
      <c r="A2006" t="s">
        <v>3596</v>
      </c>
      <c r="B2006" t="s">
        <v>222</v>
      </c>
      <c r="C2006" t="s">
        <v>1180</v>
      </c>
      <c r="D2006" t="s">
        <v>15</v>
      </c>
      <c r="E2006" t="s">
        <v>1481</v>
      </c>
      <c r="F2006" t="s">
        <v>1343</v>
      </c>
      <c r="G2006" t="s">
        <v>910</v>
      </c>
      <c r="H2006" t="s">
        <v>562</v>
      </c>
    </row>
    <row r="2007" spans="1:9" x14ac:dyDescent="0.25">
      <c r="A2007" t="s">
        <v>3594</v>
      </c>
      <c r="B2007" t="s">
        <v>407</v>
      </c>
      <c r="C2007" t="s">
        <v>1181</v>
      </c>
      <c r="D2007" t="s">
        <v>91</v>
      </c>
      <c r="E2007" t="s">
        <v>3595</v>
      </c>
      <c r="F2007" t="s">
        <v>1343</v>
      </c>
      <c r="G2007" t="s">
        <v>910</v>
      </c>
      <c r="H2007" t="s">
        <v>697</v>
      </c>
    </row>
    <row r="2008" spans="1:9" x14ac:dyDescent="0.25">
      <c r="A2008" t="s">
        <v>3590</v>
      </c>
      <c r="B2008" t="s">
        <v>592</v>
      </c>
      <c r="C2008" t="s">
        <v>1191</v>
      </c>
      <c r="D2008" t="s">
        <v>15</v>
      </c>
      <c r="E2008" t="s">
        <v>3591</v>
      </c>
      <c r="F2008" t="s">
        <v>1343</v>
      </c>
      <c r="G2008" t="s">
        <v>910</v>
      </c>
      <c r="H2008" t="s">
        <v>3592</v>
      </c>
      <c r="I2008" t="s">
        <v>3593</v>
      </c>
    </row>
    <row r="2009" spans="1:9" x14ac:dyDescent="0.25">
      <c r="A2009" t="s">
        <v>3617</v>
      </c>
      <c r="B2009" t="s">
        <v>592</v>
      </c>
      <c r="C2009" t="s">
        <v>1191</v>
      </c>
      <c r="D2009" t="s">
        <v>15</v>
      </c>
      <c r="E2009" t="s">
        <v>3591</v>
      </c>
      <c r="F2009" t="s">
        <v>1343</v>
      </c>
      <c r="G2009" t="s">
        <v>910</v>
      </c>
      <c r="H2009" t="s">
        <v>3592</v>
      </c>
      <c r="I2009" t="s">
        <v>3593</v>
      </c>
    </row>
    <row r="2010" spans="1:9" x14ac:dyDescent="0.25">
      <c r="A2010" t="s">
        <v>4043</v>
      </c>
      <c r="B2010" t="s">
        <v>678</v>
      </c>
      <c r="C2010" t="s">
        <v>1186</v>
      </c>
      <c r="D2010" t="s">
        <v>934</v>
      </c>
      <c r="E2010" t="s">
        <v>1500</v>
      </c>
      <c r="F2010" t="s">
        <v>1343</v>
      </c>
      <c r="G2010" t="s">
        <v>910</v>
      </c>
      <c r="H2010" t="s">
        <v>1257</v>
      </c>
    </row>
    <row r="2011" spans="1:9" x14ac:dyDescent="0.25">
      <c r="A2011" t="s">
        <v>3616</v>
      </c>
      <c r="B2011" t="s">
        <v>822</v>
      </c>
      <c r="C2011" t="s">
        <v>1181</v>
      </c>
      <c r="D2011" t="s">
        <v>934</v>
      </c>
      <c r="F2011" t="s">
        <v>1343</v>
      </c>
      <c r="G2011" t="s">
        <v>910</v>
      </c>
      <c r="H2011" t="s">
        <v>1294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topLeftCell="C1" workbookViewId="0">
      <pane ySplit="1" topLeftCell="A2" activePane="bottomLeft" state="frozen"/>
      <selection pane="bottomLeft" activeCell="R1" sqref="R1:S1048576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879</v>
      </c>
      <c r="B1" s="24" t="s">
        <v>880</v>
      </c>
      <c r="C1" s="24" t="s">
        <v>881</v>
      </c>
      <c r="D1" s="24" t="s">
        <v>882</v>
      </c>
      <c r="E1" s="24" t="s">
        <v>883</v>
      </c>
      <c r="F1" s="25" t="s">
        <v>884</v>
      </c>
      <c r="G1" s="25" t="s">
        <v>885</v>
      </c>
      <c r="H1" s="24" t="s">
        <v>897</v>
      </c>
      <c r="I1" s="24" t="s">
        <v>896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886</v>
      </c>
      <c r="O1" s="24" t="s">
        <v>894</v>
      </c>
      <c r="P1" s="24" t="s">
        <v>895</v>
      </c>
      <c r="Q1" s="24" t="s">
        <v>867</v>
      </c>
      <c r="R1" s="26" t="s">
        <v>888</v>
      </c>
      <c r="S1" s="26" t="s">
        <v>887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910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900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902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903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904</v>
      </c>
      <c r="P273" s="2" t="str">
        <f t="shared" si="53"/>
        <v>705</v>
      </c>
      <c r="Q273" s="2" t="s">
        <v>905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907</v>
      </c>
      <c r="B274" s="2" t="s">
        <v>908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909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906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RawData</vt:lpstr>
      <vt:lpstr>(Raw) LensesGH</vt:lpstr>
      <vt:lpstr>(Prepared) Lenses2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2017-11-05T02:11:50Z</dcterms:modified>
</cp:coreProperties>
</file>